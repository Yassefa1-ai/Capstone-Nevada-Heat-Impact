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camac\OneDrive\Documents\MSDS\Courses\25SPR\DS 6120 Capstone A\Data\"/>
    </mc:Choice>
  </mc:AlternateContent>
  <xr:revisionPtr revIDLastSave="0" documentId="13_ncr:1_{A6211392-42E7-4F21-B0E4-43480AF0C145}" xr6:coauthVersionLast="47" xr6:coauthVersionMax="47" xr10:uidLastSave="{00000000-0000-0000-0000-000000000000}"/>
  <bookViews>
    <workbookView xWindow="-23148" yWindow="-108" windowWidth="23256" windowHeight="12456" xr2:uid="{6BA0BF1E-4DA2-4C24-AB36-27137F751DCE}"/>
  </bookViews>
  <sheets>
    <sheet name="Sheet1" sheetId="5" r:id="rId1"/>
    <sheet name="2024" sheetId="6" r:id="rId2"/>
    <sheet name="2023" sheetId="1" r:id="rId3"/>
    <sheet name="2022" sheetId="2" r:id="rId4"/>
    <sheet name="2021" sheetId="3" r:id="rId5"/>
  </sheets>
  <definedNames>
    <definedName name="_xlnm._FilterDatabase" localSheetId="0" hidden="1">Sheet1!$A$1:$V$1166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4" i="5" l="1" a="1"/>
  <c r="G74" i="5" s="1"/>
  <c r="G89" i="5" a="1"/>
  <c r="G89" i="5" s="1"/>
  <c r="G139" i="5" a="1"/>
  <c r="G139" i="5" s="1"/>
  <c r="G182" i="5" a="1"/>
  <c r="G182" i="5" s="1"/>
  <c r="G267" i="5" a="1"/>
  <c r="G267" i="5" s="1"/>
  <c r="G272" i="5" a="1"/>
  <c r="G272" i="5" s="1"/>
  <c r="G312" i="5" a="1"/>
  <c r="G312" i="5" s="1"/>
  <c r="G316" i="5" a="1"/>
  <c r="G316" i="5" s="1"/>
  <c r="G447" i="5" a="1"/>
  <c r="G447" i="5" s="1"/>
  <c r="G457" i="5" a="1"/>
  <c r="G457" i="5" s="1"/>
  <c r="G461" i="5" a="1"/>
  <c r="G461" i="5" s="1"/>
  <c r="G516" i="5" a="1"/>
  <c r="G516" i="5" s="1"/>
  <c r="G572" i="5" a="1"/>
  <c r="G572" i="5" s="1"/>
  <c r="G595" i="5" a="1"/>
  <c r="G595" i="5" s="1"/>
  <c r="G612" i="5" a="1"/>
  <c r="G612" i="5" s="1"/>
  <c r="G716" i="5" a="1"/>
  <c r="G716" i="5" s="1"/>
  <c r="G734" i="5" a="1"/>
  <c r="G734" i="5"/>
  <c r="G736" i="5" a="1"/>
  <c r="G736" i="5" s="1"/>
  <c r="G843" i="5" a="1"/>
  <c r="G843" i="5" s="1"/>
  <c r="G985" i="5" a="1"/>
  <c r="G985" i="5" s="1"/>
  <c r="G987" i="5" a="1"/>
  <c r="G987" i="5" s="1"/>
  <c r="G999" i="5" a="1"/>
  <c r="G999" i="5" s="1"/>
  <c r="G1008" i="5" a="1"/>
  <c r="G1008" i="5" s="1"/>
  <c r="G1091" i="5" a="1"/>
  <c r="G1091" i="5" s="1"/>
  <c r="G1100" i="5" a="1"/>
  <c r="G1100" i="5" s="1"/>
  <c r="G1106" i="5" a="1"/>
  <c r="G1106" i="5" s="1"/>
  <c r="G1164" i="5" a="1"/>
  <c r="G1164" i="5" s="1"/>
  <c r="T3" i="5" a="1"/>
  <c r="T3" i="5" s="1"/>
  <c r="T4" i="5" a="1"/>
  <c r="T4" i="5" s="1"/>
  <c r="T5" i="5" a="1"/>
  <c r="T5" i="5" s="1"/>
  <c r="T6" i="5" a="1"/>
  <c r="T6" i="5" s="1"/>
  <c r="T7" i="5" a="1"/>
  <c r="T7" i="5" s="1"/>
  <c r="T8" i="5" a="1"/>
  <c r="T8" i="5" s="1"/>
  <c r="T9" i="5" a="1"/>
  <c r="T9" i="5" s="1"/>
  <c r="T10" i="5" a="1"/>
  <c r="T10" i="5" s="1"/>
  <c r="T11" i="5" a="1"/>
  <c r="T11" i="5" s="1"/>
  <c r="T12" i="5" a="1"/>
  <c r="T12" i="5" s="1"/>
  <c r="T13" i="5" a="1"/>
  <c r="T13" i="5" s="1"/>
  <c r="T14" i="5" a="1"/>
  <c r="T14" i="5" s="1"/>
  <c r="T15" i="5" a="1"/>
  <c r="T15" i="5" s="1"/>
  <c r="T16" i="5" a="1"/>
  <c r="T16" i="5" s="1"/>
  <c r="T17" i="5" a="1"/>
  <c r="T17" i="5" s="1"/>
  <c r="T18" i="5" a="1"/>
  <c r="T18" i="5" s="1"/>
  <c r="T19" i="5" a="1"/>
  <c r="T19" i="5" s="1"/>
  <c r="T20" i="5" a="1"/>
  <c r="T20" i="5" s="1"/>
  <c r="T21" i="5" a="1"/>
  <c r="T21" i="5" s="1"/>
  <c r="T22" i="5" a="1"/>
  <c r="T22" i="5" s="1"/>
  <c r="T23" i="5" a="1"/>
  <c r="T23" i="5" s="1"/>
  <c r="T24" i="5" a="1"/>
  <c r="T24" i="5" s="1"/>
  <c r="T25" i="5" a="1"/>
  <c r="T25" i="5" s="1"/>
  <c r="T26" i="5" a="1"/>
  <c r="T26" i="5" s="1"/>
  <c r="T27" i="5" a="1"/>
  <c r="T27" i="5" s="1"/>
  <c r="T28" i="5" a="1"/>
  <c r="T28" i="5" s="1"/>
  <c r="T29" i="5" a="1"/>
  <c r="T29" i="5" s="1"/>
  <c r="T30" i="5" a="1"/>
  <c r="T30" i="5" s="1"/>
  <c r="T31" i="5" a="1"/>
  <c r="T31" i="5" s="1"/>
  <c r="T32" i="5" a="1"/>
  <c r="T32" i="5" s="1"/>
  <c r="T33" i="5" a="1"/>
  <c r="T33" i="5" s="1"/>
  <c r="T34" i="5" a="1"/>
  <c r="T34" i="5" s="1"/>
  <c r="T35" i="5" a="1"/>
  <c r="T35" i="5" s="1"/>
  <c r="T36" i="5" a="1"/>
  <c r="T36" i="5" s="1"/>
  <c r="T37" i="5" a="1"/>
  <c r="T37" i="5" s="1"/>
  <c r="T38" i="5" a="1"/>
  <c r="T38" i="5" s="1"/>
  <c r="T39" i="5" a="1"/>
  <c r="T39" i="5" s="1"/>
  <c r="T40" i="5" a="1"/>
  <c r="T40" i="5" s="1"/>
  <c r="T41" i="5" a="1"/>
  <c r="T41" i="5" s="1"/>
  <c r="T42" i="5" a="1"/>
  <c r="T42" i="5" s="1"/>
  <c r="T43" i="5" a="1"/>
  <c r="T43" i="5" s="1"/>
  <c r="T44" i="5" a="1"/>
  <c r="T44" i="5" s="1"/>
  <c r="T45" i="5" a="1"/>
  <c r="T45" i="5" s="1"/>
  <c r="T46" i="5" a="1"/>
  <c r="T46" i="5" s="1"/>
  <c r="T47" i="5" a="1"/>
  <c r="T47" i="5" s="1"/>
  <c r="T48" i="5" a="1"/>
  <c r="T48" i="5" s="1"/>
  <c r="T49" i="5" a="1"/>
  <c r="T49" i="5" s="1"/>
  <c r="T50" i="5" a="1"/>
  <c r="T50" i="5" s="1"/>
  <c r="T51" i="5" a="1"/>
  <c r="T51" i="5" s="1"/>
  <c r="T52" i="5" a="1"/>
  <c r="T52" i="5" s="1"/>
  <c r="T53" i="5" a="1"/>
  <c r="T53" i="5" s="1"/>
  <c r="T54" i="5" a="1"/>
  <c r="T54" i="5" s="1"/>
  <c r="T55" i="5" a="1"/>
  <c r="T55" i="5" s="1"/>
  <c r="T56" i="5" a="1"/>
  <c r="T56" i="5" s="1"/>
  <c r="T57" i="5" a="1"/>
  <c r="T57" i="5" s="1"/>
  <c r="T58" i="5" a="1"/>
  <c r="T58" i="5" s="1"/>
  <c r="T59" i="5" a="1"/>
  <c r="T59" i="5" s="1"/>
  <c r="T60" i="5" a="1"/>
  <c r="T60" i="5" s="1"/>
  <c r="T61" i="5" a="1"/>
  <c r="T61" i="5" s="1"/>
  <c r="T62" i="5" a="1"/>
  <c r="T62" i="5" s="1"/>
  <c r="T63" i="5" a="1"/>
  <c r="T63" i="5" s="1"/>
  <c r="T64" i="5" a="1"/>
  <c r="T64" i="5" s="1"/>
  <c r="T65" i="5" a="1"/>
  <c r="T65" i="5" s="1"/>
  <c r="T66" i="5" a="1"/>
  <c r="T66" i="5" s="1"/>
  <c r="T67" i="5" a="1"/>
  <c r="T67" i="5" s="1"/>
  <c r="T68" i="5" a="1"/>
  <c r="T68" i="5"/>
  <c r="T69" i="5" a="1"/>
  <c r="T69" i="5" s="1"/>
  <c r="T70" i="5" a="1"/>
  <c r="T70" i="5" s="1"/>
  <c r="T71" i="5" a="1"/>
  <c r="T71" i="5" s="1"/>
  <c r="T72" i="5" a="1"/>
  <c r="T72" i="5" s="1"/>
  <c r="T73" i="5" a="1"/>
  <c r="T73" i="5" s="1"/>
  <c r="T74" i="5" a="1"/>
  <c r="T74" i="5" s="1"/>
  <c r="T75" i="5" a="1"/>
  <c r="T75" i="5" s="1"/>
  <c r="T76" i="5" a="1"/>
  <c r="T76" i="5" s="1"/>
  <c r="T77" i="5" a="1"/>
  <c r="T77" i="5" s="1"/>
  <c r="T78" i="5" a="1"/>
  <c r="T78" i="5" s="1"/>
  <c r="T79" i="5" a="1"/>
  <c r="T79" i="5" s="1"/>
  <c r="T80" i="5" a="1"/>
  <c r="T80" i="5" s="1"/>
  <c r="T81" i="5" a="1"/>
  <c r="T81" i="5" s="1"/>
  <c r="T82" i="5" a="1"/>
  <c r="T82" i="5" s="1"/>
  <c r="T83" i="5" a="1"/>
  <c r="T83" i="5" s="1"/>
  <c r="T84" i="5" a="1"/>
  <c r="T84" i="5" s="1"/>
  <c r="T85" i="5" a="1"/>
  <c r="T85" i="5" s="1"/>
  <c r="T86" i="5" a="1"/>
  <c r="T86" i="5" s="1"/>
  <c r="T87" i="5" a="1"/>
  <c r="T87" i="5" s="1"/>
  <c r="T88" i="5" a="1"/>
  <c r="T88" i="5" s="1"/>
  <c r="T89" i="5" a="1"/>
  <c r="T89" i="5" s="1"/>
  <c r="T90" i="5" a="1"/>
  <c r="T90" i="5" s="1"/>
  <c r="T91" i="5" a="1"/>
  <c r="T91" i="5" s="1"/>
  <c r="T92" i="5" a="1"/>
  <c r="T92" i="5" s="1"/>
  <c r="T93" i="5" a="1"/>
  <c r="T93" i="5" s="1"/>
  <c r="T94" i="5" a="1"/>
  <c r="T94" i="5" s="1"/>
  <c r="T95" i="5" a="1"/>
  <c r="T95" i="5" s="1"/>
  <c r="T96" i="5" a="1"/>
  <c r="T96" i="5" s="1"/>
  <c r="T97" i="5" a="1"/>
  <c r="T97" i="5" s="1"/>
  <c r="T98" i="5" a="1"/>
  <c r="T98" i="5" s="1"/>
  <c r="T99" i="5" a="1"/>
  <c r="T99" i="5" s="1"/>
  <c r="T100" i="5" a="1"/>
  <c r="T100" i="5" s="1"/>
  <c r="T101" i="5" a="1"/>
  <c r="T101" i="5" s="1"/>
  <c r="T102" i="5" a="1"/>
  <c r="T102" i="5" s="1"/>
  <c r="T103" i="5" a="1"/>
  <c r="T103" i="5" s="1"/>
  <c r="T104" i="5" a="1"/>
  <c r="T104" i="5" s="1"/>
  <c r="T105" i="5" a="1"/>
  <c r="T105" i="5" s="1"/>
  <c r="T106" i="5" a="1"/>
  <c r="T106" i="5" s="1"/>
  <c r="T107" i="5" a="1"/>
  <c r="T107" i="5" s="1"/>
  <c r="T108" i="5" a="1"/>
  <c r="T108" i="5" s="1"/>
  <c r="T109" i="5" a="1"/>
  <c r="T109" i="5" s="1"/>
  <c r="T110" i="5" a="1"/>
  <c r="T110" i="5" s="1"/>
  <c r="T111" i="5" a="1"/>
  <c r="T111" i="5" s="1"/>
  <c r="T112" i="5" a="1"/>
  <c r="T112" i="5" s="1"/>
  <c r="T113" i="5" a="1"/>
  <c r="T113" i="5" s="1"/>
  <c r="T114" i="5" a="1"/>
  <c r="T114" i="5" s="1"/>
  <c r="T115" i="5" a="1"/>
  <c r="T115" i="5" s="1"/>
  <c r="T116" i="5" a="1"/>
  <c r="T116" i="5" s="1"/>
  <c r="T117" i="5" a="1"/>
  <c r="T117" i="5"/>
  <c r="T118" i="5" a="1"/>
  <c r="T118" i="5" s="1"/>
  <c r="T119" i="5" a="1"/>
  <c r="T119" i="5" s="1"/>
  <c r="T120" i="5" a="1"/>
  <c r="T120" i="5" s="1"/>
  <c r="T121" i="5" a="1"/>
  <c r="T121" i="5" s="1"/>
  <c r="T122" i="5" a="1"/>
  <c r="T122" i="5" s="1"/>
  <c r="T123" i="5" a="1"/>
  <c r="T123" i="5" s="1"/>
  <c r="T124" i="5" a="1"/>
  <c r="T124" i="5" s="1"/>
  <c r="T125" i="5" a="1"/>
  <c r="T125" i="5" s="1"/>
  <c r="T126" i="5" a="1"/>
  <c r="T126" i="5" s="1"/>
  <c r="T127" i="5" a="1"/>
  <c r="T127" i="5" s="1"/>
  <c r="T128" i="5" a="1"/>
  <c r="T128" i="5" s="1"/>
  <c r="T129" i="5" a="1"/>
  <c r="T129" i="5" s="1"/>
  <c r="T130" i="5" a="1"/>
  <c r="T130" i="5" s="1"/>
  <c r="T131" i="5" a="1"/>
  <c r="T131" i="5" s="1"/>
  <c r="T132" i="5" a="1"/>
  <c r="T132" i="5" s="1"/>
  <c r="T133" i="5" a="1"/>
  <c r="T133" i="5" s="1"/>
  <c r="T134" i="5" a="1"/>
  <c r="T134" i="5" s="1"/>
  <c r="T135" i="5" a="1"/>
  <c r="T135" i="5" s="1"/>
  <c r="T136" i="5" a="1"/>
  <c r="T136" i="5" s="1"/>
  <c r="T137" i="5" a="1"/>
  <c r="T137" i="5" s="1"/>
  <c r="T138" i="5" a="1"/>
  <c r="T138" i="5" s="1"/>
  <c r="T139" i="5" a="1"/>
  <c r="T139" i="5" s="1"/>
  <c r="T140" i="5" a="1"/>
  <c r="T140" i="5" s="1"/>
  <c r="T141" i="5" a="1"/>
  <c r="T141" i="5" s="1"/>
  <c r="T142" i="5" a="1"/>
  <c r="T142" i="5" s="1"/>
  <c r="T143" i="5" a="1"/>
  <c r="T143" i="5" s="1"/>
  <c r="T144" i="5" a="1"/>
  <c r="T144" i="5" s="1"/>
  <c r="T145" i="5" a="1"/>
  <c r="T145" i="5" s="1"/>
  <c r="T146" i="5" a="1"/>
  <c r="T146" i="5" s="1"/>
  <c r="T147" i="5" a="1"/>
  <c r="T147" i="5" s="1"/>
  <c r="T148" i="5" a="1"/>
  <c r="T148" i="5" s="1"/>
  <c r="T149" i="5" a="1"/>
  <c r="T149" i="5" s="1"/>
  <c r="T150" i="5" a="1"/>
  <c r="T150" i="5" s="1"/>
  <c r="T151" i="5" a="1"/>
  <c r="T151" i="5" s="1"/>
  <c r="T152" i="5" a="1"/>
  <c r="T152" i="5" s="1"/>
  <c r="T153" i="5" a="1"/>
  <c r="T153" i="5" s="1"/>
  <c r="T154" i="5" a="1"/>
  <c r="T154" i="5" s="1"/>
  <c r="T155" i="5" a="1"/>
  <c r="T155" i="5" s="1"/>
  <c r="T156" i="5" a="1"/>
  <c r="T156" i="5" s="1"/>
  <c r="T157" i="5" a="1"/>
  <c r="T157" i="5" s="1"/>
  <c r="T158" i="5" a="1"/>
  <c r="T158" i="5" s="1"/>
  <c r="T159" i="5" a="1"/>
  <c r="T159" i="5" s="1"/>
  <c r="T160" i="5" a="1"/>
  <c r="T160" i="5" s="1"/>
  <c r="T161" i="5" a="1"/>
  <c r="T161" i="5" s="1"/>
  <c r="T162" i="5" a="1"/>
  <c r="T162" i="5" s="1"/>
  <c r="T163" i="5" a="1"/>
  <c r="T163" i="5" s="1"/>
  <c r="T164" i="5" a="1"/>
  <c r="T164" i="5" s="1"/>
  <c r="T165" i="5" a="1"/>
  <c r="T165" i="5" s="1"/>
  <c r="T166" i="5" a="1"/>
  <c r="T166" i="5" s="1"/>
  <c r="T167" i="5" a="1"/>
  <c r="T167" i="5" s="1"/>
  <c r="T168" i="5" a="1"/>
  <c r="T168" i="5" s="1"/>
  <c r="T169" i="5" a="1"/>
  <c r="T169" i="5" s="1"/>
  <c r="T170" i="5" a="1"/>
  <c r="T170" i="5" s="1"/>
  <c r="T171" i="5" a="1"/>
  <c r="T171" i="5" s="1"/>
  <c r="T172" i="5" a="1"/>
  <c r="T172" i="5" s="1"/>
  <c r="T173" i="5" a="1"/>
  <c r="T173" i="5" s="1"/>
  <c r="T174" i="5" a="1"/>
  <c r="T174" i="5" s="1"/>
  <c r="T175" i="5" a="1"/>
  <c r="T175" i="5" s="1"/>
  <c r="T176" i="5" a="1"/>
  <c r="T176" i="5" s="1"/>
  <c r="T177" i="5" a="1"/>
  <c r="T177" i="5" s="1"/>
  <c r="T178" i="5" a="1"/>
  <c r="T178" i="5" s="1"/>
  <c r="T179" i="5" a="1"/>
  <c r="T179" i="5" s="1"/>
  <c r="T180" i="5" a="1"/>
  <c r="T180" i="5" s="1"/>
  <c r="T181" i="5" a="1"/>
  <c r="T181" i="5" s="1"/>
  <c r="T182" i="5" a="1"/>
  <c r="T182" i="5" s="1"/>
  <c r="T183" i="5" a="1"/>
  <c r="T183" i="5" s="1"/>
  <c r="T184" i="5" a="1"/>
  <c r="T184" i="5" s="1"/>
  <c r="T185" i="5" a="1"/>
  <c r="T185" i="5" s="1"/>
  <c r="T186" i="5" a="1"/>
  <c r="T186" i="5" s="1"/>
  <c r="T187" i="5" a="1"/>
  <c r="T187" i="5" s="1"/>
  <c r="T188" i="5" a="1"/>
  <c r="T188" i="5" s="1"/>
  <c r="T189" i="5" a="1"/>
  <c r="T189" i="5" s="1"/>
  <c r="T190" i="5" a="1"/>
  <c r="T190" i="5" s="1"/>
  <c r="T191" i="5" a="1"/>
  <c r="T191" i="5" s="1"/>
  <c r="T192" i="5" a="1"/>
  <c r="T192" i="5" s="1"/>
  <c r="T193" i="5" a="1"/>
  <c r="T193" i="5" s="1"/>
  <c r="T194" i="5" a="1"/>
  <c r="T194" i="5" s="1"/>
  <c r="T195" i="5" a="1"/>
  <c r="T195" i="5" s="1"/>
  <c r="T196" i="5" a="1"/>
  <c r="T196" i="5" s="1"/>
  <c r="T197" i="5" a="1"/>
  <c r="T197" i="5" s="1"/>
  <c r="T198" i="5" a="1"/>
  <c r="T198" i="5" s="1"/>
  <c r="T199" i="5" a="1"/>
  <c r="T199" i="5" s="1"/>
  <c r="T200" i="5" a="1"/>
  <c r="T200" i="5" s="1"/>
  <c r="T201" i="5" a="1"/>
  <c r="T201" i="5" s="1"/>
  <c r="T202" i="5" a="1"/>
  <c r="T202" i="5" s="1"/>
  <c r="T203" i="5" a="1"/>
  <c r="T203" i="5" s="1"/>
  <c r="T204" i="5" a="1"/>
  <c r="T204" i="5" s="1"/>
  <c r="T205" i="5" a="1"/>
  <c r="T205" i="5" s="1"/>
  <c r="T206" i="5" a="1"/>
  <c r="T206" i="5" s="1"/>
  <c r="T207" i="5" a="1"/>
  <c r="T207" i="5" s="1"/>
  <c r="T208" i="5" a="1"/>
  <c r="T208" i="5" s="1"/>
  <c r="T209" i="5" a="1"/>
  <c r="T209" i="5" s="1"/>
  <c r="T210" i="5" a="1"/>
  <c r="T210" i="5" s="1"/>
  <c r="T211" i="5" a="1"/>
  <c r="T211" i="5" s="1"/>
  <c r="T212" i="5" a="1"/>
  <c r="T212" i="5" s="1"/>
  <c r="T213" i="5" a="1"/>
  <c r="T213" i="5" s="1"/>
  <c r="T214" i="5" a="1"/>
  <c r="T214" i="5" s="1"/>
  <c r="T215" i="5" a="1"/>
  <c r="T215" i="5" s="1"/>
  <c r="T216" i="5" a="1"/>
  <c r="T216" i="5" s="1"/>
  <c r="T217" i="5" a="1"/>
  <c r="T217" i="5" s="1"/>
  <c r="T218" i="5" a="1"/>
  <c r="T218" i="5" s="1"/>
  <c r="T219" i="5" a="1"/>
  <c r="T219" i="5" s="1"/>
  <c r="T220" i="5" a="1"/>
  <c r="T220" i="5" s="1"/>
  <c r="T221" i="5" a="1"/>
  <c r="T221" i="5" s="1"/>
  <c r="T222" i="5" a="1"/>
  <c r="T222" i="5" s="1"/>
  <c r="T223" i="5" a="1"/>
  <c r="T223" i="5" s="1"/>
  <c r="T224" i="5" a="1"/>
  <c r="T224" i="5" s="1"/>
  <c r="T225" i="5" a="1"/>
  <c r="T225" i="5"/>
  <c r="T226" i="5" a="1"/>
  <c r="T226" i="5" s="1"/>
  <c r="T227" i="5" a="1"/>
  <c r="T227" i="5" s="1"/>
  <c r="T228" i="5" a="1"/>
  <c r="T228" i="5" s="1"/>
  <c r="T229" i="5" a="1"/>
  <c r="T229" i="5" s="1"/>
  <c r="T230" i="5" a="1"/>
  <c r="T230" i="5" s="1"/>
  <c r="T231" i="5" a="1"/>
  <c r="T231" i="5" s="1"/>
  <c r="T232" i="5" a="1"/>
  <c r="T232" i="5" s="1"/>
  <c r="T233" i="5" a="1"/>
  <c r="T233" i="5" s="1"/>
  <c r="T234" i="5" a="1"/>
  <c r="T234" i="5" s="1"/>
  <c r="T235" i="5" a="1"/>
  <c r="T235" i="5" s="1"/>
  <c r="T236" i="5" a="1"/>
  <c r="T236" i="5" s="1"/>
  <c r="T237" i="5" a="1"/>
  <c r="T237" i="5" s="1"/>
  <c r="T238" i="5" a="1"/>
  <c r="T238" i="5" s="1"/>
  <c r="T239" i="5" a="1"/>
  <c r="T239" i="5" s="1"/>
  <c r="T240" i="5" a="1"/>
  <c r="T240" i="5" s="1"/>
  <c r="T241" i="5" a="1"/>
  <c r="T241" i="5" s="1"/>
  <c r="T242" i="5" a="1"/>
  <c r="T242" i="5" s="1"/>
  <c r="T243" i="5" a="1"/>
  <c r="T243" i="5" s="1"/>
  <c r="T244" i="5" a="1"/>
  <c r="T244" i="5" s="1"/>
  <c r="T245" i="5" a="1"/>
  <c r="T245" i="5" s="1"/>
  <c r="T246" i="5" a="1"/>
  <c r="T246" i="5" s="1"/>
  <c r="T247" i="5" a="1"/>
  <c r="T247" i="5" s="1"/>
  <c r="T248" i="5" a="1"/>
  <c r="T248" i="5" s="1"/>
  <c r="T249" i="5" a="1"/>
  <c r="T249" i="5" s="1"/>
  <c r="T250" i="5" a="1"/>
  <c r="T250" i="5" s="1"/>
  <c r="T251" i="5" a="1"/>
  <c r="T251" i="5" s="1"/>
  <c r="T252" i="5" a="1"/>
  <c r="T252" i="5" s="1"/>
  <c r="T253" i="5" a="1"/>
  <c r="T253" i="5" s="1"/>
  <c r="T254" i="5" a="1"/>
  <c r="T254" i="5" s="1"/>
  <c r="T255" i="5" a="1"/>
  <c r="T255" i="5" s="1"/>
  <c r="T256" i="5" a="1"/>
  <c r="T256" i="5" s="1"/>
  <c r="T257" i="5" a="1"/>
  <c r="T257" i="5" s="1"/>
  <c r="T258" i="5" a="1"/>
  <c r="T258" i="5" s="1"/>
  <c r="T259" i="5" a="1"/>
  <c r="T259" i="5" s="1"/>
  <c r="T260" i="5" a="1"/>
  <c r="T260" i="5" s="1"/>
  <c r="T261" i="5" a="1"/>
  <c r="T261" i="5" s="1"/>
  <c r="T262" i="5" a="1"/>
  <c r="T262" i="5" s="1"/>
  <c r="T263" i="5" a="1"/>
  <c r="T263" i="5" s="1"/>
  <c r="T264" i="5" a="1"/>
  <c r="T264" i="5" s="1"/>
  <c r="T265" i="5" a="1"/>
  <c r="T265" i="5" s="1"/>
  <c r="T266" i="5" a="1"/>
  <c r="T266" i="5" s="1"/>
  <c r="T267" i="5" a="1"/>
  <c r="T267" i="5" s="1"/>
  <c r="T268" i="5" a="1"/>
  <c r="T268" i="5" s="1"/>
  <c r="T269" i="5" a="1"/>
  <c r="T269" i="5" s="1"/>
  <c r="T270" i="5" a="1"/>
  <c r="T270" i="5" s="1"/>
  <c r="T271" i="5" a="1"/>
  <c r="T271" i="5" s="1"/>
  <c r="T272" i="5" a="1"/>
  <c r="T272" i="5" s="1"/>
  <c r="T273" i="5" a="1"/>
  <c r="T273" i="5" s="1"/>
  <c r="T274" i="5" a="1"/>
  <c r="T274" i="5" s="1"/>
  <c r="T275" i="5" a="1"/>
  <c r="T275" i="5" s="1"/>
  <c r="T276" i="5" a="1"/>
  <c r="T276" i="5" s="1"/>
  <c r="T277" i="5" a="1"/>
  <c r="T277" i="5" s="1"/>
  <c r="T278" i="5" a="1"/>
  <c r="T278" i="5" s="1"/>
  <c r="T279" i="5" a="1"/>
  <c r="T279" i="5" s="1"/>
  <c r="T280" i="5" a="1"/>
  <c r="T280" i="5" s="1"/>
  <c r="T281" i="5" a="1"/>
  <c r="T281" i="5" s="1"/>
  <c r="T282" i="5" a="1"/>
  <c r="T282" i="5" s="1"/>
  <c r="T283" i="5" a="1"/>
  <c r="T283" i="5" s="1"/>
  <c r="T284" i="5" a="1"/>
  <c r="T284" i="5" s="1"/>
  <c r="T285" i="5" a="1"/>
  <c r="T285" i="5" s="1"/>
  <c r="T286" i="5" a="1"/>
  <c r="T286" i="5" s="1"/>
  <c r="T287" i="5" a="1"/>
  <c r="T287" i="5" s="1"/>
  <c r="T288" i="5" a="1"/>
  <c r="T288" i="5" s="1"/>
  <c r="T289" i="5" a="1"/>
  <c r="T289" i="5" s="1"/>
  <c r="T290" i="5" a="1"/>
  <c r="T290" i="5" s="1"/>
  <c r="T291" i="5" a="1"/>
  <c r="T291" i="5" s="1"/>
  <c r="T292" i="5" a="1"/>
  <c r="T292" i="5" s="1"/>
  <c r="T293" i="5" a="1"/>
  <c r="T293" i="5" s="1"/>
  <c r="T294" i="5" a="1"/>
  <c r="T294" i="5" s="1"/>
  <c r="T295" i="5" a="1"/>
  <c r="T295" i="5" s="1"/>
  <c r="T296" i="5" a="1"/>
  <c r="T296" i="5" s="1"/>
  <c r="T297" i="5" a="1"/>
  <c r="T297" i="5" s="1"/>
  <c r="T298" i="5" a="1"/>
  <c r="T298" i="5" s="1"/>
  <c r="T299" i="5" a="1"/>
  <c r="T299" i="5" s="1"/>
  <c r="T300" i="5" a="1"/>
  <c r="T300" i="5" s="1"/>
  <c r="T301" i="5" a="1"/>
  <c r="T301" i="5" s="1"/>
  <c r="T302" i="5" a="1"/>
  <c r="T302" i="5" s="1"/>
  <c r="T303" i="5" a="1"/>
  <c r="T303" i="5" s="1"/>
  <c r="T304" i="5" a="1"/>
  <c r="T304" i="5" s="1"/>
  <c r="T305" i="5" a="1"/>
  <c r="T305" i="5" s="1"/>
  <c r="T306" i="5" a="1"/>
  <c r="T306" i="5" s="1"/>
  <c r="T307" i="5" a="1"/>
  <c r="T307" i="5" s="1"/>
  <c r="T308" i="5" a="1"/>
  <c r="T308" i="5" s="1"/>
  <c r="T309" i="5" a="1"/>
  <c r="T309" i="5" s="1"/>
  <c r="T310" i="5" a="1"/>
  <c r="T310" i="5" s="1"/>
  <c r="T311" i="5" a="1"/>
  <c r="T311" i="5" s="1"/>
  <c r="T312" i="5" a="1"/>
  <c r="T312" i="5" s="1"/>
  <c r="T313" i="5" a="1"/>
  <c r="T313" i="5" s="1"/>
  <c r="T314" i="5" a="1"/>
  <c r="T314" i="5" s="1"/>
  <c r="T315" i="5" a="1"/>
  <c r="T315" i="5" s="1"/>
  <c r="T316" i="5" a="1"/>
  <c r="T316" i="5" s="1"/>
  <c r="T317" i="5" a="1"/>
  <c r="T317" i="5" s="1"/>
  <c r="T318" i="5" a="1"/>
  <c r="T318" i="5" s="1"/>
  <c r="T319" i="5" a="1"/>
  <c r="T319" i="5" s="1"/>
  <c r="T320" i="5" a="1"/>
  <c r="T320" i="5" s="1"/>
  <c r="T321" i="5" a="1"/>
  <c r="T321" i="5" s="1"/>
  <c r="T322" i="5" a="1"/>
  <c r="T322" i="5" s="1"/>
  <c r="T323" i="5" a="1"/>
  <c r="T323" i="5" s="1"/>
  <c r="T324" i="5" a="1"/>
  <c r="T324" i="5" s="1"/>
  <c r="T325" i="5" a="1"/>
  <c r="T325" i="5" s="1"/>
  <c r="T326" i="5" a="1"/>
  <c r="T326" i="5" s="1"/>
  <c r="T327" i="5" a="1"/>
  <c r="T327" i="5" s="1"/>
  <c r="T328" i="5" a="1"/>
  <c r="T328" i="5" s="1"/>
  <c r="T329" i="5" a="1"/>
  <c r="T329" i="5" s="1"/>
  <c r="T330" i="5" a="1"/>
  <c r="T330" i="5" s="1"/>
  <c r="T331" i="5" a="1"/>
  <c r="T331" i="5" s="1"/>
  <c r="T332" i="5" a="1"/>
  <c r="T332" i="5" s="1"/>
  <c r="T333" i="5" a="1"/>
  <c r="T333" i="5" s="1"/>
  <c r="T334" i="5" a="1"/>
  <c r="T334" i="5" s="1"/>
  <c r="T335" i="5" a="1"/>
  <c r="T335" i="5" s="1"/>
  <c r="T336" i="5" a="1"/>
  <c r="T336" i="5" s="1"/>
  <c r="T337" i="5" a="1"/>
  <c r="T337" i="5" s="1"/>
  <c r="T338" i="5" a="1"/>
  <c r="T338" i="5" s="1"/>
  <c r="T339" i="5" a="1"/>
  <c r="T339" i="5" s="1"/>
  <c r="T340" i="5" a="1"/>
  <c r="T340" i="5" s="1"/>
  <c r="T341" i="5" a="1"/>
  <c r="T341" i="5" s="1"/>
  <c r="T342" i="5" a="1"/>
  <c r="T342" i="5" s="1"/>
  <c r="T343" i="5" a="1"/>
  <c r="T343" i="5" s="1"/>
  <c r="T344" i="5" a="1"/>
  <c r="T344" i="5" s="1"/>
  <c r="T345" i="5" a="1"/>
  <c r="T345" i="5" s="1"/>
  <c r="T346" i="5" a="1"/>
  <c r="T346" i="5" s="1"/>
  <c r="T347" i="5" a="1"/>
  <c r="T347" i="5" s="1"/>
  <c r="T348" i="5" a="1"/>
  <c r="T348" i="5" s="1"/>
  <c r="T349" i="5" a="1"/>
  <c r="T349" i="5" s="1"/>
  <c r="T350" i="5" a="1"/>
  <c r="T350" i="5" s="1"/>
  <c r="T351" i="5" a="1"/>
  <c r="T351" i="5" s="1"/>
  <c r="T352" i="5" a="1"/>
  <c r="T352" i="5" s="1"/>
  <c r="T353" i="5" a="1"/>
  <c r="T353" i="5" s="1"/>
  <c r="T354" i="5" a="1"/>
  <c r="T354" i="5" s="1"/>
  <c r="T355" i="5" a="1"/>
  <c r="T355" i="5" s="1"/>
  <c r="T356" i="5" a="1"/>
  <c r="T356" i="5" s="1"/>
  <c r="T357" i="5" a="1"/>
  <c r="T357" i="5" s="1"/>
  <c r="T358" i="5" a="1"/>
  <c r="T358" i="5" s="1"/>
  <c r="T359" i="5" a="1"/>
  <c r="T359" i="5" s="1"/>
  <c r="T360" i="5" a="1"/>
  <c r="T360" i="5" s="1"/>
  <c r="T361" i="5" a="1"/>
  <c r="T361" i="5" s="1"/>
  <c r="T362" i="5" a="1"/>
  <c r="T362" i="5" s="1"/>
  <c r="T363" i="5" a="1"/>
  <c r="T363" i="5" s="1"/>
  <c r="T364" i="5" a="1"/>
  <c r="T364" i="5" s="1"/>
  <c r="T365" i="5" a="1"/>
  <c r="T365" i="5" s="1"/>
  <c r="T366" i="5" a="1"/>
  <c r="T366" i="5" s="1"/>
  <c r="T367" i="5" a="1"/>
  <c r="T367" i="5" s="1"/>
  <c r="T368" i="5" a="1"/>
  <c r="T368" i="5" s="1"/>
  <c r="T369" i="5" a="1"/>
  <c r="T369" i="5" s="1"/>
  <c r="T370" i="5" a="1"/>
  <c r="T370" i="5" s="1"/>
  <c r="T371" i="5" a="1"/>
  <c r="T371" i="5" s="1"/>
  <c r="T372" i="5" a="1"/>
  <c r="T372" i="5" s="1"/>
  <c r="T373" i="5" a="1"/>
  <c r="T373" i="5" s="1"/>
  <c r="T374" i="5" a="1"/>
  <c r="T374" i="5" s="1"/>
  <c r="T375" i="5" a="1"/>
  <c r="T375" i="5" s="1"/>
  <c r="T376" i="5" a="1"/>
  <c r="T376" i="5" s="1"/>
  <c r="T377" i="5" a="1"/>
  <c r="T377" i="5" s="1"/>
  <c r="T378" i="5" a="1"/>
  <c r="T378" i="5" s="1"/>
  <c r="T379" i="5" a="1"/>
  <c r="T379" i="5" s="1"/>
  <c r="T380" i="5" a="1"/>
  <c r="T380" i="5" s="1"/>
  <c r="T381" i="5" a="1"/>
  <c r="T381" i="5" s="1"/>
  <c r="T382" i="5" a="1"/>
  <c r="T382" i="5" s="1"/>
  <c r="T383" i="5" a="1"/>
  <c r="T383" i="5" s="1"/>
  <c r="T384" i="5" a="1"/>
  <c r="T384" i="5" s="1"/>
  <c r="T385" i="5" a="1"/>
  <c r="T385" i="5" s="1"/>
  <c r="T386" i="5" a="1"/>
  <c r="T386" i="5" s="1"/>
  <c r="T387" i="5" a="1"/>
  <c r="T387" i="5" s="1"/>
  <c r="T388" i="5" a="1"/>
  <c r="T388" i="5" s="1"/>
  <c r="T389" i="5" a="1"/>
  <c r="T389" i="5" s="1"/>
  <c r="T390" i="5" a="1"/>
  <c r="T390" i="5" s="1"/>
  <c r="T391" i="5" a="1"/>
  <c r="T391" i="5" s="1"/>
  <c r="T392" i="5" a="1"/>
  <c r="T392" i="5" s="1"/>
  <c r="T393" i="5" a="1"/>
  <c r="T393" i="5" s="1"/>
  <c r="T394" i="5" a="1"/>
  <c r="T394" i="5" s="1"/>
  <c r="T395" i="5" a="1"/>
  <c r="T395" i="5" s="1"/>
  <c r="T396" i="5" a="1"/>
  <c r="T396" i="5" s="1"/>
  <c r="T397" i="5" a="1"/>
  <c r="T397" i="5" s="1"/>
  <c r="T398" i="5" a="1"/>
  <c r="T398" i="5" s="1"/>
  <c r="T399" i="5" a="1"/>
  <c r="T399" i="5" s="1"/>
  <c r="T400" i="5" a="1"/>
  <c r="T400" i="5" s="1"/>
  <c r="T401" i="5" a="1"/>
  <c r="T401" i="5" s="1"/>
  <c r="T402" i="5" a="1"/>
  <c r="T402" i="5" s="1"/>
  <c r="T403" i="5" a="1"/>
  <c r="T403" i="5" s="1"/>
  <c r="T404" i="5" a="1"/>
  <c r="T404" i="5" s="1"/>
  <c r="T405" i="5" a="1"/>
  <c r="T405" i="5" s="1"/>
  <c r="T406" i="5" a="1"/>
  <c r="T406" i="5" s="1"/>
  <c r="T407" i="5" a="1"/>
  <c r="T407" i="5" s="1"/>
  <c r="T408" i="5" a="1"/>
  <c r="T408" i="5" s="1"/>
  <c r="T409" i="5" a="1"/>
  <c r="T409" i="5"/>
  <c r="T410" i="5" a="1"/>
  <c r="T410" i="5" s="1"/>
  <c r="T411" i="5" a="1"/>
  <c r="T411" i="5" s="1"/>
  <c r="T412" i="5" a="1"/>
  <c r="T412" i="5" s="1"/>
  <c r="T413" i="5" a="1"/>
  <c r="T413" i="5" s="1"/>
  <c r="T414" i="5" a="1"/>
  <c r="T414" i="5" s="1"/>
  <c r="T415" i="5" a="1"/>
  <c r="T415" i="5" s="1"/>
  <c r="T416" i="5" a="1"/>
  <c r="T416" i="5" s="1"/>
  <c r="T417" i="5" a="1"/>
  <c r="T417" i="5" s="1"/>
  <c r="T418" i="5" a="1"/>
  <c r="T418" i="5" s="1"/>
  <c r="T419" i="5" a="1"/>
  <c r="T419" i="5" s="1"/>
  <c r="T420" i="5" a="1"/>
  <c r="T420" i="5" s="1"/>
  <c r="T421" i="5" a="1"/>
  <c r="T421" i="5" s="1"/>
  <c r="T422" i="5" a="1"/>
  <c r="T422" i="5" s="1"/>
  <c r="T423" i="5" a="1"/>
  <c r="T423" i="5" s="1"/>
  <c r="T424" i="5" a="1"/>
  <c r="T424" i="5" s="1"/>
  <c r="T425" i="5" a="1"/>
  <c r="T425" i="5" s="1"/>
  <c r="T426" i="5" a="1"/>
  <c r="T426" i="5" s="1"/>
  <c r="T427" i="5" a="1"/>
  <c r="T427" i="5" s="1"/>
  <c r="T428" i="5" a="1"/>
  <c r="T428" i="5" s="1"/>
  <c r="T429" i="5" a="1"/>
  <c r="T429" i="5" s="1"/>
  <c r="T430" i="5" a="1"/>
  <c r="T430" i="5" s="1"/>
  <c r="T431" i="5" a="1"/>
  <c r="T431" i="5" s="1"/>
  <c r="T432" i="5" a="1"/>
  <c r="T432" i="5" s="1"/>
  <c r="T433" i="5" a="1"/>
  <c r="T433" i="5" s="1"/>
  <c r="T434" i="5" a="1"/>
  <c r="T434" i="5" s="1"/>
  <c r="T435" i="5" a="1"/>
  <c r="T435" i="5" s="1"/>
  <c r="T436" i="5" a="1"/>
  <c r="T436" i="5" s="1"/>
  <c r="T437" i="5" a="1"/>
  <c r="T437" i="5" s="1"/>
  <c r="T438" i="5" a="1"/>
  <c r="T438" i="5" s="1"/>
  <c r="T439" i="5" a="1"/>
  <c r="T439" i="5" s="1"/>
  <c r="T440" i="5" a="1"/>
  <c r="T440" i="5" s="1"/>
  <c r="T441" i="5" a="1"/>
  <c r="T441" i="5" s="1"/>
  <c r="T442" i="5" a="1"/>
  <c r="T442" i="5" s="1"/>
  <c r="T443" i="5" a="1"/>
  <c r="T443" i="5" s="1"/>
  <c r="T444" i="5" a="1"/>
  <c r="T444" i="5" s="1"/>
  <c r="T445" i="5" a="1"/>
  <c r="T445" i="5" s="1"/>
  <c r="T446" i="5" a="1"/>
  <c r="T446" i="5" s="1"/>
  <c r="T447" i="5" a="1"/>
  <c r="T447" i="5" s="1"/>
  <c r="T448" i="5" a="1"/>
  <c r="T448" i="5" s="1"/>
  <c r="T449" i="5" a="1"/>
  <c r="T449" i="5" s="1"/>
  <c r="T450" i="5" a="1"/>
  <c r="T450" i="5" s="1"/>
  <c r="T451" i="5" a="1"/>
  <c r="T451" i="5" s="1"/>
  <c r="T452" i="5" a="1"/>
  <c r="T452" i="5" s="1"/>
  <c r="T453" i="5" a="1"/>
  <c r="T453" i="5" s="1"/>
  <c r="T454" i="5" a="1"/>
  <c r="T454" i="5" s="1"/>
  <c r="T455" i="5" a="1"/>
  <c r="T455" i="5" s="1"/>
  <c r="T456" i="5" a="1"/>
  <c r="T456" i="5" s="1"/>
  <c r="T457" i="5" a="1"/>
  <c r="T457" i="5" s="1"/>
  <c r="T458" i="5" a="1"/>
  <c r="T458" i="5" s="1"/>
  <c r="T459" i="5" a="1"/>
  <c r="T459" i="5" s="1"/>
  <c r="T460" i="5" a="1"/>
  <c r="T460" i="5" s="1"/>
  <c r="T461" i="5" a="1"/>
  <c r="T461" i="5" s="1"/>
  <c r="T462" i="5" a="1"/>
  <c r="T462" i="5" s="1"/>
  <c r="T463" i="5" a="1"/>
  <c r="T463" i="5" s="1"/>
  <c r="T464" i="5" a="1"/>
  <c r="T464" i="5" s="1"/>
  <c r="T465" i="5" a="1"/>
  <c r="T465" i="5" s="1"/>
  <c r="T466" i="5" a="1"/>
  <c r="T466" i="5" s="1"/>
  <c r="T467" i="5" a="1"/>
  <c r="T467" i="5" s="1"/>
  <c r="T468" i="5" a="1"/>
  <c r="T468" i="5" s="1"/>
  <c r="T469" i="5" a="1"/>
  <c r="T469" i="5" s="1"/>
  <c r="T470" i="5" a="1"/>
  <c r="T470" i="5" s="1"/>
  <c r="T471" i="5" a="1"/>
  <c r="T471" i="5" s="1"/>
  <c r="T472" i="5" a="1"/>
  <c r="T472" i="5" s="1"/>
  <c r="T473" i="5" a="1"/>
  <c r="T473" i="5" s="1"/>
  <c r="T474" i="5" a="1"/>
  <c r="T474" i="5" s="1"/>
  <c r="T475" i="5" a="1"/>
  <c r="T475" i="5" s="1"/>
  <c r="T476" i="5" a="1"/>
  <c r="T476" i="5" s="1"/>
  <c r="T477" i="5" a="1"/>
  <c r="T477" i="5" s="1"/>
  <c r="T478" i="5" a="1"/>
  <c r="T478" i="5" s="1"/>
  <c r="T479" i="5" a="1"/>
  <c r="T479" i="5" s="1"/>
  <c r="T480" i="5" a="1"/>
  <c r="T480" i="5" s="1"/>
  <c r="T481" i="5" a="1"/>
  <c r="T481" i="5" s="1"/>
  <c r="T482" i="5" a="1"/>
  <c r="T482" i="5" s="1"/>
  <c r="T483" i="5" a="1"/>
  <c r="T483" i="5" s="1"/>
  <c r="T484" i="5" a="1"/>
  <c r="T484" i="5" s="1"/>
  <c r="T485" i="5" a="1"/>
  <c r="T485" i="5" s="1"/>
  <c r="T486" i="5" a="1"/>
  <c r="T486" i="5" s="1"/>
  <c r="T487" i="5" a="1"/>
  <c r="T487" i="5" s="1"/>
  <c r="T488" i="5" a="1"/>
  <c r="T488" i="5" s="1"/>
  <c r="T489" i="5" a="1"/>
  <c r="T489" i="5" s="1"/>
  <c r="T490" i="5" a="1"/>
  <c r="T490" i="5" s="1"/>
  <c r="T491" i="5" a="1"/>
  <c r="T491" i="5" s="1"/>
  <c r="T492" i="5" a="1"/>
  <c r="T492" i="5" s="1"/>
  <c r="T493" i="5" a="1"/>
  <c r="T493" i="5" s="1"/>
  <c r="T494" i="5" a="1"/>
  <c r="T494" i="5" s="1"/>
  <c r="T495" i="5" a="1"/>
  <c r="T495" i="5" s="1"/>
  <c r="T496" i="5" a="1"/>
  <c r="T496" i="5" s="1"/>
  <c r="T497" i="5" a="1"/>
  <c r="T497" i="5" s="1"/>
  <c r="T498" i="5" a="1"/>
  <c r="T498" i="5" s="1"/>
  <c r="T499" i="5" a="1"/>
  <c r="T499" i="5" s="1"/>
  <c r="T500" i="5" a="1"/>
  <c r="T500" i="5" s="1"/>
  <c r="T501" i="5" a="1"/>
  <c r="T501" i="5" s="1"/>
  <c r="T502" i="5" a="1"/>
  <c r="T502" i="5" s="1"/>
  <c r="T503" i="5" a="1"/>
  <c r="T503" i="5" s="1"/>
  <c r="T504" i="5" a="1"/>
  <c r="T504" i="5" s="1"/>
  <c r="T505" i="5" a="1"/>
  <c r="T505" i="5" s="1"/>
  <c r="T506" i="5" a="1"/>
  <c r="T506" i="5" s="1"/>
  <c r="T507" i="5" a="1"/>
  <c r="T507" i="5" s="1"/>
  <c r="T508" i="5" a="1"/>
  <c r="T508" i="5" s="1"/>
  <c r="T509" i="5" a="1"/>
  <c r="T509" i="5" s="1"/>
  <c r="T510" i="5" a="1"/>
  <c r="T510" i="5" s="1"/>
  <c r="T511" i="5" a="1"/>
  <c r="T511" i="5" s="1"/>
  <c r="T512" i="5" a="1"/>
  <c r="T512" i="5" s="1"/>
  <c r="T513" i="5" a="1"/>
  <c r="T513" i="5" s="1"/>
  <c r="T514" i="5" a="1"/>
  <c r="T514" i="5" s="1"/>
  <c r="T515" i="5" a="1"/>
  <c r="T515" i="5" s="1"/>
  <c r="T516" i="5" a="1"/>
  <c r="T516" i="5" s="1"/>
  <c r="T517" i="5" a="1"/>
  <c r="T517" i="5" s="1"/>
  <c r="T518" i="5" a="1"/>
  <c r="T518" i="5" s="1"/>
  <c r="T519" i="5" a="1"/>
  <c r="T519" i="5" s="1"/>
  <c r="T520" i="5" a="1"/>
  <c r="T520" i="5" s="1"/>
  <c r="T521" i="5" a="1"/>
  <c r="T521" i="5" s="1"/>
  <c r="T522" i="5" a="1"/>
  <c r="T522" i="5"/>
  <c r="T523" i="5" a="1"/>
  <c r="T523" i="5" s="1"/>
  <c r="T524" i="5" a="1"/>
  <c r="T524" i="5" s="1"/>
  <c r="T525" i="5" a="1"/>
  <c r="T525" i="5"/>
  <c r="T526" i="5" a="1"/>
  <c r="T526" i="5" s="1"/>
  <c r="T527" i="5" a="1"/>
  <c r="T527" i="5" s="1"/>
  <c r="T528" i="5" a="1"/>
  <c r="T528" i="5" s="1"/>
  <c r="T529" i="5" a="1"/>
  <c r="T529" i="5" s="1"/>
  <c r="T530" i="5" a="1"/>
  <c r="T530" i="5" s="1"/>
  <c r="T531" i="5" a="1"/>
  <c r="T531" i="5" s="1"/>
  <c r="T532" i="5" a="1"/>
  <c r="T532" i="5" s="1"/>
  <c r="T533" i="5" a="1"/>
  <c r="T533" i="5" s="1"/>
  <c r="T534" i="5" a="1"/>
  <c r="T534" i="5" s="1"/>
  <c r="T535" i="5" a="1"/>
  <c r="T535" i="5" s="1"/>
  <c r="T536" i="5" a="1"/>
  <c r="T536" i="5" s="1"/>
  <c r="T537" i="5" a="1"/>
  <c r="T537" i="5" s="1"/>
  <c r="T538" i="5" a="1"/>
  <c r="T538" i="5" s="1"/>
  <c r="T539" i="5" a="1"/>
  <c r="T539" i="5" s="1"/>
  <c r="T540" i="5" a="1"/>
  <c r="T540" i="5" s="1"/>
  <c r="T541" i="5" a="1"/>
  <c r="T541" i="5" s="1"/>
  <c r="T542" i="5" a="1"/>
  <c r="T542" i="5" s="1"/>
  <c r="T543" i="5" a="1"/>
  <c r="T543" i="5" s="1"/>
  <c r="T544" i="5" a="1"/>
  <c r="T544" i="5" s="1"/>
  <c r="T545" i="5" a="1"/>
  <c r="T545" i="5" s="1"/>
  <c r="T546" i="5" a="1"/>
  <c r="T546" i="5" s="1"/>
  <c r="T547" i="5" a="1"/>
  <c r="T547" i="5" s="1"/>
  <c r="T548" i="5" a="1"/>
  <c r="T548" i="5" s="1"/>
  <c r="T549" i="5" a="1"/>
  <c r="T549" i="5" s="1"/>
  <c r="T550" i="5" a="1"/>
  <c r="T550" i="5" s="1"/>
  <c r="T551" i="5" a="1"/>
  <c r="T551" i="5" s="1"/>
  <c r="T552" i="5" a="1"/>
  <c r="T552" i="5" s="1"/>
  <c r="T553" i="5" a="1"/>
  <c r="T553" i="5" s="1"/>
  <c r="T554" i="5" a="1"/>
  <c r="T554" i="5" s="1"/>
  <c r="T555" i="5" a="1"/>
  <c r="T555" i="5" s="1"/>
  <c r="T556" i="5" a="1"/>
  <c r="T556" i="5" s="1"/>
  <c r="T557" i="5" a="1"/>
  <c r="T557" i="5" s="1"/>
  <c r="T558" i="5" a="1"/>
  <c r="T558" i="5" s="1"/>
  <c r="T559" i="5" a="1"/>
  <c r="T559" i="5" s="1"/>
  <c r="T560" i="5" a="1"/>
  <c r="T560" i="5" s="1"/>
  <c r="T561" i="5" a="1"/>
  <c r="T561" i="5" s="1"/>
  <c r="T562" i="5" a="1"/>
  <c r="T562" i="5" s="1"/>
  <c r="T563" i="5" a="1"/>
  <c r="T563" i="5" s="1"/>
  <c r="T564" i="5" a="1"/>
  <c r="T564" i="5" s="1"/>
  <c r="T565" i="5" a="1"/>
  <c r="T565" i="5" s="1"/>
  <c r="T566" i="5" a="1"/>
  <c r="T566" i="5" s="1"/>
  <c r="T567" i="5" a="1"/>
  <c r="T567" i="5" s="1"/>
  <c r="T568" i="5" a="1"/>
  <c r="T568" i="5" s="1"/>
  <c r="T569" i="5" a="1"/>
  <c r="T569" i="5" s="1"/>
  <c r="T570" i="5" a="1"/>
  <c r="T570" i="5" s="1"/>
  <c r="T571" i="5" a="1"/>
  <c r="T571" i="5" s="1"/>
  <c r="T572" i="5" a="1"/>
  <c r="T572" i="5" s="1"/>
  <c r="T573" i="5" a="1"/>
  <c r="T573" i="5" s="1"/>
  <c r="T574" i="5" a="1"/>
  <c r="T574" i="5" s="1"/>
  <c r="T575" i="5" a="1"/>
  <c r="T575" i="5" s="1"/>
  <c r="T576" i="5" a="1"/>
  <c r="T576" i="5" s="1"/>
  <c r="T577" i="5" a="1"/>
  <c r="T577" i="5" s="1"/>
  <c r="T578" i="5" a="1"/>
  <c r="T578" i="5" s="1"/>
  <c r="T579" i="5" a="1"/>
  <c r="T579" i="5" s="1"/>
  <c r="T580" i="5" a="1"/>
  <c r="T580" i="5" s="1"/>
  <c r="T581" i="5" a="1"/>
  <c r="T581" i="5" s="1"/>
  <c r="T582" i="5" a="1"/>
  <c r="T582" i="5" s="1"/>
  <c r="T583" i="5" a="1"/>
  <c r="T583" i="5" s="1"/>
  <c r="T584" i="5" a="1"/>
  <c r="T584" i="5" s="1"/>
  <c r="T585" i="5" a="1"/>
  <c r="T585" i="5" s="1"/>
  <c r="T586" i="5" a="1"/>
  <c r="T586" i="5" s="1"/>
  <c r="T587" i="5" a="1"/>
  <c r="T587" i="5" s="1"/>
  <c r="T588" i="5" a="1"/>
  <c r="T588" i="5" s="1"/>
  <c r="T589" i="5" a="1"/>
  <c r="T589" i="5" s="1"/>
  <c r="T590" i="5" a="1"/>
  <c r="T590" i="5" s="1"/>
  <c r="T591" i="5" a="1"/>
  <c r="T591" i="5" s="1"/>
  <c r="T592" i="5" a="1"/>
  <c r="T592" i="5" s="1"/>
  <c r="T593" i="5" a="1"/>
  <c r="T593" i="5" s="1"/>
  <c r="T594" i="5" a="1"/>
  <c r="T594" i="5" s="1"/>
  <c r="T595" i="5" a="1"/>
  <c r="T595" i="5" s="1"/>
  <c r="T596" i="5" a="1"/>
  <c r="T596" i="5" s="1"/>
  <c r="T597" i="5" a="1"/>
  <c r="T597" i="5" s="1"/>
  <c r="T598" i="5" a="1"/>
  <c r="T598" i="5" s="1"/>
  <c r="T599" i="5" a="1"/>
  <c r="T599" i="5" s="1"/>
  <c r="T600" i="5" a="1"/>
  <c r="T600" i="5" s="1"/>
  <c r="T601" i="5" a="1"/>
  <c r="T601" i="5" s="1"/>
  <c r="T602" i="5" a="1"/>
  <c r="T602" i="5" s="1"/>
  <c r="T603" i="5" a="1"/>
  <c r="T603" i="5" s="1"/>
  <c r="T604" i="5" a="1"/>
  <c r="T604" i="5" s="1"/>
  <c r="T605" i="5" a="1"/>
  <c r="T605" i="5" s="1"/>
  <c r="T606" i="5" a="1"/>
  <c r="T606" i="5" s="1"/>
  <c r="T607" i="5" a="1"/>
  <c r="T607" i="5" s="1"/>
  <c r="T608" i="5" a="1"/>
  <c r="T608" i="5" s="1"/>
  <c r="T609" i="5" a="1"/>
  <c r="T609" i="5" s="1"/>
  <c r="T610" i="5" a="1"/>
  <c r="T610" i="5" s="1"/>
  <c r="T611" i="5" a="1"/>
  <c r="T611" i="5" s="1"/>
  <c r="T612" i="5" a="1"/>
  <c r="T612" i="5" s="1"/>
  <c r="T613" i="5" a="1"/>
  <c r="T613" i="5" s="1"/>
  <c r="T614" i="5" a="1"/>
  <c r="T614" i="5" s="1"/>
  <c r="T615" i="5" a="1"/>
  <c r="T615" i="5" s="1"/>
  <c r="T616" i="5" a="1"/>
  <c r="T616" i="5" s="1"/>
  <c r="T617" i="5" a="1"/>
  <c r="T617" i="5" s="1"/>
  <c r="T618" i="5" a="1"/>
  <c r="T618" i="5" s="1"/>
  <c r="T619" i="5" a="1"/>
  <c r="T619" i="5" s="1"/>
  <c r="T620" i="5" a="1"/>
  <c r="T620" i="5" s="1"/>
  <c r="T621" i="5" a="1"/>
  <c r="T621" i="5" s="1"/>
  <c r="T622" i="5" a="1"/>
  <c r="T622" i="5" s="1"/>
  <c r="T623" i="5" a="1"/>
  <c r="T623" i="5" s="1"/>
  <c r="T624" i="5" a="1"/>
  <c r="T624" i="5" s="1"/>
  <c r="T625" i="5" a="1"/>
  <c r="T625" i="5" s="1"/>
  <c r="T626" i="5" a="1"/>
  <c r="T626" i="5" s="1"/>
  <c r="T627" i="5" a="1"/>
  <c r="T627" i="5" s="1"/>
  <c r="T628" i="5" a="1"/>
  <c r="T628" i="5" s="1"/>
  <c r="T629" i="5" a="1"/>
  <c r="T629" i="5" s="1"/>
  <c r="T630" i="5" a="1"/>
  <c r="T630" i="5" s="1"/>
  <c r="T631" i="5" a="1"/>
  <c r="T631" i="5" s="1"/>
  <c r="T632" i="5" a="1"/>
  <c r="T632" i="5" s="1"/>
  <c r="T633" i="5" a="1"/>
  <c r="T633" i="5" s="1"/>
  <c r="T634" i="5" a="1"/>
  <c r="T634" i="5" s="1"/>
  <c r="T635" i="5" a="1"/>
  <c r="T635" i="5" s="1"/>
  <c r="T636" i="5" a="1"/>
  <c r="T636" i="5" s="1"/>
  <c r="T637" i="5" a="1"/>
  <c r="T637" i="5" s="1"/>
  <c r="T638" i="5" a="1"/>
  <c r="T638" i="5" s="1"/>
  <c r="T639" i="5" a="1"/>
  <c r="T639" i="5" s="1"/>
  <c r="T640" i="5" a="1"/>
  <c r="T640" i="5" s="1"/>
  <c r="T641" i="5" a="1"/>
  <c r="T641" i="5" s="1"/>
  <c r="T642" i="5" a="1"/>
  <c r="T642" i="5" s="1"/>
  <c r="T643" i="5" a="1"/>
  <c r="T643" i="5" s="1"/>
  <c r="T644" i="5" a="1"/>
  <c r="T644" i="5" s="1"/>
  <c r="T645" i="5" a="1"/>
  <c r="T645" i="5" s="1"/>
  <c r="T646" i="5" a="1"/>
  <c r="T646" i="5" s="1"/>
  <c r="T647" i="5" a="1"/>
  <c r="T647" i="5" s="1"/>
  <c r="T648" i="5" a="1"/>
  <c r="T648" i="5" s="1"/>
  <c r="T649" i="5" a="1"/>
  <c r="T649" i="5" s="1"/>
  <c r="T650" i="5" a="1"/>
  <c r="T650" i="5" s="1"/>
  <c r="T651" i="5" a="1"/>
  <c r="T651" i="5" s="1"/>
  <c r="T652" i="5" a="1"/>
  <c r="T652" i="5" s="1"/>
  <c r="T653" i="5" a="1"/>
  <c r="T653" i="5" s="1"/>
  <c r="T654" i="5" a="1"/>
  <c r="T654" i="5" s="1"/>
  <c r="T655" i="5" a="1"/>
  <c r="T655" i="5" s="1"/>
  <c r="T656" i="5" a="1"/>
  <c r="T656" i="5"/>
  <c r="T657" i="5" a="1"/>
  <c r="T657" i="5" s="1"/>
  <c r="T658" i="5" a="1"/>
  <c r="T658" i="5" s="1"/>
  <c r="T659" i="5" a="1"/>
  <c r="T659" i="5" s="1"/>
  <c r="T660" i="5" a="1"/>
  <c r="T660" i="5" s="1"/>
  <c r="T661" i="5" a="1"/>
  <c r="T661" i="5" s="1"/>
  <c r="T662" i="5" a="1"/>
  <c r="T662" i="5" s="1"/>
  <c r="T663" i="5" a="1"/>
  <c r="T663" i="5" s="1"/>
  <c r="T664" i="5" a="1"/>
  <c r="T664" i="5" s="1"/>
  <c r="T665" i="5" a="1"/>
  <c r="T665" i="5" s="1"/>
  <c r="T666" i="5" a="1"/>
  <c r="T666" i="5" s="1"/>
  <c r="T667" i="5" a="1"/>
  <c r="T667" i="5" s="1"/>
  <c r="T668" i="5" a="1"/>
  <c r="T668" i="5" s="1"/>
  <c r="T669" i="5" a="1"/>
  <c r="T669" i="5" s="1"/>
  <c r="T670" i="5" a="1"/>
  <c r="T670" i="5" s="1"/>
  <c r="T671" i="5" a="1"/>
  <c r="T671" i="5" s="1"/>
  <c r="T672" i="5" a="1"/>
  <c r="T672" i="5" s="1"/>
  <c r="T673" i="5" a="1"/>
  <c r="T673" i="5" s="1"/>
  <c r="T674" i="5" a="1"/>
  <c r="T674" i="5" s="1"/>
  <c r="T675" i="5" a="1"/>
  <c r="T675" i="5" s="1"/>
  <c r="T676" i="5" a="1"/>
  <c r="T676" i="5" s="1"/>
  <c r="T677" i="5" a="1"/>
  <c r="T677" i="5" s="1"/>
  <c r="T678" i="5" a="1"/>
  <c r="T678" i="5" s="1"/>
  <c r="T679" i="5" a="1"/>
  <c r="T679" i="5" s="1"/>
  <c r="T680" i="5" a="1"/>
  <c r="T680" i="5" s="1"/>
  <c r="T681" i="5" a="1"/>
  <c r="T681" i="5" s="1"/>
  <c r="T682" i="5" a="1"/>
  <c r="T682" i="5" s="1"/>
  <c r="T683" i="5" a="1"/>
  <c r="T683" i="5" s="1"/>
  <c r="T684" i="5" a="1"/>
  <c r="T684" i="5" s="1"/>
  <c r="T685" i="5" a="1"/>
  <c r="T685" i="5" s="1"/>
  <c r="T686" i="5" a="1"/>
  <c r="T686" i="5" s="1"/>
  <c r="T687" i="5" a="1"/>
  <c r="T687" i="5" s="1"/>
  <c r="T688" i="5" a="1"/>
  <c r="T688" i="5" s="1"/>
  <c r="T689" i="5" a="1"/>
  <c r="T689" i="5" s="1"/>
  <c r="T690" i="5" a="1"/>
  <c r="T690" i="5" s="1"/>
  <c r="T691" i="5" a="1"/>
  <c r="T691" i="5" s="1"/>
  <c r="T692" i="5" a="1"/>
  <c r="T692" i="5" s="1"/>
  <c r="T693" i="5" a="1"/>
  <c r="T693" i="5" s="1"/>
  <c r="T694" i="5" a="1"/>
  <c r="T694" i="5" s="1"/>
  <c r="T695" i="5" a="1"/>
  <c r="T695" i="5" s="1"/>
  <c r="T696" i="5" a="1"/>
  <c r="T696" i="5" s="1"/>
  <c r="T697" i="5" a="1"/>
  <c r="T697" i="5" s="1"/>
  <c r="T698" i="5" a="1"/>
  <c r="T698" i="5" s="1"/>
  <c r="T699" i="5" a="1"/>
  <c r="T699" i="5" s="1"/>
  <c r="T700" i="5" a="1"/>
  <c r="T700" i="5" s="1"/>
  <c r="T701" i="5" a="1"/>
  <c r="T701" i="5" s="1"/>
  <c r="T702" i="5" a="1"/>
  <c r="T702" i="5" s="1"/>
  <c r="T703" i="5" a="1"/>
  <c r="T703" i="5" s="1"/>
  <c r="T704" i="5" a="1"/>
  <c r="T704" i="5" s="1"/>
  <c r="T705" i="5" a="1"/>
  <c r="T705" i="5" s="1"/>
  <c r="T706" i="5" a="1"/>
  <c r="T706" i="5" s="1"/>
  <c r="T707" i="5" a="1"/>
  <c r="T707" i="5" s="1"/>
  <c r="T708" i="5" a="1"/>
  <c r="T708" i="5" s="1"/>
  <c r="T709" i="5" a="1"/>
  <c r="T709" i="5" s="1"/>
  <c r="T710" i="5" a="1"/>
  <c r="T710" i="5" s="1"/>
  <c r="T711" i="5" a="1"/>
  <c r="T711" i="5" s="1"/>
  <c r="T712" i="5" a="1"/>
  <c r="T712" i="5" s="1"/>
  <c r="T713" i="5" a="1"/>
  <c r="T713" i="5" s="1"/>
  <c r="T714" i="5" a="1"/>
  <c r="T714" i="5" s="1"/>
  <c r="T715" i="5" a="1"/>
  <c r="T715" i="5" s="1"/>
  <c r="T716" i="5" a="1"/>
  <c r="T716" i="5" s="1"/>
  <c r="T717" i="5" a="1"/>
  <c r="T717" i="5" s="1"/>
  <c r="T718" i="5" a="1"/>
  <c r="T718" i="5" s="1"/>
  <c r="T719" i="5" a="1"/>
  <c r="T719" i="5" s="1"/>
  <c r="T720" i="5" a="1"/>
  <c r="T720" i="5" s="1"/>
  <c r="T721" i="5" a="1"/>
  <c r="T721" i="5" s="1"/>
  <c r="T722" i="5" a="1"/>
  <c r="T722" i="5" s="1"/>
  <c r="T723" i="5" a="1"/>
  <c r="T723" i="5" s="1"/>
  <c r="T724" i="5" a="1"/>
  <c r="T724" i="5" s="1"/>
  <c r="T725" i="5" a="1"/>
  <c r="T725" i="5" s="1"/>
  <c r="T726" i="5" a="1"/>
  <c r="T726" i="5" s="1"/>
  <c r="T727" i="5" a="1"/>
  <c r="T727" i="5" s="1"/>
  <c r="T728" i="5" a="1"/>
  <c r="T728" i="5" s="1"/>
  <c r="T729" i="5" a="1"/>
  <c r="T729" i="5" s="1"/>
  <c r="T730" i="5" a="1"/>
  <c r="T730" i="5" s="1"/>
  <c r="T731" i="5" a="1"/>
  <c r="T731" i="5" s="1"/>
  <c r="T732" i="5" a="1"/>
  <c r="T732" i="5" s="1"/>
  <c r="T733" i="5" a="1"/>
  <c r="T733" i="5" s="1"/>
  <c r="T734" i="5" a="1"/>
  <c r="T734" i="5" s="1"/>
  <c r="T735" i="5" a="1"/>
  <c r="T735" i="5" s="1"/>
  <c r="T736" i="5" a="1"/>
  <c r="T736" i="5" s="1"/>
  <c r="T737" i="5" a="1"/>
  <c r="T737" i="5" s="1"/>
  <c r="T738" i="5" a="1"/>
  <c r="T738" i="5" s="1"/>
  <c r="T739" i="5" a="1"/>
  <c r="T739" i="5" s="1"/>
  <c r="T740" i="5" a="1"/>
  <c r="T740" i="5" s="1"/>
  <c r="T741" i="5" a="1"/>
  <c r="T741" i="5" s="1"/>
  <c r="T742" i="5" a="1"/>
  <c r="T742" i="5" s="1"/>
  <c r="T743" i="5" a="1"/>
  <c r="T743" i="5" s="1"/>
  <c r="T744" i="5" a="1"/>
  <c r="T744" i="5" s="1"/>
  <c r="T745" i="5" a="1"/>
  <c r="T745" i="5"/>
  <c r="T746" i="5" a="1"/>
  <c r="T746" i="5" s="1"/>
  <c r="T747" i="5" a="1"/>
  <c r="T747" i="5" s="1"/>
  <c r="T748" i="5" a="1"/>
  <c r="T748" i="5" s="1"/>
  <c r="T749" i="5" a="1"/>
  <c r="T749" i="5" s="1"/>
  <c r="T750" i="5" a="1"/>
  <c r="T750" i="5" s="1"/>
  <c r="T751" i="5" a="1"/>
  <c r="T751" i="5" s="1"/>
  <c r="T752" i="5" a="1"/>
  <c r="T752" i="5" s="1"/>
  <c r="T753" i="5" a="1"/>
  <c r="T753" i="5" s="1"/>
  <c r="T754" i="5" a="1"/>
  <c r="T754" i="5" s="1"/>
  <c r="T755" i="5" a="1"/>
  <c r="T755" i="5" s="1"/>
  <c r="T756" i="5" a="1"/>
  <c r="T756" i="5" s="1"/>
  <c r="T757" i="5" a="1"/>
  <c r="T757" i="5" s="1"/>
  <c r="T758" i="5" a="1"/>
  <c r="T758" i="5" s="1"/>
  <c r="T759" i="5" a="1"/>
  <c r="T759" i="5" s="1"/>
  <c r="T760" i="5" a="1"/>
  <c r="T760" i="5" s="1"/>
  <c r="T761" i="5" a="1"/>
  <c r="T761" i="5" s="1"/>
  <c r="T762" i="5" a="1"/>
  <c r="T762" i="5" s="1"/>
  <c r="T763" i="5" a="1"/>
  <c r="T763" i="5" s="1"/>
  <c r="T764" i="5" a="1"/>
  <c r="T764" i="5" s="1"/>
  <c r="T765" i="5" a="1"/>
  <c r="T765" i="5" s="1"/>
  <c r="T766" i="5" a="1"/>
  <c r="T766" i="5" s="1"/>
  <c r="T767" i="5" a="1"/>
  <c r="T767" i="5" s="1"/>
  <c r="T768" i="5" a="1"/>
  <c r="T768" i="5" s="1"/>
  <c r="T769" i="5" a="1"/>
  <c r="T769" i="5" s="1"/>
  <c r="T770" i="5" a="1"/>
  <c r="T770" i="5" s="1"/>
  <c r="T771" i="5" a="1"/>
  <c r="T771" i="5" s="1"/>
  <c r="T772" i="5" a="1"/>
  <c r="T772" i="5" s="1"/>
  <c r="T773" i="5" a="1"/>
  <c r="T773" i="5" s="1"/>
  <c r="T774" i="5" a="1"/>
  <c r="T774" i="5"/>
  <c r="T775" i="5" a="1"/>
  <c r="T775" i="5"/>
  <c r="T776" i="5" a="1"/>
  <c r="T776" i="5" s="1"/>
  <c r="T777" i="5" a="1"/>
  <c r="T777" i="5" s="1"/>
  <c r="T778" i="5" a="1"/>
  <c r="T778" i="5" s="1"/>
  <c r="T779" i="5" a="1"/>
  <c r="T779" i="5" s="1"/>
  <c r="T780" i="5" a="1"/>
  <c r="T780" i="5" s="1"/>
  <c r="T781" i="5" a="1"/>
  <c r="T781" i="5" s="1"/>
  <c r="T782" i="5" a="1"/>
  <c r="T782" i="5" s="1"/>
  <c r="T783" i="5" a="1"/>
  <c r="T783" i="5" s="1"/>
  <c r="T784" i="5" a="1"/>
  <c r="T784" i="5" s="1"/>
  <c r="T785" i="5" a="1"/>
  <c r="T785" i="5"/>
  <c r="T786" i="5" a="1"/>
  <c r="T786" i="5" s="1"/>
  <c r="T787" i="5" a="1"/>
  <c r="T787" i="5" s="1"/>
  <c r="T788" i="5" a="1"/>
  <c r="T788" i="5" s="1"/>
  <c r="T789" i="5" a="1"/>
  <c r="T789" i="5" s="1"/>
  <c r="T790" i="5" a="1"/>
  <c r="T790" i="5" s="1"/>
  <c r="T791" i="5" a="1"/>
  <c r="T791" i="5" s="1"/>
  <c r="T792" i="5" a="1"/>
  <c r="T792" i="5" s="1"/>
  <c r="T793" i="5" a="1"/>
  <c r="T793" i="5" s="1"/>
  <c r="T794" i="5" a="1"/>
  <c r="T794" i="5" s="1"/>
  <c r="T795" i="5" a="1"/>
  <c r="T795" i="5" s="1"/>
  <c r="T796" i="5" a="1"/>
  <c r="T796" i="5" s="1"/>
  <c r="T797" i="5" a="1"/>
  <c r="T797" i="5" s="1"/>
  <c r="T798" i="5" a="1"/>
  <c r="T798" i="5" s="1"/>
  <c r="T799" i="5" a="1"/>
  <c r="T799" i="5" s="1"/>
  <c r="T800" i="5" a="1"/>
  <c r="T800" i="5" s="1"/>
  <c r="T801" i="5" a="1"/>
  <c r="T801" i="5" s="1"/>
  <c r="T802" i="5" a="1"/>
  <c r="T802" i="5" s="1"/>
  <c r="T803" i="5" a="1"/>
  <c r="T803" i="5" s="1"/>
  <c r="T804" i="5" a="1"/>
  <c r="T804" i="5" s="1"/>
  <c r="T805" i="5" a="1"/>
  <c r="T805" i="5" s="1"/>
  <c r="T806" i="5" a="1"/>
  <c r="T806" i="5" s="1"/>
  <c r="T807" i="5" a="1"/>
  <c r="T807" i="5" s="1"/>
  <c r="T808" i="5" a="1"/>
  <c r="T808" i="5" s="1"/>
  <c r="T809" i="5" a="1"/>
  <c r="T809" i="5" s="1"/>
  <c r="T810" i="5" a="1"/>
  <c r="T810" i="5" s="1"/>
  <c r="T811" i="5" a="1"/>
  <c r="T811" i="5" s="1"/>
  <c r="T812" i="5" a="1"/>
  <c r="T812" i="5" s="1"/>
  <c r="T813" i="5" a="1"/>
  <c r="T813" i="5" s="1"/>
  <c r="T814" i="5" a="1"/>
  <c r="T814" i="5" s="1"/>
  <c r="T815" i="5" a="1"/>
  <c r="T815" i="5" s="1"/>
  <c r="T816" i="5" a="1"/>
  <c r="T816" i="5" s="1"/>
  <c r="T817" i="5" a="1"/>
  <c r="T817" i="5" s="1"/>
  <c r="T818" i="5" a="1"/>
  <c r="T818" i="5" s="1"/>
  <c r="T819" i="5" a="1"/>
  <c r="T819" i="5" s="1"/>
  <c r="T820" i="5" a="1"/>
  <c r="T820" i="5" s="1"/>
  <c r="T821" i="5" a="1"/>
  <c r="T821" i="5" s="1"/>
  <c r="T822" i="5" a="1"/>
  <c r="T822" i="5" s="1"/>
  <c r="T823" i="5" a="1"/>
  <c r="T823" i="5" s="1"/>
  <c r="T824" i="5" a="1"/>
  <c r="T824" i="5" s="1"/>
  <c r="T825" i="5" a="1"/>
  <c r="T825" i="5" s="1"/>
  <c r="T826" i="5" a="1"/>
  <c r="T826" i="5"/>
  <c r="T827" i="5" a="1"/>
  <c r="T827" i="5" s="1"/>
  <c r="T828" i="5" a="1"/>
  <c r="T828" i="5" s="1"/>
  <c r="T829" i="5" a="1"/>
  <c r="T829" i="5" s="1"/>
  <c r="T830" i="5" a="1"/>
  <c r="T830" i="5" s="1"/>
  <c r="T831" i="5" a="1"/>
  <c r="T831" i="5" s="1"/>
  <c r="T832" i="5" a="1"/>
  <c r="T832" i="5" s="1"/>
  <c r="T833" i="5" a="1"/>
  <c r="T833" i="5" s="1"/>
  <c r="T834" i="5" a="1"/>
  <c r="T834" i="5" s="1"/>
  <c r="T835" i="5" a="1"/>
  <c r="T835" i="5" s="1"/>
  <c r="T836" i="5" a="1"/>
  <c r="T836" i="5" s="1"/>
  <c r="T837" i="5" a="1"/>
  <c r="T837" i="5" s="1"/>
  <c r="T838" i="5" a="1"/>
  <c r="T838" i="5" s="1"/>
  <c r="T839" i="5" a="1"/>
  <c r="T839" i="5" s="1"/>
  <c r="T840" i="5" a="1"/>
  <c r="T840" i="5" s="1"/>
  <c r="T841" i="5" a="1"/>
  <c r="T841" i="5" s="1"/>
  <c r="T842" i="5" a="1"/>
  <c r="T842" i="5" s="1"/>
  <c r="T843" i="5" a="1"/>
  <c r="T843" i="5" s="1"/>
  <c r="T844" i="5" a="1"/>
  <c r="T844" i="5" s="1"/>
  <c r="T845" i="5" a="1"/>
  <c r="T845" i="5" s="1"/>
  <c r="T846" i="5" a="1"/>
  <c r="T846" i="5" s="1"/>
  <c r="T847" i="5" a="1"/>
  <c r="T847" i="5" s="1"/>
  <c r="T848" i="5" a="1"/>
  <c r="T848" i="5"/>
  <c r="T849" i="5" a="1"/>
  <c r="T849" i="5" s="1"/>
  <c r="T850" i="5" a="1"/>
  <c r="T850" i="5" s="1"/>
  <c r="T851" i="5" a="1"/>
  <c r="T851" i="5" s="1"/>
  <c r="T852" i="5" a="1"/>
  <c r="T852" i="5" s="1"/>
  <c r="T853" i="5" a="1"/>
  <c r="T853" i="5" s="1"/>
  <c r="T854" i="5" a="1"/>
  <c r="T854" i="5" s="1"/>
  <c r="T855" i="5" a="1"/>
  <c r="T855" i="5" s="1"/>
  <c r="T856" i="5" a="1"/>
  <c r="T856" i="5" s="1"/>
  <c r="T857" i="5" a="1"/>
  <c r="T857" i="5" s="1"/>
  <c r="T858" i="5" a="1"/>
  <c r="T858" i="5" s="1"/>
  <c r="T859" i="5" a="1"/>
  <c r="T859" i="5" s="1"/>
  <c r="T860" i="5" a="1"/>
  <c r="T860" i="5" s="1"/>
  <c r="T861" i="5" a="1"/>
  <c r="T861" i="5" s="1"/>
  <c r="T862" i="5" a="1"/>
  <c r="T862" i="5" s="1"/>
  <c r="T863" i="5" a="1"/>
  <c r="T863" i="5" s="1"/>
  <c r="T864" i="5" a="1"/>
  <c r="T864" i="5" s="1"/>
  <c r="T865" i="5" a="1"/>
  <c r="T865" i="5" s="1"/>
  <c r="T866" i="5" a="1"/>
  <c r="T866" i="5" s="1"/>
  <c r="T867" i="5" a="1"/>
  <c r="T867" i="5" s="1"/>
  <c r="T868" i="5" a="1"/>
  <c r="T868" i="5" s="1"/>
  <c r="T869" i="5" a="1"/>
  <c r="T869" i="5" s="1"/>
  <c r="T870" i="5" a="1"/>
  <c r="T870" i="5" s="1"/>
  <c r="T871" i="5" a="1"/>
  <c r="T871" i="5" s="1"/>
  <c r="T872" i="5" a="1"/>
  <c r="T872" i="5" s="1"/>
  <c r="T873" i="5" a="1"/>
  <c r="T873" i="5" s="1"/>
  <c r="T874" i="5" a="1"/>
  <c r="T874" i="5" s="1"/>
  <c r="T875" i="5" a="1"/>
  <c r="T875" i="5" s="1"/>
  <c r="T876" i="5" a="1"/>
  <c r="T876" i="5" s="1"/>
  <c r="T877" i="5" a="1"/>
  <c r="T877" i="5" s="1"/>
  <c r="T878" i="5" a="1"/>
  <c r="T878" i="5" s="1"/>
  <c r="T879" i="5" a="1"/>
  <c r="T879" i="5" s="1"/>
  <c r="T880" i="5" a="1"/>
  <c r="T880" i="5" s="1"/>
  <c r="T881" i="5" a="1"/>
  <c r="T881" i="5" s="1"/>
  <c r="T882" i="5" a="1"/>
  <c r="T882" i="5" s="1"/>
  <c r="T883" i="5" a="1"/>
  <c r="T883" i="5" s="1"/>
  <c r="T884" i="5" a="1"/>
  <c r="T884" i="5" s="1"/>
  <c r="T885" i="5" a="1"/>
  <c r="T885" i="5" s="1"/>
  <c r="T886" i="5" a="1"/>
  <c r="T886" i="5" s="1"/>
  <c r="T887" i="5" a="1"/>
  <c r="T887" i="5" s="1"/>
  <c r="T888" i="5" a="1"/>
  <c r="T888" i="5" s="1"/>
  <c r="T889" i="5" a="1"/>
  <c r="T889" i="5" s="1"/>
  <c r="T890" i="5" a="1"/>
  <c r="T890" i="5" s="1"/>
  <c r="T891" i="5" a="1"/>
  <c r="T891" i="5" s="1"/>
  <c r="T892" i="5" a="1"/>
  <c r="T892" i="5" s="1"/>
  <c r="T893" i="5" a="1"/>
  <c r="T893" i="5" s="1"/>
  <c r="T894" i="5" a="1"/>
  <c r="T894" i="5" s="1"/>
  <c r="T895" i="5" a="1"/>
  <c r="T895" i="5"/>
  <c r="T896" i="5" a="1"/>
  <c r="T896" i="5" s="1"/>
  <c r="T897" i="5" a="1"/>
  <c r="T897" i="5" s="1"/>
  <c r="T898" i="5" a="1"/>
  <c r="T898" i="5" s="1"/>
  <c r="T899" i="5" a="1"/>
  <c r="T899" i="5" s="1"/>
  <c r="T900" i="5" a="1"/>
  <c r="T900" i="5" s="1"/>
  <c r="T901" i="5" a="1"/>
  <c r="T901" i="5" s="1"/>
  <c r="T902" i="5" a="1"/>
  <c r="T902" i="5" s="1"/>
  <c r="T903" i="5" a="1"/>
  <c r="T903" i="5" s="1"/>
  <c r="T904" i="5" a="1"/>
  <c r="T904" i="5" s="1"/>
  <c r="T905" i="5" a="1"/>
  <c r="T905" i="5" s="1"/>
  <c r="T906" i="5" a="1"/>
  <c r="T906" i="5" s="1"/>
  <c r="T907" i="5" a="1"/>
  <c r="T907" i="5" s="1"/>
  <c r="T908" i="5" a="1"/>
  <c r="T908" i="5" s="1"/>
  <c r="T909" i="5" a="1"/>
  <c r="T909" i="5" s="1"/>
  <c r="T910" i="5" a="1"/>
  <c r="T910" i="5" s="1"/>
  <c r="T911" i="5" a="1"/>
  <c r="T911" i="5" s="1"/>
  <c r="T912" i="5" a="1"/>
  <c r="T912" i="5" s="1"/>
  <c r="T913" i="5" a="1"/>
  <c r="T913" i="5" s="1"/>
  <c r="T914" i="5" a="1"/>
  <c r="T914" i="5" s="1"/>
  <c r="T915" i="5" a="1"/>
  <c r="T915" i="5" s="1"/>
  <c r="T916" i="5" a="1"/>
  <c r="T916" i="5" s="1"/>
  <c r="T917" i="5" a="1"/>
  <c r="T917" i="5" s="1"/>
  <c r="T918" i="5" a="1"/>
  <c r="T918" i="5" s="1"/>
  <c r="T919" i="5" a="1"/>
  <c r="T919" i="5" s="1"/>
  <c r="T920" i="5" a="1"/>
  <c r="T920" i="5" s="1"/>
  <c r="T921" i="5" a="1"/>
  <c r="T921" i="5" s="1"/>
  <c r="T922" i="5" a="1"/>
  <c r="T922" i="5" s="1"/>
  <c r="T923" i="5" a="1"/>
  <c r="T923" i="5" s="1"/>
  <c r="T924" i="5" a="1"/>
  <c r="T924" i="5" s="1"/>
  <c r="T925" i="5" a="1"/>
  <c r="T925" i="5" s="1"/>
  <c r="T926" i="5" a="1"/>
  <c r="T926" i="5" s="1"/>
  <c r="T927" i="5" a="1"/>
  <c r="T927" i="5" s="1"/>
  <c r="T928" i="5" a="1"/>
  <c r="T928" i="5" s="1"/>
  <c r="T929" i="5" a="1"/>
  <c r="T929" i="5" s="1"/>
  <c r="T930" i="5" a="1"/>
  <c r="T930" i="5" s="1"/>
  <c r="T931" i="5" a="1"/>
  <c r="T931" i="5" s="1"/>
  <c r="T932" i="5" a="1"/>
  <c r="T932" i="5" s="1"/>
  <c r="T933" i="5" a="1"/>
  <c r="T933" i="5" s="1"/>
  <c r="T934" i="5" a="1"/>
  <c r="T934" i="5" s="1"/>
  <c r="T935" i="5" a="1"/>
  <c r="T935" i="5" s="1"/>
  <c r="T936" i="5" a="1"/>
  <c r="T936" i="5" s="1"/>
  <c r="T937" i="5" a="1"/>
  <c r="T937" i="5"/>
  <c r="T938" i="5" a="1"/>
  <c r="T938" i="5"/>
  <c r="T939" i="5" a="1"/>
  <c r="T939" i="5" s="1"/>
  <c r="T940" i="5" a="1"/>
  <c r="T940" i="5" s="1"/>
  <c r="T941" i="5" a="1"/>
  <c r="T941" i="5" s="1"/>
  <c r="T942" i="5" a="1"/>
  <c r="T942" i="5" s="1"/>
  <c r="T943" i="5" a="1"/>
  <c r="T943" i="5" s="1"/>
  <c r="T944" i="5" a="1"/>
  <c r="T944" i="5" s="1"/>
  <c r="T945" i="5" a="1"/>
  <c r="T945" i="5" s="1"/>
  <c r="T946" i="5" a="1"/>
  <c r="T946" i="5" s="1"/>
  <c r="T947" i="5" a="1"/>
  <c r="T947" i="5" s="1"/>
  <c r="T948" i="5" a="1"/>
  <c r="T948" i="5" s="1"/>
  <c r="T949" i="5" a="1"/>
  <c r="T949" i="5" s="1"/>
  <c r="T950" i="5" a="1"/>
  <c r="T950" i="5" s="1"/>
  <c r="T951" i="5" a="1"/>
  <c r="T951" i="5" s="1"/>
  <c r="T952" i="5" a="1"/>
  <c r="T952" i="5" s="1"/>
  <c r="T953" i="5" a="1"/>
  <c r="T953" i="5" s="1"/>
  <c r="T954" i="5" a="1"/>
  <c r="T954" i="5" s="1"/>
  <c r="T955" i="5" a="1"/>
  <c r="T955" i="5" s="1"/>
  <c r="T956" i="5" a="1"/>
  <c r="T956" i="5" s="1"/>
  <c r="T957" i="5" a="1"/>
  <c r="T957" i="5" s="1"/>
  <c r="T958" i="5" a="1"/>
  <c r="T958" i="5" s="1"/>
  <c r="T959" i="5" a="1"/>
  <c r="T959" i="5" s="1"/>
  <c r="T960" i="5" a="1"/>
  <c r="T960" i="5" s="1"/>
  <c r="T961" i="5" a="1"/>
  <c r="T961" i="5" s="1"/>
  <c r="T962" i="5" a="1"/>
  <c r="T962" i="5" s="1"/>
  <c r="T963" i="5" a="1"/>
  <c r="T963" i="5" s="1"/>
  <c r="T964" i="5" a="1"/>
  <c r="T964" i="5" s="1"/>
  <c r="T965" i="5" a="1"/>
  <c r="T965" i="5" s="1"/>
  <c r="T966" i="5" a="1"/>
  <c r="T966" i="5" s="1"/>
  <c r="T967" i="5" a="1"/>
  <c r="T967" i="5" s="1"/>
  <c r="T968" i="5" a="1"/>
  <c r="T968" i="5" s="1"/>
  <c r="T969" i="5" a="1"/>
  <c r="T969" i="5" s="1"/>
  <c r="T970" i="5" a="1"/>
  <c r="T970" i="5" s="1"/>
  <c r="T971" i="5" a="1"/>
  <c r="T971" i="5" s="1"/>
  <c r="T972" i="5" a="1"/>
  <c r="T972" i="5" s="1"/>
  <c r="T973" i="5" a="1"/>
  <c r="T973" i="5" s="1"/>
  <c r="T974" i="5" a="1"/>
  <c r="T974" i="5" s="1"/>
  <c r="T975" i="5" a="1"/>
  <c r="T975" i="5" s="1"/>
  <c r="T976" i="5" a="1"/>
  <c r="T976" i="5" s="1"/>
  <c r="T977" i="5" a="1"/>
  <c r="T977" i="5" s="1"/>
  <c r="T978" i="5" a="1"/>
  <c r="T978" i="5" s="1"/>
  <c r="T979" i="5" a="1"/>
  <c r="T979" i="5" s="1"/>
  <c r="T980" i="5" a="1"/>
  <c r="T980" i="5" s="1"/>
  <c r="T981" i="5" a="1"/>
  <c r="T981" i="5" s="1"/>
  <c r="T982" i="5" a="1"/>
  <c r="T982" i="5" s="1"/>
  <c r="T983" i="5" a="1"/>
  <c r="T983" i="5" s="1"/>
  <c r="T984" i="5" a="1"/>
  <c r="T984" i="5" s="1"/>
  <c r="T985" i="5" a="1"/>
  <c r="T985" i="5" s="1"/>
  <c r="T986" i="5" a="1"/>
  <c r="T986" i="5" s="1"/>
  <c r="T987" i="5" a="1"/>
  <c r="T987" i="5"/>
  <c r="T988" i="5" a="1"/>
  <c r="T988" i="5"/>
  <c r="T989" i="5" a="1"/>
  <c r="T989" i="5" s="1"/>
  <c r="T990" i="5" a="1"/>
  <c r="T990" i="5" s="1"/>
  <c r="T991" i="5" a="1"/>
  <c r="T991" i="5" s="1"/>
  <c r="T992" i="5" a="1"/>
  <c r="T992" i="5" s="1"/>
  <c r="T993" i="5" a="1"/>
  <c r="T993" i="5" s="1"/>
  <c r="T994" i="5" a="1"/>
  <c r="T994" i="5" s="1"/>
  <c r="T995" i="5" a="1"/>
  <c r="T995" i="5" s="1"/>
  <c r="T996" i="5" a="1"/>
  <c r="T996" i="5" s="1"/>
  <c r="T997" i="5" a="1"/>
  <c r="T997" i="5" s="1"/>
  <c r="T998" i="5" a="1"/>
  <c r="T998" i="5" s="1"/>
  <c r="T999" i="5" a="1"/>
  <c r="T999" i="5" s="1"/>
  <c r="T1000" i="5" a="1"/>
  <c r="T1000" i="5" s="1"/>
  <c r="T1001" i="5" a="1"/>
  <c r="T1001" i="5" s="1"/>
  <c r="T1002" i="5" a="1"/>
  <c r="T1002" i="5" s="1"/>
  <c r="T1003" i="5" a="1"/>
  <c r="T1003" i="5" s="1"/>
  <c r="T1004" i="5" a="1"/>
  <c r="T1004" i="5" s="1"/>
  <c r="T1005" i="5" a="1"/>
  <c r="T1005" i="5" s="1"/>
  <c r="T1006" i="5" a="1"/>
  <c r="T1006" i="5" s="1"/>
  <c r="T1007" i="5" a="1"/>
  <c r="T1007" i="5" s="1"/>
  <c r="T1008" i="5" a="1"/>
  <c r="T1008" i="5" s="1"/>
  <c r="T1009" i="5" a="1"/>
  <c r="T1009" i="5" s="1"/>
  <c r="T1010" i="5" a="1"/>
  <c r="T1010" i="5" s="1"/>
  <c r="T1011" i="5" a="1"/>
  <c r="T1011" i="5" s="1"/>
  <c r="T1012" i="5" a="1"/>
  <c r="T1012" i="5" s="1"/>
  <c r="T1013" i="5" a="1"/>
  <c r="T1013" i="5" s="1"/>
  <c r="T1014" i="5" a="1"/>
  <c r="T1014" i="5" s="1"/>
  <c r="T1015" i="5" a="1"/>
  <c r="T1015" i="5" s="1"/>
  <c r="T1016" i="5" a="1"/>
  <c r="T1016" i="5" s="1"/>
  <c r="T1017" i="5" a="1"/>
  <c r="T1017" i="5" s="1"/>
  <c r="T1018" i="5" a="1"/>
  <c r="T1018" i="5"/>
  <c r="T1019" i="5" a="1"/>
  <c r="T1019" i="5" s="1"/>
  <c r="T1020" i="5" a="1"/>
  <c r="T1020" i="5" s="1"/>
  <c r="T1021" i="5" a="1"/>
  <c r="T1021" i="5" s="1"/>
  <c r="T1022" i="5" a="1"/>
  <c r="T1022" i="5" s="1"/>
  <c r="T1023" i="5" a="1"/>
  <c r="T1023" i="5" s="1"/>
  <c r="T1024" i="5" a="1"/>
  <c r="T1024" i="5" s="1"/>
  <c r="T1025" i="5" a="1"/>
  <c r="T1025" i="5" s="1"/>
  <c r="T1026" i="5" a="1"/>
  <c r="T1026" i="5" s="1"/>
  <c r="T1027" i="5" a="1"/>
  <c r="T1027" i="5" s="1"/>
  <c r="T1028" i="5" a="1"/>
  <c r="T1028" i="5" s="1"/>
  <c r="T1029" i="5" a="1"/>
  <c r="T1029" i="5" s="1"/>
  <c r="T1030" i="5" a="1"/>
  <c r="T1030" i="5"/>
  <c r="T1031" i="5" a="1"/>
  <c r="T1031" i="5"/>
  <c r="T1032" i="5" a="1"/>
  <c r="T1032" i="5" s="1"/>
  <c r="T1033" i="5" a="1"/>
  <c r="T1033" i="5" s="1"/>
  <c r="T1034" i="5" a="1"/>
  <c r="T1034" i="5" s="1"/>
  <c r="T1035" i="5" a="1"/>
  <c r="T1035" i="5" s="1"/>
  <c r="T1036" i="5" a="1"/>
  <c r="T1036" i="5" s="1"/>
  <c r="T1037" i="5" a="1"/>
  <c r="T1037" i="5" s="1"/>
  <c r="T1038" i="5" a="1"/>
  <c r="T1038" i="5" s="1"/>
  <c r="T1039" i="5" a="1"/>
  <c r="T1039" i="5" s="1"/>
  <c r="T1040" i="5" a="1"/>
  <c r="T1040" i="5" s="1"/>
  <c r="T1041" i="5" a="1"/>
  <c r="T1041" i="5" s="1"/>
  <c r="T1042" i="5" a="1"/>
  <c r="T1042" i="5" s="1"/>
  <c r="T1043" i="5" a="1"/>
  <c r="T1043" i="5" s="1"/>
  <c r="T1044" i="5" a="1"/>
  <c r="T1044" i="5" s="1"/>
  <c r="T1045" i="5" a="1"/>
  <c r="T1045" i="5" s="1"/>
  <c r="T1046" i="5" a="1"/>
  <c r="T1046" i="5" s="1"/>
  <c r="T1047" i="5" a="1"/>
  <c r="T1047" i="5" s="1"/>
  <c r="T1048" i="5" a="1"/>
  <c r="T1048" i="5" s="1"/>
  <c r="T1049" i="5" a="1"/>
  <c r="T1049" i="5" s="1"/>
  <c r="T1050" i="5" a="1"/>
  <c r="T1050" i="5" s="1"/>
  <c r="T1051" i="5" a="1"/>
  <c r="T1051" i="5" s="1"/>
  <c r="T1052" i="5" a="1"/>
  <c r="T1052" i="5" s="1"/>
  <c r="T1053" i="5" a="1"/>
  <c r="T1053" i="5" s="1"/>
  <c r="T1054" i="5" a="1"/>
  <c r="T1054" i="5" s="1"/>
  <c r="T1055" i="5" a="1"/>
  <c r="T1055" i="5" s="1"/>
  <c r="T1056" i="5" a="1"/>
  <c r="T1056" i="5" s="1"/>
  <c r="T1057" i="5" a="1"/>
  <c r="T1057" i="5" s="1"/>
  <c r="T1058" i="5" a="1"/>
  <c r="T1058" i="5" s="1"/>
  <c r="T1059" i="5" a="1"/>
  <c r="T1059" i="5" s="1"/>
  <c r="T1060" i="5" a="1"/>
  <c r="T1060" i="5" s="1"/>
  <c r="T1061" i="5" a="1"/>
  <c r="T1061" i="5" s="1"/>
  <c r="T1062" i="5" a="1"/>
  <c r="T1062" i="5" s="1"/>
  <c r="T1063" i="5" a="1"/>
  <c r="T1063" i="5" s="1"/>
  <c r="T1064" i="5" a="1"/>
  <c r="T1064" i="5" s="1"/>
  <c r="T1065" i="5" a="1"/>
  <c r="T1065" i="5" s="1"/>
  <c r="T1066" i="5" a="1"/>
  <c r="T1066" i="5" s="1"/>
  <c r="T1067" i="5" a="1"/>
  <c r="T1067" i="5" s="1"/>
  <c r="T1068" i="5" a="1"/>
  <c r="T1068" i="5" s="1"/>
  <c r="T1069" i="5" a="1"/>
  <c r="T1069" i="5" s="1"/>
  <c r="T1070" i="5" a="1"/>
  <c r="T1070" i="5" s="1"/>
  <c r="T1071" i="5" a="1"/>
  <c r="T1071" i="5" s="1"/>
  <c r="T1072" i="5" a="1"/>
  <c r="T1072" i="5" s="1"/>
  <c r="T1073" i="5" a="1"/>
  <c r="T1073" i="5" s="1"/>
  <c r="T1074" i="5" a="1"/>
  <c r="T1074" i="5" s="1"/>
  <c r="T1075" i="5" a="1"/>
  <c r="T1075" i="5" s="1"/>
  <c r="T1076" i="5" a="1"/>
  <c r="T1076" i="5" s="1"/>
  <c r="T1077" i="5" a="1"/>
  <c r="T1077" i="5" s="1"/>
  <c r="T1078" i="5" a="1"/>
  <c r="T1078" i="5" s="1"/>
  <c r="T1079" i="5" a="1"/>
  <c r="T1079" i="5" s="1"/>
  <c r="T1080" i="5" a="1"/>
  <c r="T1080" i="5" s="1"/>
  <c r="T1081" i="5" a="1"/>
  <c r="T1081" i="5" s="1"/>
  <c r="T1082" i="5" a="1"/>
  <c r="T1082" i="5" s="1"/>
  <c r="T1083" i="5" a="1"/>
  <c r="T1083" i="5" s="1"/>
  <c r="T1084" i="5" a="1"/>
  <c r="T1084" i="5" s="1"/>
  <c r="T1085" i="5" a="1"/>
  <c r="T1085" i="5" s="1"/>
  <c r="T1086" i="5" a="1"/>
  <c r="T1086" i="5" s="1"/>
  <c r="T1087" i="5" a="1"/>
  <c r="T1087" i="5" s="1"/>
  <c r="T1088" i="5" a="1"/>
  <c r="T1088" i="5" s="1"/>
  <c r="T1089" i="5" a="1"/>
  <c r="T1089" i="5" s="1"/>
  <c r="T1090" i="5" a="1"/>
  <c r="T1090" i="5" s="1"/>
  <c r="T1091" i="5" a="1"/>
  <c r="T1091" i="5"/>
  <c r="T1092" i="5" a="1"/>
  <c r="T1092" i="5" s="1"/>
  <c r="T1093" i="5" a="1"/>
  <c r="T1093" i="5" s="1"/>
  <c r="T1094" i="5" a="1"/>
  <c r="T1094" i="5" s="1"/>
  <c r="T1095" i="5" a="1"/>
  <c r="T1095" i="5" s="1"/>
  <c r="T1096" i="5" a="1"/>
  <c r="T1096" i="5" s="1"/>
  <c r="T1097" i="5" a="1"/>
  <c r="T1097" i="5" s="1"/>
  <c r="T1098" i="5" a="1"/>
  <c r="T1098" i="5" s="1"/>
  <c r="T1099" i="5" a="1"/>
  <c r="T1099" i="5" s="1"/>
  <c r="T1100" i="5" a="1"/>
  <c r="T1100" i="5" s="1"/>
  <c r="T1101" i="5" a="1"/>
  <c r="T1101" i="5" s="1"/>
  <c r="T1102" i="5" a="1"/>
  <c r="T1102" i="5" s="1"/>
  <c r="T1103" i="5" a="1"/>
  <c r="T1103" i="5" s="1"/>
  <c r="T1104" i="5" a="1"/>
  <c r="T1104" i="5"/>
  <c r="T1105" i="5" a="1"/>
  <c r="T1105" i="5" s="1"/>
  <c r="T1106" i="5" a="1"/>
  <c r="T1106" i="5"/>
  <c r="T1107" i="5" a="1"/>
  <c r="T1107" i="5" s="1"/>
  <c r="T1108" i="5" a="1"/>
  <c r="T1108" i="5" s="1"/>
  <c r="T1109" i="5" a="1"/>
  <c r="T1109" i="5" s="1"/>
  <c r="T1110" i="5" a="1"/>
  <c r="T1110" i="5" s="1"/>
  <c r="T1111" i="5" a="1"/>
  <c r="T1111" i="5" s="1"/>
  <c r="T1112" i="5" a="1"/>
  <c r="T1112" i="5" s="1"/>
  <c r="T1113" i="5" a="1"/>
  <c r="T1113" i="5" s="1"/>
  <c r="T1114" i="5" a="1"/>
  <c r="T1114" i="5" s="1"/>
  <c r="T1115" i="5" a="1"/>
  <c r="T1115" i="5" s="1"/>
  <c r="T1116" i="5" a="1"/>
  <c r="T1116" i="5" s="1"/>
  <c r="T1117" i="5" a="1"/>
  <c r="T1117" i="5" s="1"/>
  <c r="T1118" i="5" a="1"/>
  <c r="T1118" i="5" s="1"/>
  <c r="T1119" i="5" a="1"/>
  <c r="T1119" i="5" s="1"/>
  <c r="T1120" i="5" a="1"/>
  <c r="T1120" i="5" s="1"/>
  <c r="T1121" i="5" a="1"/>
  <c r="T1121" i="5" s="1"/>
  <c r="T1122" i="5" a="1"/>
  <c r="T1122" i="5" s="1"/>
  <c r="T1123" i="5" a="1"/>
  <c r="T1123" i="5" s="1"/>
  <c r="T1124" i="5" a="1"/>
  <c r="T1124" i="5" s="1"/>
  <c r="T1125" i="5" a="1"/>
  <c r="T1125" i="5" s="1"/>
  <c r="T1126" i="5" a="1"/>
  <c r="T1126" i="5" s="1"/>
  <c r="T1127" i="5" a="1"/>
  <c r="T1127" i="5" s="1"/>
  <c r="T1128" i="5" a="1"/>
  <c r="T1128" i="5" s="1"/>
  <c r="T1129" i="5" a="1"/>
  <c r="T1129" i="5" s="1"/>
  <c r="T1130" i="5" a="1"/>
  <c r="T1130" i="5" s="1"/>
  <c r="T1131" i="5" a="1"/>
  <c r="T1131" i="5" s="1"/>
  <c r="T1132" i="5" a="1"/>
  <c r="T1132" i="5" s="1"/>
  <c r="T1133" i="5" a="1"/>
  <c r="T1133" i="5" s="1"/>
  <c r="T1134" i="5" a="1"/>
  <c r="T1134" i="5" s="1"/>
  <c r="T1135" i="5" a="1"/>
  <c r="T1135" i="5" s="1"/>
  <c r="T1136" i="5" a="1"/>
  <c r="T1136" i="5" s="1"/>
  <c r="T1137" i="5" a="1"/>
  <c r="T1137" i="5" s="1"/>
  <c r="T1138" i="5" a="1"/>
  <c r="T1138" i="5" s="1"/>
  <c r="T1139" i="5" a="1"/>
  <c r="T1139" i="5" s="1"/>
  <c r="T1140" i="5" a="1"/>
  <c r="T1140" i="5" s="1"/>
  <c r="T1141" i="5" a="1"/>
  <c r="T1141" i="5" s="1"/>
  <c r="T1142" i="5" a="1"/>
  <c r="T1142" i="5" s="1"/>
  <c r="T1143" i="5" a="1"/>
  <c r="T1143" i="5" s="1"/>
  <c r="T1144" i="5" a="1"/>
  <c r="T1144" i="5" s="1"/>
  <c r="T1145" i="5" a="1"/>
  <c r="T1145" i="5"/>
  <c r="T1146" i="5" a="1"/>
  <c r="T1146" i="5" s="1"/>
  <c r="T1147" i="5" a="1"/>
  <c r="T1147" i="5" s="1"/>
  <c r="T1148" i="5" a="1"/>
  <c r="T1148" i="5" s="1"/>
  <c r="T1149" i="5" a="1"/>
  <c r="T1149" i="5" s="1"/>
  <c r="T1150" i="5" a="1"/>
  <c r="T1150" i="5" s="1"/>
  <c r="T1151" i="5" a="1"/>
  <c r="T1151" i="5" s="1"/>
  <c r="T1152" i="5" a="1"/>
  <c r="T1152" i="5" s="1"/>
  <c r="T1153" i="5" a="1"/>
  <c r="T1153" i="5" s="1"/>
  <c r="T1154" i="5" a="1"/>
  <c r="T1154" i="5" s="1"/>
  <c r="T1155" i="5" a="1"/>
  <c r="T1155" i="5" s="1"/>
  <c r="T1156" i="5" a="1"/>
  <c r="T1156" i="5" s="1"/>
  <c r="T1157" i="5" a="1"/>
  <c r="T1157" i="5" s="1"/>
  <c r="T1158" i="5" a="1"/>
  <c r="T1158" i="5" s="1"/>
  <c r="T1159" i="5" a="1"/>
  <c r="T1159" i="5" s="1"/>
  <c r="T1160" i="5" a="1"/>
  <c r="T1160" i="5" s="1"/>
  <c r="T1161" i="5" a="1"/>
  <c r="T1161" i="5" s="1"/>
  <c r="T1162" i="5" a="1"/>
  <c r="T1162" i="5" s="1"/>
  <c r="T1163" i="5" a="1"/>
  <c r="T1163" i="5" s="1"/>
  <c r="T1164" i="5" a="1"/>
  <c r="T1164" i="5" s="1"/>
  <c r="T1165" i="5" a="1"/>
  <c r="T1165" i="5" s="1"/>
  <c r="T1166" i="5" a="1"/>
  <c r="T1166" i="5" s="1"/>
  <c r="T2" i="5" a="1"/>
  <c r="T2" i="5" s="1"/>
  <c r="O3" i="5" a="1"/>
  <c r="O3" i="5" s="1"/>
  <c r="O4" i="5" a="1"/>
  <c r="O4" i="5" s="1"/>
  <c r="O5" i="5" a="1"/>
  <c r="O5" i="5" s="1"/>
  <c r="O6" i="5" a="1"/>
  <c r="O6" i="5" s="1"/>
  <c r="O7" i="5" a="1"/>
  <c r="O7" i="5" s="1"/>
  <c r="O8" i="5" a="1"/>
  <c r="O8" i="5" s="1"/>
  <c r="O9" i="5" a="1"/>
  <c r="O9" i="5" s="1"/>
  <c r="O10" i="5" a="1"/>
  <c r="O10" i="5" s="1"/>
  <c r="O11" i="5" a="1"/>
  <c r="O11" i="5" s="1"/>
  <c r="O12" i="5" a="1"/>
  <c r="O12" i="5" s="1"/>
  <c r="O13" i="5" a="1"/>
  <c r="O13" i="5" s="1"/>
  <c r="O14" i="5" a="1"/>
  <c r="O14" i="5" s="1"/>
  <c r="O15" i="5" a="1"/>
  <c r="O15" i="5" s="1"/>
  <c r="O16" i="5" a="1"/>
  <c r="O16" i="5" s="1"/>
  <c r="O17" i="5" a="1"/>
  <c r="O17" i="5" s="1"/>
  <c r="O18" i="5" a="1"/>
  <c r="O18" i="5" s="1"/>
  <c r="O19" i="5" a="1"/>
  <c r="O19" i="5" s="1"/>
  <c r="O20" i="5" a="1"/>
  <c r="O20" i="5" s="1"/>
  <c r="O21" i="5" a="1"/>
  <c r="O21" i="5" s="1"/>
  <c r="O22" i="5" a="1"/>
  <c r="O22" i="5" s="1"/>
  <c r="O23" i="5" a="1"/>
  <c r="O23" i="5" s="1"/>
  <c r="O24" i="5" a="1"/>
  <c r="O24" i="5" s="1"/>
  <c r="O25" i="5" a="1"/>
  <c r="O25" i="5" s="1"/>
  <c r="O26" i="5" a="1"/>
  <c r="O26" i="5" s="1"/>
  <c r="O27" i="5" a="1"/>
  <c r="O27" i="5" s="1"/>
  <c r="O28" i="5" a="1"/>
  <c r="O28" i="5" s="1"/>
  <c r="O29" i="5" a="1"/>
  <c r="O29" i="5" s="1"/>
  <c r="O30" i="5" a="1"/>
  <c r="O30" i="5" s="1"/>
  <c r="O31" i="5" a="1"/>
  <c r="O31" i="5" s="1"/>
  <c r="O32" i="5" a="1"/>
  <c r="O32" i="5" s="1"/>
  <c r="O33" i="5" a="1"/>
  <c r="O33" i="5" s="1"/>
  <c r="O34" i="5" a="1"/>
  <c r="O34" i="5" s="1"/>
  <c r="O35" i="5" a="1"/>
  <c r="O35" i="5" s="1"/>
  <c r="O36" i="5" a="1"/>
  <c r="O36" i="5" s="1"/>
  <c r="O37" i="5" a="1"/>
  <c r="O37" i="5" s="1"/>
  <c r="O38" i="5" a="1"/>
  <c r="O38" i="5" s="1"/>
  <c r="O39" i="5" a="1"/>
  <c r="O39" i="5" s="1"/>
  <c r="O40" i="5" a="1"/>
  <c r="O40" i="5" s="1"/>
  <c r="O41" i="5" a="1"/>
  <c r="O41" i="5" s="1"/>
  <c r="O42" i="5" a="1"/>
  <c r="O42" i="5" s="1"/>
  <c r="O43" i="5" a="1"/>
  <c r="O43" i="5" s="1"/>
  <c r="O44" i="5" a="1"/>
  <c r="O44" i="5" s="1"/>
  <c r="O45" i="5" a="1"/>
  <c r="O45" i="5" s="1"/>
  <c r="O46" i="5" a="1"/>
  <c r="O46" i="5" s="1"/>
  <c r="O47" i="5" a="1"/>
  <c r="O47" i="5" s="1"/>
  <c r="O48" i="5" a="1"/>
  <c r="O48" i="5" s="1"/>
  <c r="O49" i="5" a="1"/>
  <c r="O49" i="5" s="1"/>
  <c r="O50" i="5" a="1"/>
  <c r="O50" i="5" s="1"/>
  <c r="O51" i="5" a="1"/>
  <c r="O51" i="5" s="1"/>
  <c r="O52" i="5" a="1"/>
  <c r="O52" i="5" s="1"/>
  <c r="O53" i="5" a="1"/>
  <c r="O53" i="5" s="1"/>
  <c r="O54" i="5" a="1"/>
  <c r="O54" i="5" s="1"/>
  <c r="O55" i="5" a="1"/>
  <c r="O55" i="5" s="1"/>
  <c r="O56" i="5" a="1"/>
  <c r="O56" i="5" s="1"/>
  <c r="O57" i="5" a="1"/>
  <c r="O57" i="5" s="1"/>
  <c r="O58" i="5" a="1"/>
  <c r="O58" i="5" s="1"/>
  <c r="O59" i="5" a="1"/>
  <c r="O59" i="5" s="1"/>
  <c r="O60" i="5" a="1"/>
  <c r="O60" i="5" s="1"/>
  <c r="O61" i="5" a="1"/>
  <c r="O61" i="5" s="1"/>
  <c r="O62" i="5" a="1"/>
  <c r="O62" i="5" s="1"/>
  <c r="O63" i="5" a="1"/>
  <c r="O63" i="5" s="1"/>
  <c r="O64" i="5" a="1"/>
  <c r="O64" i="5" s="1"/>
  <c r="O65" i="5" a="1"/>
  <c r="O65" i="5" s="1"/>
  <c r="O66" i="5" a="1"/>
  <c r="O66" i="5" s="1"/>
  <c r="O67" i="5" a="1"/>
  <c r="O67" i="5" s="1"/>
  <c r="O68" i="5" a="1"/>
  <c r="O68" i="5" s="1"/>
  <c r="O69" i="5" a="1"/>
  <c r="O69" i="5" s="1"/>
  <c r="O70" i="5" a="1"/>
  <c r="O70" i="5" s="1"/>
  <c r="O71" i="5" a="1"/>
  <c r="O71" i="5" s="1"/>
  <c r="O72" i="5" a="1"/>
  <c r="O72" i="5" s="1"/>
  <c r="O73" i="5" a="1"/>
  <c r="O73" i="5" s="1"/>
  <c r="O74" i="5" a="1"/>
  <c r="O74" i="5" s="1"/>
  <c r="O75" i="5" a="1"/>
  <c r="O75" i="5" s="1"/>
  <c r="O76" i="5" a="1"/>
  <c r="O76" i="5" s="1"/>
  <c r="O77" i="5" a="1"/>
  <c r="O77" i="5" s="1"/>
  <c r="O78" i="5" a="1"/>
  <c r="O78" i="5" s="1"/>
  <c r="O79" i="5" a="1"/>
  <c r="O79" i="5" s="1"/>
  <c r="O80" i="5" a="1"/>
  <c r="O80" i="5" s="1"/>
  <c r="O81" i="5" a="1"/>
  <c r="O81" i="5" s="1"/>
  <c r="O82" i="5" a="1"/>
  <c r="O82" i="5" s="1"/>
  <c r="O83" i="5" a="1"/>
  <c r="O83" i="5" s="1"/>
  <c r="O84" i="5" a="1"/>
  <c r="O84" i="5" s="1"/>
  <c r="O85" i="5" a="1"/>
  <c r="O85" i="5" s="1"/>
  <c r="O86" i="5" a="1"/>
  <c r="O86" i="5" s="1"/>
  <c r="O87" i="5" a="1"/>
  <c r="O87" i="5" s="1"/>
  <c r="O88" i="5" a="1"/>
  <c r="O88" i="5" s="1"/>
  <c r="O89" i="5" a="1"/>
  <c r="O89" i="5" s="1"/>
  <c r="O90" i="5" a="1"/>
  <c r="O90" i="5" s="1"/>
  <c r="O91" i="5" a="1"/>
  <c r="O91" i="5" s="1"/>
  <c r="O92" i="5" a="1"/>
  <c r="O92" i="5" s="1"/>
  <c r="O93" i="5" a="1"/>
  <c r="O93" i="5" s="1"/>
  <c r="O94" i="5" a="1"/>
  <c r="O94" i="5" s="1"/>
  <c r="O95" i="5" a="1"/>
  <c r="O95" i="5" s="1"/>
  <c r="O96" i="5" a="1"/>
  <c r="O96" i="5" s="1"/>
  <c r="O97" i="5" a="1"/>
  <c r="O97" i="5" s="1"/>
  <c r="O98" i="5" a="1"/>
  <c r="O98" i="5" s="1"/>
  <c r="O99" i="5" a="1"/>
  <c r="O99" i="5" s="1"/>
  <c r="O100" i="5" a="1"/>
  <c r="O100" i="5" s="1"/>
  <c r="O101" i="5" a="1"/>
  <c r="O101" i="5" s="1"/>
  <c r="O102" i="5" a="1"/>
  <c r="O102" i="5" s="1"/>
  <c r="O103" i="5" a="1"/>
  <c r="O103" i="5" s="1"/>
  <c r="O104" i="5" a="1"/>
  <c r="O104" i="5" s="1"/>
  <c r="O105" i="5" a="1"/>
  <c r="O105" i="5" s="1"/>
  <c r="O106" i="5" a="1"/>
  <c r="O106" i="5" s="1"/>
  <c r="O107" i="5" a="1"/>
  <c r="O107" i="5" s="1"/>
  <c r="O108" i="5" a="1"/>
  <c r="O108" i="5" s="1"/>
  <c r="O109" i="5" a="1"/>
  <c r="O109" i="5" s="1"/>
  <c r="O110" i="5" a="1"/>
  <c r="O110" i="5" s="1"/>
  <c r="O111" i="5" a="1"/>
  <c r="O111" i="5" s="1"/>
  <c r="O112" i="5" a="1"/>
  <c r="O112" i="5" s="1"/>
  <c r="O113" i="5" a="1"/>
  <c r="O113" i="5" s="1"/>
  <c r="O114" i="5" a="1"/>
  <c r="O114" i="5" s="1"/>
  <c r="O115" i="5" a="1"/>
  <c r="O115" i="5" s="1"/>
  <c r="O116" i="5" a="1"/>
  <c r="O116" i="5" s="1"/>
  <c r="O117" i="5" a="1"/>
  <c r="O117" i="5" s="1"/>
  <c r="O118" i="5" a="1"/>
  <c r="O118" i="5" s="1"/>
  <c r="O119" i="5" a="1"/>
  <c r="O119" i="5" s="1"/>
  <c r="O120" i="5" a="1"/>
  <c r="O120" i="5" s="1"/>
  <c r="O121" i="5" a="1"/>
  <c r="O121" i="5" s="1"/>
  <c r="O122" i="5" a="1"/>
  <c r="O122" i="5" s="1"/>
  <c r="O123" i="5" a="1"/>
  <c r="O123" i="5" s="1"/>
  <c r="O124" i="5" a="1"/>
  <c r="O124" i="5" s="1"/>
  <c r="O125" i="5" a="1"/>
  <c r="O125" i="5" s="1"/>
  <c r="O126" i="5" a="1"/>
  <c r="O126" i="5" s="1"/>
  <c r="O127" i="5" a="1"/>
  <c r="O127" i="5" s="1"/>
  <c r="O128" i="5" a="1"/>
  <c r="O128" i="5" s="1"/>
  <c r="O129" i="5" a="1"/>
  <c r="O129" i="5" s="1"/>
  <c r="O130" i="5" a="1"/>
  <c r="O130" i="5" s="1"/>
  <c r="O131" i="5" a="1"/>
  <c r="O131" i="5" s="1"/>
  <c r="O132" i="5" a="1"/>
  <c r="O132" i="5" s="1"/>
  <c r="O133" i="5" a="1"/>
  <c r="O133" i="5" s="1"/>
  <c r="O134" i="5" a="1"/>
  <c r="O134" i="5" s="1"/>
  <c r="O135" i="5" a="1"/>
  <c r="O135" i="5" s="1"/>
  <c r="O136" i="5" a="1"/>
  <c r="O136" i="5" s="1"/>
  <c r="O137" i="5" a="1"/>
  <c r="O137" i="5" s="1"/>
  <c r="O138" i="5" a="1"/>
  <c r="O138" i="5" s="1"/>
  <c r="O139" i="5" a="1"/>
  <c r="O139" i="5" s="1"/>
  <c r="O140" i="5" a="1"/>
  <c r="O140" i="5" s="1"/>
  <c r="O141" i="5" a="1"/>
  <c r="O141" i="5" s="1"/>
  <c r="O142" i="5" a="1"/>
  <c r="O142" i="5" s="1"/>
  <c r="O143" i="5" a="1"/>
  <c r="O143" i="5" s="1"/>
  <c r="O144" i="5" a="1"/>
  <c r="O144" i="5" s="1"/>
  <c r="O145" i="5" a="1"/>
  <c r="O145" i="5" s="1"/>
  <c r="O146" i="5" a="1"/>
  <c r="O146" i="5" s="1"/>
  <c r="O147" i="5" a="1"/>
  <c r="O147" i="5" s="1"/>
  <c r="O148" i="5" a="1"/>
  <c r="O148" i="5" s="1"/>
  <c r="O149" i="5" a="1"/>
  <c r="O149" i="5" s="1"/>
  <c r="O150" i="5" a="1"/>
  <c r="O150" i="5" s="1"/>
  <c r="O151" i="5" a="1"/>
  <c r="O151" i="5" s="1"/>
  <c r="O152" i="5" a="1"/>
  <c r="O152" i="5" s="1"/>
  <c r="O153" i="5" a="1"/>
  <c r="O153" i="5" s="1"/>
  <c r="O154" i="5" a="1"/>
  <c r="O154" i="5" s="1"/>
  <c r="O155" i="5" a="1"/>
  <c r="O155" i="5" s="1"/>
  <c r="O156" i="5" a="1"/>
  <c r="O156" i="5" s="1"/>
  <c r="O157" i="5" a="1"/>
  <c r="O157" i="5" s="1"/>
  <c r="O158" i="5" a="1"/>
  <c r="O158" i="5" s="1"/>
  <c r="O159" i="5" a="1"/>
  <c r="O159" i="5" s="1"/>
  <c r="O160" i="5" a="1"/>
  <c r="O160" i="5" s="1"/>
  <c r="O161" i="5" a="1"/>
  <c r="O161" i="5" s="1"/>
  <c r="O162" i="5" a="1"/>
  <c r="O162" i="5" s="1"/>
  <c r="O163" i="5" a="1"/>
  <c r="O163" i="5" s="1"/>
  <c r="O164" i="5" a="1"/>
  <c r="O164" i="5" s="1"/>
  <c r="O165" i="5" a="1"/>
  <c r="O165" i="5" s="1"/>
  <c r="O166" i="5" a="1"/>
  <c r="O166" i="5" s="1"/>
  <c r="O167" i="5" a="1"/>
  <c r="O167" i="5" s="1"/>
  <c r="O168" i="5" a="1"/>
  <c r="O168" i="5" s="1"/>
  <c r="O169" i="5" a="1"/>
  <c r="O169" i="5" s="1"/>
  <c r="O170" i="5" a="1"/>
  <c r="O170" i="5" s="1"/>
  <c r="O171" i="5" a="1"/>
  <c r="O171" i="5" s="1"/>
  <c r="O172" i="5" a="1"/>
  <c r="O172" i="5" s="1"/>
  <c r="O173" i="5" a="1"/>
  <c r="O173" i="5" s="1"/>
  <c r="O174" i="5" a="1"/>
  <c r="O174" i="5" s="1"/>
  <c r="O175" i="5" a="1"/>
  <c r="O175" i="5" s="1"/>
  <c r="O176" i="5" a="1"/>
  <c r="O176" i="5" s="1"/>
  <c r="O177" i="5" a="1"/>
  <c r="O177" i="5" s="1"/>
  <c r="O178" i="5" a="1"/>
  <c r="O178" i="5" s="1"/>
  <c r="O179" i="5" a="1"/>
  <c r="O179" i="5" s="1"/>
  <c r="O180" i="5" a="1"/>
  <c r="O180" i="5" s="1"/>
  <c r="O181" i="5" a="1"/>
  <c r="O181" i="5" s="1"/>
  <c r="O182" i="5" a="1"/>
  <c r="O182" i="5" s="1"/>
  <c r="O183" i="5" a="1"/>
  <c r="O183" i="5" s="1"/>
  <c r="O184" i="5" a="1"/>
  <c r="O184" i="5" s="1"/>
  <c r="O185" i="5" a="1"/>
  <c r="O185" i="5" s="1"/>
  <c r="O186" i="5" a="1"/>
  <c r="O186" i="5" s="1"/>
  <c r="O187" i="5" a="1"/>
  <c r="O187" i="5" s="1"/>
  <c r="O188" i="5" a="1"/>
  <c r="O188" i="5" s="1"/>
  <c r="O189" i="5" a="1"/>
  <c r="O189" i="5" s="1"/>
  <c r="O190" i="5" a="1"/>
  <c r="O190" i="5" s="1"/>
  <c r="O191" i="5" a="1"/>
  <c r="O191" i="5" s="1"/>
  <c r="O192" i="5" a="1"/>
  <c r="O192" i="5" s="1"/>
  <c r="O193" i="5" a="1"/>
  <c r="O193" i="5" s="1"/>
  <c r="O194" i="5" a="1"/>
  <c r="O194" i="5" s="1"/>
  <c r="O195" i="5" a="1"/>
  <c r="O195" i="5" s="1"/>
  <c r="O196" i="5" a="1"/>
  <c r="O196" i="5" s="1"/>
  <c r="O197" i="5" a="1"/>
  <c r="O197" i="5" s="1"/>
  <c r="O198" i="5" a="1"/>
  <c r="O198" i="5" s="1"/>
  <c r="O199" i="5" a="1"/>
  <c r="O199" i="5" s="1"/>
  <c r="O200" i="5" a="1"/>
  <c r="O200" i="5" s="1"/>
  <c r="O201" i="5" a="1"/>
  <c r="O201" i="5" s="1"/>
  <c r="O202" i="5" a="1"/>
  <c r="O202" i="5" s="1"/>
  <c r="O203" i="5" a="1"/>
  <c r="O203" i="5" s="1"/>
  <c r="O204" i="5" a="1"/>
  <c r="O204" i="5" s="1"/>
  <c r="O205" i="5" a="1"/>
  <c r="O205" i="5" s="1"/>
  <c r="O206" i="5" a="1"/>
  <c r="O206" i="5" s="1"/>
  <c r="O207" i="5" a="1"/>
  <c r="O207" i="5" s="1"/>
  <c r="O208" i="5" a="1"/>
  <c r="O208" i="5" s="1"/>
  <c r="O209" i="5" a="1"/>
  <c r="O209" i="5" s="1"/>
  <c r="O210" i="5" a="1"/>
  <c r="O210" i="5" s="1"/>
  <c r="O211" i="5" a="1"/>
  <c r="O211" i="5" s="1"/>
  <c r="O212" i="5" a="1"/>
  <c r="O212" i="5" s="1"/>
  <c r="O213" i="5" a="1"/>
  <c r="O213" i="5" s="1"/>
  <c r="O214" i="5" a="1"/>
  <c r="O214" i="5" s="1"/>
  <c r="O215" i="5" a="1"/>
  <c r="O215" i="5" s="1"/>
  <c r="O216" i="5" a="1"/>
  <c r="O216" i="5" s="1"/>
  <c r="O217" i="5" a="1"/>
  <c r="O217" i="5" s="1"/>
  <c r="O218" i="5" a="1"/>
  <c r="O218" i="5" s="1"/>
  <c r="O219" i="5" a="1"/>
  <c r="O219" i="5" s="1"/>
  <c r="O220" i="5" a="1"/>
  <c r="O220" i="5" s="1"/>
  <c r="O221" i="5" a="1"/>
  <c r="O221" i="5" s="1"/>
  <c r="O222" i="5" a="1"/>
  <c r="O222" i="5" s="1"/>
  <c r="O223" i="5" a="1"/>
  <c r="O223" i="5" s="1"/>
  <c r="O224" i="5" a="1"/>
  <c r="O224" i="5" s="1"/>
  <c r="O225" i="5" a="1"/>
  <c r="O225" i="5" s="1"/>
  <c r="O226" i="5" a="1"/>
  <c r="O226" i="5" s="1"/>
  <c r="O227" i="5" a="1"/>
  <c r="O227" i="5" s="1"/>
  <c r="O228" i="5" a="1"/>
  <c r="O228" i="5" s="1"/>
  <c r="O229" i="5" a="1"/>
  <c r="O229" i="5" s="1"/>
  <c r="O230" i="5" a="1"/>
  <c r="O230" i="5" s="1"/>
  <c r="O231" i="5" a="1"/>
  <c r="O231" i="5" s="1"/>
  <c r="O232" i="5" a="1"/>
  <c r="O232" i="5" s="1"/>
  <c r="O233" i="5" a="1"/>
  <c r="O233" i="5" s="1"/>
  <c r="O234" i="5" a="1"/>
  <c r="O234" i="5" s="1"/>
  <c r="O235" i="5" a="1"/>
  <c r="O235" i="5" s="1"/>
  <c r="O236" i="5" a="1"/>
  <c r="O236" i="5" s="1"/>
  <c r="O237" i="5" a="1"/>
  <c r="O237" i="5" s="1"/>
  <c r="O238" i="5" a="1"/>
  <c r="O238" i="5" s="1"/>
  <c r="O239" i="5" a="1"/>
  <c r="O239" i="5" s="1"/>
  <c r="O240" i="5" a="1"/>
  <c r="O240" i="5" s="1"/>
  <c r="O241" i="5" a="1"/>
  <c r="O241" i="5" s="1"/>
  <c r="O242" i="5" a="1"/>
  <c r="O242" i="5" s="1"/>
  <c r="O243" i="5" a="1"/>
  <c r="O243" i="5" s="1"/>
  <c r="O244" i="5" a="1"/>
  <c r="O244" i="5" s="1"/>
  <c r="O245" i="5" a="1"/>
  <c r="O245" i="5" s="1"/>
  <c r="O246" i="5" a="1"/>
  <c r="O246" i="5" s="1"/>
  <c r="O247" i="5" a="1"/>
  <c r="O247" i="5" s="1"/>
  <c r="O248" i="5" a="1"/>
  <c r="O248" i="5" s="1"/>
  <c r="O249" i="5" a="1"/>
  <c r="O249" i="5" s="1"/>
  <c r="O250" i="5" a="1"/>
  <c r="O250" i="5" s="1"/>
  <c r="O251" i="5" a="1"/>
  <c r="O251" i="5" s="1"/>
  <c r="O252" i="5" a="1"/>
  <c r="O252" i="5" s="1"/>
  <c r="O253" i="5" a="1"/>
  <c r="O253" i="5" s="1"/>
  <c r="O254" i="5" a="1"/>
  <c r="O254" i="5" s="1"/>
  <c r="O255" i="5" a="1"/>
  <c r="O255" i="5" s="1"/>
  <c r="O256" i="5" a="1"/>
  <c r="O256" i="5" s="1"/>
  <c r="O257" i="5" a="1"/>
  <c r="O257" i="5" s="1"/>
  <c r="O258" i="5" a="1"/>
  <c r="O258" i="5" s="1"/>
  <c r="O259" i="5" a="1"/>
  <c r="O259" i="5" s="1"/>
  <c r="O260" i="5" a="1"/>
  <c r="O260" i="5" s="1"/>
  <c r="O261" i="5" a="1"/>
  <c r="O261" i="5" s="1"/>
  <c r="O262" i="5" a="1"/>
  <c r="O262" i="5" s="1"/>
  <c r="O263" i="5" a="1"/>
  <c r="O263" i="5" s="1"/>
  <c r="O264" i="5" a="1"/>
  <c r="O264" i="5" s="1"/>
  <c r="O265" i="5" a="1"/>
  <c r="O265" i="5" s="1"/>
  <c r="O266" i="5" a="1"/>
  <c r="O266" i="5" s="1"/>
  <c r="O267" i="5" a="1"/>
  <c r="O267" i="5" s="1"/>
  <c r="O268" i="5" a="1"/>
  <c r="O268" i="5" s="1"/>
  <c r="O269" i="5" a="1"/>
  <c r="O269" i="5" s="1"/>
  <c r="O270" i="5" a="1"/>
  <c r="O270" i="5" s="1"/>
  <c r="O271" i="5" a="1"/>
  <c r="O271" i="5" s="1"/>
  <c r="O272" i="5" a="1"/>
  <c r="O272" i="5" s="1"/>
  <c r="O273" i="5" a="1"/>
  <c r="O273" i="5" s="1"/>
  <c r="O274" i="5" a="1"/>
  <c r="O274" i="5" s="1"/>
  <c r="O275" i="5" a="1"/>
  <c r="O275" i="5" s="1"/>
  <c r="O276" i="5" a="1"/>
  <c r="O276" i="5" s="1"/>
  <c r="O277" i="5" a="1"/>
  <c r="O277" i="5" s="1"/>
  <c r="O278" i="5" a="1"/>
  <c r="O278" i="5" s="1"/>
  <c r="O279" i="5" a="1"/>
  <c r="O279" i="5" s="1"/>
  <c r="O280" i="5" a="1"/>
  <c r="O280" i="5" s="1"/>
  <c r="O281" i="5" a="1"/>
  <c r="O281" i="5" s="1"/>
  <c r="O282" i="5" a="1"/>
  <c r="O282" i="5" s="1"/>
  <c r="O283" i="5" a="1"/>
  <c r="O283" i="5" s="1"/>
  <c r="O284" i="5" a="1"/>
  <c r="O284" i="5" s="1"/>
  <c r="O285" i="5" a="1"/>
  <c r="O285" i="5" s="1"/>
  <c r="O286" i="5" a="1"/>
  <c r="O286" i="5" s="1"/>
  <c r="O287" i="5" a="1"/>
  <c r="O287" i="5" s="1"/>
  <c r="O288" i="5" a="1"/>
  <c r="O288" i="5" s="1"/>
  <c r="O289" i="5" a="1"/>
  <c r="O289" i="5" s="1"/>
  <c r="O290" i="5" a="1"/>
  <c r="O290" i="5" s="1"/>
  <c r="O291" i="5" a="1"/>
  <c r="O291" i="5" s="1"/>
  <c r="O292" i="5" a="1"/>
  <c r="O292" i="5" s="1"/>
  <c r="O293" i="5" a="1"/>
  <c r="O293" i="5" s="1"/>
  <c r="O294" i="5" a="1"/>
  <c r="O294" i="5" s="1"/>
  <c r="O295" i="5" a="1"/>
  <c r="O295" i="5" s="1"/>
  <c r="O296" i="5" a="1"/>
  <c r="O296" i="5" s="1"/>
  <c r="O297" i="5" a="1"/>
  <c r="O297" i="5" s="1"/>
  <c r="O298" i="5" a="1"/>
  <c r="O298" i="5" s="1"/>
  <c r="O299" i="5" a="1"/>
  <c r="O299" i="5" s="1"/>
  <c r="O300" i="5" a="1"/>
  <c r="O300" i="5" s="1"/>
  <c r="O301" i="5" a="1"/>
  <c r="O301" i="5" s="1"/>
  <c r="O302" i="5" a="1"/>
  <c r="O302" i="5" s="1"/>
  <c r="O303" i="5" a="1"/>
  <c r="O303" i="5" s="1"/>
  <c r="O304" i="5" a="1"/>
  <c r="O304" i="5" s="1"/>
  <c r="O305" i="5" a="1"/>
  <c r="O305" i="5" s="1"/>
  <c r="O306" i="5" a="1"/>
  <c r="O306" i="5" s="1"/>
  <c r="O307" i="5" a="1"/>
  <c r="O307" i="5" s="1"/>
  <c r="O308" i="5" a="1"/>
  <c r="O308" i="5" s="1"/>
  <c r="O309" i="5" a="1"/>
  <c r="O309" i="5" s="1"/>
  <c r="O310" i="5" a="1"/>
  <c r="O310" i="5" s="1"/>
  <c r="O311" i="5" a="1"/>
  <c r="O311" i="5" s="1"/>
  <c r="O312" i="5" a="1"/>
  <c r="O312" i="5" s="1"/>
  <c r="O313" i="5" a="1"/>
  <c r="O313" i="5" s="1"/>
  <c r="O314" i="5" a="1"/>
  <c r="O314" i="5" s="1"/>
  <c r="O315" i="5" a="1"/>
  <c r="O315" i="5" s="1"/>
  <c r="O316" i="5" a="1"/>
  <c r="O316" i="5" s="1"/>
  <c r="O317" i="5" a="1"/>
  <c r="O317" i="5" s="1"/>
  <c r="O318" i="5" a="1"/>
  <c r="O318" i="5" s="1"/>
  <c r="O319" i="5" a="1"/>
  <c r="O319" i="5" s="1"/>
  <c r="O320" i="5" a="1"/>
  <c r="O320" i="5" s="1"/>
  <c r="O321" i="5" a="1"/>
  <c r="O321" i="5" s="1"/>
  <c r="O322" i="5" a="1"/>
  <c r="O322" i="5" s="1"/>
  <c r="O323" i="5" a="1"/>
  <c r="O323" i="5" s="1"/>
  <c r="O324" i="5" a="1"/>
  <c r="O324" i="5" s="1"/>
  <c r="O325" i="5" a="1"/>
  <c r="O325" i="5" s="1"/>
  <c r="O326" i="5" a="1"/>
  <c r="O326" i="5" s="1"/>
  <c r="O327" i="5" a="1"/>
  <c r="O327" i="5" s="1"/>
  <c r="O328" i="5" a="1"/>
  <c r="O328" i="5" s="1"/>
  <c r="O329" i="5" a="1"/>
  <c r="O329" i="5" s="1"/>
  <c r="O330" i="5" a="1"/>
  <c r="O330" i="5" s="1"/>
  <c r="O331" i="5" a="1"/>
  <c r="O331" i="5" s="1"/>
  <c r="O332" i="5" a="1"/>
  <c r="O332" i="5" s="1"/>
  <c r="O333" i="5" a="1"/>
  <c r="O333" i="5" s="1"/>
  <c r="O334" i="5" a="1"/>
  <c r="O334" i="5" s="1"/>
  <c r="O335" i="5" a="1"/>
  <c r="O335" i="5" s="1"/>
  <c r="O336" i="5" a="1"/>
  <c r="O336" i="5" s="1"/>
  <c r="O337" i="5" a="1"/>
  <c r="O337" i="5" s="1"/>
  <c r="O338" i="5" a="1"/>
  <c r="O338" i="5" s="1"/>
  <c r="O339" i="5" a="1"/>
  <c r="O339" i="5" s="1"/>
  <c r="O340" i="5" a="1"/>
  <c r="O340" i="5" s="1"/>
  <c r="O341" i="5" a="1"/>
  <c r="O341" i="5" s="1"/>
  <c r="O342" i="5" a="1"/>
  <c r="O342" i="5" s="1"/>
  <c r="O343" i="5" a="1"/>
  <c r="O343" i="5" s="1"/>
  <c r="O344" i="5" a="1"/>
  <c r="O344" i="5" s="1"/>
  <c r="O345" i="5" a="1"/>
  <c r="O345" i="5" s="1"/>
  <c r="O346" i="5" a="1"/>
  <c r="O346" i="5" s="1"/>
  <c r="O347" i="5" a="1"/>
  <c r="O347" i="5" s="1"/>
  <c r="O348" i="5" a="1"/>
  <c r="O348" i="5" s="1"/>
  <c r="O349" i="5" a="1"/>
  <c r="O349" i="5" s="1"/>
  <c r="O350" i="5" a="1"/>
  <c r="O350" i="5" s="1"/>
  <c r="O351" i="5" a="1"/>
  <c r="O351" i="5" s="1"/>
  <c r="O352" i="5" a="1"/>
  <c r="O352" i="5" s="1"/>
  <c r="O353" i="5" a="1"/>
  <c r="O353" i="5" s="1"/>
  <c r="O354" i="5" a="1"/>
  <c r="O354" i="5" s="1"/>
  <c r="O355" i="5" a="1"/>
  <c r="O355" i="5" s="1"/>
  <c r="O356" i="5" a="1"/>
  <c r="O356" i="5" s="1"/>
  <c r="O357" i="5" a="1"/>
  <c r="O357" i="5" s="1"/>
  <c r="O358" i="5" a="1"/>
  <c r="O358" i="5" s="1"/>
  <c r="O359" i="5" a="1"/>
  <c r="O359" i="5" s="1"/>
  <c r="O360" i="5" a="1"/>
  <c r="O360" i="5" s="1"/>
  <c r="O361" i="5" a="1"/>
  <c r="O361" i="5" s="1"/>
  <c r="O362" i="5" a="1"/>
  <c r="O362" i="5" s="1"/>
  <c r="O363" i="5" a="1"/>
  <c r="O363" i="5" s="1"/>
  <c r="O364" i="5" a="1"/>
  <c r="O364" i="5" s="1"/>
  <c r="O365" i="5" a="1"/>
  <c r="O365" i="5" s="1"/>
  <c r="O366" i="5" a="1"/>
  <c r="O366" i="5" s="1"/>
  <c r="O367" i="5" a="1"/>
  <c r="O367" i="5" s="1"/>
  <c r="O368" i="5" a="1"/>
  <c r="O368" i="5" s="1"/>
  <c r="O369" i="5" a="1"/>
  <c r="O369" i="5" s="1"/>
  <c r="O370" i="5" a="1"/>
  <c r="O370" i="5" s="1"/>
  <c r="O371" i="5" a="1"/>
  <c r="O371" i="5" s="1"/>
  <c r="O372" i="5" a="1"/>
  <c r="O372" i="5" s="1"/>
  <c r="O373" i="5" a="1"/>
  <c r="O373" i="5" s="1"/>
  <c r="O374" i="5" a="1"/>
  <c r="O374" i="5" s="1"/>
  <c r="O375" i="5" a="1"/>
  <c r="O375" i="5" s="1"/>
  <c r="O376" i="5" a="1"/>
  <c r="O376" i="5" s="1"/>
  <c r="O377" i="5" a="1"/>
  <c r="O377" i="5" s="1"/>
  <c r="O378" i="5" a="1"/>
  <c r="O378" i="5" s="1"/>
  <c r="O379" i="5" a="1"/>
  <c r="O379" i="5" s="1"/>
  <c r="O380" i="5" a="1"/>
  <c r="O380" i="5" s="1"/>
  <c r="O381" i="5" a="1"/>
  <c r="O381" i="5" s="1"/>
  <c r="O382" i="5" a="1"/>
  <c r="O382" i="5" s="1"/>
  <c r="O383" i="5" a="1"/>
  <c r="O383" i="5" s="1"/>
  <c r="O384" i="5" a="1"/>
  <c r="O384" i="5" s="1"/>
  <c r="O385" i="5" a="1"/>
  <c r="O385" i="5" s="1"/>
  <c r="O386" i="5" a="1"/>
  <c r="O386" i="5" s="1"/>
  <c r="O387" i="5" a="1"/>
  <c r="O387" i="5" s="1"/>
  <c r="O388" i="5" a="1"/>
  <c r="O388" i="5" s="1"/>
  <c r="O389" i="5" a="1"/>
  <c r="O389" i="5" s="1"/>
  <c r="O390" i="5" a="1"/>
  <c r="O390" i="5" s="1"/>
  <c r="O391" i="5" a="1"/>
  <c r="O391" i="5" s="1"/>
  <c r="O392" i="5" a="1"/>
  <c r="O392" i="5" s="1"/>
  <c r="O393" i="5" a="1"/>
  <c r="O393" i="5" s="1"/>
  <c r="O394" i="5" a="1"/>
  <c r="O394" i="5" s="1"/>
  <c r="O395" i="5" a="1"/>
  <c r="O395" i="5" s="1"/>
  <c r="O396" i="5" a="1"/>
  <c r="O396" i="5" s="1"/>
  <c r="O397" i="5" a="1"/>
  <c r="O397" i="5" s="1"/>
  <c r="O398" i="5" a="1"/>
  <c r="O398" i="5" s="1"/>
  <c r="O399" i="5" a="1"/>
  <c r="O399" i="5" s="1"/>
  <c r="O400" i="5" a="1"/>
  <c r="O400" i="5" s="1"/>
  <c r="O401" i="5" a="1"/>
  <c r="O401" i="5" s="1"/>
  <c r="O402" i="5" a="1"/>
  <c r="O402" i="5" s="1"/>
  <c r="O403" i="5" a="1"/>
  <c r="O403" i="5" s="1"/>
  <c r="O404" i="5" a="1"/>
  <c r="O404" i="5" s="1"/>
  <c r="O405" i="5" a="1"/>
  <c r="O405" i="5" s="1"/>
  <c r="O406" i="5" a="1"/>
  <c r="O406" i="5" s="1"/>
  <c r="O407" i="5" a="1"/>
  <c r="O407" i="5" s="1"/>
  <c r="O408" i="5" a="1"/>
  <c r="O408" i="5" s="1"/>
  <c r="O409" i="5" a="1"/>
  <c r="O409" i="5" s="1"/>
  <c r="O410" i="5" a="1"/>
  <c r="O410" i="5" s="1"/>
  <c r="O411" i="5" a="1"/>
  <c r="O411" i="5" s="1"/>
  <c r="O412" i="5" a="1"/>
  <c r="O412" i="5" s="1"/>
  <c r="O413" i="5" a="1"/>
  <c r="O413" i="5" s="1"/>
  <c r="O414" i="5" a="1"/>
  <c r="O414" i="5" s="1"/>
  <c r="O415" i="5" a="1"/>
  <c r="O415" i="5" s="1"/>
  <c r="O416" i="5" a="1"/>
  <c r="O416" i="5" s="1"/>
  <c r="O417" i="5" a="1"/>
  <c r="O417" i="5" s="1"/>
  <c r="O418" i="5" a="1"/>
  <c r="O418" i="5" s="1"/>
  <c r="O419" i="5" a="1"/>
  <c r="O419" i="5" s="1"/>
  <c r="O420" i="5" a="1"/>
  <c r="O420" i="5" s="1"/>
  <c r="O421" i="5" a="1"/>
  <c r="O421" i="5" s="1"/>
  <c r="O422" i="5" a="1"/>
  <c r="O422" i="5" s="1"/>
  <c r="O423" i="5" a="1"/>
  <c r="O423" i="5" s="1"/>
  <c r="O424" i="5" a="1"/>
  <c r="O424" i="5" s="1"/>
  <c r="O425" i="5" a="1"/>
  <c r="O425" i="5" s="1"/>
  <c r="O426" i="5" a="1"/>
  <c r="O426" i="5" s="1"/>
  <c r="O427" i="5" a="1"/>
  <c r="O427" i="5" s="1"/>
  <c r="O428" i="5" a="1"/>
  <c r="O428" i="5" s="1"/>
  <c r="O429" i="5" a="1"/>
  <c r="O429" i="5" s="1"/>
  <c r="O430" i="5" a="1"/>
  <c r="O430" i="5" s="1"/>
  <c r="O431" i="5" a="1"/>
  <c r="O431" i="5" s="1"/>
  <c r="O432" i="5" a="1"/>
  <c r="O432" i="5" s="1"/>
  <c r="O433" i="5" a="1"/>
  <c r="O433" i="5" s="1"/>
  <c r="O434" i="5" a="1"/>
  <c r="O434" i="5" s="1"/>
  <c r="O435" i="5" a="1"/>
  <c r="O435" i="5" s="1"/>
  <c r="O436" i="5" a="1"/>
  <c r="O436" i="5" s="1"/>
  <c r="O437" i="5" a="1"/>
  <c r="O437" i="5" s="1"/>
  <c r="O438" i="5" a="1"/>
  <c r="O438" i="5" s="1"/>
  <c r="O439" i="5" a="1"/>
  <c r="O439" i="5" s="1"/>
  <c r="O440" i="5" a="1"/>
  <c r="O440" i="5" s="1"/>
  <c r="O441" i="5" a="1"/>
  <c r="O441" i="5" s="1"/>
  <c r="O442" i="5" a="1"/>
  <c r="O442" i="5" s="1"/>
  <c r="O443" i="5" a="1"/>
  <c r="O443" i="5" s="1"/>
  <c r="O444" i="5" a="1"/>
  <c r="O444" i="5" s="1"/>
  <c r="O445" i="5" a="1"/>
  <c r="O445" i="5" s="1"/>
  <c r="O446" i="5" a="1"/>
  <c r="O446" i="5" s="1"/>
  <c r="O447" i="5" a="1"/>
  <c r="O447" i="5" s="1"/>
  <c r="O448" i="5" a="1"/>
  <c r="O448" i="5" s="1"/>
  <c r="O449" i="5" a="1"/>
  <c r="O449" i="5" s="1"/>
  <c r="O450" i="5" a="1"/>
  <c r="O450" i="5" s="1"/>
  <c r="O451" i="5" a="1"/>
  <c r="O451" i="5" s="1"/>
  <c r="O452" i="5" a="1"/>
  <c r="O452" i="5" s="1"/>
  <c r="O453" i="5" a="1"/>
  <c r="O453" i="5" s="1"/>
  <c r="O454" i="5" a="1"/>
  <c r="O454" i="5" s="1"/>
  <c r="O455" i="5" a="1"/>
  <c r="O455" i="5" s="1"/>
  <c r="O456" i="5" a="1"/>
  <c r="O456" i="5" s="1"/>
  <c r="O457" i="5" a="1"/>
  <c r="O457" i="5" s="1"/>
  <c r="O458" i="5" a="1"/>
  <c r="O458" i="5" s="1"/>
  <c r="O459" i="5" a="1"/>
  <c r="O459" i="5" s="1"/>
  <c r="O460" i="5" a="1"/>
  <c r="O460" i="5" s="1"/>
  <c r="O461" i="5" a="1"/>
  <c r="O461" i="5" s="1"/>
  <c r="O462" i="5" a="1"/>
  <c r="O462" i="5" s="1"/>
  <c r="O463" i="5" a="1"/>
  <c r="O463" i="5" s="1"/>
  <c r="O464" i="5" a="1"/>
  <c r="O464" i="5" s="1"/>
  <c r="O465" i="5" a="1"/>
  <c r="O465" i="5" s="1"/>
  <c r="O466" i="5" a="1"/>
  <c r="O466" i="5" s="1"/>
  <c r="O467" i="5" a="1"/>
  <c r="O467" i="5" s="1"/>
  <c r="O468" i="5" a="1"/>
  <c r="O468" i="5" s="1"/>
  <c r="O469" i="5" a="1"/>
  <c r="O469" i="5" s="1"/>
  <c r="O470" i="5" a="1"/>
  <c r="O470" i="5" s="1"/>
  <c r="O471" i="5" a="1"/>
  <c r="O471" i="5" s="1"/>
  <c r="O472" i="5" a="1"/>
  <c r="O472" i="5" s="1"/>
  <c r="O473" i="5" a="1"/>
  <c r="O473" i="5" s="1"/>
  <c r="O474" i="5" a="1"/>
  <c r="O474" i="5" s="1"/>
  <c r="O475" i="5" a="1"/>
  <c r="O475" i="5" s="1"/>
  <c r="O476" i="5" a="1"/>
  <c r="O476" i="5" s="1"/>
  <c r="O477" i="5" a="1"/>
  <c r="O477" i="5" s="1"/>
  <c r="O478" i="5" a="1"/>
  <c r="O478" i="5" s="1"/>
  <c r="O479" i="5" a="1"/>
  <c r="O479" i="5" s="1"/>
  <c r="O480" i="5" a="1"/>
  <c r="O480" i="5" s="1"/>
  <c r="O481" i="5" a="1"/>
  <c r="O481" i="5" s="1"/>
  <c r="O482" i="5" a="1"/>
  <c r="O482" i="5" s="1"/>
  <c r="O483" i="5" a="1"/>
  <c r="O483" i="5" s="1"/>
  <c r="O484" i="5" a="1"/>
  <c r="O484" i="5" s="1"/>
  <c r="O485" i="5" a="1"/>
  <c r="O485" i="5" s="1"/>
  <c r="O486" i="5" a="1"/>
  <c r="O486" i="5" s="1"/>
  <c r="O487" i="5" a="1"/>
  <c r="O487" i="5" s="1"/>
  <c r="O488" i="5" a="1"/>
  <c r="O488" i="5" s="1"/>
  <c r="O489" i="5" a="1"/>
  <c r="O489" i="5" s="1"/>
  <c r="O490" i="5" a="1"/>
  <c r="O490" i="5" s="1"/>
  <c r="O491" i="5" a="1"/>
  <c r="O491" i="5" s="1"/>
  <c r="O492" i="5" a="1"/>
  <c r="O492" i="5" s="1"/>
  <c r="O493" i="5" a="1"/>
  <c r="O493" i="5" s="1"/>
  <c r="O494" i="5" a="1"/>
  <c r="O494" i="5" s="1"/>
  <c r="O495" i="5" a="1"/>
  <c r="O495" i="5" s="1"/>
  <c r="O496" i="5" a="1"/>
  <c r="O496" i="5" s="1"/>
  <c r="O497" i="5" a="1"/>
  <c r="O497" i="5" s="1"/>
  <c r="O498" i="5" a="1"/>
  <c r="O498" i="5" s="1"/>
  <c r="O499" i="5" a="1"/>
  <c r="O499" i="5" s="1"/>
  <c r="O500" i="5" a="1"/>
  <c r="O500" i="5" s="1"/>
  <c r="O501" i="5" a="1"/>
  <c r="O501" i="5" s="1"/>
  <c r="O502" i="5" a="1"/>
  <c r="O502" i="5" s="1"/>
  <c r="O503" i="5" a="1"/>
  <c r="O503" i="5" s="1"/>
  <c r="O504" i="5" a="1"/>
  <c r="O504" i="5" s="1"/>
  <c r="O505" i="5" a="1"/>
  <c r="O505" i="5" s="1"/>
  <c r="O506" i="5" a="1"/>
  <c r="O506" i="5" s="1"/>
  <c r="O507" i="5" a="1"/>
  <c r="O507" i="5" s="1"/>
  <c r="O508" i="5" a="1"/>
  <c r="O508" i="5" s="1"/>
  <c r="O509" i="5" a="1"/>
  <c r="O509" i="5" s="1"/>
  <c r="O510" i="5" a="1"/>
  <c r="O510" i="5" s="1"/>
  <c r="O511" i="5" a="1"/>
  <c r="O511" i="5" s="1"/>
  <c r="O512" i="5" a="1"/>
  <c r="O512" i="5" s="1"/>
  <c r="O513" i="5" a="1"/>
  <c r="O513" i="5" s="1"/>
  <c r="O514" i="5" a="1"/>
  <c r="O514" i="5" s="1"/>
  <c r="O515" i="5" a="1"/>
  <c r="O515" i="5" s="1"/>
  <c r="O516" i="5" a="1"/>
  <c r="O516" i="5" s="1"/>
  <c r="O517" i="5" a="1"/>
  <c r="O517" i="5" s="1"/>
  <c r="O518" i="5" a="1"/>
  <c r="O518" i="5" s="1"/>
  <c r="O519" i="5" a="1"/>
  <c r="O519" i="5" s="1"/>
  <c r="O520" i="5" a="1"/>
  <c r="O520" i="5" s="1"/>
  <c r="O521" i="5" a="1"/>
  <c r="O521" i="5" s="1"/>
  <c r="O522" i="5" a="1"/>
  <c r="O522" i="5" s="1"/>
  <c r="O523" i="5" a="1"/>
  <c r="O523" i="5" s="1"/>
  <c r="O524" i="5" a="1"/>
  <c r="O524" i="5" s="1"/>
  <c r="O525" i="5" a="1"/>
  <c r="O525" i="5" s="1"/>
  <c r="O526" i="5" a="1"/>
  <c r="O526" i="5" s="1"/>
  <c r="O527" i="5" a="1"/>
  <c r="O527" i="5" s="1"/>
  <c r="O528" i="5" a="1"/>
  <c r="O528" i="5" s="1"/>
  <c r="O529" i="5" a="1"/>
  <c r="O529" i="5" s="1"/>
  <c r="O530" i="5" a="1"/>
  <c r="O530" i="5" s="1"/>
  <c r="O531" i="5" a="1"/>
  <c r="O531" i="5" s="1"/>
  <c r="O532" i="5" a="1"/>
  <c r="O532" i="5" s="1"/>
  <c r="O533" i="5" a="1"/>
  <c r="O533" i="5" s="1"/>
  <c r="O534" i="5" a="1"/>
  <c r="O534" i="5" s="1"/>
  <c r="O535" i="5" a="1"/>
  <c r="O535" i="5" s="1"/>
  <c r="O536" i="5" a="1"/>
  <c r="O536" i="5" s="1"/>
  <c r="O537" i="5" a="1"/>
  <c r="O537" i="5" s="1"/>
  <c r="O538" i="5" a="1"/>
  <c r="O538" i="5" s="1"/>
  <c r="O539" i="5" a="1"/>
  <c r="O539" i="5" s="1"/>
  <c r="O540" i="5" a="1"/>
  <c r="O540" i="5" s="1"/>
  <c r="O541" i="5" a="1"/>
  <c r="O541" i="5" s="1"/>
  <c r="O542" i="5" a="1"/>
  <c r="O542" i="5" s="1"/>
  <c r="O543" i="5" a="1"/>
  <c r="O543" i="5" s="1"/>
  <c r="O544" i="5" a="1"/>
  <c r="O544" i="5" s="1"/>
  <c r="O545" i="5" a="1"/>
  <c r="O545" i="5" s="1"/>
  <c r="O546" i="5" a="1"/>
  <c r="O546" i="5" s="1"/>
  <c r="O547" i="5" a="1"/>
  <c r="O547" i="5" s="1"/>
  <c r="O548" i="5" a="1"/>
  <c r="O548" i="5" s="1"/>
  <c r="O549" i="5" a="1"/>
  <c r="O549" i="5" s="1"/>
  <c r="O550" i="5" a="1"/>
  <c r="O550" i="5" s="1"/>
  <c r="O551" i="5" a="1"/>
  <c r="O551" i="5" s="1"/>
  <c r="O552" i="5" a="1"/>
  <c r="O552" i="5" s="1"/>
  <c r="O553" i="5" a="1"/>
  <c r="O553" i="5" s="1"/>
  <c r="O554" i="5" a="1"/>
  <c r="O554" i="5" s="1"/>
  <c r="O555" i="5" a="1"/>
  <c r="O555" i="5" s="1"/>
  <c r="O556" i="5" a="1"/>
  <c r="O556" i="5" s="1"/>
  <c r="O557" i="5" a="1"/>
  <c r="O557" i="5" s="1"/>
  <c r="O558" i="5" a="1"/>
  <c r="O558" i="5" s="1"/>
  <c r="O559" i="5" a="1"/>
  <c r="O559" i="5" s="1"/>
  <c r="O560" i="5" a="1"/>
  <c r="O560" i="5" s="1"/>
  <c r="O561" i="5" a="1"/>
  <c r="O561" i="5" s="1"/>
  <c r="O562" i="5" a="1"/>
  <c r="O562" i="5" s="1"/>
  <c r="O563" i="5" a="1"/>
  <c r="O563" i="5" s="1"/>
  <c r="O564" i="5" a="1"/>
  <c r="O564" i="5" s="1"/>
  <c r="O565" i="5" a="1"/>
  <c r="O565" i="5" s="1"/>
  <c r="O566" i="5" a="1"/>
  <c r="O566" i="5" s="1"/>
  <c r="O567" i="5" a="1"/>
  <c r="O567" i="5" s="1"/>
  <c r="O568" i="5" a="1"/>
  <c r="O568" i="5" s="1"/>
  <c r="O569" i="5" a="1"/>
  <c r="O569" i="5" s="1"/>
  <c r="O570" i="5" a="1"/>
  <c r="O570" i="5" s="1"/>
  <c r="O571" i="5" a="1"/>
  <c r="O571" i="5" s="1"/>
  <c r="O572" i="5" a="1"/>
  <c r="O572" i="5" s="1"/>
  <c r="O573" i="5" a="1"/>
  <c r="O573" i="5" s="1"/>
  <c r="O574" i="5" a="1"/>
  <c r="O574" i="5" s="1"/>
  <c r="O575" i="5" a="1"/>
  <c r="O575" i="5" s="1"/>
  <c r="O576" i="5" a="1"/>
  <c r="O576" i="5" s="1"/>
  <c r="O577" i="5" a="1"/>
  <c r="O577" i="5" s="1"/>
  <c r="O578" i="5" a="1"/>
  <c r="O578" i="5" s="1"/>
  <c r="O579" i="5" a="1"/>
  <c r="O579" i="5" s="1"/>
  <c r="O580" i="5" a="1"/>
  <c r="O580" i="5" s="1"/>
  <c r="O581" i="5" a="1"/>
  <c r="O581" i="5" s="1"/>
  <c r="O582" i="5" a="1"/>
  <c r="O582" i="5" s="1"/>
  <c r="O583" i="5" a="1"/>
  <c r="O583" i="5" s="1"/>
  <c r="O584" i="5" a="1"/>
  <c r="O584" i="5" s="1"/>
  <c r="O585" i="5" a="1"/>
  <c r="O585" i="5" s="1"/>
  <c r="O586" i="5" a="1"/>
  <c r="O586" i="5" s="1"/>
  <c r="O587" i="5" a="1"/>
  <c r="O587" i="5" s="1"/>
  <c r="O588" i="5" a="1"/>
  <c r="O588" i="5" s="1"/>
  <c r="O589" i="5" a="1"/>
  <c r="O589" i="5" s="1"/>
  <c r="O590" i="5" a="1"/>
  <c r="O590" i="5" s="1"/>
  <c r="O591" i="5" a="1"/>
  <c r="O591" i="5" s="1"/>
  <c r="O592" i="5" a="1"/>
  <c r="O592" i="5" s="1"/>
  <c r="O593" i="5" a="1"/>
  <c r="O593" i="5" s="1"/>
  <c r="O594" i="5" a="1"/>
  <c r="O594" i="5" s="1"/>
  <c r="O595" i="5" a="1"/>
  <c r="O595" i="5" s="1"/>
  <c r="O596" i="5" a="1"/>
  <c r="O596" i="5" s="1"/>
  <c r="O597" i="5" a="1"/>
  <c r="O597" i="5" s="1"/>
  <c r="O598" i="5" a="1"/>
  <c r="O598" i="5" s="1"/>
  <c r="O599" i="5" a="1"/>
  <c r="O599" i="5" s="1"/>
  <c r="O600" i="5" a="1"/>
  <c r="O600" i="5" s="1"/>
  <c r="O601" i="5" a="1"/>
  <c r="O601" i="5" s="1"/>
  <c r="O602" i="5" a="1"/>
  <c r="O602" i="5" s="1"/>
  <c r="O603" i="5" a="1"/>
  <c r="O603" i="5" s="1"/>
  <c r="O604" i="5" a="1"/>
  <c r="O604" i="5" s="1"/>
  <c r="O605" i="5" a="1"/>
  <c r="O605" i="5" s="1"/>
  <c r="O606" i="5" a="1"/>
  <c r="O606" i="5" s="1"/>
  <c r="O607" i="5" a="1"/>
  <c r="O607" i="5" s="1"/>
  <c r="O608" i="5" a="1"/>
  <c r="O608" i="5" s="1"/>
  <c r="O609" i="5" a="1"/>
  <c r="O609" i="5" s="1"/>
  <c r="O610" i="5" a="1"/>
  <c r="O610" i="5" s="1"/>
  <c r="O611" i="5" a="1"/>
  <c r="O611" i="5" s="1"/>
  <c r="O612" i="5" a="1"/>
  <c r="O612" i="5" s="1"/>
  <c r="O613" i="5" a="1"/>
  <c r="O613" i="5" s="1"/>
  <c r="O614" i="5" a="1"/>
  <c r="O614" i="5" s="1"/>
  <c r="O615" i="5" a="1"/>
  <c r="O615" i="5" s="1"/>
  <c r="O616" i="5" a="1"/>
  <c r="O616" i="5" s="1"/>
  <c r="O617" i="5" a="1"/>
  <c r="O617" i="5" s="1"/>
  <c r="O618" i="5" a="1"/>
  <c r="O618" i="5" s="1"/>
  <c r="O619" i="5" a="1"/>
  <c r="O619" i="5" s="1"/>
  <c r="O620" i="5" a="1"/>
  <c r="O620" i="5" s="1"/>
  <c r="O621" i="5" a="1"/>
  <c r="O621" i="5" s="1"/>
  <c r="O622" i="5" a="1"/>
  <c r="O622" i="5" s="1"/>
  <c r="O623" i="5" a="1"/>
  <c r="O623" i="5" s="1"/>
  <c r="O624" i="5" a="1"/>
  <c r="O624" i="5" s="1"/>
  <c r="O625" i="5" a="1"/>
  <c r="O625" i="5" s="1"/>
  <c r="O626" i="5" a="1"/>
  <c r="O626" i="5" s="1"/>
  <c r="O627" i="5" a="1"/>
  <c r="O627" i="5" s="1"/>
  <c r="O628" i="5" a="1"/>
  <c r="O628" i="5" s="1"/>
  <c r="O629" i="5" a="1"/>
  <c r="O629" i="5" s="1"/>
  <c r="O630" i="5" a="1"/>
  <c r="O630" i="5" s="1"/>
  <c r="O631" i="5" a="1"/>
  <c r="O631" i="5" s="1"/>
  <c r="O632" i="5" a="1"/>
  <c r="O632" i="5" s="1"/>
  <c r="O633" i="5" a="1"/>
  <c r="O633" i="5" s="1"/>
  <c r="O634" i="5" a="1"/>
  <c r="O634" i="5" s="1"/>
  <c r="O635" i="5" a="1"/>
  <c r="O635" i="5" s="1"/>
  <c r="O636" i="5" a="1"/>
  <c r="O636" i="5" s="1"/>
  <c r="O637" i="5" a="1"/>
  <c r="O637" i="5" s="1"/>
  <c r="O638" i="5" a="1"/>
  <c r="O638" i="5" s="1"/>
  <c r="O639" i="5" a="1"/>
  <c r="O639" i="5" s="1"/>
  <c r="O640" i="5" a="1"/>
  <c r="O640" i="5" s="1"/>
  <c r="O641" i="5" a="1"/>
  <c r="O641" i="5" s="1"/>
  <c r="O642" i="5" a="1"/>
  <c r="O642" i="5" s="1"/>
  <c r="O643" i="5" a="1"/>
  <c r="O643" i="5" s="1"/>
  <c r="O644" i="5" a="1"/>
  <c r="O644" i="5" s="1"/>
  <c r="O645" i="5" a="1"/>
  <c r="O645" i="5" s="1"/>
  <c r="O646" i="5" a="1"/>
  <c r="O646" i="5" s="1"/>
  <c r="O647" i="5" a="1"/>
  <c r="O647" i="5" s="1"/>
  <c r="O648" i="5" a="1"/>
  <c r="O648" i="5" s="1"/>
  <c r="O649" i="5" a="1"/>
  <c r="O649" i="5" s="1"/>
  <c r="O650" i="5" a="1"/>
  <c r="O650" i="5" s="1"/>
  <c r="O651" i="5" a="1"/>
  <c r="O651" i="5" s="1"/>
  <c r="O652" i="5" a="1"/>
  <c r="O652" i="5" s="1"/>
  <c r="O653" i="5" a="1"/>
  <c r="O653" i="5" s="1"/>
  <c r="O654" i="5" a="1"/>
  <c r="O654" i="5" s="1"/>
  <c r="O655" i="5" a="1"/>
  <c r="O655" i="5" s="1"/>
  <c r="O656" i="5" a="1"/>
  <c r="O656" i="5" s="1"/>
  <c r="O657" i="5" a="1"/>
  <c r="O657" i="5" s="1"/>
  <c r="O658" i="5" a="1"/>
  <c r="O658" i="5" s="1"/>
  <c r="O659" i="5" a="1"/>
  <c r="O659" i="5" s="1"/>
  <c r="O660" i="5" a="1"/>
  <c r="O660" i="5" s="1"/>
  <c r="O661" i="5" a="1"/>
  <c r="O661" i="5" s="1"/>
  <c r="O662" i="5" a="1"/>
  <c r="O662" i="5" s="1"/>
  <c r="O663" i="5" a="1"/>
  <c r="O663" i="5" s="1"/>
  <c r="O664" i="5" a="1"/>
  <c r="O664" i="5" s="1"/>
  <c r="O665" i="5" a="1"/>
  <c r="O665" i="5" s="1"/>
  <c r="O666" i="5" a="1"/>
  <c r="O666" i="5" s="1"/>
  <c r="O667" i="5" a="1"/>
  <c r="O667" i="5" s="1"/>
  <c r="O668" i="5" a="1"/>
  <c r="O668" i="5" s="1"/>
  <c r="O669" i="5" a="1"/>
  <c r="O669" i="5" s="1"/>
  <c r="O670" i="5" a="1"/>
  <c r="O670" i="5" s="1"/>
  <c r="O671" i="5" a="1"/>
  <c r="O671" i="5" s="1"/>
  <c r="O672" i="5" a="1"/>
  <c r="O672" i="5" s="1"/>
  <c r="O673" i="5" a="1"/>
  <c r="O673" i="5" s="1"/>
  <c r="O674" i="5" a="1"/>
  <c r="O674" i="5" s="1"/>
  <c r="O675" i="5" a="1"/>
  <c r="O675" i="5" s="1"/>
  <c r="O676" i="5" a="1"/>
  <c r="O676" i="5" s="1"/>
  <c r="O677" i="5" a="1"/>
  <c r="O677" i="5" s="1"/>
  <c r="O678" i="5" a="1"/>
  <c r="O678" i="5" s="1"/>
  <c r="O679" i="5" a="1"/>
  <c r="O679" i="5" s="1"/>
  <c r="O680" i="5" a="1"/>
  <c r="O680" i="5" s="1"/>
  <c r="O681" i="5" a="1"/>
  <c r="O681" i="5" s="1"/>
  <c r="O682" i="5" a="1"/>
  <c r="O682" i="5" s="1"/>
  <c r="O683" i="5" a="1"/>
  <c r="O683" i="5" s="1"/>
  <c r="O684" i="5" a="1"/>
  <c r="O684" i="5" s="1"/>
  <c r="O685" i="5" a="1"/>
  <c r="O685" i="5" s="1"/>
  <c r="O686" i="5" a="1"/>
  <c r="O686" i="5" s="1"/>
  <c r="O687" i="5" a="1"/>
  <c r="O687" i="5" s="1"/>
  <c r="O688" i="5" a="1"/>
  <c r="O688" i="5" s="1"/>
  <c r="O689" i="5" a="1"/>
  <c r="O689" i="5" s="1"/>
  <c r="O690" i="5" a="1"/>
  <c r="O690" i="5" s="1"/>
  <c r="O691" i="5" a="1"/>
  <c r="O691" i="5" s="1"/>
  <c r="O692" i="5" a="1"/>
  <c r="O692" i="5" s="1"/>
  <c r="O693" i="5" a="1"/>
  <c r="O693" i="5" s="1"/>
  <c r="O694" i="5" a="1"/>
  <c r="O694" i="5" s="1"/>
  <c r="O695" i="5" a="1"/>
  <c r="O695" i="5" s="1"/>
  <c r="O696" i="5" a="1"/>
  <c r="O696" i="5" s="1"/>
  <c r="O697" i="5" a="1"/>
  <c r="O697" i="5" s="1"/>
  <c r="O698" i="5" a="1"/>
  <c r="O698" i="5" s="1"/>
  <c r="O699" i="5" a="1"/>
  <c r="O699" i="5" s="1"/>
  <c r="O700" i="5" a="1"/>
  <c r="O700" i="5" s="1"/>
  <c r="O701" i="5" a="1"/>
  <c r="O701" i="5" s="1"/>
  <c r="O702" i="5" a="1"/>
  <c r="O702" i="5" s="1"/>
  <c r="O703" i="5" a="1"/>
  <c r="O703" i="5" s="1"/>
  <c r="O704" i="5" a="1"/>
  <c r="O704" i="5" s="1"/>
  <c r="O705" i="5" a="1"/>
  <c r="O705" i="5" s="1"/>
  <c r="O706" i="5" a="1"/>
  <c r="O706" i="5" s="1"/>
  <c r="O707" i="5" a="1"/>
  <c r="O707" i="5" s="1"/>
  <c r="O708" i="5" a="1"/>
  <c r="O708" i="5" s="1"/>
  <c r="O709" i="5" a="1"/>
  <c r="O709" i="5" s="1"/>
  <c r="O710" i="5" a="1"/>
  <c r="O710" i="5" s="1"/>
  <c r="O711" i="5" a="1"/>
  <c r="O711" i="5" s="1"/>
  <c r="O712" i="5" a="1"/>
  <c r="O712" i="5" s="1"/>
  <c r="O713" i="5" a="1"/>
  <c r="O713" i="5" s="1"/>
  <c r="O714" i="5" a="1"/>
  <c r="O714" i="5" s="1"/>
  <c r="O715" i="5" a="1"/>
  <c r="O715" i="5" s="1"/>
  <c r="O716" i="5" a="1"/>
  <c r="O716" i="5" s="1"/>
  <c r="O717" i="5" a="1"/>
  <c r="O717" i="5" s="1"/>
  <c r="O718" i="5" a="1"/>
  <c r="O718" i="5" s="1"/>
  <c r="O719" i="5" a="1"/>
  <c r="O719" i="5" s="1"/>
  <c r="O720" i="5" a="1"/>
  <c r="O720" i="5" s="1"/>
  <c r="O721" i="5" a="1"/>
  <c r="O721" i="5" s="1"/>
  <c r="O722" i="5" a="1"/>
  <c r="O722" i="5" s="1"/>
  <c r="O723" i="5" a="1"/>
  <c r="O723" i="5" s="1"/>
  <c r="O724" i="5" a="1"/>
  <c r="O724" i="5" s="1"/>
  <c r="O725" i="5" a="1"/>
  <c r="O725" i="5" s="1"/>
  <c r="O726" i="5" a="1"/>
  <c r="O726" i="5" s="1"/>
  <c r="O727" i="5" a="1"/>
  <c r="O727" i="5" s="1"/>
  <c r="O728" i="5" a="1"/>
  <c r="O728" i="5" s="1"/>
  <c r="O729" i="5" a="1"/>
  <c r="O729" i="5" s="1"/>
  <c r="O730" i="5" a="1"/>
  <c r="O730" i="5" s="1"/>
  <c r="O731" i="5" a="1"/>
  <c r="O731" i="5" s="1"/>
  <c r="O732" i="5" a="1"/>
  <c r="O732" i="5" s="1"/>
  <c r="O733" i="5" a="1"/>
  <c r="O733" i="5" s="1"/>
  <c r="O734" i="5" a="1"/>
  <c r="O734" i="5" s="1"/>
  <c r="O735" i="5" a="1"/>
  <c r="O735" i="5" s="1"/>
  <c r="O736" i="5" a="1"/>
  <c r="O736" i="5" s="1"/>
  <c r="O737" i="5" a="1"/>
  <c r="O737" i="5" s="1"/>
  <c r="O738" i="5" a="1"/>
  <c r="O738" i="5" s="1"/>
  <c r="O739" i="5" a="1"/>
  <c r="O739" i="5" s="1"/>
  <c r="O740" i="5" a="1"/>
  <c r="O740" i="5" s="1"/>
  <c r="O741" i="5" a="1"/>
  <c r="O741" i="5" s="1"/>
  <c r="O742" i="5" a="1"/>
  <c r="O742" i="5" s="1"/>
  <c r="O743" i="5" a="1"/>
  <c r="O743" i="5" s="1"/>
  <c r="O744" i="5" a="1"/>
  <c r="O744" i="5" s="1"/>
  <c r="O745" i="5" a="1"/>
  <c r="O745" i="5" s="1"/>
  <c r="O746" i="5" a="1"/>
  <c r="O746" i="5" s="1"/>
  <c r="O747" i="5" a="1"/>
  <c r="O747" i="5" s="1"/>
  <c r="O748" i="5" a="1"/>
  <c r="O748" i="5" s="1"/>
  <c r="O749" i="5" a="1"/>
  <c r="O749" i="5" s="1"/>
  <c r="O750" i="5" a="1"/>
  <c r="O750" i="5" s="1"/>
  <c r="O751" i="5" a="1"/>
  <c r="O751" i="5" s="1"/>
  <c r="O752" i="5" a="1"/>
  <c r="O752" i="5" s="1"/>
  <c r="O753" i="5" a="1"/>
  <c r="O753" i="5" s="1"/>
  <c r="O754" i="5" a="1"/>
  <c r="O754" i="5" s="1"/>
  <c r="O755" i="5" a="1"/>
  <c r="O755" i="5" s="1"/>
  <c r="O756" i="5" a="1"/>
  <c r="O756" i="5" s="1"/>
  <c r="O757" i="5" a="1"/>
  <c r="O757" i="5" s="1"/>
  <c r="O758" i="5" a="1"/>
  <c r="O758" i="5" s="1"/>
  <c r="O759" i="5" a="1"/>
  <c r="O759" i="5" s="1"/>
  <c r="O760" i="5" a="1"/>
  <c r="O760" i="5" s="1"/>
  <c r="O761" i="5" a="1"/>
  <c r="O761" i="5" s="1"/>
  <c r="O762" i="5" a="1"/>
  <c r="O762" i="5" s="1"/>
  <c r="O763" i="5" a="1"/>
  <c r="O763" i="5" s="1"/>
  <c r="O764" i="5" a="1"/>
  <c r="O764" i="5" s="1"/>
  <c r="O765" i="5" a="1"/>
  <c r="O765" i="5" s="1"/>
  <c r="O766" i="5" a="1"/>
  <c r="O766" i="5" s="1"/>
  <c r="O767" i="5" a="1"/>
  <c r="O767" i="5" s="1"/>
  <c r="O768" i="5" a="1"/>
  <c r="O768" i="5" s="1"/>
  <c r="O769" i="5" a="1"/>
  <c r="O769" i="5" s="1"/>
  <c r="O770" i="5" a="1"/>
  <c r="O770" i="5" s="1"/>
  <c r="O771" i="5" a="1"/>
  <c r="O771" i="5" s="1"/>
  <c r="O772" i="5" a="1"/>
  <c r="O772" i="5" s="1"/>
  <c r="O773" i="5" a="1"/>
  <c r="O773" i="5" s="1"/>
  <c r="O774" i="5" a="1"/>
  <c r="O774" i="5" s="1"/>
  <c r="O775" i="5" a="1"/>
  <c r="O775" i="5" s="1"/>
  <c r="O776" i="5" a="1"/>
  <c r="O776" i="5" s="1"/>
  <c r="O777" i="5" a="1"/>
  <c r="O777" i="5" s="1"/>
  <c r="O778" i="5" a="1"/>
  <c r="O778" i="5" s="1"/>
  <c r="O779" i="5" a="1"/>
  <c r="O779" i="5" s="1"/>
  <c r="O780" i="5" a="1"/>
  <c r="O780" i="5" s="1"/>
  <c r="O781" i="5" a="1"/>
  <c r="O781" i="5" s="1"/>
  <c r="O782" i="5" a="1"/>
  <c r="O782" i="5" s="1"/>
  <c r="O783" i="5" a="1"/>
  <c r="O783" i="5" s="1"/>
  <c r="O784" i="5" a="1"/>
  <c r="O784" i="5" s="1"/>
  <c r="O785" i="5" a="1"/>
  <c r="O785" i="5" s="1"/>
  <c r="O786" i="5" a="1"/>
  <c r="O786" i="5" s="1"/>
  <c r="O787" i="5" a="1"/>
  <c r="O787" i="5" s="1"/>
  <c r="O788" i="5" a="1"/>
  <c r="O788" i="5" s="1"/>
  <c r="O789" i="5" a="1"/>
  <c r="O789" i="5" s="1"/>
  <c r="O790" i="5" a="1"/>
  <c r="O790" i="5" s="1"/>
  <c r="O791" i="5" a="1"/>
  <c r="O791" i="5" s="1"/>
  <c r="O792" i="5" a="1"/>
  <c r="O792" i="5" s="1"/>
  <c r="O793" i="5" a="1"/>
  <c r="O793" i="5" s="1"/>
  <c r="O794" i="5" a="1"/>
  <c r="O794" i="5" s="1"/>
  <c r="O795" i="5" a="1"/>
  <c r="O795" i="5" s="1"/>
  <c r="O796" i="5" a="1"/>
  <c r="O796" i="5" s="1"/>
  <c r="O797" i="5" a="1"/>
  <c r="O797" i="5" s="1"/>
  <c r="O798" i="5" a="1"/>
  <c r="O798" i="5" s="1"/>
  <c r="O799" i="5" a="1"/>
  <c r="O799" i="5" s="1"/>
  <c r="O800" i="5" a="1"/>
  <c r="O800" i="5" s="1"/>
  <c r="O801" i="5" a="1"/>
  <c r="O801" i="5" s="1"/>
  <c r="O802" i="5" a="1"/>
  <c r="O802" i="5" s="1"/>
  <c r="O803" i="5" a="1"/>
  <c r="O803" i="5" s="1"/>
  <c r="O804" i="5" a="1"/>
  <c r="O804" i="5" s="1"/>
  <c r="O805" i="5" a="1"/>
  <c r="O805" i="5" s="1"/>
  <c r="O806" i="5" a="1"/>
  <c r="O806" i="5" s="1"/>
  <c r="O807" i="5" a="1"/>
  <c r="O807" i="5" s="1"/>
  <c r="O808" i="5" a="1"/>
  <c r="O808" i="5" s="1"/>
  <c r="O809" i="5" a="1"/>
  <c r="O809" i="5" s="1"/>
  <c r="O810" i="5" a="1"/>
  <c r="O810" i="5" s="1"/>
  <c r="O811" i="5" a="1"/>
  <c r="O811" i="5" s="1"/>
  <c r="O812" i="5" a="1"/>
  <c r="O812" i="5" s="1"/>
  <c r="O813" i="5" a="1"/>
  <c r="O813" i="5" s="1"/>
  <c r="O814" i="5" a="1"/>
  <c r="O814" i="5" s="1"/>
  <c r="O815" i="5" a="1"/>
  <c r="O815" i="5" s="1"/>
  <c r="O816" i="5" a="1"/>
  <c r="O816" i="5" s="1"/>
  <c r="O817" i="5" a="1"/>
  <c r="O817" i="5" s="1"/>
  <c r="O818" i="5" a="1"/>
  <c r="O818" i="5" s="1"/>
  <c r="O819" i="5" a="1"/>
  <c r="O819" i="5" s="1"/>
  <c r="O820" i="5" a="1"/>
  <c r="O820" i="5" s="1"/>
  <c r="O821" i="5" a="1"/>
  <c r="O821" i="5" s="1"/>
  <c r="O822" i="5" a="1"/>
  <c r="O822" i="5" s="1"/>
  <c r="O823" i="5" a="1"/>
  <c r="O823" i="5" s="1"/>
  <c r="O824" i="5" a="1"/>
  <c r="O824" i="5" s="1"/>
  <c r="O825" i="5" a="1"/>
  <c r="O825" i="5" s="1"/>
  <c r="O826" i="5" a="1"/>
  <c r="O826" i="5" s="1"/>
  <c r="O827" i="5" a="1"/>
  <c r="O827" i="5" s="1"/>
  <c r="O828" i="5" a="1"/>
  <c r="O828" i="5" s="1"/>
  <c r="O829" i="5" a="1"/>
  <c r="O829" i="5" s="1"/>
  <c r="O830" i="5" a="1"/>
  <c r="O830" i="5" s="1"/>
  <c r="O831" i="5" a="1"/>
  <c r="O831" i="5" s="1"/>
  <c r="O832" i="5" a="1"/>
  <c r="O832" i="5" s="1"/>
  <c r="O833" i="5" a="1"/>
  <c r="O833" i="5" s="1"/>
  <c r="O834" i="5" a="1"/>
  <c r="O834" i="5" s="1"/>
  <c r="O835" i="5" a="1"/>
  <c r="O835" i="5" s="1"/>
  <c r="O836" i="5" a="1"/>
  <c r="O836" i="5" s="1"/>
  <c r="O837" i="5" a="1"/>
  <c r="O837" i="5" s="1"/>
  <c r="O838" i="5" a="1"/>
  <c r="O838" i="5" s="1"/>
  <c r="O839" i="5" a="1"/>
  <c r="O839" i="5" s="1"/>
  <c r="O840" i="5" a="1"/>
  <c r="O840" i="5" s="1"/>
  <c r="O841" i="5" a="1"/>
  <c r="O841" i="5" s="1"/>
  <c r="O842" i="5" a="1"/>
  <c r="O842" i="5" s="1"/>
  <c r="O843" i="5" a="1"/>
  <c r="O843" i="5" s="1"/>
  <c r="O844" i="5" a="1"/>
  <c r="O844" i="5" s="1"/>
  <c r="O845" i="5" a="1"/>
  <c r="O845" i="5" s="1"/>
  <c r="O846" i="5" a="1"/>
  <c r="O846" i="5" s="1"/>
  <c r="O847" i="5" a="1"/>
  <c r="O847" i="5" s="1"/>
  <c r="O848" i="5" a="1"/>
  <c r="O848" i="5" s="1"/>
  <c r="O849" i="5" a="1"/>
  <c r="O849" i="5" s="1"/>
  <c r="O850" i="5" a="1"/>
  <c r="O850" i="5" s="1"/>
  <c r="O851" i="5" a="1"/>
  <c r="O851" i="5" s="1"/>
  <c r="O852" i="5" a="1"/>
  <c r="O852" i="5" s="1"/>
  <c r="O853" i="5" a="1"/>
  <c r="O853" i="5" s="1"/>
  <c r="O854" i="5" a="1"/>
  <c r="O854" i="5" s="1"/>
  <c r="O855" i="5" a="1"/>
  <c r="O855" i="5" s="1"/>
  <c r="O856" i="5" a="1"/>
  <c r="O856" i="5" s="1"/>
  <c r="O857" i="5" a="1"/>
  <c r="O857" i="5" s="1"/>
  <c r="O858" i="5" a="1"/>
  <c r="O858" i="5" s="1"/>
  <c r="O859" i="5" a="1"/>
  <c r="O859" i="5" s="1"/>
  <c r="O860" i="5" a="1"/>
  <c r="O860" i="5" s="1"/>
  <c r="O861" i="5" a="1"/>
  <c r="O861" i="5" s="1"/>
  <c r="O862" i="5" a="1"/>
  <c r="O862" i="5" s="1"/>
  <c r="O863" i="5" a="1"/>
  <c r="O863" i="5" s="1"/>
  <c r="O864" i="5" a="1"/>
  <c r="O864" i="5" s="1"/>
  <c r="O865" i="5" a="1"/>
  <c r="O865" i="5" s="1"/>
  <c r="O866" i="5" a="1"/>
  <c r="O866" i="5" s="1"/>
  <c r="O867" i="5" a="1"/>
  <c r="O867" i="5" s="1"/>
  <c r="O868" i="5" a="1"/>
  <c r="O868" i="5" s="1"/>
  <c r="O869" i="5" a="1"/>
  <c r="O869" i="5" s="1"/>
  <c r="O870" i="5" a="1"/>
  <c r="O870" i="5" s="1"/>
  <c r="O871" i="5" a="1"/>
  <c r="O871" i="5" s="1"/>
  <c r="O872" i="5" a="1"/>
  <c r="O872" i="5" s="1"/>
  <c r="O873" i="5" a="1"/>
  <c r="O873" i="5" s="1"/>
  <c r="O874" i="5" a="1"/>
  <c r="O874" i="5" s="1"/>
  <c r="O875" i="5" a="1"/>
  <c r="O875" i="5" s="1"/>
  <c r="O876" i="5" a="1"/>
  <c r="O876" i="5" s="1"/>
  <c r="O877" i="5" a="1"/>
  <c r="O877" i="5" s="1"/>
  <c r="O878" i="5" a="1"/>
  <c r="O878" i="5" s="1"/>
  <c r="O879" i="5" a="1"/>
  <c r="O879" i="5" s="1"/>
  <c r="O880" i="5" a="1"/>
  <c r="O880" i="5" s="1"/>
  <c r="O881" i="5" a="1"/>
  <c r="O881" i="5" s="1"/>
  <c r="O882" i="5" a="1"/>
  <c r="O882" i="5" s="1"/>
  <c r="O883" i="5" a="1"/>
  <c r="O883" i="5" s="1"/>
  <c r="O884" i="5" a="1"/>
  <c r="O884" i="5" s="1"/>
  <c r="O885" i="5" a="1"/>
  <c r="O885" i="5" s="1"/>
  <c r="O886" i="5" a="1"/>
  <c r="O886" i="5" s="1"/>
  <c r="O887" i="5" a="1"/>
  <c r="O887" i="5" s="1"/>
  <c r="O888" i="5" a="1"/>
  <c r="O888" i="5" s="1"/>
  <c r="O889" i="5" a="1"/>
  <c r="O889" i="5" s="1"/>
  <c r="O890" i="5" a="1"/>
  <c r="O890" i="5" s="1"/>
  <c r="O891" i="5" a="1"/>
  <c r="O891" i="5" s="1"/>
  <c r="O892" i="5" a="1"/>
  <c r="O892" i="5" s="1"/>
  <c r="O893" i="5" a="1"/>
  <c r="O893" i="5" s="1"/>
  <c r="O894" i="5" a="1"/>
  <c r="O894" i="5" s="1"/>
  <c r="O895" i="5" a="1"/>
  <c r="O895" i="5" s="1"/>
  <c r="O896" i="5" a="1"/>
  <c r="O896" i="5" s="1"/>
  <c r="O897" i="5" a="1"/>
  <c r="O897" i="5" s="1"/>
  <c r="O898" i="5" a="1"/>
  <c r="O898" i="5" s="1"/>
  <c r="O899" i="5" a="1"/>
  <c r="O899" i="5" s="1"/>
  <c r="O900" i="5" a="1"/>
  <c r="O900" i="5" s="1"/>
  <c r="O901" i="5" a="1"/>
  <c r="O901" i="5" s="1"/>
  <c r="O902" i="5" a="1"/>
  <c r="O902" i="5" s="1"/>
  <c r="O903" i="5" a="1"/>
  <c r="O903" i="5" s="1"/>
  <c r="O904" i="5" a="1"/>
  <c r="O904" i="5" s="1"/>
  <c r="O905" i="5" a="1"/>
  <c r="O905" i="5" s="1"/>
  <c r="O906" i="5" a="1"/>
  <c r="O906" i="5" s="1"/>
  <c r="O907" i="5" a="1"/>
  <c r="O907" i="5" s="1"/>
  <c r="O908" i="5" a="1"/>
  <c r="O908" i="5" s="1"/>
  <c r="O909" i="5" a="1"/>
  <c r="O909" i="5" s="1"/>
  <c r="O910" i="5" a="1"/>
  <c r="O910" i="5" s="1"/>
  <c r="O911" i="5" a="1"/>
  <c r="O911" i="5" s="1"/>
  <c r="O912" i="5" a="1"/>
  <c r="O912" i="5" s="1"/>
  <c r="O913" i="5" a="1"/>
  <c r="O913" i="5" s="1"/>
  <c r="O914" i="5" a="1"/>
  <c r="O914" i="5" s="1"/>
  <c r="O915" i="5" a="1"/>
  <c r="O915" i="5" s="1"/>
  <c r="O916" i="5" a="1"/>
  <c r="O916" i="5" s="1"/>
  <c r="O917" i="5" a="1"/>
  <c r="O917" i="5" s="1"/>
  <c r="O918" i="5" a="1"/>
  <c r="O918" i="5" s="1"/>
  <c r="O919" i="5" a="1"/>
  <c r="O919" i="5" s="1"/>
  <c r="O920" i="5" a="1"/>
  <c r="O920" i="5" s="1"/>
  <c r="O921" i="5" a="1"/>
  <c r="O921" i="5" s="1"/>
  <c r="O922" i="5" a="1"/>
  <c r="O922" i="5" s="1"/>
  <c r="O923" i="5" a="1"/>
  <c r="O923" i="5" s="1"/>
  <c r="O924" i="5" a="1"/>
  <c r="O924" i="5" s="1"/>
  <c r="O925" i="5" a="1"/>
  <c r="O925" i="5" s="1"/>
  <c r="O926" i="5" a="1"/>
  <c r="O926" i="5" s="1"/>
  <c r="O927" i="5" a="1"/>
  <c r="O927" i="5" s="1"/>
  <c r="O928" i="5" a="1"/>
  <c r="O928" i="5" s="1"/>
  <c r="O929" i="5" a="1"/>
  <c r="O929" i="5" s="1"/>
  <c r="O930" i="5" a="1"/>
  <c r="O930" i="5" s="1"/>
  <c r="O931" i="5" a="1"/>
  <c r="O931" i="5" s="1"/>
  <c r="O932" i="5" a="1"/>
  <c r="O932" i="5" s="1"/>
  <c r="O933" i="5" a="1"/>
  <c r="O933" i="5" s="1"/>
  <c r="O934" i="5" a="1"/>
  <c r="O934" i="5" s="1"/>
  <c r="O935" i="5" a="1"/>
  <c r="O935" i="5" s="1"/>
  <c r="O936" i="5" a="1"/>
  <c r="O936" i="5" s="1"/>
  <c r="O937" i="5" a="1"/>
  <c r="O937" i="5" s="1"/>
  <c r="O938" i="5" a="1"/>
  <c r="O938" i="5" s="1"/>
  <c r="O939" i="5" a="1"/>
  <c r="O939" i="5" s="1"/>
  <c r="O940" i="5" a="1"/>
  <c r="O940" i="5" s="1"/>
  <c r="O941" i="5" a="1"/>
  <c r="O941" i="5" s="1"/>
  <c r="O942" i="5" a="1"/>
  <c r="O942" i="5" s="1"/>
  <c r="O943" i="5" a="1"/>
  <c r="O943" i="5" s="1"/>
  <c r="O944" i="5" a="1"/>
  <c r="O944" i="5" s="1"/>
  <c r="O945" i="5" a="1"/>
  <c r="O945" i="5" s="1"/>
  <c r="O946" i="5" a="1"/>
  <c r="O946" i="5" s="1"/>
  <c r="O947" i="5" a="1"/>
  <c r="O947" i="5" s="1"/>
  <c r="O948" i="5" a="1"/>
  <c r="O948" i="5" s="1"/>
  <c r="O949" i="5" a="1"/>
  <c r="O949" i="5" s="1"/>
  <c r="O950" i="5" a="1"/>
  <c r="O950" i="5" s="1"/>
  <c r="O951" i="5" a="1"/>
  <c r="O951" i="5" s="1"/>
  <c r="O952" i="5" a="1"/>
  <c r="O952" i="5" s="1"/>
  <c r="O953" i="5" a="1"/>
  <c r="O953" i="5" s="1"/>
  <c r="O954" i="5" a="1"/>
  <c r="O954" i="5" s="1"/>
  <c r="O955" i="5" a="1"/>
  <c r="O955" i="5" s="1"/>
  <c r="O956" i="5" a="1"/>
  <c r="O956" i="5" s="1"/>
  <c r="O957" i="5" a="1"/>
  <c r="O957" i="5" s="1"/>
  <c r="O958" i="5" a="1"/>
  <c r="O958" i="5" s="1"/>
  <c r="O959" i="5" a="1"/>
  <c r="O959" i="5" s="1"/>
  <c r="O960" i="5" a="1"/>
  <c r="O960" i="5" s="1"/>
  <c r="O961" i="5" a="1"/>
  <c r="O961" i="5" s="1"/>
  <c r="O962" i="5" a="1"/>
  <c r="O962" i="5" s="1"/>
  <c r="O963" i="5" a="1"/>
  <c r="O963" i="5" s="1"/>
  <c r="O964" i="5" a="1"/>
  <c r="O964" i="5" s="1"/>
  <c r="O965" i="5" a="1"/>
  <c r="O965" i="5" s="1"/>
  <c r="O966" i="5" a="1"/>
  <c r="O966" i="5" s="1"/>
  <c r="O967" i="5" a="1"/>
  <c r="O967" i="5" s="1"/>
  <c r="O968" i="5" a="1"/>
  <c r="O968" i="5" s="1"/>
  <c r="O969" i="5" a="1"/>
  <c r="O969" i="5" s="1"/>
  <c r="O970" i="5" a="1"/>
  <c r="O970" i="5" s="1"/>
  <c r="O971" i="5" a="1"/>
  <c r="O971" i="5" s="1"/>
  <c r="O972" i="5" a="1"/>
  <c r="O972" i="5" s="1"/>
  <c r="O973" i="5" a="1"/>
  <c r="O973" i="5" s="1"/>
  <c r="O974" i="5" a="1"/>
  <c r="O974" i="5" s="1"/>
  <c r="O975" i="5" a="1"/>
  <c r="O975" i="5" s="1"/>
  <c r="O976" i="5" a="1"/>
  <c r="O976" i="5" s="1"/>
  <c r="O977" i="5" a="1"/>
  <c r="O977" i="5" s="1"/>
  <c r="O978" i="5" a="1"/>
  <c r="O978" i="5" s="1"/>
  <c r="O979" i="5" a="1"/>
  <c r="O979" i="5" s="1"/>
  <c r="O980" i="5" a="1"/>
  <c r="O980" i="5" s="1"/>
  <c r="O981" i="5" a="1"/>
  <c r="O981" i="5" s="1"/>
  <c r="O982" i="5" a="1"/>
  <c r="O982" i="5" s="1"/>
  <c r="O983" i="5" a="1"/>
  <c r="O983" i="5" s="1"/>
  <c r="O984" i="5" a="1"/>
  <c r="O984" i="5" s="1"/>
  <c r="O985" i="5" a="1"/>
  <c r="O985" i="5" s="1"/>
  <c r="O986" i="5" a="1"/>
  <c r="O986" i="5" s="1"/>
  <c r="O987" i="5" a="1"/>
  <c r="O987" i="5" s="1"/>
  <c r="O988" i="5" a="1"/>
  <c r="O988" i="5" s="1"/>
  <c r="O989" i="5" a="1"/>
  <c r="O989" i="5" s="1"/>
  <c r="O990" i="5" a="1"/>
  <c r="O990" i="5" s="1"/>
  <c r="O991" i="5" a="1"/>
  <c r="O991" i="5" s="1"/>
  <c r="O992" i="5" a="1"/>
  <c r="O992" i="5" s="1"/>
  <c r="O993" i="5" a="1"/>
  <c r="O993" i="5" s="1"/>
  <c r="O994" i="5" a="1"/>
  <c r="O994" i="5" s="1"/>
  <c r="O995" i="5" a="1"/>
  <c r="O995" i="5" s="1"/>
  <c r="O996" i="5" a="1"/>
  <c r="O996" i="5" s="1"/>
  <c r="O997" i="5" a="1"/>
  <c r="O997" i="5" s="1"/>
  <c r="O998" i="5" a="1"/>
  <c r="O998" i="5" s="1"/>
  <c r="O999" i="5" a="1"/>
  <c r="O999" i="5" s="1"/>
  <c r="O1000" i="5" a="1"/>
  <c r="O1000" i="5" s="1"/>
  <c r="O1001" i="5" a="1"/>
  <c r="O1001" i="5" s="1"/>
  <c r="O1002" i="5" a="1"/>
  <c r="O1002" i="5" s="1"/>
  <c r="O1003" i="5" a="1"/>
  <c r="O1003" i="5" s="1"/>
  <c r="O1004" i="5" a="1"/>
  <c r="O1004" i="5" s="1"/>
  <c r="O1005" i="5" a="1"/>
  <c r="O1005" i="5" s="1"/>
  <c r="O1006" i="5" a="1"/>
  <c r="O1006" i="5" s="1"/>
  <c r="O1007" i="5" a="1"/>
  <c r="O1007" i="5" s="1"/>
  <c r="O1008" i="5" a="1"/>
  <c r="O1008" i="5" s="1"/>
  <c r="O1009" i="5" a="1"/>
  <c r="O1009" i="5" s="1"/>
  <c r="O1010" i="5" a="1"/>
  <c r="O1010" i="5" s="1"/>
  <c r="O1011" i="5" a="1"/>
  <c r="O1011" i="5" s="1"/>
  <c r="O1012" i="5" a="1"/>
  <c r="O1012" i="5" s="1"/>
  <c r="O1013" i="5" a="1"/>
  <c r="O1013" i="5" s="1"/>
  <c r="O1014" i="5" a="1"/>
  <c r="O1014" i="5" s="1"/>
  <c r="O1015" i="5" a="1"/>
  <c r="O1015" i="5" s="1"/>
  <c r="O1016" i="5" a="1"/>
  <c r="O1016" i="5" s="1"/>
  <c r="O1017" i="5" a="1"/>
  <c r="O1017" i="5" s="1"/>
  <c r="O1018" i="5" a="1"/>
  <c r="O1018" i="5" s="1"/>
  <c r="O1019" i="5" a="1"/>
  <c r="O1019" i="5" s="1"/>
  <c r="O1020" i="5" a="1"/>
  <c r="O1020" i="5" s="1"/>
  <c r="O1021" i="5" a="1"/>
  <c r="O1021" i="5" s="1"/>
  <c r="O1022" i="5" a="1"/>
  <c r="O1022" i="5" s="1"/>
  <c r="O1023" i="5" a="1"/>
  <c r="O1023" i="5" s="1"/>
  <c r="O1024" i="5" a="1"/>
  <c r="O1024" i="5" s="1"/>
  <c r="O1025" i="5" a="1"/>
  <c r="O1025" i="5" s="1"/>
  <c r="O1026" i="5" a="1"/>
  <c r="O1026" i="5" s="1"/>
  <c r="O1027" i="5" a="1"/>
  <c r="O1027" i="5" s="1"/>
  <c r="O1028" i="5" a="1"/>
  <c r="O1028" i="5" s="1"/>
  <c r="O1029" i="5" a="1"/>
  <c r="O1029" i="5" s="1"/>
  <c r="O1030" i="5" a="1"/>
  <c r="O1030" i="5" s="1"/>
  <c r="O1031" i="5" a="1"/>
  <c r="O1031" i="5" s="1"/>
  <c r="O1032" i="5" a="1"/>
  <c r="O1032" i="5" s="1"/>
  <c r="O1033" i="5" a="1"/>
  <c r="O1033" i="5" s="1"/>
  <c r="O1034" i="5" a="1"/>
  <c r="O1034" i="5" s="1"/>
  <c r="O1035" i="5" a="1"/>
  <c r="O1035" i="5" s="1"/>
  <c r="O1036" i="5" a="1"/>
  <c r="O1036" i="5" s="1"/>
  <c r="O1037" i="5" a="1"/>
  <c r="O1037" i="5" s="1"/>
  <c r="O1038" i="5" a="1"/>
  <c r="O1038" i="5" s="1"/>
  <c r="O1039" i="5" a="1"/>
  <c r="O1039" i="5" s="1"/>
  <c r="O1040" i="5" a="1"/>
  <c r="O1040" i="5" s="1"/>
  <c r="O1041" i="5" a="1"/>
  <c r="O1041" i="5" s="1"/>
  <c r="O1042" i="5" a="1"/>
  <c r="O1042" i="5" s="1"/>
  <c r="O1043" i="5" a="1"/>
  <c r="O1043" i="5" s="1"/>
  <c r="O1044" i="5" a="1"/>
  <c r="O1044" i="5" s="1"/>
  <c r="O1045" i="5" a="1"/>
  <c r="O1045" i="5" s="1"/>
  <c r="O1046" i="5" a="1"/>
  <c r="O1046" i="5" s="1"/>
  <c r="O1047" i="5" a="1"/>
  <c r="O1047" i="5" s="1"/>
  <c r="O1048" i="5" a="1"/>
  <c r="O1048" i="5" s="1"/>
  <c r="O1049" i="5" a="1"/>
  <c r="O1049" i="5" s="1"/>
  <c r="O1050" i="5" a="1"/>
  <c r="O1050" i="5" s="1"/>
  <c r="O1051" i="5" a="1"/>
  <c r="O1051" i="5" s="1"/>
  <c r="O1052" i="5" a="1"/>
  <c r="O1052" i="5" s="1"/>
  <c r="O1053" i="5" a="1"/>
  <c r="O1053" i="5" s="1"/>
  <c r="O1054" i="5" a="1"/>
  <c r="O1054" i="5" s="1"/>
  <c r="O1055" i="5" a="1"/>
  <c r="O1055" i="5" s="1"/>
  <c r="O1056" i="5" a="1"/>
  <c r="O1056" i="5" s="1"/>
  <c r="O1057" i="5" a="1"/>
  <c r="O1057" i="5" s="1"/>
  <c r="O1058" i="5" a="1"/>
  <c r="O1058" i="5" s="1"/>
  <c r="O1059" i="5" a="1"/>
  <c r="O1059" i="5" s="1"/>
  <c r="O1060" i="5" a="1"/>
  <c r="O1060" i="5" s="1"/>
  <c r="O1061" i="5" a="1"/>
  <c r="O1061" i="5" s="1"/>
  <c r="O1062" i="5" a="1"/>
  <c r="O1062" i="5" s="1"/>
  <c r="O1063" i="5" a="1"/>
  <c r="O1063" i="5" s="1"/>
  <c r="O1064" i="5" a="1"/>
  <c r="O1064" i="5" s="1"/>
  <c r="O1065" i="5" a="1"/>
  <c r="O1065" i="5" s="1"/>
  <c r="O1066" i="5" a="1"/>
  <c r="O1066" i="5" s="1"/>
  <c r="O1067" i="5" a="1"/>
  <c r="O1067" i="5" s="1"/>
  <c r="O1068" i="5" a="1"/>
  <c r="O1068" i="5" s="1"/>
  <c r="O1069" i="5" a="1"/>
  <c r="O1069" i="5" s="1"/>
  <c r="O1070" i="5" a="1"/>
  <c r="O1070" i="5" s="1"/>
  <c r="O1071" i="5" a="1"/>
  <c r="O1071" i="5" s="1"/>
  <c r="O1072" i="5" a="1"/>
  <c r="O1072" i="5" s="1"/>
  <c r="O1073" i="5" a="1"/>
  <c r="O1073" i="5" s="1"/>
  <c r="O1074" i="5" a="1"/>
  <c r="O1074" i="5" s="1"/>
  <c r="O1075" i="5" a="1"/>
  <c r="O1075" i="5" s="1"/>
  <c r="O1076" i="5" a="1"/>
  <c r="O1076" i="5" s="1"/>
  <c r="O1077" i="5" a="1"/>
  <c r="O1077" i="5" s="1"/>
  <c r="O1078" i="5" a="1"/>
  <c r="O1078" i="5" s="1"/>
  <c r="O1079" i="5" a="1"/>
  <c r="O1079" i="5" s="1"/>
  <c r="O1080" i="5" a="1"/>
  <c r="O1080" i="5" s="1"/>
  <c r="O1081" i="5" a="1"/>
  <c r="O1081" i="5" s="1"/>
  <c r="O1082" i="5" a="1"/>
  <c r="O1082" i="5" s="1"/>
  <c r="O1083" i="5" a="1"/>
  <c r="O1083" i="5" s="1"/>
  <c r="O1084" i="5" a="1"/>
  <c r="O1084" i="5" s="1"/>
  <c r="O1085" i="5" a="1"/>
  <c r="O1085" i="5" s="1"/>
  <c r="O1086" i="5" a="1"/>
  <c r="O1086" i="5" s="1"/>
  <c r="O1087" i="5" a="1"/>
  <c r="O1087" i="5" s="1"/>
  <c r="O1088" i="5" a="1"/>
  <c r="O1088" i="5" s="1"/>
  <c r="O1089" i="5" a="1"/>
  <c r="O1089" i="5" s="1"/>
  <c r="O1090" i="5" a="1"/>
  <c r="O1090" i="5" s="1"/>
  <c r="O1091" i="5" a="1"/>
  <c r="O1091" i="5" s="1"/>
  <c r="O1092" i="5" a="1"/>
  <c r="O1092" i="5" s="1"/>
  <c r="O1093" i="5" a="1"/>
  <c r="O1093" i="5" s="1"/>
  <c r="O1094" i="5" a="1"/>
  <c r="O1094" i="5" s="1"/>
  <c r="O1095" i="5" a="1"/>
  <c r="O1095" i="5" s="1"/>
  <c r="O1096" i="5" a="1"/>
  <c r="O1096" i="5" s="1"/>
  <c r="O1097" i="5" a="1"/>
  <c r="O1097" i="5" s="1"/>
  <c r="O1098" i="5" a="1"/>
  <c r="O1098" i="5" s="1"/>
  <c r="O1099" i="5" a="1"/>
  <c r="O1099" i="5" s="1"/>
  <c r="O1100" i="5" a="1"/>
  <c r="O1100" i="5" s="1"/>
  <c r="O1101" i="5" a="1"/>
  <c r="O1101" i="5" s="1"/>
  <c r="O1102" i="5" a="1"/>
  <c r="O1102" i="5" s="1"/>
  <c r="O1103" i="5" a="1"/>
  <c r="O1103" i="5" s="1"/>
  <c r="O1104" i="5" a="1"/>
  <c r="O1104" i="5" s="1"/>
  <c r="O1105" i="5" a="1"/>
  <c r="O1105" i="5" s="1"/>
  <c r="O1106" i="5" a="1"/>
  <c r="O1106" i="5" s="1"/>
  <c r="O1107" i="5" a="1"/>
  <c r="O1107" i="5" s="1"/>
  <c r="O1108" i="5" a="1"/>
  <c r="O1108" i="5" s="1"/>
  <c r="O1109" i="5" a="1"/>
  <c r="O1109" i="5" s="1"/>
  <c r="O1110" i="5" a="1"/>
  <c r="O1110" i="5" s="1"/>
  <c r="O1111" i="5" a="1"/>
  <c r="O1111" i="5" s="1"/>
  <c r="O1112" i="5" a="1"/>
  <c r="O1112" i="5" s="1"/>
  <c r="O1113" i="5" a="1"/>
  <c r="O1113" i="5" s="1"/>
  <c r="O1114" i="5" a="1"/>
  <c r="O1114" i="5" s="1"/>
  <c r="O1115" i="5" a="1"/>
  <c r="O1115" i="5" s="1"/>
  <c r="O1116" i="5" a="1"/>
  <c r="O1116" i="5" s="1"/>
  <c r="O1117" i="5" a="1"/>
  <c r="O1117" i="5" s="1"/>
  <c r="O1118" i="5" a="1"/>
  <c r="O1118" i="5" s="1"/>
  <c r="O1119" i="5" a="1"/>
  <c r="O1119" i="5" s="1"/>
  <c r="O1120" i="5" a="1"/>
  <c r="O1120" i="5" s="1"/>
  <c r="O1121" i="5" a="1"/>
  <c r="O1121" i="5" s="1"/>
  <c r="O1122" i="5" a="1"/>
  <c r="O1122" i="5" s="1"/>
  <c r="O1123" i="5" a="1"/>
  <c r="O1123" i="5" s="1"/>
  <c r="O1124" i="5" a="1"/>
  <c r="O1124" i="5" s="1"/>
  <c r="O1125" i="5" a="1"/>
  <c r="O1125" i="5" s="1"/>
  <c r="O1126" i="5" a="1"/>
  <c r="O1126" i="5" s="1"/>
  <c r="O1127" i="5" a="1"/>
  <c r="O1127" i="5" s="1"/>
  <c r="O1128" i="5" a="1"/>
  <c r="O1128" i="5" s="1"/>
  <c r="O1129" i="5" a="1"/>
  <c r="O1129" i="5" s="1"/>
  <c r="O1130" i="5" a="1"/>
  <c r="O1130" i="5" s="1"/>
  <c r="O1131" i="5" a="1"/>
  <c r="O1131" i="5" s="1"/>
  <c r="O1132" i="5" a="1"/>
  <c r="O1132" i="5" s="1"/>
  <c r="O1133" i="5" a="1"/>
  <c r="O1133" i="5" s="1"/>
  <c r="O1134" i="5" a="1"/>
  <c r="O1134" i="5" s="1"/>
  <c r="O1135" i="5" a="1"/>
  <c r="O1135" i="5" s="1"/>
  <c r="O1136" i="5" a="1"/>
  <c r="O1136" i="5" s="1"/>
  <c r="O1137" i="5" a="1"/>
  <c r="O1137" i="5" s="1"/>
  <c r="O1138" i="5" a="1"/>
  <c r="O1138" i="5" s="1"/>
  <c r="O1139" i="5" a="1"/>
  <c r="O1139" i="5" s="1"/>
  <c r="O1140" i="5" a="1"/>
  <c r="O1140" i="5" s="1"/>
  <c r="O1141" i="5" a="1"/>
  <c r="O1141" i="5" s="1"/>
  <c r="O1142" i="5" a="1"/>
  <c r="O1142" i="5" s="1"/>
  <c r="O1143" i="5" a="1"/>
  <c r="O1143" i="5" s="1"/>
  <c r="O1144" i="5" a="1"/>
  <c r="O1144" i="5" s="1"/>
  <c r="O1145" i="5" a="1"/>
  <c r="O1145" i="5" s="1"/>
  <c r="O1146" i="5" a="1"/>
  <c r="O1146" i="5" s="1"/>
  <c r="O1147" i="5" a="1"/>
  <c r="O1147" i="5" s="1"/>
  <c r="O1148" i="5" a="1"/>
  <c r="O1148" i="5" s="1"/>
  <c r="O1149" i="5" a="1"/>
  <c r="O1149" i="5" s="1"/>
  <c r="O1150" i="5" a="1"/>
  <c r="O1150" i="5" s="1"/>
  <c r="O1151" i="5" a="1"/>
  <c r="O1151" i="5" s="1"/>
  <c r="O1152" i="5" a="1"/>
  <c r="O1152" i="5" s="1"/>
  <c r="O1153" i="5" a="1"/>
  <c r="O1153" i="5" s="1"/>
  <c r="O1154" i="5" a="1"/>
  <c r="O1154" i="5" s="1"/>
  <c r="O1155" i="5" a="1"/>
  <c r="O1155" i="5" s="1"/>
  <c r="O1156" i="5" a="1"/>
  <c r="O1156" i="5" s="1"/>
  <c r="O1157" i="5" a="1"/>
  <c r="O1157" i="5" s="1"/>
  <c r="O1158" i="5" a="1"/>
  <c r="O1158" i="5" s="1"/>
  <c r="O1159" i="5" a="1"/>
  <c r="O1159" i="5" s="1"/>
  <c r="O1160" i="5" a="1"/>
  <c r="O1160" i="5" s="1"/>
  <c r="O1161" i="5" a="1"/>
  <c r="O1161" i="5" s="1"/>
  <c r="O1162" i="5" a="1"/>
  <c r="O1162" i="5" s="1"/>
  <c r="O1163" i="5" a="1"/>
  <c r="O1163" i="5" s="1"/>
  <c r="O1164" i="5" a="1"/>
  <c r="O1164" i="5" s="1"/>
  <c r="O1165" i="5" a="1"/>
  <c r="O1165" i="5" s="1"/>
  <c r="O1166" i="5" a="1"/>
  <c r="O1166" i="5" s="1"/>
  <c r="O2" i="5" a="1"/>
  <c r="O2" i="5" s="1"/>
  <c r="V341" i="5"/>
  <c r="V328" i="5"/>
  <c r="V340" i="5"/>
  <c r="V720" i="5"/>
  <c r="V750" i="5"/>
  <c r="V959" i="5"/>
  <c r="V853" i="5"/>
  <c r="V955" i="5"/>
  <c r="V976" i="5"/>
  <c r="V638" i="5"/>
  <c r="V394" i="5"/>
  <c r="V804" i="5"/>
  <c r="V25" i="5"/>
  <c r="V199" i="5"/>
  <c r="V442" i="5"/>
  <c r="V2" i="5"/>
  <c r="V54" i="5"/>
  <c r="V164" i="5"/>
  <c r="V342" i="5"/>
  <c r="V156" i="5"/>
  <c r="V274" i="5"/>
  <c r="V214" i="5"/>
  <c r="V268" i="5"/>
  <c r="V353" i="5"/>
  <c r="V39" i="5"/>
  <c r="V210" i="5"/>
  <c r="V312" i="5"/>
  <c r="V287" i="5"/>
  <c r="V195" i="5"/>
  <c r="V30" i="5"/>
  <c r="V65" i="5"/>
  <c r="V300" i="5"/>
  <c r="V324" i="5"/>
  <c r="V326" i="5"/>
  <c r="V467" i="5"/>
  <c r="V114" i="5"/>
  <c r="V474" i="5"/>
  <c r="V384" i="5"/>
  <c r="V142" i="5"/>
  <c r="V152" i="5"/>
  <c r="V124" i="5"/>
  <c r="V137" i="5"/>
  <c r="V203" i="5"/>
  <c r="V412" i="5"/>
  <c r="V434" i="5"/>
  <c r="V426" i="5"/>
  <c r="V71" i="5"/>
  <c r="V190" i="5"/>
  <c r="V82" i="5"/>
  <c r="V472" i="5"/>
  <c r="V778" i="5"/>
  <c r="V779" i="5"/>
  <c r="V1017" i="5"/>
  <c r="V542" i="5"/>
  <c r="V775" i="5"/>
  <c r="V485" i="5"/>
  <c r="V490" i="5"/>
  <c r="V493" i="5"/>
  <c r="V495" i="5"/>
  <c r="V499" i="5"/>
  <c r="V500" i="5"/>
  <c r="V506" i="5"/>
  <c r="V508" i="5"/>
  <c r="V517" i="5"/>
  <c r="V521" i="5"/>
  <c r="V523" i="5"/>
  <c r="V525" i="5"/>
  <c r="V528" i="5"/>
  <c r="V534" i="5"/>
  <c r="V537" i="5"/>
  <c r="V543" i="5"/>
  <c r="V496" i="5"/>
  <c r="V498" i="5"/>
  <c r="V555" i="5"/>
  <c r="V553" i="5"/>
  <c r="V556" i="5"/>
  <c r="V565" i="5"/>
  <c r="V564" i="5"/>
  <c r="V572" i="5"/>
  <c r="V592" i="5"/>
  <c r="V593" i="5"/>
  <c r="V589" i="5"/>
  <c r="V587" i="5"/>
  <c r="V588" i="5"/>
  <c r="V519" i="5"/>
  <c r="V520" i="5"/>
  <c r="V605" i="5"/>
  <c r="V602" i="5"/>
  <c r="V604" i="5"/>
  <c r="V524" i="5"/>
  <c r="V532" i="5"/>
  <c r="V623" i="5"/>
  <c r="V613" i="5"/>
  <c r="V632" i="5"/>
  <c r="V631" i="5"/>
  <c r="V637" i="5"/>
  <c r="V639" i="5"/>
  <c r="V659" i="5"/>
  <c r="V650" i="5"/>
  <c r="V651" i="5"/>
  <c r="V643" i="5"/>
  <c r="V658" i="5"/>
  <c r="V647" i="5"/>
  <c r="V645" i="5"/>
  <c r="V665" i="5"/>
  <c r="V675" i="5"/>
  <c r="V666" i="5"/>
  <c r="V674" i="5"/>
  <c r="V685" i="5"/>
  <c r="V690" i="5"/>
  <c r="V693" i="5"/>
  <c r="V691" i="5"/>
  <c r="V684" i="5"/>
  <c r="V680" i="5"/>
  <c r="V704" i="5"/>
  <c r="V700" i="5"/>
  <c r="V706" i="5"/>
  <c r="V705" i="5"/>
  <c r="V711" i="5"/>
  <c r="V719" i="5"/>
  <c r="V716" i="5"/>
  <c r="V717" i="5"/>
  <c r="V722" i="5"/>
  <c r="V723" i="5"/>
  <c r="V725" i="5"/>
  <c r="V736" i="5"/>
  <c r="V739" i="5"/>
  <c r="V767" i="5"/>
  <c r="V751" i="5"/>
  <c r="V757" i="5"/>
  <c r="V764" i="5"/>
  <c r="V770" i="5"/>
  <c r="V776" i="5"/>
  <c r="V780" i="5"/>
  <c r="V791" i="5"/>
  <c r="V792" i="5"/>
  <c r="V798" i="5"/>
  <c r="V805" i="5"/>
  <c r="V817" i="5"/>
  <c r="V821" i="5"/>
  <c r="V822" i="5"/>
  <c r="V825" i="5"/>
  <c r="V824" i="5"/>
  <c r="V834" i="5"/>
  <c r="V836" i="5"/>
  <c r="V993" i="5"/>
  <c r="V846" i="5"/>
  <c r="V850" i="5"/>
  <c r="V854" i="5"/>
  <c r="V857" i="5"/>
  <c r="V1075" i="5"/>
  <c r="V886" i="5"/>
  <c r="V887" i="5"/>
  <c r="V889" i="5"/>
  <c r="V897" i="5"/>
  <c r="V1095" i="5"/>
  <c r="V898" i="5"/>
  <c r="V906" i="5"/>
  <c r="V908" i="5"/>
  <c r="V907" i="5"/>
  <c r="V920" i="5"/>
  <c r="V930" i="5"/>
  <c r="V940" i="5"/>
  <c r="V1166" i="5"/>
  <c r="V942" i="5"/>
  <c r="V953" i="5"/>
  <c r="V956" i="5"/>
  <c r="V960" i="5"/>
  <c r="V975" i="5"/>
  <c r="V981" i="5"/>
  <c r="V984" i="5"/>
  <c r="V985" i="5"/>
  <c r="V986" i="5"/>
  <c r="V994" i="5"/>
  <c r="V998" i="5"/>
  <c r="V999" i="5"/>
  <c r="V1002" i="5"/>
  <c r="V1008" i="5"/>
  <c r="V1005" i="5"/>
  <c r="V1006" i="5"/>
  <c r="V1003" i="5"/>
  <c r="V1010" i="5"/>
  <c r="V1013" i="5"/>
  <c r="V1023" i="5"/>
  <c r="V1020" i="5"/>
  <c r="V1018" i="5"/>
  <c r="V1024" i="5"/>
  <c r="V1037" i="5"/>
  <c r="V1047" i="5"/>
  <c r="V1079" i="5"/>
  <c r="V1108" i="5"/>
  <c r="V1089" i="5"/>
  <c r="V1094" i="5"/>
  <c r="V1096" i="5"/>
  <c r="V1098" i="5"/>
  <c r="V1106" i="5"/>
  <c r="V1105" i="5"/>
  <c r="V1109" i="5"/>
  <c r="V1117" i="5"/>
  <c r="V1115" i="5"/>
  <c r="V1124" i="5"/>
  <c r="V1127" i="5"/>
  <c r="V1130" i="5"/>
  <c r="V615" i="5"/>
  <c r="V1129" i="5"/>
  <c r="V1132" i="5"/>
  <c r="V1138" i="5"/>
  <c r="V1153" i="5"/>
  <c r="V1151" i="5"/>
  <c r="V1158" i="5"/>
  <c r="V1160" i="5"/>
  <c r="V1159" i="5"/>
  <c r="V1161" i="5"/>
  <c r="V815" i="5"/>
  <c r="V939" i="5"/>
  <c r="V935" i="5"/>
  <c r="V1154" i="5"/>
  <c r="V1114" i="5"/>
  <c r="V812" i="5"/>
  <c r="V1078" i="5"/>
  <c r="V47" i="5"/>
  <c r="V91" i="5"/>
  <c r="V653" i="5"/>
  <c r="V756" i="5"/>
  <c r="V393" i="5"/>
  <c r="V115" i="5"/>
  <c r="V4" i="5"/>
  <c r="V478" i="5"/>
  <c r="V406" i="5"/>
  <c r="V351" i="5"/>
  <c r="V9" i="5"/>
  <c r="V136" i="5"/>
  <c r="V191" i="5"/>
  <c r="V192" i="5"/>
  <c r="V276" i="5"/>
  <c r="V284" i="5"/>
  <c r="V323" i="5"/>
  <c r="V450" i="5"/>
  <c r="V43" i="5"/>
  <c r="V5" i="5"/>
  <c r="V245" i="5"/>
  <c r="V289" i="5"/>
  <c r="V3" i="5"/>
  <c r="V185" i="5"/>
  <c r="V258" i="5"/>
  <c r="V425" i="5"/>
  <c r="V359" i="5"/>
  <c r="V470" i="5"/>
  <c r="V617" i="5"/>
  <c r="V618" i="5"/>
  <c r="V968" i="5"/>
  <c r="V1157" i="5"/>
  <c r="V510" i="5"/>
  <c r="V583" i="5"/>
  <c r="V634" i="5"/>
  <c r="V734" i="5"/>
  <c r="V755" i="5"/>
  <c r="V932" i="5"/>
  <c r="V1122" i="5"/>
  <c r="V1148" i="5"/>
  <c r="V178" i="5"/>
  <c r="V715" i="5"/>
  <c r="V880" i="5"/>
  <c r="V806" i="5"/>
  <c r="V217" i="5"/>
  <c r="V456" i="5"/>
  <c r="V726" i="5"/>
  <c r="V539" i="5"/>
  <c r="V488" i="5"/>
  <c r="V509" i="5"/>
  <c r="V531" i="5"/>
  <c r="V561" i="5"/>
  <c r="V571" i="5"/>
  <c r="V569" i="5"/>
  <c r="V590" i="5"/>
  <c r="V586" i="5"/>
  <c r="V601" i="5"/>
  <c r="V612" i="5"/>
  <c r="V633" i="5"/>
  <c r="V635" i="5"/>
  <c r="V644" i="5"/>
  <c r="V660" i="5"/>
  <c r="V667" i="5"/>
  <c r="V671" i="5"/>
  <c r="V688" i="5"/>
  <c r="V681" i="5"/>
  <c r="V682" i="5"/>
  <c r="V683" i="5"/>
  <c r="V689" i="5"/>
  <c r="V701" i="5"/>
  <c r="V710" i="5"/>
  <c r="V721" i="5"/>
  <c r="V724" i="5"/>
  <c r="V735" i="5"/>
  <c r="V749" i="5"/>
  <c r="V839" i="5"/>
  <c r="V760" i="5"/>
  <c r="V784" i="5"/>
  <c r="V785" i="5"/>
  <c r="V809" i="5"/>
  <c r="V829" i="5"/>
  <c r="V841" i="5"/>
  <c r="V856" i="5"/>
  <c r="V867" i="5"/>
  <c r="V877" i="5"/>
  <c r="V901" i="5"/>
  <c r="V928" i="5"/>
  <c r="V931" i="5"/>
  <c r="V945" i="5"/>
  <c r="V979" i="5"/>
  <c r="V982" i="5"/>
  <c r="V629" i="5"/>
  <c r="V1007" i="5"/>
  <c r="V992" i="5"/>
  <c r="V1031" i="5"/>
  <c r="V1033" i="5"/>
  <c r="V1034" i="5"/>
  <c r="V1032" i="5"/>
  <c r="V1038" i="5"/>
  <c r="V1039" i="5"/>
  <c r="V1052" i="5"/>
  <c r="V1048" i="5"/>
  <c r="V1069" i="5"/>
  <c r="V1061" i="5"/>
  <c r="V1082" i="5"/>
  <c r="V1074" i="5"/>
  <c r="V1080" i="5"/>
  <c r="V1083" i="5"/>
  <c r="V1146" i="5"/>
  <c r="V1111" i="5"/>
  <c r="V1118" i="5"/>
  <c r="V1144" i="5"/>
  <c r="V1145" i="5"/>
  <c r="V1147" i="5"/>
  <c r="V1156" i="5"/>
  <c r="V758" i="5"/>
  <c r="V861" i="5"/>
  <c r="V904" i="5"/>
  <c r="V916" i="5"/>
  <c r="V1062" i="5"/>
  <c r="V487" i="5"/>
  <c r="V933" i="5"/>
  <c r="V1084" i="5"/>
  <c r="V1165" i="5"/>
  <c r="V133" i="5"/>
  <c r="V695" i="5"/>
  <c r="V692" i="5"/>
  <c r="V808" i="5"/>
  <c r="V1091" i="5"/>
  <c r="V304" i="5"/>
  <c r="V577" i="5"/>
  <c r="V640" i="5"/>
  <c r="V769" i="5"/>
  <c r="V919" i="5"/>
  <c r="V738" i="5"/>
  <c r="V1050" i="5"/>
  <c r="V1051" i="5"/>
  <c r="V1141" i="5"/>
  <c r="V1025" i="5"/>
  <c r="V1026" i="5"/>
  <c r="V477" i="5"/>
  <c r="V1016" i="5"/>
  <c r="V773" i="5"/>
  <c r="V1041" i="5"/>
  <c r="V484" i="5"/>
  <c r="V333" i="5"/>
  <c r="V911" i="5"/>
  <c r="V827" i="5"/>
  <c r="V529" i="5"/>
  <c r="V549" i="5"/>
  <c r="V562" i="5"/>
  <c r="V596" i="5"/>
  <c r="V641" i="5"/>
  <c r="V663" i="5"/>
  <c r="V696" i="5"/>
  <c r="V697" i="5"/>
  <c r="V708" i="5"/>
  <c r="V768" i="5"/>
  <c r="V816" i="5"/>
  <c r="V830" i="5"/>
  <c r="V833" i="5"/>
  <c r="V851" i="5"/>
  <c r="V917" i="5"/>
  <c r="V951" i="5"/>
  <c r="V1027" i="5"/>
  <c r="V1028" i="5"/>
  <c r="V1110" i="5"/>
  <c r="V753" i="5"/>
  <c r="V1112" i="5"/>
  <c r="V1134" i="5"/>
  <c r="V1163" i="5"/>
  <c r="V147" i="5"/>
  <c r="V218" i="5"/>
  <c r="V875" i="5"/>
  <c r="V899" i="5"/>
  <c r="V814" i="5"/>
  <c r="V828" i="5"/>
  <c r="V891" i="5"/>
  <c r="V937" i="5"/>
  <c r="V1042" i="5"/>
  <c r="V546" i="5"/>
  <c r="V1085" i="5"/>
  <c r="V1054" i="5"/>
  <c r="V567" i="5"/>
  <c r="V881" i="5"/>
  <c r="V988" i="5"/>
  <c r="V489" i="5"/>
  <c r="V522" i="5"/>
  <c r="V783" i="5"/>
  <c r="V799" i="5"/>
  <c r="V996" i="5"/>
  <c r="V949" i="5"/>
  <c r="V622" i="5"/>
  <c r="V973" i="5"/>
  <c r="V774" i="5"/>
  <c r="V754" i="5"/>
  <c r="V807" i="5"/>
  <c r="V1055" i="5"/>
  <c r="V1029" i="5"/>
  <c r="V990" i="5"/>
  <c r="V482" i="5"/>
  <c r="V547" i="5"/>
  <c r="V1043" i="5"/>
  <c r="V892" i="5"/>
  <c r="V947" i="5"/>
  <c r="V950" i="5"/>
  <c r="V118" i="5"/>
  <c r="V52" i="5"/>
  <c r="V119" i="5"/>
  <c r="V13" i="5"/>
  <c r="V33" i="5"/>
  <c r="V34" i="5"/>
  <c r="V44" i="5"/>
  <c r="V63" i="5"/>
  <c r="V87" i="5"/>
  <c r="V173" i="5"/>
  <c r="V208" i="5"/>
  <c r="V263" i="5"/>
  <c r="V299" i="5"/>
  <c r="V174" i="5"/>
  <c r="V417" i="5"/>
  <c r="V427" i="5"/>
  <c r="V175" i="5"/>
  <c r="V121" i="5"/>
  <c r="V200" i="5"/>
  <c r="V344" i="5"/>
  <c r="V400" i="5"/>
  <c r="V410" i="5"/>
  <c r="V433" i="5"/>
  <c r="V443" i="5"/>
  <c r="V376" i="5"/>
  <c r="V448" i="5"/>
  <c r="V81" i="5"/>
  <c r="V186" i="5"/>
  <c r="V378" i="5"/>
  <c r="V915" i="5"/>
  <c r="V12" i="5"/>
  <c r="V51" i="5"/>
  <c r="V106" i="5"/>
  <c r="V187" i="5"/>
  <c r="V1086" i="5"/>
  <c r="V62" i="5"/>
  <c r="V122" i="5"/>
  <c r="V22" i="5"/>
  <c r="V88" i="5"/>
  <c r="V134" i="5"/>
  <c r="V209" i="5"/>
  <c r="V240" i="5"/>
  <c r="V292" i="5"/>
  <c r="V317" i="5"/>
  <c r="V385" i="5"/>
  <c r="V407" i="5"/>
  <c r="V557" i="5"/>
  <c r="V670" i="5"/>
  <c r="V789" i="5"/>
  <c r="V813" i="5"/>
  <c r="V1155" i="5"/>
  <c r="V444" i="5"/>
  <c r="V471" i="5"/>
  <c r="V352" i="5"/>
  <c r="V672" i="5"/>
  <c r="V714" i="5"/>
  <c r="V922" i="5"/>
  <c r="V20" i="5"/>
  <c r="V37" i="5"/>
  <c r="V46" i="5"/>
  <c r="V111" i="5"/>
  <c r="V138" i="5"/>
  <c r="V207" i="5"/>
  <c r="V227" i="5"/>
  <c r="V225" i="5"/>
  <c r="V315" i="5"/>
  <c r="V414" i="5"/>
  <c r="V550" i="5"/>
  <c r="V573" i="5"/>
  <c r="V609" i="5"/>
  <c r="V661" i="5"/>
  <c r="V686" i="5"/>
  <c r="V703" i="5"/>
  <c r="V729" i="5"/>
  <c r="V744" i="5"/>
  <c r="V763" i="5"/>
  <c r="V795" i="5"/>
  <c r="V819" i="5"/>
  <c r="V863" i="5"/>
  <c r="V873" i="5"/>
  <c r="V879" i="5"/>
  <c r="V894" i="5"/>
  <c r="V895" i="5"/>
  <c r="V923" i="5"/>
  <c r="V934" i="5"/>
  <c r="V936" i="5"/>
  <c r="V948" i="5"/>
  <c r="V1142" i="5"/>
  <c r="V1116" i="5"/>
  <c r="V1119" i="5"/>
  <c r="V1125" i="5"/>
  <c r="V491" i="5"/>
  <c r="V513" i="5"/>
  <c r="V1064" i="5"/>
  <c r="V7" i="5"/>
  <c r="V8" i="5"/>
  <c r="V10" i="5"/>
  <c r="V11" i="5"/>
  <c r="V16" i="5"/>
  <c r="V19" i="5"/>
  <c r="V23" i="5"/>
  <c r="V31" i="5"/>
  <c r="V38" i="5"/>
  <c r="V41" i="5"/>
  <c r="V55" i="5"/>
  <c r="V68" i="5"/>
  <c r="V72" i="5"/>
  <c r="V76" i="5"/>
  <c r="V78" i="5"/>
  <c r="V85" i="5"/>
  <c r="V98" i="5"/>
  <c r="V95" i="5"/>
  <c r="V94" i="5"/>
  <c r="V105" i="5"/>
  <c r="V102" i="5"/>
  <c r="V128" i="5"/>
  <c r="V125" i="5"/>
  <c r="V127" i="5"/>
  <c r="V132" i="5"/>
  <c r="V140" i="5"/>
  <c r="V148" i="5"/>
  <c r="V146" i="5"/>
  <c r="V160" i="5"/>
  <c r="V155" i="5"/>
  <c r="V169" i="5"/>
  <c r="V171" i="5"/>
  <c r="V176" i="5"/>
  <c r="V182" i="5"/>
  <c r="V179" i="5"/>
  <c r="V184" i="5"/>
  <c r="V198" i="5"/>
  <c r="V188" i="5"/>
  <c r="V202" i="5"/>
  <c r="V211" i="5"/>
  <c r="V212" i="5"/>
  <c r="V216" i="5"/>
  <c r="V226" i="5"/>
  <c r="V237" i="5"/>
  <c r="V232" i="5"/>
  <c r="V238" i="5"/>
  <c r="V247" i="5"/>
  <c r="V249" i="5"/>
  <c r="V250" i="5"/>
  <c r="V257" i="5"/>
  <c r="V267" i="5"/>
  <c r="V286" i="5"/>
  <c r="V288" i="5"/>
  <c r="V291" i="5"/>
  <c r="V305" i="5"/>
  <c r="V306" i="5"/>
  <c r="V307" i="5"/>
  <c r="V308" i="5"/>
  <c r="V309" i="5"/>
  <c r="V316" i="5"/>
  <c r="V319" i="5"/>
  <c r="V320" i="5"/>
  <c r="V329" i="5"/>
  <c r="V325" i="5"/>
  <c r="V59" i="5"/>
  <c r="V86" i="5"/>
  <c r="V331" i="5"/>
  <c r="V332" i="5"/>
  <c r="V336" i="5"/>
  <c r="V337" i="5"/>
  <c r="V349" i="5"/>
  <c r="V356" i="5"/>
  <c r="V362" i="5"/>
  <c r="V363" i="5"/>
  <c r="V364" i="5"/>
  <c r="V367" i="5"/>
  <c r="V366" i="5"/>
  <c r="V371" i="5"/>
  <c r="V369" i="5"/>
  <c r="V377" i="5"/>
  <c r="V386" i="5"/>
  <c r="V387" i="5"/>
  <c r="V391" i="5"/>
  <c r="V392" i="5"/>
  <c r="V398" i="5"/>
  <c r="V396" i="5"/>
  <c r="V402" i="5"/>
  <c r="V405" i="5"/>
  <c r="V409" i="5"/>
  <c r="V419" i="5"/>
  <c r="V420" i="5"/>
  <c r="V428" i="5"/>
  <c r="V430" i="5"/>
  <c r="V441" i="5"/>
  <c r="V440" i="5"/>
  <c r="V446" i="5"/>
  <c r="V242" i="5"/>
  <c r="V449" i="5"/>
  <c r="V453" i="5"/>
  <c r="V452" i="5"/>
  <c r="V463" i="5"/>
  <c r="V462" i="5"/>
  <c r="V464" i="5"/>
  <c r="V468" i="5"/>
  <c r="V243" i="5"/>
  <c r="V259" i="5"/>
  <c r="V746" i="5"/>
  <c r="V1101" i="5"/>
  <c r="V938" i="5"/>
  <c r="V1056" i="5"/>
  <c r="V713" i="5"/>
  <c r="V655" i="5"/>
  <c r="V927" i="5"/>
  <c r="V1128" i="5"/>
  <c r="V761" i="5"/>
  <c r="V860" i="5"/>
  <c r="V481" i="5"/>
  <c r="V483" i="5"/>
  <c r="V486" i="5"/>
  <c r="V492" i="5"/>
  <c r="V502" i="5"/>
  <c r="V501" i="5"/>
  <c r="V503" i="5"/>
  <c r="V504" i="5"/>
  <c r="V505" i="5"/>
  <c r="V507" i="5"/>
  <c r="V511" i="5"/>
  <c r="V514" i="5"/>
  <c r="V518" i="5"/>
  <c r="V516" i="5"/>
  <c r="V527" i="5"/>
  <c r="V526" i="5"/>
  <c r="V533" i="5"/>
  <c r="V530" i="5"/>
  <c r="V536" i="5"/>
  <c r="V538" i="5"/>
  <c r="V545" i="5"/>
  <c r="V548" i="5"/>
  <c r="V480" i="5"/>
  <c r="V540" i="5"/>
  <c r="V544" i="5"/>
  <c r="V558" i="5"/>
  <c r="V552" i="5"/>
  <c r="V554" i="5"/>
  <c r="V560" i="5"/>
  <c r="V551" i="5"/>
  <c r="V563" i="5"/>
  <c r="V568" i="5"/>
  <c r="V566" i="5"/>
  <c r="V570" i="5"/>
  <c r="V574" i="5"/>
  <c r="V575" i="5"/>
  <c r="V578" i="5"/>
  <c r="V576" i="5"/>
  <c r="V579" i="5"/>
  <c r="V580" i="5"/>
  <c r="V581" i="5"/>
  <c r="V584" i="5"/>
  <c r="V585" i="5"/>
  <c r="V597" i="5"/>
  <c r="V598" i="5"/>
  <c r="V599" i="5"/>
  <c r="V591" i="5"/>
  <c r="V595" i="5"/>
  <c r="V610" i="5"/>
  <c r="V611" i="5"/>
  <c r="V608" i="5"/>
  <c r="V606" i="5"/>
  <c r="V619" i="5"/>
  <c r="V614" i="5"/>
  <c r="V620" i="5"/>
  <c r="V624" i="5"/>
  <c r="V535" i="5"/>
  <c r="V541" i="5"/>
  <c r="V625" i="5"/>
  <c r="V621" i="5"/>
  <c r="V594" i="5"/>
  <c r="V600" i="5"/>
  <c r="V642" i="5"/>
  <c r="V626" i="5"/>
  <c r="V627" i="5"/>
  <c r="V662" i="5"/>
  <c r="V636" i="5"/>
  <c r="V654" i="5"/>
  <c r="V652" i="5"/>
  <c r="V657" i="5"/>
  <c r="V656" i="5"/>
  <c r="V664" i="5"/>
  <c r="V676" i="5"/>
  <c r="V668" i="5"/>
  <c r="V673" i="5"/>
  <c r="V678" i="5"/>
  <c r="V669" i="5"/>
  <c r="V679" i="5"/>
  <c r="V687" i="5"/>
  <c r="V698" i="5"/>
  <c r="V694" i="5"/>
  <c r="V702" i="5"/>
  <c r="V677" i="5"/>
  <c r="V712" i="5"/>
  <c r="V707" i="5"/>
  <c r="V718" i="5"/>
  <c r="V727" i="5"/>
  <c r="V730" i="5"/>
  <c r="V728" i="5"/>
  <c r="V731" i="5"/>
  <c r="V745" i="5"/>
  <c r="V733" i="5"/>
  <c r="V737" i="5"/>
  <c r="V740" i="5"/>
  <c r="V743" i="5"/>
  <c r="V741" i="5"/>
  <c r="V742" i="5"/>
  <c r="V747" i="5"/>
  <c r="V759" i="5"/>
  <c r="V855" i="5"/>
  <c r="V762" i="5"/>
  <c r="V866" i="5"/>
  <c r="V766" i="5"/>
  <c r="V869" i="5"/>
  <c r="V884" i="5"/>
  <c r="V900" i="5"/>
  <c r="V777" i="5"/>
  <c r="V905" i="5"/>
  <c r="V941" i="5"/>
  <c r="V782" i="5"/>
  <c r="V781" i="5"/>
  <c r="V787" i="5"/>
  <c r="V790" i="5"/>
  <c r="V794" i="5"/>
  <c r="V793" i="5"/>
  <c r="V797" i="5"/>
  <c r="V796" i="5"/>
  <c r="V800" i="5"/>
  <c r="V801" i="5"/>
  <c r="V802" i="5"/>
  <c r="V946" i="5"/>
  <c r="V810" i="5"/>
  <c r="V818" i="5"/>
  <c r="V820" i="5"/>
  <c r="V823" i="5"/>
  <c r="V978" i="5"/>
  <c r="V826" i="5"/>
  <c r="V991" i="5"/>
  <c r="V832" i="5"/>
  <c r="V831" i="5"/>
  <c r="V838" i="5"/>
  <c r="V837" i="5"/>
  <c r="V835" i="5"/>
  <c r="V840" i="5"/>
  <c r="V847" i="5"/>
  <c r="V844" i="5"/>
  <c r="V848" i="5"/>
  <c r="V843" i="5"/>
  <c r="V845" i="5"/>
  <c r="V842" i="5"/>
  <c r="V849" i="5"/>
  <c r="V852" i="5"/>
  <c r="V858" i="5"/>
  <c r="V1030" i="5"/>
  <c r="V859" i="5"/>
  <c r="V862" i="5"/>
  <c r="V864" i="5"/>
  <c r="V870" i="5"/>
  <c r="V868" i="5"/>
  <c r="V871" i="5"/>
  <c r="V874" i="5"/>
  <c r="V876" i="5"/>
  <c r="V882" i="5"/>
  <c r="V878" i="5"/>
  <c r="V885" i="5"/>
  <c r="V888" i="5"/>
  <c r="V1076" i="5"/>
  <c r="V893" i="5"/>
  <c r="V1090" i="5"/>
  <c r="V903" i="5"/>
  <c r="V1100" i="5"/>
  <c r="V912" i="5"/>
  <c r="V910" i="5"/>
  <c r="V913" i="5"/>
  <c r="V918" i="5"/>
  <c r="V914" i="5"/>
  <c r="V921" i="5"/>
  <c r="V924" i="5"/>
  <c r="V925" i="5"/>
  <c r="V926" i="5"/>
  <c r="V1102" i="5"/>
  <c r="V929" i="5"/>
  <c r="V1133" i="5"/>
  <c r="V943" i="5"/>
  <c r="V944" i="5"/>
  <c r="V952" i="5"/>
  <c r="V954" i="5"/>
  <c r="V958" i="5"/>
  <c r="V957" i="5"/>
  <c r="V961" i="5"/>
  <c r="V962" i="5"/>
  <c r="V963" i="5"/>
  <c r="V965" i="5"/>
  <c r="V966" i="5"/>
  <c r="V969" i="5"/>
  <c r="V971" i="5"/>
  <c r="V970" i="5"/>
  <c r="V972" i="5"/>
  <c r="V977" i="5"/>
  <c r="V989" i="5"/>
  <c r="V803" i="5"/>
  <c r="V995" i="5"/>
  <c r="V997" i="5"/>
  <c r="V1000" i="5"/>
  <c r="V1001" i="5"/>
  <c r="V1004" i="5"/>
  <c r="V1009" i="5"/>
  <c r="V1011" i="5"/>
  <c r="V1014" i="5"/>
  <c r="V1012" i="5"/>
  <c r="V1022" i="5"/>
  <c r="V1021" i="5"/>
  <c r="V1044" i="5"/>
  <c r="V1035" i="5"/>
  <c r="V1040" i="5"/>
  <c r="V1036" i="5"/>
  <c r="V1057" i="5"/>
  <c r="V1049" i="5"/>
  <c r="V1058" i="5"/>
  <c r="V1059" i="5"/>
  <c r="V1070" i="5"/>
  <c r="V1063" i="5"/>
  <c r="V1072" i="5"/>
  <c r="V1065" i="5"/>
  <c r="V1066" i="5"/>
  <c r="V1068" i="5"/>
  <c r="V1081" i="5"/>
  <c r="V1077" i="5"/>
  <c r="V1073" i="5"/>
  <c r="V1092" i="5"/>
  <c r="V1088" i="5"/>
  <c r="V1087" i="5"/>
  <c r="V1099" i="5"/>
  <c r="V1139" i="5"/>
  <c r="V1045" i="5"/>
  <c r="V1067" i="5"/>
  <c r="V1113" i="5"/>
  <c r="V1120" i="5"/>
  <c r="V1126" i="5"/>
  <c r="V1123" i="5"/>
  <c r="V1131" i="5"/>
  <c r="V1135" i="5"/>
  <c r="V1053" i="5"/>
  <c r="V1137" i="5"/>
  <c r="V1140" i="5"/>
  <c r="V1136" i="5"/>
  <c r="V1143" i="5"/>
  <c r="V1060" i="5"/>
  <c r="V607" i="5"/>
  <c r="V1149" i="5"/>
  <c r="V1150" i="5"/>
  <c r="V1162" i="5"/>
  <c r="V1164" i="5"/>
  <c r="V896" i="5"/>
  <c r="V772" i="5"/>
  <c r="V811" i="5"/>
  <c r="V1103" i="5"/>
  <c r="V283" i="5"/>
  <c r="V379" i="5"/>
  <c r="V29" i="5"/>
  <c r="V97" i="5"/>
  <c r="V103" i="5"/>
  <c r="V348" i="5"/>
  <c r="V165" i="5"/>
  <c r="V399" i="5"/>
  <c r="V228" i="5"/>
  <c r="V494" i="5"/>
  <c r="V497" i="5"/>
  <c r="V559" i="5"/>
  <c r="V603" i="5"/>
  <c r="V771" i="5"/>
  <c r="V1071" i="5"/>
  <c r="V883" i="5"/>
  <c r="V902" i="5"/>
  <c r="V967" i="5"/>
  <c r="V983" i="5"/>
  <c r="V987" i="5"/>
  <c r="V1121" i="5"/>
  <c r="V18" i="5"/>
  <c r="V21" i="5"/>
  <c r="V24" i="5"/>
  <c r="V42" i="5"/>
  <c r="V48" i="5"/>
  <c r="V45" i="5"/>
  <c r="V49" i="5"/>
  <c r="V50" i="5"/>
  <c r="V53" i="5"/>
  <c r="V56" i="5"/>
  <c r="V60" i="5"/>
  <c r="V61" i="5"/>
  <c r="V66" i="5"/>
  <c r="V69" i="5"/>
  <c r="V70" i="5"/>
  <c r="V77" i="5"/>
  <c r="V73" i="5"/>
  <c r="V80" i="5"/>
  <c r="V93" i="5"/>
  <c r="V89" i="5"/>
  <c r="V99" i="5"/>
  <c r="V104" i="5"/>
  <c r="V117" i="5"/>
  <c r="V120" i="5"/>
  <c r="V130" i="5"/>
  <c r="V141" i="5"/>
  <c r="V144" i="5"/>
  <c r="V166" i="5"/>
  <c r="V158" i="5"/>
  <c r="V153" i="5"/>
  <c r="V159" i="5"/>
  <c r="V170" i="5"/>
  <c r="V180" i="5"/>
  <c r="V181" i="5"/>
  <c r="V197" i="5"/>
  <c r="V6" i="5"/>
  <c r="V213" i="5"/>
  <c r="V215" i="5"/>
  <c r="V230" i="5"/>
  <c r="V234" i="5"/>
  <c r="V235" i="5"/>
  <c r="V231" i="5"/>
  <c r="V252" i="5"/>
  <c r="V251" i="5"/>
  <c r="V246" i="5"/>
  <c r="V256" i="5"/>
  <c r="V261" i="5"/>
  <c r="V271" i="5"/>
  <c r="V273" i="5"/>
  <c r="V265" i="5"/>
  <c r="V293" i="5"/>
  <c r="V294" i="5"/>
  <c r="V290" i="5"/>
  <c r="V282" i="5"/>
  <c r="V318" i="5"/>
  <c r="V313" i="5"/>
  <c r="V335" i="5"/>
  <c r="V116" i="5"/>
  <c r="V338" i="5"/>
  <c r="V354" i="5"/>
  <c r="V355" i="5"/>
  <c r="V360" i="5"/>
  <c r="V361" i="5"/>
  <c r="V374" i="5"/>
  <c r="V397" i="5"/>
  <c r="V395" i="5"/>
  <c r="V401" i="5"/>
  <c r="V416" i="5"/>
  <c r="V436" i="5"/>
  <c r="V222" i="5"/>
  <c r="V447" i="5"/>
  <c r="V457" i="5"/>
  <c r="V459" i="5"/>
  <c r="V465" i="5"/>
  <c r="V469" i="5"/>
  <c r="V473" i="5"/>
  <c r="V475" i="5"/>
  <c r="V476" i="5"/>
  <c r="V269" i="5"/>
  <c r="V15" i="5"/>
  <c r="V177" i="5"/>
  <c r="V253" i="5"/>
  <c r="V254" i="5"/>
  <c r="V260" i="5"/>
  <c r="V365" i="5"/>
  <c r="V382" i="5"/>
  <c r="V388" i="5"/>
  <c r="V415" i="5"/>
  <c r="V454" i="5"/>
  <c r="V458" i="5"/>
  <c r="V461" i="5"/>
  <c r="V438" i="5"/>
  <c r="V79" i="5"/>
  <c r="V1107" i="5"/>
  <c r="V373" i="5"/>
  <c r="V515" i="5"/>
  <c r="V709" i="5"/>
  <c r="V732" i="5"/>
  <c r="V27" i="5"/>
  <c r="V58" i="5"/>
  <c r="V646" i="5"/>
  <c r="V189" i="5"/>
  <c r="V17" i="5"/>
  <c r="V375" i="5"/>
  <c r="V423" i="5"/>
  <c r="V466" i="5"/>
  <c r="V275" i="5"/>
  <c r="V699" i="5"/>
  <c r="V28" i="5"/>
  <c r="V74" i="5"/>
  <c r="V126" i="5"/>
  <c r="V327" i="5"/>
  <c r="V512" i="5"/>
  <c r="V582" i="5"/>
  <c r="V1104" i="5"/>
  <c r="V974" i="5"/>
  <c r="V909" i="5"/>
  <c r="V36" i="5"/>
  <c r="V57" i="5"/>
  <c r="V149" i="5"/>
  <c r="V172" i="5"/>
  <c r="V193" i="5"/>
  <c r="V194" i="5"/>
  <c r="V277" i="5"/>
  <c r="V266" i="5"/>
  <c r="V295" i="5"/>
  <c r="V890" i="5"/>
  <c r="V343" i="5"/>
  <c r="V381" i="5"/>
  <c r="V403" i="5"/>
  <c r="V404" i="5"/>
  <c r="V479" i="5"/>
  <c r="V616" i="5"/>
  <c r="V648" i="5"/>
  <c r="V649" i="5"/>
  <c r="V630" i="5"/>
  <c r="V748" i="5"/>
  <c r="V752" i="5"/>
  <c r="V765" i="5"/>
  <c r="V786" i="5"/>
  <c r="V788" i="5"/>
  <c r="V865" i="5"/>
  <c r="V872" i="5"/>
  <c r="V964" i="5"/>
  <c r="V980" i="5"/>
  <c r="V1015" i="5"/>
  <c r="V1019" i="5"/>
  <c r="V1046" i="5"/>
  <c r="V1093" i="5"/>
  <c r="V1097" i="5"/>
  <c r="V1152" i="5"/>
  <c r="V64" i="5"/>
  <c r="V347" i="5"/>
  <c r="V357" i="5"/>
  <c r="V334" i="5"/>
  <c r="V339" i="5"/>
  <c r="V370" i="5"/>
  <c r="V107" i="5"/>
  <c r="V123" i="5"/>
  <c r="V129" i="5"/>
  <c r="V345" i="5"/>
  <c r="V628" i="5"/>
  <c r="V219" i="5"/>
  <c r="V408" i="5"/>
  <c r="V281" i="5"/>
  <c r="V285" i="5"/>
  <c r="V14" i="5"/>
  <c r="V32" i="5"/>
  <c r="V35" i="5"/>
  <c r="V67" i="5"/>
  <c r="V75" i="5"/>
  <c r="V84" i="5"/>
  <c r="V83" i="5"/>
  <c r="V248" i="5"/>
  <c r="V92" i="5"/>
  <c r="V90" i="5"/>
  <c r="V100" i="5"/>
  <c r="V96" i="5"/>
  <c r="V101" i="5"/>
  <c r="V108" i="5"/>
  <c r="V109" i="5"/>
  <c r="V110" i="5"/>
  <c r="V112" i="5"/>
  <c r="V113" i="5"/>
  <c r="V131" i="5"/>
  <c r="V135" i="5"/>
  <c r="V139" i="5"/>
  <c r="V150" i="5"/>
  <c r="V151" i="5"/>
  <c r="V145" i="5"/>
  <c r="V143" i="5"/>
  <c r="V162" i="5"/>
  <c r="V163" i="5"/>
  <c r="V157" i="5"/>
  <c r="V167" i="5"/>
  <c r="V168" i="5"/>
  <c r="V183" i="5"/>
  <c r="V196" i="5"/>
  <c r="V206" i="5"/>
  <c r="V204" i="5"/>
  <c r="V220" i="5"/>
  <c r="V221" i="5"/>
  <c r="V205" i="5"/>
  <c r="V272" i="5"/>
  <c r="V223" i="5"/>
  <c r="V224" i="5"/>
  <c r="V236" i="5"/>
  <c r="V321" i="5"/>
  <c r="V239" i="5"/>
  <c r="V233" i="5"/>
  <c r="V244" i="5"/>
  <c r="V445" i="5"/>
  <c r="V262" i="5"/>
  <c r="V264" i="5"/>
  <c r="V278" i="5"/>
  <c r="V279" i="5"/>
  <c r="V280" i="5"/>
  <c r="V270" i="5"/>
  <c r="V296" i="5"/>
  <c r="V297" i="5"/>
  <c r="V302" i="5"/>
  <c r="V303" i="5"/>
  <c r="V301" i="5"/>
  <c r="V310" i="5"/>
  <c r="V311" i="5"/>
  <c r="V298" i="5"/>
  <c r="V314" i="5"/>
  <c r="V322" i="5"/>
  <c r="V26" i="5"/>
  <c r="V346" i="5"/>
  <c r="V350" i="5"/>
  <c r="V358" i="5"/>
  <c r="V154" i="5"/>
  <c r="V161" i="5"/>
  <c r="V380" i="5"/>
  <c r="V383" i="5"/>
  <c r="V389" i="5"/>
  <c r="V390" i="5"/>
  <c r="V201" i="5"/>
  <c r="V411" i="5"/>
  <c r="V413" i="5"/>
  <c r="V418" i="5"/>
  <c r="V421" i="5"/>
  <c r="V422" i="5"/>
  <c r="V424" i="5"/>
  <c r="V429" i="5"/>
  <c r="V431" i="5"/>
  <c r="V432" i="5"/>
  <c r="V435" i="5"/>
  <c r="V437" i="5"/>
  <c r="V439" i="5"/>
  <c r="V229" i="5"/>
  <c r="V451" i="5"/>
  <c r="V460" i="5"/>
  <c r="V241" i="5"/>
  <c r="V330" i="5"/>
  <c r="V368" i="5"/>
  <c r="V372" i="5"/>
  <c r="V455" i="5"/>
  <c r="V255" i="5"/>
  <c r="V40" i="5"/>
  <c r="Q341" i="5"/>
  <c r="Q328" i="5"/>
  <c r="Q340" i="5"/>
  <c r="Q720" i="5"/>
  <c r="Q750" i="5"/>
  <c r="Q959" i="5"/>
  <c r="Q853" i="5"/>
  <c r="Q955" i="5"/>
  <c r="Q976" i="5"/>
  <c r="Q638" i="5"/>
  <c r="Q394" i="5"/>
  <c r="Q804" i="5"/>
  <c r="Q25" i="5"/>
  <c r="Q199" i="5"/>
  <c r="Q442" i="5"/>
  <c r="Q2" i="5"/>
  <c r="Q54" i="5"/>
  <c r="Q164" i="5"/>
  <c r="Q342" i="5"/>
  <c r="Q156" i="5"/>
  <c r="Q274" i="5"/>
  <c r="Q214" i="5"/>
  <c r="Q268" i="5"/>
  <c r="Q353" i="5"/>
  <c r="Q39" i="5"/>
  <c r="Q210" i="5"/>
  <c r="Q312" i="5"/>
  <c r="Q287" i="5"/>
  <c r="Q195" i="5"/>
  <c r="Q30" i="5"/>
  <c r="Q65" i="5"/>
  <c r="Q300" i="5"/>
  <c r="Q324" i="5"/>
  <c r="Q326" i="5"/>
  <c r="Q467" i="5"/>
  <c r="Q114" i="5"/>
  <c r="Q474" i="5"/>
  <c r="Q384" i="5"/>
  <c r="Q142" i="5"/>
  <c r="Q152" i="5"/>
  <c r="Q124" i="5"/>
  <c r="Q137" i="5"/>
  <c r="Q203" i="5"/>
  <c r="Q412" i="5"/>
  <c r="Q434" i="5"/>
  <c r="Q426" i="5"/>
  <c r="Q71" i="5"/>
  <c r="Q190" i="5"/>
  <c r="Q82" i="5"/>
  <c r="Q472" i="5"/>
  <c r="Q778" i="5"/>
  <c r="Q779" i="5"/>
  <c r="Q1017" i="5"/>
  <c r="Q542" i="5"/>
  <c r="Q775" i="5"/>
  <c r="Q485" i="5"/>
  <c r="Q490" i="5"/>
  <c r="Q493" i="5"/>
  <c r="Q495" i="5"/>
  <c r="Q499" i="5"/>
  <c r="Q500" i="5"/>
  <c r="Q506" i="5"/>
  <c r="Q508" i="5"/>
  <c r="Q517" i="5"/>
  <c r="Q521" i="5"/>
  <c r="Q523" i="5"/>
  <c r="Q525" i="5"/>
  <c r="Q528" i="5"/>
  <c r="Q534" i="5"/>
  <c r="Q537" i="5"/>
  <c r="Q543" i="5"/>
  <c r="Q496" i="5"/>
  <c r="Q498" i="5"/>
  <c r="Q555" i="5"/>
  <c r="Q553" i="5"/>
  <c r="Q556" i="5"/>
  <c r="Q565" i="5"/>
  <c r="Q564" i="5"/>
  <c r="Q572" i="5"/>
  <c r="Q592" i="5"/>
  <c r="Q593" i="5"/>
  <c r="Q589" i="5"/>
  <c r="Q587" i="5"/>
  <c r="Q588" i="5"/>
  <c r="Q519" i="5"/>
  <c r="Q520" i="5"/>
  <c r="Q605" i="5"/>
  <c r="Q602" i="5"/>
  <c r="Q604" i="5"/>
  <c r="Q524" i="5"/>
  <c r="Q532" i="5"/>
  <c r="Q623" i="5"/>
  <c r="Q613" i="5"/>
  <c r="Q632" i="5"/>
  <c r="Q631" i="5"/>
  <c r="Q637" i="5"/>
  <c r="Q639" i="5"/>
  <c r="Q659" i="5"/>
  <c r="Q650" i="5"/>
  <c r="Q651" i="5"/>
  <c r="Q643" i="5"/>
  <c r="Q658" i="5"/>
  <c r="Q647" i="5"/>
  <c r="Q645" i="5"/>
  <c r="Q665" i="5"/>
  <c r="Q675" i="5"/>
  <c r="Q666" i="5"/>
  <c r="Q674" i="5"/>
  <c r="Q685" i="5"/>
  <c r="Q690" i="5"/>
  <c r="Q693" i="5"/>
  <c r="Q691" i="5"/>
  <c r="Q684" i="5"/>
  <c r="Q680" i="5"/>
  <c r="Q704" i="5"/>
  <c r="Q700" i="5"/>
  <c r="Q706" i="5"/>
  <c r="Q705" i="5"/>
  <c r="Q711" i="5"/>
  <c r="Q719" i="5"/>
  <c r="Q716" i="5"/>
  <c r="Q717" i="5"/>
  <c r="Q722" i="5"/>
  <c r="Q723" i="5"/>
  <c r="Q725" i="5"/>
  <c r="Q736" i="5"/>
  <c r="Q739" i="5"/>
  <c r="Q767" i="5"/>
  <c r="Q751" i="5"/>
  <c r="Q757" i="5"/>
  <c r="Q764" i="5"/>
  <c r="Q770" i="5"/>
  <c r="Q776" i="5"/>
  <c r="Q780" i="5"/>
  <c r="Q791" i="5"/>
  <c r="Q792" i="5"/>
  <c r="Q798" i="5"/>
  <c r="Q805" i="5"/>
  <c r="Q817" i="5"/>
  <c r="Q821" i="5"/>
  <c r="Q822" i="5"/>
  <c r="Q825" i="5"/>
  <c r="Q824" i="5"/>
  <c r="Q834" i="5"/>
  <c r="Q836" i="5"/>
  <c r="Q993" i="5"/>
  <c r="Q846" i="5"/>
  <c r="Q850" i="5"/>
  <c r="Q854" i="5"/>
  <c r="Q857" i="5"/>
  <c r="Q1075" i="5"/>
  <c r="Q886" i="5"/>
  <c r="Q887" i="5"/>
  <c r="Q889" i="5"/>
  <c r="Q897" i="5"/>
  <c r="Q1095" i="5"/>
  <c r="Q898" i="5"/>
  <c r="Q906" i="5"/>
  <c r="Q908" i="5"/>
  <c r="Q907" i="5"/>
  <c r="Q920" i="5"/>
  <c r="Q930" i="5"/>
  <c r="Q940" i="5"/>
  <c r="Q1166" i="5"/>
  <c r="Q942" i="5"/>
  <c r="Q953" i="5"/>
  <c r="Q956" i="5"/>
  <c r="Q960" i="5"/>
  <c r="Q975" i="5"/>
  <c r="Q981" i="5"/>
  <c r="Q984" i="5"/>
  <c r="Q985" i="5"/>
  <c r="Q986" i="5"/>
  <c r="Q994" i="5"/>
  <c r="Q998" i="5"/>
  <c r="Q999" i="5"/>
  <c r="Q1002" i="5"/>
  <c r="Q1008" i="5"/>
  <c r="Q1005" i="5"/>
  <c r="Q1006" i="5"/>
  <c r="Q1003" i="5"/>
  <c r="Q1010" i="5"/>
  <c r="Q1013" i="5"/>
  <c r="Q1023" i="5"/>
  <c r="Q1020" i="5"/>
  <c r="Q1018" i="5"/>
  <c r="Q1024" i="5"/>
  <c r="Q1037" i="5"/>
  <c r="Q1047" i="5"/>
  <c r="Q1079" i="5"/>
  <c r="Q1108" i="5"/>
  <c r="Q1089" i="5"/>
  <c r="Q1094" i="5"/>
  <c r="Q1096" i="5"/>
  <c r="Q1098" i="5"/>
  <c r="Q1106" i="5"/>
  <c r="Q1105" i="5"/>
  <c r="Q1109" i="5"/>
  <c r="Q1117" i="5"/>
  <c r="Q1115" i="5"/>
  <c r="Q1124" i="5"/>
  <c r="Q1127" i="5"/>
  <c r="Q1130" i="5"/>
  <c r="Q615" i="5"/>
  <c r="Q1129" i="5"/>
  <c r="Q1132" i="5"/>
  <c r="Q1138" i="5"/>
  <c r="Q1153" i="5"/>
  <c r="Q1151" i="5"/>
  <c r="Q1158" i="5"/>
  <c r="Q1160" i="5"/>
  <c r="Q1159" i="5"/>
  <c r="Q1161" i="5"/>
  <c r="Q815" i="5"/>
  <c r="Q939" i="5"/>
  <c r="Q935" i="5"/>
  <c r="Q1154" i="5"/>
  <c r="Q1114" i="5"/>
  <c r="Q812" i="5"/>
  <c r="Q1078" i="5"/>
  <c r="Q47" i="5"/>
  <c r="Q91" i="5"/>
  <c r="Q653" i="5"/>
  <c r="Q756" i="5"/>
  <c r="Q393" i="5"/>
  <c r="Q115" i="5"/>
  <c r="Q4" i="5"/>
  <c r="Q478" i="5"/>
  <c r="Q406" i="5"/>
  <c r="Q351" i="5"/>
  <c r="Q9" i="5"/>
  <c r="Q136" i="5"/>
  <c r="Q191" i="5"/>
  <c r="Q192" i="5"/>
  <c r="Q276" i="5"/>
  <c r="Q284" i="5"/>
  <c r="Q323" i="5"/>
  <c r="Q450" i="5"/>
  <c r="Q43" i="5"/>
  <c r="Q5" i="5"/>
  <c r="Q245" i="5"/>
  <c r="Q289" i="5"/>
  <c r="Q3" i="5"/>
  <c r="Q185" i="5"/>
  <c r="Q258" i="5"/>
  <c r="Q425" i="5"/>
  <c r="Q359" i="5"/>
  <c r="Q470" i="5"/>
  <c r="Q617" i="5"/>
  <c r="Q618" i="5"/>
  <c r="Q968" i="5"/>
  <c r="Q1157" i="5"/>
  <c r="Q510" i="5"/>
  <c r="Q583" i="5"/>
  <c r="Q634" i="5"/>
  <c r="Q734" i="5"/>
  <c r="Q755" i="5"/>
  <c r="Q932" i="5"/>
  <c r="Q1122" i="5"/>
  <c r="Q1148" i="5"/>
  <c r="Q178" i="5"/>
  <c r="Q715" i="5"/>
  <c r="Q880" i="5"/>
  <c r="Q806" i="5"/>
  <c r="Q217" i="5"/>
  <c r="Q456" i="5"/>
  <c r="Q726" i="5"/>
  <c r="Q539" i="5"/>
  <c r="Q488" i="5"/>
  <c r="Q509" i="5"/>
  <c r="Q531" i="5"/>
  <c r="Q561" i="5"/>
  <c r="Q571" i="5"/>
  <c r="Q569" i="5"/>
  <c r="Q590" i="5"/>
  <c r="Q586" i="5"/>
  <c r="Q601" i="5"/>
  <c r="Q612" i="5"/>
  <c r="Q633" i="5"/>
  <c r="Q635" i="5"/>
  <c r="Q644" i="5"/>
  <c r="Q660" i="5"/>
  <c r="Q667" i="5"/>
  <c r="Q671" i="5"/>
  <c r="Q688" i="5"/>
  <c r="Q681" i="5"/>
  <c r="Q682" i="5"/>
  <c r="Q683" i="5"/>
  <c r="Q689" i="5"/>
  <c r="Q701" i="5"/>
  <c r="Q710" i="5"/>
  <c r="Q721" i="5"/>
  <c r="Q724" i="5"/>
  <c r="Q735" i="5"/>
  <c r="Q749" i="5"/>
  <c r="Q839" i="5"/>
  <c r="Q760" i="5"/>
  <c r="Q784" i="5"/>
  <c r="Q785" i="5"/>
  <c r="Q809" i="5"/>
  <c r="Q829" i="5"/>
  <c r="Q841" i="5"/>
  <c r="Q856" i="5"/>
  <c r="Q867" i="5"/>
  <c r="Q877" i="5"/>
  <c r="Q901" i="5"/>
  <c r="Q928" i="5"/>
  <c r="Q931" i="5"/>
  <c r="Q945" i="5"/>
  <c r="Q979" i="5"/>
  <c r="Q982" i="5"/>
  <c r="Q629" i="5"/>
  <c r="Q1007" i="5"/>
  <c r="Q992" i="5"/>
  <c r="Q1031" i="5"/>
  <c r="Q1033" i="5"/>
  <c r="Q1034" i="5"/>
  <c r="Q1032" i="5"/>
  <c r="Q1038" i="5"/>
  <c r="Q1039" i="5"/>
  <c r="Q1052" i="5"/>
  <c r="Q1048" i="5"/>
  <c r="Q1069" i="5"/>
  <c r="Q1061" i="5"/>
  <c r="Q1082" i="5"/>
  <c r="Q1074" i="5"/>
  <c r="Q1080" i="5"/>
  <c r="Q1083" i="5"/>
  <c r="Q1146" i="5"/>
  <c r="Q1111" i="5"/>
  <c r="Q1118" i="5"/>
  <c r="Q1144" i="5"/>
  <c r="Q1145" i="5"/>
  <c r="Q1147" i="5"/>
  <c r="Q1156" i="5"/>
  <c r="Q758" i="5"/>
  <c r="Q861" i="5"/>
  <c r="Q904" i="5"/>
  <c r="Q916" i="5"/>
  <c r="Q1062" i="5"/>
  <c r="Q487" i="5"/>
  <c r="Q933" i="5"/>
  <c r="Q1084" i="5"/>
  <c r="Q1165" i="5"/>
  <c r="Q133" i="5"/>
  <c r="Q695" i="5"/>
  <c r="Q692" i="5"/>
  <c r="Q808" i="5"/>
  <c r="Q1091" i="5"/>
  <c r="Q304" i="5"/>
  <c r="Q577" i="5"/>
  <c r="Q640" i="5"/>
  <c r="Q769" i="5"/>
  <c r="Q919" i="5"/>
  <c r="Q738" i="5"/>
  <c r="Q1050" i="5"/>
  <c r="Q1051" i="5"/>
  <c r="Q1141" i="5"/>
  <c r="Q1025" i="5"/>
  <c r="Q1026" i="5"/>
  <c r="Q477" i="5"/>
  <c r="Q1016" i="5"/>
  <c r="Q773" i="5"/>
  <c r="Q1041" i="5"/>
  <c r="Q484" i="5"/>
  <c r="Q333" i="5"/>
  <c r="Q911" i="5"/>
  <c r="Q827" i="5"/>
  <c r="Q529" i="5"/>
  <c r="Q549" i="5"/>
  <c r="Q562" i="5"/>
  <c r="Q596" i="5"/>
  <c r="Q641" i="5"/>
  <c r="Q663" i="5"/>
  <c r="Q696" i="5"/>
  <c r="Q697" i="5"/>
  <c r="Q708" i="5"/>
  <c r="Q768" i="5"/>
  <c r="Q816" i="5"/>
  <c r="Q830" i="5"/>
  <c r="Q833" i="5"/>
  <c r="Q851" i="5"/>
  <c r="Q917" i="5"/>
  <c r="Q951" i="5"/>
  <c r="Q1027" i="5"/>
  <c r="Q1028" i="5"/>
  <c r="Q1110" i="5"/>
  <c r="Q753" i="5"/>
  <c r="Q1112" i="5"/>
  <c r="Q1134" i="5"/>
  <c r="Q1163" i="5"/>
  <c r="Q147" i="5"/>
  <c r="Q218" i="5"/>
  <c r="Q875" i="5"/>
  <c r="Q899" i="5"/>
  <c r="Q814" i="5"/>
  <c r="Q828" i="5"/>
  <c r="Q891" i="5"/>
  <c r="Q937" i="5"/>
  <c r="Q1042" i="5"/>
  <c r="Q546" i="5"/>
  <c r="Q1085" i="5"/>
  <c r="Q1054" i="5"/>
  <c r="Q567" i="5"/>
  <c r="Q881" i="5"/>
  <c r="Q988" i="5"/>
  <c r="Q489" i="5"/>
  <c r="Q522" i="5"/>
  <c r="Q783" i="5"/>
  <c r="Q799" i="5"/>
  <c r="Q996" i="5"/>
  <c r="Q949" i="5"/>
  <c r="Q622" i="5"/>
  <c r="Q973" i="5"/>
  <c r="Q774" i="5"/>
  <c r="Q754" i="5"/>
  <c r="Q807" i="5"/>
  <c r="Q1055" i="5"/>
  <c r="Q1029" i="5"/>
  <c r="Q990" i="5"/>
  <c r="Q482" i="5"/>
  <c r="Q547" i="5"/>
  <c r="Q1043" i="5"/>
  <c r="Q892" i="5"/>
  <c r="Q947" i="5"/>
  <c r="Q950" i="5"/>
  <c r="Q118" i="5"/>
  <c r="Q52" i="5"/>
  <c r="Q119" i="5"/>
  <c r="Q13" i="5"/>
  <c r="Q33" i="5"/>
  <c r="Q34" i="5"/>
  <c r="Q44" i="5"/>
  <c r="Q63" i="5"/>
  <c r="Q87" i="5"/>
  <c r="Q173" i="5"/>
  <c r="Q208" i="5"/>
  <c r="Q263" i="5"/>
  <c r="Q299" i="5"/>
  <c r="Q174" i="5"/>
  <c r="Q417" i="5"/>
  <c r="Q427" i="5"/>
  <c r="Q175" i="5"/>
  <c r="Q121" i="5"/>
  <c r="Q200" i="5"/>
  <c r="Q344" i="5"/>
  <c r="Q400" i="5"/>
  <c r="Q410" i="5"/>
  <c r="Q433" i="5"/>
  <c r="Q443" i="5"/>
  <c r="Q376" i="5"/>
  <c r="Q448" i="5"/>
  <c r="Q81" i="5"/>
  <c r="Q186" i="5"/>
  <c r="Q378" i="5"/>
  <c r="Q915" i="5"/>
  <c r="Q12" i="5"/>
  <c r="Q51" i="5"/>
  <c r="Q106" i="5"/>
  <c r="Q187" i="5"/>
  <c r="Q1086" i="5"/>
  <c r="Q62" i="5"/>
  <c r="Q122" i="5"/>
  <c r="Q22" i="5"/>
  <c r="Q88" i="5"/>
  <c r="Q134" i="5"/>
  <c r="Q209" i="5"/>
  <c r="Q240" i="5"/>
  <c r="Q292" i="5"/>
  <c r="Q317" i="5"/>
  <c r="Q385" i="5"/>
  <c r="Q407" i="5"/>
  <c r="Q557" i="5"/>
  <c r="Q670" i="5"/>
  <c r="Q789" i="5"/>
  <c r="Q813" i="5"/>
  <c r="Q1155" i="5"/>
  <c r="Q444" i="5"/>
  <c r="Q471" i="5"/>
  <c r="Q352" i="5"/>
  <c r="Q672" i="5"/>
  <c r="Q714" i="5"/>
  <c r="Q922" i="5"/>
  <c r="Q20" i="5"/>
  <c r="Q37" i="5"/>
  <c r="Q46" i="5"/>
  <c r="Q111" i="5"/>
  <c r="Q138" i="5"/>
  <c r="Q207" i="5"/>
  <c r="Q227" i="5"/>
  <c r="Q225" i="5"/>
  <c r="Q315" i="5"/>
  <c r="Q414" i="5"/>
  <c r="Q550" i="5"/>
  <c r="Q573" i="5"/>
  <c r="Q609" i="5"/>
  <c r="Q661" i="5"/>
  <c r="Q686" i="5"/>
  <c r="Q703" i="5"/>
  <c r="Q729" i="5"/>
  <c r="Q744" i="5"/>
  <c r="Q763" i="5"/>
  <c r="Q795" i="5"/>
  <c r="Q819" i="5"/>
  <c r="Q863" i="5"/>
  <c r="Q873" i="5"/>
  <c r="Q879" i="5"/>
  <c r="Q894" i="5"/>
  <c r="Q895" i="5"/>
  <c r="Q923" i="5"/>
  <c r="Q934" i="5"/>
  <c r="Q936" i="5"/>
  <c r="Q948" i="5"/>
  <c r="Q1142" i="5"/>
  <c r="Q1116" i="5"/>
  <c r="Q1119" i="5"/>
  <c r="Q1125" i="5"/>
  <c r="Q491" i="5"/>
  <c r="Q513" i="5"/>
  <c r="Q1064" i="5"/>
  <c r="Q7" i="5"/>
  <c r="Q8" i="5"/>
  <c r="Q10" i="5"/>
  <c r="Q11" i="5"/>
  <c r="Q16" i="5"/>
  <c r="Q19" i="5"/>
  <c r="Q23" i="5"/>
  <c r="Q31" i="5"/>
  <c r="Q38" i="5"/>
  <c r="Q41" i="5"/>
  <c r="Q55" i="5"/>
  <c r="Q68" i="5"/>
  <c r="Q72" i="5"/>
  <c r="Q76" i="5"/>
  <c r="Q78" i="5"/>
  <c r="Q85" i="5"/>
  <c r="Q98" i="5"/>
  <c r="Q95" i="5"/>
  <c r="Q94" i="5"/>
  <c r="Q105" i="5"/>
  <c r="Q102" i="5"/>
  <c r="Q128" i="5"/>
  <c r="Q125" i="5"/>
  <c r="Q127" i="5"/>
  <c r="Q132" i="5"/>
  <c r="Q140" i="5"/>
  <c r="Q148" i="5"/>
  <c r="Q146" i="5"/>
  <c r="Q160" i="5"/>
  <c r="Q155" i="5"/>
  <c r="Q169" i="5"/>
  <c r="Q171" i="5"/>
  <c r="Q176" i="5"/>
  <c r="Q182" i="5"/>
  <c r="Q179" i="5"/>
  <c r="Q184" i="5"/>
  <c r="Q198" i="5"/>
  <c r="Q188" i="5"/>
  <c r="Q202" i="5"/>
  <c r="Q211" i="5"/>
  <c r="Q212" i="5"/>
  <c r="Q216" i="5"/>
  <c r="Q226" i="5"/>
  <c r="Q237" i="5"/>
  <c r="Q232" i="5"/>
  <c r="Q238" i="5"/>
  <c r="Q247" i="5"/>
  <c r="Q249" i="5"/>
  <c r="Q250" i="5"/>
  <c r="Q257" i="5"/>
  <c r="Q267" i="5"/>
  <c r="Q286" i="5"/>
  <c r="Q288" i="5"/>
  <c r="Q291" i="5"/>
  <c r="Q305" i="5"/>
  <c r="Q306" i="5"/>
  <c r="Q307" i="5"/>
  <c r="Q308" i="5"/>
  <c r="Q309" i="5"/>
  <c r="Q316" i="5"/>
  <c r="Q319" i="5"/>
  <c r="Q320" i="5"/>
  <c r="Q329" i="5"/>
  <c r="Q325" i="5"/>
  <c r="Q59" i="5"/>
  <c r="Q86" i="5"/>
  <c r="Q331" i="5"/>
  <c r="Q332" i="5"/>
  <c r="Q336" i="5"/>
  <c r="Q337" i="5"/>
  <c r="Q349" i="5"/>
  <c r="Q356" i="5"/>
  <c r="Q362" i="5"/>
  <c r="Q363" i="5"/>
  <c r="Q364" i="5"/>
  <c r="Q367" i="5"/>
  <c r="Q366" i="5"/>
  <c r="Q371" i="5"/>
  <c r="Q369" i="5"/>
  <c r="Q377" i="5"/>
  <c r="Q386" i="5"/>
  <c r="Q387" i="5"/>
  <c r="Q391" i="5"/>
  <c r="Q392" i="5"/>
  <c r="Q398" i="5"/>
  <c r="Q396" i="5"/>
  <c r="Q402" i="5"/>
  <c r="Q405" i="5"/>
  <c r="Q409" i="5"/>
  <c r="Q419" i="5"/>
  <c r="Q420" i="5"/>
  <c r="Q428" i="5"/>
  <c r="Q430" i="5"/>
  <c r="Q441" i="5"/>
  <c r="Q440" i="5"/>
  <c r="Q446" i="5"/>
  <c r="Q242" i="5"/>
  <c r="Q449" i="5"/>
  <c r="Q453" i="5"/>
  <c r="Q452" i="5"/>
  <c r="Q463" i="5"/>
  <c r="Q462" i="5"/>
  <c r="Q464" i="5"/>
  <c r="Q468" i="5"/>
  <c r="Q243" i="5"/>
  <c r="Q259" i="5"/>
  <c r="Q746" i="5"/>
  <c r="Q1101" i="5"/>
  <c r="Q938" i="5"/>
  <c r="Q1056" i="5"/>
  <c r="Q713" i="5"/>
  <c r="Q655" i="5"/>
  <c r="Q927" i="5"/>
  <c r="Q1128" i="5"/>
  <c r="Q761" i="5"/>
  <c r="Q860" i="5"/>
  <c r="Q481" i="5"/>
  <c r="Q483" i="5"/>
  <c r="Q486" i="5"/>
  <c r="Q492" i="5"/>
  <c r="Q502" i="5"/>
  <c r="Q501" i="5"/>
  <c r="Q503" i="5"/>
  <c r="Q504" i="5"/>
  <c r="Q505" i="5"/>
  <c r="Q507" i="5"/>
  <c r="Q511" i="5"/>
  <c r="Q514" i="5"/>
  <c r="Q518" i="5"/>
  <c r="Q516" i="5"/>
  <c r="Q527" i="5"/>
  <c r="Q526" i="5"/>
  <c r="Q533" i="5"/>
  <c r="Q530" i="5"/>
  <c r="Q536" i="5"/>
  <c r="Q538" i="5"/>
  <c r="Q545" i="5"/>
  <c r="Q548" i="5"/>
  <c r="Q480" i="5"/>
  <c r="Q540" i="5"/>
  <c r="Q544" i="5"/>
  <c r="Q558" i="5"/>
  <c r="Q552" i="5"/>
  <c r="Q554" i="5"/>
  <c r="Q560" i="5"/>
  <c r="Q551" i="5"/>
  <c r="Q563" i="5"/>
  <c r="Q568" i="5"/>
  <c r="Q566" i="5"/>
  <c r="Q570" i="5"/>
  <c r="Q574" i="5"/>
  <c r="Q575" i="5"/>
  <c r="Q578" i="5"/>
  <c r="Q576" i="5"/>
  <c r="Q579" i="5"/>
  <c r="Q580" i="5"/>
  <c r="Q581" i="5"/>
  <c r="Q584" i="5"/>
  <c r="Q585" i="5"/>
  <c r="Q597" i="5"/>
  <c r="Q598" i="5"/>
  <c r="Q599" i="5"/>
  <c r="Q591" i="5"/>
  <c r="Q595" i="5"/>
  <c r="Q610" i="5"/>
  <c r="Q611" i="5"/>
  <c r="Q608" i="5"/>
  <c r="Q606" i="5"/>
  <c r="Q619" i="5"/>
  <c r="Q614" i="5"/>
  <c r="Q620" i="5"/>
  <c r="Q624" i="5"/>
  <c r="Q535" i="5"/>
  <c r="Q541" i="5"/>
  <c r="Q625" i="5"/>
  <c r="Q621" i="5"/>
  <c r="Q594" i="5"/>
  <c r="Q600" i="5"/>
  <c r="Q642" i="5"/>
  <c r="Q626" i="5"/>
  <c r="Q627" i="5"/>
  <c r="Q662" i="5"/>
  <c r="Q636" i="5"/>
  <c r="Q654" i="5"/>
  <c r="Q652" i="5"/>
  <c r="Q657" i="5"/>
  <c r="Q656" i="5"/>
  <c r="Q664" i="5"/>
  <c r="Q676" i="5"/>
  <c r="Q668" i="5"/>
  <c r="Q673" i="5"/>
  <c r="Q678" i="5"/>
  <c r="Q669" i="5"/>
  <c r="Q679" i="5"/>
  <c r="Q687" i="5"/>
  <c r="Q698" i="5"/>
  <c r="Q694" i="5"/>
  <c r="Q702" i="5"/>
  <c r="Q677" i="5"/>
  <c r="Q712" i="5"/>
  <c r="Q707" i="5"/>
  <c r="Q718" i="5"/>
  <c r="Q727" i="5"/>
  <c r="Q730" i="5"/>
  <c r="Q728" i="5"/>
  <c r="Q731" i="5"/>
  <c r="Q745" i="5"/>
  <c r="Q733" i="5"/>
  <c r="Q737" i="5"/>
  <c r="Q740" i="5"/>
  <c r="Q743" i="5"/>
  <c r="Q741" i="5"/>
  <c r="Q742" i="5"/>
  <c r="Q747" i="5"/>
  <c r="Q759" i="5"/>
  <c r="Q855" i="5"/>
  <c r="Q762" i="5"/>
  <c r="Q866" i="5"/>
  <c r="Q766" i="5"/>
  <c r="Q869" i="5"/>
  <c r="Q884" i="5"/>
  <c r="Q900" i="5"/>
  <c r="Q777" i="5"/>
  <c r="Q905" i="5"/>
  <c r="Q941" i="5"/>
  <c r="Q782" i="5"/>
  <c r="Q781" i="5"/>
  <c r="Q787" i="5"/>
  <c r="Q790" i="5"/>
  <c r="Q794" i="5"/>
  <c r="Q793" i="5"/>
  <c r="Q797" i="5"/>
  <c r="Q796" i="5"/>
  <c r="Q800" i="5"/>
  <c r="Q801" i="5"/>
  <c r="Q802" i="5"/>
  <c r="Q946" i="5"/>
  <c r="Q810" i="5"/>
  <c r="Q818" i="5"/>
  <c r="Q820" i="5"/>
  <c r="Q823" i="5"/>
  <c r="Q978" i="5"/>
  <c r="Q826" i="5"/>
  <c r="Q991" i="5"/>
  <c r="Q832" i="5"/>
  <c r="Q831" i="5"/>
  <c r="Q838" i="5"/>
  <c r="Q837" i="5"/>
  <c r="Q835" i="5"/>
  <c r="Q840" i="5"/>
  <c r="Q847" i="5"/>
  <c r="Q844" i="5"/>
  <c r="Q848" i="5"/>
  <c r="Q843" i="5"/>
  <c r="Q845" i="5"/>
  <c r="Q842" i="5"/>
  <c r="Q849" i="5"/>
  <c r="Q852" i="5"/>
  <c r="Q858" i="5"/>
  <c r="Q1030" i="5"/>
  <c r="Q859" i="5"/>
  <c r="Q862" i="5"/>
  <c r="Q864" i="5"/>
  <c r="Q870" i="5"/>
  <c r="Q868" i="5"/>
  <c r="Q871" i="5"/>
  <c r="Q874" i="5"/>
  <c r="Q876" i="5"/>
  <c r="Q882" i="5"/>
  <c r="Q878" i="5"/>
  <c r="Q885" i="5"/>
  <c r="Q888" i="5"/>
  <c r="Q1076" i="5"/>
  <c r="Q893" i="5"/>
  <c r="Q1090" i="5"/>
  <c r="Q903" i="5"/>
  <c r="Q1100" i="5"/>
  <c r="Q912" i="5"/>
  <c r="Q910" i="5"/>
  <c r="Q913" i="5"/>
  <c r="Q918" i="5"/>
  <c r="Q914" i="5"/>
  <c r="Q921" i="5"/>
  <c r="Q924" i="5"/>
  <c r="Q925" i="5"/>
  <c r="Q926" i="5"/>
  <c r="Q1102" i="5"/>
  <c r="Q929" i="5"/>
  <c r="Q1133" i="5"/>
  <c r="Q943" i="5"/>
  <c r="Q944" i="5"/>
  <c r="Q952" i="5"/>
  <c r="Q954" i="5"/>
  <c r="Q958" i="5"/>
  <c r="Q957" i="5"/>
  <c r="Q961" i="5"/>
  <c r="Q962" i="5"/>
  <c r="Q963" i="5"/>
  <c r="Q965" i="5"/>
  <c r="Q966" i="5"/>
  <c r="Q969" i="5"/>
  <c r="Q971" i="5"/>
  <c r="Q970" i="5"/>
  <c r="Q972" i="5"/>
  <c r="Q977" i="5"/>
  <c r="Q989" i="5"/>
  <c r="Q803" i="5"/>
  <c r="Q995" i="5"/>
  <c r="Q997" i="5"/>
  <c r="Q1000" i="5"/>
  <c r="Q1001" i="5"/>
  <c r="Q1004" i="5"/>
  <c r="Q1009" i="5"/>
  <c r="Q1011" i="5"/>
  <c r="Q1014" i="5"/>
  <c r="Q1012" i="5"/>
  <c r="Q1022" i="5"/>
  <c r="Q1021" i="5"/>
  <c r="Q1044" i="5"/>
  <c r="Q1035" i="5"/>
  <c r="Q1040" i="5"/>
  <c r="Q1036" i="5"/>
  <c r="Q1057" i="5"/>
  <c r="Q1049" i="5"/>
  <c r="Q1058" i="5"/>
  <c r="Q1059" i="5"/>
  <c r="Q1070" i="5"/>
  <c r="Q1063" i="5"/>
  <c r="Q1072" i="5"/>
  <c r="Q1065" i="5"/>
  <c r="Q1066" i="5"/>
  <c r="Q1068" i="5"/>
  <c r="Q1081" i="5"/>
  <c r="Q1077" i="5"/>
  <c r="Q1073" i="5"/>
  <c r="Q1092" i="5"/>
  <c r="Q1088" i="5"/>
  <c r="Q1087" i="5"/>
  <c r="Q1099" i="5"/>
  <c r="Q1139" i="5"/>
  <c r="Q1045" i="5"/>
  <c r="Q1067" i="5"/>
  <c r="Q1113" i="5"/>
  <c r="Q1120" i="5"/>
  <c r="Q1126" i="5"/>
  <c r="Q1123" i="5"/>
  <c r="Q1131" i="5"/>
  <c r="Q1135" i="5"/>
  <c r="Q1053" i="5"/>
  <c r="Q1137" i="5"/>
  <c r="Q1140" i="5"/>
  <c r="Q1136" i="5"/>
  <c r="Q1143" i="5"/>
  <c r="Q1060" i="5"/>
  <c r="Q607" i="5"/>
  <c r="Q1149" i="5"/>
  <c r="Q1150" i="5"/>
  <c r="Q1162" i="5"/>
  <c r="Q1164" i="5"/>
  <c r="Q896" i="5"/>
  <c r="Q772" i="5"/>
  <c r="Q811" i="5"/>
  <c r="Q1103" i="5"/>
  <c r="Q283" i="5"/>
  <c r="Q379" i="5"/>
  <c r="Q29" i="5"/>
  <c r="Q97" i="5"/>
  <c r="Q103" i="5"/>
  <c r="Q348" i="5"/>
  <c r="Q165" i="5"/>
  <c r="Q399" i="5"/>
  <c r="Q228" i="5"/>
  <c r="Q494" i="5"/>
  <c r="Q497" i="5"/>
  <c r="Q559" i="5"/>
  <c r="Q603" i="5"/>
  <c r="Q771" i="5"/>
  <c r="Q1071" i="5"/>
  <c r="Q883" i="5"/>
  <c r="Q902" i="5"/>
  <c r="Q967" i="5"/>
  <c r="Q983" i="5"/>
  <c r="Q987" i="5"/>
  <c r="Q1121" i="5"/>
  <c r="Q18" i="5"/>
  <c r="Q21" i="5"/>
  <c r="Q24" i="5"/>
  <c r="Q42" i="5"/>
  <c r="Q48" i="5"/>
  <c r="Q45" i="5"/>
  <c r="Q49" i="5"/>
  <c r="Q50" i="5"/>
  <c r="Q53" i="5"/>
  <c r="Q56" i="5"/>
  <c r="Q60" i="5"/>
  <c r="Q61" i="5"/>
  <c r="Q66" i="5"/>
  <c r="Q69" i="5"/>
  <c r="Q70" i="5"/>
  <c r="Q77" i="5"/>
  <c r="Q73" i="5"/>
  <c r="Q80" i="5"/>
  <c r="Q93" i="5"/>
  <c r="Q89" i="5"/>
  <c r="Q99" i="5"/>
  <c r="Q104" i="5"/>
  <c r="Q117" i="5"/>
  <c r="Q120" i="5"/>
  <c r="Q130" i="5"/>
  <c r="Q141" i="5"/>
  <c r="Q144" i="5"/>
  <c r="Q166" i="5"/>
  <c r="Q158" i="5"/>
  <c r="Q153" i="5"/>
  <c r="Q159" i="5"/>
  <c r="Q170" i="5"/>
  <c r="Q180" i="5"/>
  <c r="Q181" i="5"/>
  <c r="Q197" i="5"/>
  <c r="Q6" i="5"/>
  <c r="Q213" i="5"/>
  <c r="Q215" i="5"/>
  <c r="Q230" i="5"/>
  <c r="Q234" i="5"/>
  <c r="Q235" i="5"/>
  <c r="Q231" i="5"/>
  <c r="Q252" i="5"/>
  <c r="Q251" i="5"/>
  <c r="Q246" i="5"/>
  <c r="Q256" i="5"/>
  <c r="Q261" i="5"/>
  <c r="Q271" i="5"/>
  <c r="Q273" i="5"/>
  <c r="Q265" i="5"/>
  <c r="Q293" i="5"/>
  <c r="Q294" i="5"/>
  <c r="Q290" i="5"/>
  <c r="Q282" i="5"/>
  <c r="Q318" i="5"/>
  <c r="Q313" i="5"/>
  <c r="Q335" i="5"/>
  <c r="Q116" i="5"/>
  <c r="Q338" i="5"/>
  <c r="Q354" i="5"/>
  <c r="Q355" i="5"/>
  <c r="Q360" i="5"/>
  <c r="Q361" i="5"/>
  <c r="Q374" i="5"/>
  <c r="Q397" i="5"/>
  <c r="Q395" i="5"/>
  <c r="Q401" i="5"/>
  <c r="Q416" i="5"/>
  <c r="Q436" i="5"/>
  <c r="Q222" i="5"/>
  <c r="Q447" i="5"/>
  <c r="Q457" i="5"/>
  <c r="Q459" i="5"/>
  <c r="Q465" i="5"/>
  <c r="Q469" i="5"/>
  <c r="Q473" i="5"/>
  <c r="Q475" i="5"/>
  <c r="Q476" i="5"/>
  <c r="Q269" i="5"/>
  <c r="Q15" i="5"/>
  <c r="Q177" i="5"/>
  <c r="Q253" i="5"/>
  <c r="Q254" i="5"/>
  <c r="Q260" i="5"/>
  <c r="Q365" i="5"/>
  <c r="Q382" i="5"/>
  <c r="Q388" i="5"/>
  <c r="Q415" i="5"/>
  <c r="Q454" i="5"/>
  <c r="Q458" i="5"/>
  <c r="Q461" i="5"/>
  <c r="Q438" i="5"/>
  <c r="Q79" i="5"/>
  <c r="Q1107" i="5"/>
  <c r="Q373" i="5"/>
  <c r="Q515" i="5"/>
  <c r="Q709" i="5"/>
  <c r="Q732" i="5"/>
  <c r="Q27" i="5"/>
  <c r="Q58" i="5"/>
  <c r="Q646" i="5"/>
  <c r="Q189" i="5"/>
  <c r="Q17" i="5"/>
  <c r="Q375" i="5"/>
  <c r="Q423" i="5"/>
  <c r="Q466" i="5"/>
  <c r="Q275" i="5"/>
  <c r="Q699" i="5"/>
  <c r="Q28" i="5"/>
  <c r="Q74" i="5"/>
  <c r="Q126" i="5"/>
  <c r="Q327" i="5"/>
  <c r="Q512" i="5"/>
  <c r="Q582" i="5"/>
  <c r="Q1104" i="5"/>
  <c r="Q974" i="5"/>
  <c r="Q909" i="5"/>
  <c r="Q36" i="5"/>
  <c r="Q57" i="5"/>
  <c r="Q149" i="5"/>
  <c r="Q172" i="5"/>
  <c r="Q193" i="5"/>
  <c r="Q194" i="5"/>
  <c r="Q277" i="5"/>
  <c r="Q266" i="5"/>
  <c r="Q295" i="5"/>
  <c r="Q890" i="5"/>
  <c r="Q343" i="5"/>
  <c r="Q381" i="5"/>
  <c r="Q403" i="5"/>
  <c r="Q404" i="5"/>
  <c r="Q479" i="5"/>
  <c r="Q616" i="5"/>
  <c r="Q648" i="5"/>
  <c r="Q649" i="5"/>
  <c r="Q630" i="5"/>
  <c r="Q748" i="5"/>
  <c r="Q752" i="5"/>
  <c r="Q765" i="5"/>
  <c r="Q786" i="5"/>
  <c r="Q788" i="5"/>
  <c r="Q865" i="5"/>
  <c r="Q872" i="5"/>
  <c r="Q964" i="5"/>
  <c r="Q980" i="5"/>
  <c r="Q1015" i="5"/>
  <c r="Q1019" i="5"/>
  <c r="Q1046" i="5"/>
  <c r="Q1093" i="5"/>
  <c r="Q1097" i="5"/>
  <c r="Q1152" i="5"/>
  <c r="Q64" i="5"/>
  <c r="Q347" i="5"/>
  <c r="Q357" i="5"/>
  <c r="Q334" i="5"/>
  <c r="Q339" i="5"/>
  <c r="Q370" i="5"/>
  <c r="Q107" i="5"/>
  <c r="Q123" i="5"/>
  <c r="Q129" i="5"/>
  <c r="Q345" i="5"/>
  <c r="Q628" i="5"/>
  <c r="Q219" i="5"/>
  <c r="Q408" i="5"/>
  <c r="Q281" i="5"/>
  <c r="Q285" i="5"/>
  <c r="Q14" i="5"/>
  <c r="Q32" i="5"/>
  <c r="Q35" i="5"/>
  <c r="Q67" i="5"/>
  <c r="Q75" i="5"/>
  <c r="Q84" i="5"/>
  <c r="Q83" i="5"/>
  <c r="Q248" i="5"/>
  <c r="Q92" i="5"/>
  <c r="Q90" i="5"/>
  <c r="Q100" i="5"/>
  <c r="Q96" i="5"/>
  <c r="Q101" i="5"/>
  <c r="Q108" i="5"/>
  <c r="Q109" i="5"/>
  <c r="Q110" i="5"/>
  <c r="Q112" i="5"/>
  <c r="Q113" i="5"/>
  <c r="Q131" i="5"/>
  <c r="Q135" i="5"/>
  <c r="Q139" i="5"/>
  <c r="Q150" i="5"/>
  <c r="Q151" i="5"/>
  <c r="Q145" i="5"/>
  <c r="Q143" i="5"/>
  <c r="Q162" i="5"/>
  <c r="Q163" i="5"/>
  <c r="Q157" i="5"/>
  <c r="Q167" i="5"/>
  <c r="Q168" i="5"/>
  <c r="Q183" i="5"/>
  <c r="Q196" i="5"/>
  <c r="Q206" i="5"/>
  <c r="Q204" i="5"/>
  <c r="Q220" i="5"/>
  <c r="Q221" i="5"/>
  <c r="Q205" i="5"/>
  <c r="Q272" i="5"/>
  <c r="Q223" i="5"/>
  <c r="Q224" i="5"/>
  <c r="Q236" i="5"/>
  <c r="Q321" i="5"/>
  <c r="Q239" i="5"/>
  <c r="Q233" i="5"/>
  <c r="Q244" i="5"/>
  <c r="Q445" i="5"/>
  <c r="Q262" i="5"/>
  <c r="Q264" i="5"/>
  <c r="Q278" i="5"/>
  <c r="Q279" i="5"/>
  <c r="Q280" i="5"/>
  <c r="Q270" i="5"/>
  <c r="Q296" i="5"/>
  <c r="Q297" i="5"/>
  <c r="Q302" i="5"/>
  <c r="Q303" i="5"/>
  <c r="Q301" i="5"/>
  <c r="Q310" i="5"/>
  <c r="Q311" i="5"/>
  <c r="Q298" i="5"/>
  <c r="Q314" i="5"/>
  <c r="Q322" i="5"/>
  <c r="Q26" i="5"/>
  <c r="Q346" i="5"/>
  <c r="Q350" i="5"/>
  <c r="Q358" i="5"/>
  <c r="Q154" i="5"/>
  <c r="Q161" i="5"/>
  <c r="Q380" i="5"/>
  <c r="Q383" i="5"/>
  <c r="Q389" i="5"/>
  <c r="Q390" i="5"/>
  <c r="Q201" i="5"/>
  <c r="Q411" i="5"/>
  <c r="Q413" i="5"/>
  <c r="Q418" i="5"/>
  <c r="Q421" i="5"/>
  <c r="Q422" i="5"/>
  <c r="Q424" i="5"/>
  <c r="Q429" i="5"/>
  <c r="Q431" i="5"/>
  <c r="Q432" i="5"/>
  <c r="Q435" i="5"/>
  <c r="Q437" i="5"/>
  <c r="Q439" i="5"/>
  <c r="Q229" i="5"/>
  <c r="Q451" i="5"/>
  <c r="Q460" i="5"/>
  <c r="Q241" i="5"/>
  <c r="Q330" i="5"/>
  <c r="Q368" i="5"/>
  <c r="Q372" i="5"/>
  <c r="Q455" i="5"/>
  <c r="Q255" i="5"/>
  <c r="Q40" i="5"/>
  <c r="J341" i="5"/>
  <c r="J328" i="5"/>
  <c r="J340" i="5"/>
  <c r="J720" i="5"/>
  <c r="J750" i="5"/>
  <c r="J959" i="5"/>
  <c r="J853" i="5"/>
  <c r="J955" i="5"/>
  <c r="J976" i="5"/>
  <c r="J638" i="5"/>
  <c r="J394" i="5"/>
  <c r="J804" i="5"/>
  <c r="J25" i="5"/>
  <c r="J199" i="5"/>
  <c r="J442" i="5"/>
  <c r="J2" i="5"/>
  <c r="J54" i="5"/>
  <c r="J164" i="5"/>
  <c r="J342" i="5"/>
  <c r="J156" i="5"/>
  <c r="J274" i="5"/>
  <c r="J214" i="5"/>
  <c r="J268" i="5"/>
  <c r="J353" i="5"/>
  <c r="J39" i="5"/>
  <c r="J210" i="5"/>
  <c r="J312" i="5"/>
  <c r="J287" i="5"/>
  <c r="J195" i="5"/>
  <c r="J30" i="5"/>
  <c r="J65" i="5"/>
  <c r="J300" i="5"/>
  <c r="J324" i="5"/>
  <c r="J326" i="5"/>
  <c r="J467" i="5"/>
  <c r="J114" i="5"/>
  <c r="J474" i="5"/>
  <c r="J384" i="5"/>
  <c r="J142" i="5"/>
  <c r="J152" i="5"/>
  <c r="J124" i="5"/>
  <c r="J137" i="5"/>
  <c r="J203" i="5"/>
  <c r="J412" i="5"/>
  <c r="J434" i="5"/>
  <c r="J426" i="5"/>
  <c r="J71" i="5"/>
  <c r="J190" i="5"/>
  <c r="J82" i="5"/>
  <c r="J472" i="5"/>
  <c r="J778" i="5"/>
  <c r="J779" i="5"/>
  <c r="J1017" i="5"/>
  <c r="J542" i="5"/>
  <c r="J775" i="5"/>
  <c r="J485" i="5"/>
  <c r="J490" i="5"/>
  <c r="J493" i="5"/>
  <c r="J495" i="5"/>
  <c r="J499" i="5"/>
  <c r="J500" i="5"/>
  <c r="J506" i="5"/>
  <c r="J508" i="5"/>
  <c r="J517" i="5"/>
  <c r="J521" i="5"/>
  <c r="J523" i="5"/>
  <c r="J525" i="5"/>
  <c r="J528" i="5"/>
  <c r="J534" i="5"/>
  <c r="J537" i="5"/>
  <c r="J543" i="5"/>
  <c r="J496" i="5"/>
  <c r="J498" i="5"/>
  <c r="J555" i="5"/>
  <c r="J553" i="5"/>
  <c r="J556" i="5"/>
  <c r="J565" i="5"/>
  <c r="J564" i="5"/>
  <c r="J572" i="5"/>
  <c r="J592" i="5"/>
  <c r="J593" i="5"/>
  <c r="J589" i="5"/>
  <c r="J587" i="5"/>
  <c r="J588" i="5"/>
  <c r="J519" i="5"/>
  <c r="J520" i="5"/>
  <c r="J605" i="5"/>
  <c r="J602" i="5"/>
  <c r="J604" i="5"/>
  <c r="J524" i="5"/>
  <c r="J532" i="5"/>
  <c r="J623" i="5"/>
  <c r="J613" i="5"/>
  <c r="J632" i="5"/>
  <c r="J631" i="5"/>
  <c r="J637" i="5"/>
  <c r="J639" i="5"/>
  <c r="J659" i="5"/>
  <c r="J650" i="5"/>
  <c r="J651" i="5"/>
  <c r="J643" i="5"/>
  <c r="J658" i="5"/>
  <c r="J647" i="5"/>
  <c r="J645" i="5"/>
  <c r="J665" i="5"/>
  <c r="J675" i="5"/>
  <c r="J666" i="5"/>
  <c r="J674" i="5"/>
  <c r="J685" i="5"/>
  <c r="J690" i="5"/>
  <c r="J693" i="5"/>
  <c r="J691" i="5"/>
  <c r="J684" i="5"/>
  <c r="J680" i="5"/>
  <c r="J704" i="5"/>
  <c r="J700" i="5"/>
  <c r="J706" i="5"/>
  <c r="J705" i="5"/>
  <c r="J711" i="5"/>
  <c r="J719" i="5"/>
  <c r="J716" i="5"/>
  <c r="J717" i="5"/>
  <c r="J722" i="5"/>
  <c r="J723" i="5"/>
  <c r="J725" i="5"/>
  <c r="J736" i="5"/>
  <c r="J739" i="5"/>
  <c r="J767" i="5"/>
  <c r="J751" i="5"/>
  <c r="J757" i="5"/>
  <c r="J764" i="5"/>
  <c r="J770" i="5"/>
  <c r="J776" i="5"/>
  <c r="J780" i="5"/>
  <c r="J791" i="5"/>
  <c r="J792" i="5"/>
  <c r="J798" i="5"/>
  <c r="J805" i="5"/>
  <c r="J817" i="5"/>
  <c r="J821" i="5"/>
  <c r="J822" i="5"/>
  <c r="J825" i="5"/>
  <c r="J824" i="5"/>
  <c r="J834" i="5"/>
  <c r="J836" i="5"/>
  <c r="J993" i="5"/>
  <c r="J846" i="5"/>
  <c r="J850" i="5"/>
  <c r="J854" i="5"/>
  <c r="J857" i="5"/>
  <c r="J1075" i="5"/>
  <c r="J886" i="5"/>
  <c r="J887" i="5"/>
  <c r="J889" i="5"/>
  <c r="J897" i="5"/>
  <c r="J1095" i="5"/>
  <c r="J898" i="5"/>
  <c r="J906" i="5"/>
  <c r="J908" i="5"/>
  <c r="J907" i="5"/>
  <c r="J920" i="5"/>
  <c r="J930" i="5"/>
  <c r="J940" i="5"/>
  <c r="J1166" i="5"/>
  <c r="J942" i="5"/>
  <c r="J953" i="5"/>
  <c r="J956" i="5"/>
  <c r="J960" i="5"/>
  <c r="J975" i="5"/>
  <c r="J981" i="5"/>
  <c r="J984" i="5"/>
  <c r="J985" i="5"/>
  <c r="J986" i="5"/>
  <c r="J994" i="5"/>
  <c r="J998" i="5"/>
  <c r="J999" i="5"/>
  <c r="J1002" i="5"/>
  <c r="J1008" i="5"/>
  <c r="J1005" i="5"/>
  <c r="J1006" i="5"/>
  <c r="J1003" i="5"/>
  <c r="J1010" i="5"/>
  <c r="J1013" i="5"/>
  <c r="J1023" i="5"/>
  <c r="J1020" i="5"/>
  <c r="J1018" i="5"/>
  <c r="J1024" i="5"/>
  <c r="J1037" i="5"/>
  <c r="J1047" i="5"/>
  <c r="J1079" i="5"/>
  <c r="J1108" i="5"/>
  <c r="J1089" i="5"/>
  <c r="J1094" i="5"/>
  <c r="J1096" i="5"/>
  <c r="J1098" i="5"/>
  <c r="J1106" i="5"/>
  <c r="J1105" i="5"/>
  <c r="J1109" i="5"/>
  <c r="J1117" i="5"/>
  <c r="J1115" i="5"/>
  <c r="J1124" i="5"/>
  <c r="J1127" i="5"/>
  <c r="J1130" i="5"/>
  <c r="J615" i="5"/>
  <c r="J1129" i="5"/>
  <c r="J1132" i="5"/>
  <c r="J1138" i="5"/>
  <c r="J1153" i="5"/>
  <c r="J1151" i="5"/>
  <c r="J1158" i="5"/>
  <c r="J1160" i="5"/>
  <c r="J1159" i="5"/>
  <c r="J1161" i="5"/>
  <c r="J815" i="5"/>
  <c r="J939" i="5"/>
  <c r="J935" i="5"/>
  <c r="J1154" i="5"/>
  <c r="J1114" i="5"/>
  <c r="J812" i="5"/>
  <c r="J1078" i="5"/>
  <c r="J47" i="5"/>
  <c r="J91" i="5"/>
  <c r="J653" i="5"/>
  <c r="J756" i="5"/>
  <c r="J393" i="5"/>
  <c r="J115" i="5"/>
  <c r="J4" i="5"/>
  <c r="J478" i="5"/>
  <c r="J406" i="5"/>
  <c r="J351" i="5"/>
  <c r="J9" i="5"/>
  <c r="J136" i="5"/>
  <c r="J191" i="5"/>
  <c r="J192" i="5"/>
  <c r="J276" i="5"/>
  <c r="J284" i="5"/>
  <c r="J323" i="5"/>
  <c r="J450" i="5"/>
  <c r="J43" i="5"/>
  <c r="J5" i="5"/>
  <c r="J245" i="5"/>
  <c r="J289" i="5"/>
  <c r="J3" i="5"/>
  <c r="J185" i="5"/>
  <c r="J258" i="5"/>
  <c r="J425" i="5"/>
  <c r="J359" i="5"/>
  <c r="J470" i="5"/>
  <c r="J617" i="5"/>
  <c r="J618" i="5"/>
  <c r="J968" i="5"/>
  <c r="J1157" i="5"/>
  <c r="J510" i="5"/>
  <c r="J583" i="5"/>
  <c r="J634" i="5"/>
  <c r="J734" i="5"/>
  <c r="J755" i="5"/>
  <c r="J932" i="5"/>
  <c r="J1122" i="5"/>
  <c r="J1148" i="5"/>
  <c r="J178" i="5"/>
  <c r="J715" i="5"/>
  <c r="J880" i="5"/>
  <c r="J806" i="5"/>
  <c r="J217" i="5"/>
  <c r="J456" i="5"/>
  <c r="J726" i="5"/>
  <c r="J539" i="5"/>
  <c r="J488" i="5"/>
  <c r="J509" i="5"/>
  <c r="J531" i="5"/>
  <c r="J561" i="5"/>
  <c r="J571" i="5"/>
  <c r="J569" i="5"/>
  <c r="J590" i="5"/>
  <c r="J586" i="5"/>
  <c r="J601" i="5"/>
  <c r="J612" i="5"/>
  <c r="J633" i="5"/>
  <c r="J635" i="5"/>
  <c r="J644" i="5"/>
  <c r="J660" i="5"/>
  <c r="J667" i="5"/>
  <c r="J671" i="5"/>
  <c r="J688" i="5"/>
  <c r="J681" i="5"/>
  <c r="J682" i="5"/>
  <c r="J683" i="5"/>
  <c r="J689" i="5"/>
  <c r="J701" i="5"/>
  <c r="J710" i="5"/>
  <c r="J721" i="5"/>
  <c r="J724" i="5"/>
  <c r="J735" i="5"/>
  <c r="J749" i="5"/>
  <c r="J839" i="5"/>
  <c r="J760" i="5"/>
  <c r="J784" i="5"/>
  <c r="J785" i="5"/>
  <c r="J809" i="5"/>
  <c r="J829" i="5"/>
  <c r="J841" i="5"/>
  <c r="J856" i="5"/>
  <c r="J867" i="5"/>
  <c r="J877" i="5"/>
  <c r="J901" i="5"/>
  <c r="J928" i="5"/>
  <c r="J931" i="5"/>
  <c r="J945" i="5"/>
  <c r="J979" i="5"/>
  <c r="J982" i="5"/>
  <c r="J629" i="5"/>
  <c r="J1007" i="5"/>
  <c r="J992" i="5"/>
  <c r="J1031" i="5"/>
  <c r="J1033" i="5"/>
  <c r="J1034" i="5"/>
  <c r="J1032" i="5"/>
  <c r="J1038" i="5"/>
  <c r="J1039" i="5"/>
  <c r="J1052" i="5"/>
  <c r="J1048" i="5"/>
  <c r="J1069" i="5"/>
  <c r="J1061" i="5"/>
  <c r="J1082" i="5"/>
  <c r="J1074" i="5"/>
  <c r="J1080" i="5"/>
  <c r="J1083" i="5"/>
  <c r="J1146" i="5"/>
  <c r="J1111" i="5"/>
  <c r="J1118" i="5"/>
  <c r="J1144" i="5"/>
  <c r="J1145" i="5"/>
  <c r="J1147" i="5"/>
  <c r="J1156" i="5"/>
  <c r="J758" i="5"/>
  <c r="J861" i="5"/>
  <c r="J904" i="5"/>
  <c r="J916" i="5"/>
  <c r="J1062" i="5"/>
  <c r="J487" i="5"/>
  <c r="J933" i="5"/>
  <c r="J1084" i="5"/>
  <c r="J1165" i="5"/>
  <c r="J133" i="5"/>
  <c r="J695" i="5"/>
  <c r="J692" i="5"/>
  <c r="J808" i="5"/>
  <c r="J1091" i="5"/>
  <c r="J304" i="5"/>
  <c r="J577" i="5"/>
  <c r="J640" i="5"/>
  <c r="J769" i="5"/>
  <c r="J919" i="5"/>
  <c r="J738" i="5"/>
  <c r="J1050" i="5"/>
  <c r="J1051" i="5"/>
  <c r="J1141" i="5"/>
  <c r="J1025" i="5"/>
  <c r="J1026" i="5"/>
  <c r="J477" i="5"/>
  <c r="J1016" i="5"/>
  <c r="J773" i="5"/>
  <c r="J1041" i="5"/>
  <c r="J484" i="5"/>
  <c r="J333" i="5"/>
  <c r="J911" i="5"/>
  <c r="J827" i="5"/>
  <c r="J529" i="5"/>
  <c r="J549" i="5"/>
  <c r="J562" i="5"/>
  <c r="J596" i="5"/>
  <c r="J641" i="5"/>
  <c r="J663" i="5"/>
  <c r="J696" i="5"/>
  <c r="J697" i="5"/>
  <c r="J708" i="5"/>
  <c r="J768" i="5"/>
  <c r="J816" i="5"/>
  <c r="J830" i="5"/>
  <c r="J833" i="5"/>
  <c r="J851" i="5"/>
  <c r="J917" i="5"/>
  <c r="J951" i="5"/>
  <c r="J1027" i="5"/>
  <c r="J1028" i="5"/>
  <c r="J1110" i="5"/>
  <c r="J753" i="5"/>
  <c r="J1112" i="5"/>
  <c r="J1134" i="5"/>
  <c r="J1163" i="5"/>
  <c r="J147" i="5"/>
  <c r="J218" i="5"/>
  <c r="J875" i="5"/>
  <c r="J899" i="5"/>
  <c r="J814" i="5"/>
  <c r="J828" i="5"/>
  <c r="J891" i="5"/>
  <c r="J937" i="5"/>
  <c r="J1042" i="5"/>
  <c r="J546" i="5"/>
  <c r="J1085" i="5"/>
  <c r="J1054" i="5"/>
  <c r="J567" i="5"/>
  <c r="J881" i="5"/>
  <c r="J988" i="5"/>
  <c r="J489" i="5"/>
  <c r="J522" i="5"/>
  <c r="J783" i="5"/>
  <c r="J799" i="5"/>
  <c r="J996" i="5"/>
  <c r="J949" i="5"/>
  <c r="J622" i="5"/>
  <c r="J973" i="5"/>
  <c r="J774" i="5"/>
  <c r="J754" i="5"/>
  <c r="J807" i="5"/>
  <c r="J1055" i="5"/>
  <c r="J1029" i="5"/>
  <c r="J990" i="5"/>
  <c r="J482" i="5"/>
  <c r="J547" i="5"/>
  <c r="J1043" i="5"/>
  <c r="J892" i="5"/>
  <c r="J947" i="5"/>
  <c r="J950" i="5"/>
  <c r="J118" i="5"/>
  <c r="J52" i="5"/>
  <c r="J119" i="5"/>
  <c r="J13" i="5"/>
  <c r="J33" i="5"/>
  <c r="J34" i="5"/>
  <c r="J44" i="5"/>
  <c r="J63" i="5"/>
  <c r="J87" i="5"/>
  <c r="J173" i="5"/>
  <c r="J208" i="5"/>
  <c r="J263" i="5"/>
  <c r="J299" i="5"/>
  <c r="J174" i="5"/>
  <c r="J417" i="5"/>
  <c r="J427" i="5"/>
  <c r="J175" i="5"/>
  <c r="J121" i="5"/>
  <c r="J200" i="5"/>
  <c r="J344" i="5"/>
  <c r="J400" i="5"/>
  <c r="J410" i="5"/>
  <c r="J433" i="5"/>
  <c r="J443" i="5"/>
  <c r="J376" i="5"/>
  <c r="J448" i="5"/>
  <c r="J81" i="5"/>
  <c r="J186" i="5"/>
  <c r="J378" i="5"/>
  <c r="J915" i="5"/>
  <c r="J12" i="5"/>
  <c r="J51" i="5"/>
  <c r="J106" i="5"/>
  <c r="J187" i="5"/>
  <c r="J1086" i="5"/>
  <c r="J62" i="5"/>
  <c r="J122" i="5"/>
  <c r="J22" i="5"/>
  <c r="J88" i="5"/>
  <c r="J134" i="5"/>
  <c r="J209" i="5"/>
  <c r="J240" i="5"/>
  <c r="J292" i="5"/>
  <c r="J317" i="5"/>
  <c r="J385" i="5"/>
  <c r="J407" i="5"/>
  <c r="J557" i="5"/>
  <c r="J670" i="5"/>
  <c r="J789" i="5"/>
  <c r="J813" i="5"/>
  <c r="J1155" i="5"/>
  <c r="J444" i="5"/>
  <c r="J471" i="5"/>
  <c r="J352" i="5"/>
  <c r="J672" i="5"/>
  <c r="J714" i="5"/>
  <c r="J922" i="5"/>
  <c r="J20" i="5"/>
  <c r="J37" i="5"/>
  <c r="J46" i="5"/>
  <c r="J111" i="5"/>
  <c r="J138" i="5"/>
  <c r="J207" i="5"/>
  <c r="J227" i="5"/>
  <c r="J225" i="5"/>
  <c r="J315" i="5"/>
  <c r="J414" i="5"/>
  <c r="J550" i="5"/>
  <c r="J573" i="5"/>
  <c r="J609" i="5"/>
  <c r="J661" i="5"/>
  <c r="J686" i="5"/>
  <c r="J703" i="5"/>
  <c r="J729" i="5"/>
  <c r="J744" i="5"/>
  <c r="J763" i="5"/>
  <c r="J795" i="5"/>
  <c r="J819" i="5"/>
  <c r="J863" i="5"/>
  <c r="J873" i="5"/>
  <c r="J879" i="5"/>
  <c r="J894" i="5"/>
  <c r="J895" i="5"/>
  <c r="J923" i="5"/>
  <c r="J934" i="5"/>
  <c r="J936" i="5"/>
  <c r="J948" i="5"/>
  <c r="J1142" i="5"/>
  <c r="J1116" i="5"/>
  <c r="J1119" i="5"/>
  <c r="J1125" i="5"/>
  <c r="J491" i="5"/>
  <c r="J513" i="5"/>
  <c r="J1064" i="5"/>
  <c r="J7" i="5"/>
  <c r="J8" i="5"/>
  <c r="J10" i="5"/>
  <c r="J11" i="5"/>
  <c r="J16" i="5"/>
  <c r="J19" i="5"/>
  <c r="J23" i="5"/>
  <c r="J31" i="5"/>
  <c r="J38" i="5"/>
  <c r="J41" i="5"/>
  <c r="J55" i="5"/>
  <c r="J68" i="5"/>
  <c r="J72" i="5"/>
  <c r="J76" i="5"/>
  <c r="J78" i="5"/>
  <c r="J85" i="5"/>
  <c r="J98" i="5"/>
  <c r="J95" i="5"/>
  <c r="J94" i="5"/>
  <c r="J105" i="5"/>
  <c r="J102" i="5"/>
  <c r="J128" i="5"/>
  <c r="J125" i="5"/>
  <c r="J127" i="5"/>
  <c r="J132" i="5"/>
  <c r="J140" i="5"/>
  <c r="J148" i="5"/>
  <c r="J146" i="5"/>
  <c r="J160" i="5"/>
  <c r="J155" i="5"/>
  <c r="J169" i="5"/>
  <c r="J171" i="5"/>
  <c r="J176" i="5"/>
  <c r="J182" i="5"/>
  <c r="J179" i="5"/>
  <c r="J184" i="5"/>
  <c r="J198" i="5"/>
  <c r="J188" i="5"/>
  <c r="J202" i="5"/>
  <c r="J211" i="5"/>
  <c r="J212" i="5"/>
  <c r="J216" i="5"/>
  <c r="J226" i="5"/>
  <c r="J237" i="5"/>
  <c r="J232" i="5"/>
  <c r="J238" i="5"/>
  <c r="J247" i="5"/>
  <c r="J249" i="5"/>
  <c r="J250" i="5"/>
  <c r="J257" i="5"/>
  <c r="J267" i="5"/>
  <c r="J286" i="5"/>
  <c r="J288" i="5"/>
  <c r="J291" i="5"/>
  <c r="J305" i="5"/>
  <c r="J306" i="5"/>
  <c r="J307" i="5"/>
  <c r="J308" i="5"/>
  <c r="J309" i="5"/>
  <c r="J316" i="5"/>
  <c r="J319" i="5"/>
  <c r="J320" i="5"/>
  <c r="J329" i="5"/>
  <c r="J325" i="5"/>
  <c r="J59" i="5"/>
  <c r="J86" i="5"/>
  <c r="J331" i="5"/>
  <c r="J332" i="5"/>
  <c r="J336" i="5"/>
  <c r="J337" i="5"/>
  <c r="J349" i="5"/>
  <c r="J356" i="5"/>
  <c r="J362" i="5"/>
  <c r="J363" i="5"/>
  <c r="J364" i="5"/>
  <c r="J367" i="5"/>
  <c r="J366" i="5"/>
  <c r="J371" i="5"/>
  <c r="J369" i="5"/>
  <c r="J377" i="5"/>
  <c r="J386" i="5"/>
  <c r="J387" i="5"/>
  <c r="J391" i="5"/>
  <c r="J392" i="5"/>
  <c r="J398" i="5"/>
  <c r="J396" i="5"/>
  <c r="J402" i="5"/>
  <c r="J405" i="5"/>
  <c r="J409" i="5"/>
  <c r="J419" i="5"/>
  <c r="J420" i="5"/>
  <c r="J428" i="5"/>
  <c r="J430" i="5"/>
  <c r="J441" i="5"/>
  <c r="J440" i="5"/>
  <c r="J446" i="5"/>
  <c r="J242" i="5"/>
  <c r="J449" i="5"/>
  <c r="J453" i="5"/>
  <c r="J452" i="5"/>
  <c r="J463" i="5"/>
  <c r="J462" i="5"/>
  <c r="J464" i="5"/>
  <c r="J468" i="5"/>
  <c r="J243" i="5"/>
  <c r="J259" i="5"/>
  <c r="J746" i="5"/>
  <c r="J1101" i="5"/>
  <c r="J938" i="5"/>
  <c r="J1056" i="5"/>
  <c r="J713" i="5"/>
  <c r="J655" i="5"/>
  <c r="J927" i="5"/>
  <c r="J1128" i="5"/>
  <c r="J761" i="5"/>
  <c r="J860" i="5"/>
  <c r="J481" i="5"/>
  <c r="J483" i="5"/>
  <c r="J486" i="5"/>
  <c r="J492" i="5"/>
  <c r="J502" i="5"/>
  <c r="J501" i="5"/>
  <c r="J503" i="5"/>
  <c r="J504" i="5"/>
  <c r="J505" i="5"/>
  <c r="J507" i="5"/>
  <c r="J511" i="5"/>
  <c r="J514" i="5"/>
  <c r="J518" i="5"/>
  <c r="J516" i="5"/>
  <c r="J527" i="5"/>
  <c r="J526" i="5"/>
  <c r="J533" i="5"/>
  <c r="J530" i="5"/>
  <c r="J536" i="5"/>
  <c r="J538" i="5"/>
  <c r="J545" i="5"/>
  <c r="J548" i="5"/>
  <c r="J480" i="5"/>
  <c r="J540" i="5"/>
  <c r="J544" i="5"/>
  <c r="J558" i="5"/>
  <c r="J552" i="5"/>
  <c r="J554" i="5"/>
  <c r="J560" i="5"/>
  <c r="J551" i="5"/>
  <c r="J563" i="5"/>
  <c r="J568" i="5"/>
  <c r="J566" i="5"/>
  <c r="J570" i="5"/>
  <c r="J574" i="5"/>
  <c r="J575" i="5"/>
  <c r="J578" i="5"/>
  <c r="J576" i="5"/>
  <c r="J579" i="5"/>
  <c r="J580" i="5"/>
  <c r="J581" i="5"/>
  <c r="J584" i="5"/>
  <c r="J585" i="5"/>
  <c r="J597" i="5"/>
  <c r="J598" i="5"/>
  <c r="J599" i="5"/>
  <c r="J591" i="5"/>
  <c r="J595" i="5"/>
  <c r="J610" i="5"/>
  <c r="J611" i="5"/>
  <c r="J608" i="5"/>
  <c r="J606" i="5"/>
  <c r="J619" i="5"/>
  <c r="J614" i="5"/>
  <c r="J620" i="5"/>
  <c r="J624" i="5"/>
  <c r="J535" i="5"/>
  <c r="J541" i="5"/>
  <c r="J625" i="5"/>
  <c r="J621" i="5"/>
  <c r="J594" i="5"/>
  <c r="J600" i="5"/>
  <c r="J642" i="5"/>
  <c r="J626" i="5"/>
  <c r="J627" i="5"/>
  <c r="J662" i="5"/>
  <c r="J636" i="5"/>
  <c r="J654" i="5"/>
  <c r="J652" i="5"/>
  <c r="J657" i="5"/>
  <c r="J656" i="5"/>
  <c r="J664" i="5"/>
  <c r="J676" i="5"/>
  <c r="J668" i="5"/>
  <c r="J673" i="5"/>
  <c r="J678" i="5"/>
  <c r="J669" i="5"/>
  <c r="J679" i="5"/>
  <c r="J687" i="5"/>
  <c r="J698" i="5"/>
  <c r="J694" i="5"/>
  <c r="J702" i="5"/>
  <c r="J677" i="5"/>
  <c r="J712" i="5"/>
  <c r="J707" i="5"/>
  <c r="J718" i="5"/>
  <c r="J727" i="5"/>
  <c r="J730" i="5"/>
  <c r="J728" i="5"/>
  <c r="J731" i="5"/>
  <c r="J745" i="5"/>
  <c r="J733" i="5"/>
  <c r="J737" i="5"/>
  <c r="J740" i="5"/>
  <c r="J743" i="5"/>
  <c r="J741" i="5"/>
  <c r="J742" i="5"/>
  <c r="J747" i="5"/>
  <c r="J759" i="5"/>
  <c r="J855" i="5"/>
  <c r="J762" i="5"/>
  <c r="J866" i="5"/>
  <c r="J766" i="5"/>
  <c r="J869" i="5"/>
  <c r="J884" i="5"/>
  <c r="J900" i="5"/>
  <c r="J777" i="5"/>
  <c r="J905" i="5"/>
  <c r="J941" i="5"/>
  <c r="J782" i="5"/>
  <c r="J781" i="5"/>
  <c r="J787" i="5"/>
  <c r="J790" i="5"/>
  <c r="J794" i="5"/>
  <c r="J793" i="5"/>
  <c r="J797" i="5"/>
  <c r="J796" i="5"/>
  <c r="J800" i="5"/>
  <c r="J801" i="5"/>
  <c r="J802" i="5"/>
  <c r="J946" i="5"/>
  <c r="J810" i="5"/>
  <c r="J818" i="5"/>
  <c r="J820" i="5"/>
  <c r="J823" i="5"/>
  <c r="J978" i="5"/>
  <c r="J826" i="5"/>
  <c r="J991" i="5"/>
  <c r="J832" i="5"/>
  <c r="J831" i="5"/>
  <c r="J838" i="5"/>
  <c r="J837" i="5"/>
  <c r="J835" i="5"/>
  <c r="J840" i="5"/>
  <c r="J847" i="5"/>
  <c r="J844" i="5"/>
  <c r="J848" i="5"/>
  <c r="J843" i="5"/>
  <c r="J845" i="5"/>
  <c r="J842" i="5"/>
  <c r="J849" i="5"/>
  <c r="J852" i="5"/>
  <c r="J858" i="5"/>
  <c r="J1030" i="5"/>
  <c r="J859" i="5"/>
  <c r="J862" i="5"/>
  <c r="J864" i="5"/>
  <c r="J870" i="5"/>
  <c r="J868" i="5"/>
  <c r="J871" i="5"/>
  <c r="J874" i="5"/>
  <c r="J876" i="5"/>
  <c r="J882" i="5"/>
  <c r="J878" i="5"/>
  <c r="J885" i="5"/>
  <c r="J888" i="5"/>
  <c r="J1076" i="5"/>
  <c r="J893" i="5"/>
  <c r="J1090" i="5"/>
  <c r="J903" i="5"/>
  <c r="J1100" i="5"/>
  <c r="J912" i="5"/>
  <c r="J910" i="5"/>
  <c r="J913" i="5"/>
  <c r="J918" i="5"/>
  <c r="J914" i="5"/>
  <c r="J921" i="5"/>
  <c r="J924" i="5"/>
  <c r="J925" i="5"/>
  <c r="J926" i="5"/>
  <c r="J1102" i="5"/>
  <c r="J929" i="5"/>
  <c r="J1133" i="5"/>
  <c r="J943" i="5"/>
  <c r="J944" i="5"/>
  <c r="J952" i="5"/>
  <c r="J954" i="5"/>
  <c r="J958" i="5"/>
  <c r="J957" i="5"/>
  <c r="J961" i="5"/>
  <c r="J962" i="5"/>
  <c r="J963" i="5"/>
  <c r="J965" i="5"/>
  <c r="J966" i="5"/>
  <c r="J969" i="5"/>
  <c r="J971" i="5"/>
  <c r="J970" i="5"/>
  <c r="J972" i="5"/>
  <c r="J977" i="5"/>
  <c r="J989" i="5"/>
  <c r="J803" i="5"/>
  <c r="J995" i="5"/>
  <c r="J997" i="5"/>
  <c r="J1000" i="5"/>
  <c r="J1001" i="5"/>
  <c r="J1004" i="5"/>
  <c r="J1009" i="5"/>
  <c r="J1011" i="5"/>
  <c r="J1014" i="5"/>
  <c r="J1012" i="5"/>
  <c r="J1022" i="5"/>
  <c r="J1021" i="5"/>
  <c r="J1044" i="5"/>
  <c r="J1035" i="5"/>
  <c r="J1040" i="5"/>
  <c r="J1036" i="5"/>
  <c r="J1057" i="5"/>
  <c r="J1049" i="5"/>
  <c r="J1058" i="5"/>
  <c r="J1059" i="5"/>
  <c r="J1070" i="5"/>
  <c r="J1063" i="5"/>
  <c r="J1072" i="5"/>
  <c r="J1065" i="5"/>
  <c r="J1066" i="5"/>
  <c r="J1068" i="5"/>
  <c r="J1081" i="5"/>
  <c r="J1077" i="5"/>
  <c r="J1073" i="5"/>
  <c r="J1092" i="5"/>
  <c r="J1088" i="5"/>
  <c r="J1087" i="5"/>
  <c r="J1099" i="5"/>
  <c r="J1139" i="5"/>
  <c r="J1045" i="5"/>
  <c r="J1067" i="5"/>
  <c r="J1113" i="5"/>
  <c r="J1120" i="5"/>
  <c r="J1126" i="5"/>
  <c r="J1123" i="5"/>
  <c r="J1131" i="5"/>
  <c r="J1135" i="5"/>
  <c r="J1053" i="5"/>
  <c r="J1137" i="5"/>
  <c r="J1140" i="5"/>
  <c r="J1136" i="5"/>
  <c r="J1143" i="5"/>
  <c r="J1060" i="5"/>
  <c r="J607" i="5"/>
  <c r="J1149" i="5"/>
  <c r="J1150" i="5"/>
  <c r="J1162" i="5"/>
  <c r="J1164" i="5"/>
  <c r="J896" i="5"/>
  <c r="J772" i="5"/>
  <c r="J811" i="5"/>
  <c r="J1103" i="5"/>
  <c r="J283" i="5"/>
  <c r="J379" i="5"/>
  <c r="J29" i="5"/>
  <c r="J97" i="5"/>
  <c r="J103" i="5"/>
  <c r="J348" i="5"/>
  <c r="J165" i="5"/>
  <c r="J399" i="5"/>
  <c r="J228" i="5"/>
  <c r="J494" i="5"/>
  <c r="J497" i="5"/>
  <c r="J559" i="5"/>
  <c r="J603" i="5"/>
  <c r="J771" i="5"/>
  <c r="J1071" i="5"/>
  <c r="J883" i="5"/>
  <c r="J902" i="5"/>
  <c r="J967" i="5"/>
  <c r="J983" i="5"/>
  <c r="J987" i="5"/>
  <c r="J1121" i="5"/>
  <c r="J18" i="5"/>
  <c r="J21" i="5"/>
  <c r="J24" i="5"/>
  <c r="J42" i="5"/>
  <c r="J48" i="5"/>
  <c r="J45" i="5"/>
  <c r="J49" i="5"/>
  <c r="J50" i="5"/>
  <c r="J53" i="5"/>
  <c r="J56" i="5"/>
  <c r="J60" i="5"/>
  <c r="J61" i="5"/>
  <c r="J66" i="5"/>
  <c r="J69" i="5"/>
  <c r="J70" i="5"/>
  <c r="J77" i="5"/>
  <c r="J73" i="5"/>
  <c r="J80" i="5"/>
  <c r="J93" i="5"/>
  <c r="J89" i="5"/>
  <c r="J99" i="5"/>
  <c r="J104" i="5"/>
  <c r="J117" i="5"/>
  <c r="J120" i="5"/>
  <c r="J130" i="5"/>
  <c r="J141" i="5"/>
  <c r="J144" i="5"/>
  <c r="J166" i="5"/>
  <c r="J158" i="5"/>
  <c r="J153" i="5"/>
  <c r="J159" i="5"/>
  <c r="J170" i="5"/>
  <c r="J180" i="5"/>
  <c r="J181" i="5"/>
  <c r="J197" i="5"/>
  <c r="J6" i="5"/>
  <c r="J213" i="5"/>
  <c r="J215" i="5"/>
  <c r="J230" i="5"/>
  <c r="J234" i="5"/>
  <c r="J235" i="5"/>
  <c r="J231" i="5"/>
  <c r="J252" i="5"/>
  <c r="J251" i="5"/>
  <c r="J246" i="5"/>
  <c r="J256" i="5"/>
  <c r="J261" i="5"/>
  <c r="J271" i="5"/>
  <c r="J273" i="5"/>
  <c r="J265" i="5"/>
  <c r="J293" i="5"/>
  <c r="J294" i="5"/>
  <c r="J290" i="5"/>
  <c r="J282" i="5"/>
  <c r="J318" i="5"/>
  <c r="J313" i="5"/>
  <c r="J335" i="5"/>
  <c r="J116" i="5"/>
  <c r="J338" i="5"/>
  <c r="J354" i="5"/>
  <c r="J355" i="5"/>
  <c r="J360" i="5"/>
  <c r="J361" i="5"/>
  <c r="J374" i="5"/>
  <c r="J397" i="5"/>
  <c r="J395" i="5"/>
  <c r="J401" i="5"/>
  <c r="J416" i="5"/>
  <c r="J436" i="5"/>
  <c r="J222" i="5"/>
  <c r="J447" i="5"/>
  <c r="J457" i="5"/>
  <c r="J459" i="5"/>
  <c r="J465" i="5"/>
  <c r="J469" i="5"/>
  <c r="J473" i="5"/>
  <c r="J475" i="5"/>
  <c r="J476" i="5"/>
  <c r="J269" i="5"/>
  <c r="J15" i="5"/>
  <c r="J177" i="5"/>
  <c r="J253" i="5"/>
  <c r="J254" i="5"/>
  <c r="J260" i="5"/>
  <c r="J365" i="5"/>
  <c r="J382" i="5"/>
  <c r="J388" i="5"/>
  <c r="J415" i="5"/>
  <c r="J454" i="5"/>
  <c r="J458" i="5"/>
  <c r="J461" i="5"/>
  <c r="J438" i="5"/>
  <c r="J79" i="5"/>
  <c r="J1107" i="5"/>
  <c r="J373" i="5"/>
  <c r="J515" i="5"/>
  <c r="J709" i="5"/>
  <c r="J732" i="5"/>
  <c r="J27" i="5"/>
  <c r="J58" i="5"/>
  <c r="J646" i="5"/>
  <c r="J189" i="5"/>
  <c r="J17" i="5"/>
  <c r="J375" i="5"/>
  <c r="J423" i="5"/>
  <c r="J466" i="5"/>
  <c r="J275" i="5"/>
  <c r="J699" i="5"/>
  <c r="J28" i="5"/>
  <c r="J74" i="5"/>
  <c r="J126" i="5"/>
  <c r="J327" i="5"/>
  <c r="J512" i="5"/>
  <c r="J582" i="5"/>
  <c r="J1104" i="5"/>
  <c r="J974" i="5"/>
  <c r="J909" i="5"/>
  <c r="J36" i="5"/>
  <c r="J57" i="5"/>
  <c r="J149" i="5"/>
  <c r="J172" i="5"/>
  <c r="J193" i="5"/>
  <c r="J194" i="5"/>
  <c r="J277" i="5"/>
  <c r="J266" i="5"/>
  <c r="J295" i="5"/>
  <c r="J890" i="5"/>
  <c r="J343" i="5"/>
  <c r="J381" i="5"/>
  <c r="J403" i="5"/>
  <c r="J404" i="5"/>
  <c r="J479" i="5"/>
  <c r="J616" i="5"/>
  <c r="J648" i="5"/>
  <c r="J649" i="5"/>
  <c r="J630" i="5"/>
  <c r="J748" i="5"/>
  <c r="J752" i="5"/>
  <c r="J765" i="5"/>
  <c r="J786" i="5"/>
  <c r="J788" i="5"/>
  <c r="J865" i="5"/>
  <c r="J872" i="5"/>
  <c r="J964" i="5"/>
  <c r="J980" i="5"/>
  <c r="J1015" i="5"/>
  <c r="J1019" i="5"/>
  <c r="J1046" i="5"/>
  <c r="J1093" i="5"/>
  <c r="J1097" i="5"/>
  <c r="J1152" i="5"/>
  <c r="J64" i="5"/>
  <c r="J347" i="5"/>
  <c r="J357" i="5"/>
  <c r="J334" i="5"/>
  <c r="J339" i="5"/>
  <c r="J370" i="5"/>
  <c r="J107" i="5"/>
  <c r="J123" i="5"/>
  <c r="J129" i="5"/>
  <c r="J345" i="5"/>
  <c r="J628" i="5"/>
  <c r="J219" i="5"/>
  <c r="J408" i="5"/>
  <c r="J281" i="5"/>
  <c r="J285" i="5"/>
  <c r="J14" i="5"/>
  <c r="J32" i="5"/>
  <c r="J35" i="5"/>
  <c r="J67" i="5"/>
  <c r="J75" i="5"/>
  <c r="J84" i="5"/>
  <c r="J83" i="5"/>
  <c r="J248" i="5"/>
  <c r="J92" i="5"/>
  <c r="J90" i="5"/>
  <c r="J100" i="5"/>
  <c r="J96" i="5"/>
  <c r="J101" i="5"/>
  <c r="J108" i="5"/>
  <c r="J109" i="5"/>
  <c r="J110" i="5"/>
  <c r="J112" i="5"/>
  <c r="J113" i="5"/>
  <c r="J131" i="5"/>
  <c r="J135" i="5"/>
  <c r="J139" i="5"/>
  <c r="J150" i="5"/>
  <c r="J151" i="5"/>
  <c r="J145" i="5"/>
  <c r="J143" i="5"/>
  <c r="J162" i="5"/>
  <c r="J163" i="5"/>
  <c r="J157" i="5"/>
  <c r="J167" i="5"/>
  <c r="J168" i="5"/>
  <c r="J183" i="5"/>
  <c r="J196" i="5"/>
  <c r="J206" i="5"/>
  <c r="J204" i="5"/>
  <c r="J220" i="5"/>
  <c r="J221" i="5"/>
  <c r="J205" i="5"/>
  <c r="J272" i="5"/>
  <c r="J223" i="5"/>
  <c r="J224" i="5"/>
  <c r="J236" i="5"/>
  <c r="J321" i="5"/>
  <c r="J239" i="5"/>
  <c r="J233" i="5"/>
  <c r="J244" i="5"/>
  <c r="J445" i="5"/>
  <c r="J262" i="5"/>
  <c r="J264" i="5"/>
  <c r="J278" i="5"/>
  <c r="J279" i="5"/>
  <c r="J280" i="5"/>
  <c r="J270" i="5"/>
  <c r="J296" i="5"/>
  <c r="J297" i="5"/>
  <c r="J302" i="5"/>
  <c r="J303" i="5"/>
  <c r="J301" i="5"/>
  <c r="J310" i="5"/>
  <c r="J311" i="5"/>
  <c r="J298" i="5"/>
  <c r="J314" i="5"/>
  <c r="J322" i="5"/>
  <c r="J26" i="5"/>
  <c r="J346" i="5"/>
  <c r="J350" i="5"/>
  <c r="J358" i="5"/>
  <c r="J154" i="5"/>
  <c r="J161" i="5"/>
  <c r="J380" i="5"/>
  <c r="J383" i="5"/>
  <c r="J389" i="5"/>
  <c r="J390" i="5"/>
  <c r="J201" i="5"/>
  <c r="J411" i="5"/>
  <c r="J413" i="5"/>
  <c r="J418" i="5"/>
  <c r="J421" i="5"/>
  <c r="J422" i="5"/>
  <c r="J424" i="5"/>
  <c r="J429" i="5"/>
  <c r="J431" i="5"/>
  <c r="J432" i="5"/>
  <c r="J435" i="5"/>
  <c r="J437" i="5"/>
  <c r="J439" i="5"/>
  <c r="J229" i="5"/>
  <c r="J451" i="5"/>
  <c r="J460" i="5"/>
  <c r="J241" i="5"/>
  <c r="J330" i="5"/>
  <c r="J368" i="5"/>
  <c r="J372" i="5"/>
  <c r="J455" i="5"/>
  <c r="J255" i="5"/>
  <c r="J40" i="5"/>
  <c r="F297" i="5"/>
  <c r="G297" i="5" s="1" a="1"/>
  <c r="G297" i="5" s="1"/>
  <c r="F299" i="5"/>
  <c r="G299" i="5" s="1" a="1"/>
  <c r="G299" i="5" s="1"/>
  <c r="F285" i="5"/>
  <c r="G285" i="5" s="1" a="1"/>
  <c r="G285" i="5" s="1"/>
  <c r="F88" i="5"/>
  <c r="G88" i="5" s="1" a="1"/>
  <c r="G88" i="5" s="1"/>
  <c r="F237" i="5"/>
  <c r="G237" i="5" s="1" a="1"/>
  <c r="G237" i="5" s="1"/>
  <c r="F219" i="5"/>
  <c r="G219" i="5" s="1" a="1"/>
  <c r="G219" i="5" s="1"/>
  <c r="F406" i="5"/>
  <c r="G406" i="5" s="1" a="1"/>
  <c r="G406" i="5" s="1"/>
  <c r="F16" i="5"/>
  <c r="G16" i="5" s="1" a="1"/>
  <c r="G16" i="5" s="1"/>
  <c r="F187" i="5"/>
  <c r="G187" i="5" s="1" a="1"/>
  <c r="G187" i="5" s="1"/>
  <c r="F7" i="5"/>
  <c r="G7" i="5" s="1" a="1"/>
  <c r="G7" i="5" s="1"/>
  <c r="F247" i="5"/>
  <c r="G247" i="5" s="1" a="1"/>
  <c r="G247" i="5" s="1"/>
  <c r="F236" i="5"/>
  <c r="G236" i="5" s="1" a="1"/>
  <c r="G236" i="5" s="1"/>
  <c r="F249" i="5"/>
  <c r="G249" i="5" s="1" a="1"/>
  <c r="G249" i="5" s="1"/>
  <c r="F430" i="5"/>
  <c r="G430" i="5" s="1" a="1"/>
  <c r="G430" i="5" s="1"/>
  <c r="F417" i="5"/>
  <c r="G417" i="5" s="1" a="1"/>
  <c r="G417" i="5" s="1"/>
  <c r="F210" i="5"/>
  <c r="G210" i="5" s="1" a="1"/>
  <c r="G210" i="5" s="1"/>
  <c r="F149" i="5"/>
  <c r="G149" i="5" s="1" a="1"/>
  <c r="G149" i="5" s="1"/>
  <c r="F340" i="5"/>
  <c r="G340" i="5" s="1" a="1"/>
  <c r="G340" i="5" s="1"/>
  <c r="F268" i="5"/>
  <c r="G268" i="5" s="1" a="1"/>
  <c r="G268" i="5" s="1"/>
  <c r="F423" i="5"/>
  <c r="G423" i="5" s="1" a="1"/>
  <c r="G423" i="5" s="1"/>
  <c r="F378" i="5"/>
  <c r="G378" i="5" s="1" a="1"/>
  <c r="G378" i="5" s="1"/>
  <c r="F377" i="5"/>
  <c r="G377" i="5" s="1" a="1"/>
  <c r="G377" i="5" s="1"/>
  <c r="F370" i="5"/>
  <c r="G370" i="5" s="1" a="1"/>
  <c r="G370" i="5" s="1"/>
  <c r="F286" i="5"/>
  <c r="G286" i="5" s="1" a="1"/>
  <c r="G286" i="5" s="1"/>
  <c r="F284" i="5"/>
  <c r="G284" i="5" s="1" a="1"/>
  <c r="G284" i="5" s="1"/>
  <c r="F267" i="5"/>
  <c r="F226" i="5"/>
  <c r="G226" i="5" s="1" a="1"/>
  <c r="G226" i="5" s="1"/>
  <c r="F214" i="5"/>
  <c r="G214" i="5" s="1" a="1"/>
  <c r="G214" i="5" s="1"/>
  <c r="F84" i="5"/>
  <c r="G84" i="5" s="1" a="1"/>
  <c r="G84" i="5" s="1"/>
  <c r="F78" i="5"/>
  <c r="G78" i="5" s="1" a="1"/>
  <c r="G78" i="5" s="1"/>
  <c r="F107" i="5"/>
  <c r="G107" i="5" s="1" a="1"/>
  <c r="G107" i="5" s="1"/>
  <c r="F375" i="5"/>
  <c r="G375" i="5" s="1" a="1"/>
  <c r="G375" i="5" s="1"/>
  <c r="F344" i="5"/>
  <c r="G344" i="5" s="1" a="1"/>
  <c r="G344" i="5" s="1"/>
  <c r="F114" i="5"/>
  <c r="G114" i="5" s="1" a="1"/>
  <c r="G114" i="5" s="1"/>
  <c r="F105" i="5"/>
  <c r="G105" i="5" s="1" a="1"/>
  <c r="G105" i="5" s="1"/>
  <c r="F98" i="5"/>
  <c r="G98" i="5" s="1" a="1"/>
  <c r="G98" i="5" s="1"/>
  <c r="F68" i="5"/>
  <c r="G68" i="5" s="1" a="1"/>
  <c r="G68" i="5" s="1"/>
  <c r="F65" i="5"/>
  <c r="G65" i="5" s="1" a="1"/>
  <c r="G65" i="5" s="1"/>
  <c r="F46" i="5"/>
  <c r="G46" i="5" s="1" a="1"/>
  <c r="G46" i="5" s="1"/>
  <c r="F39" i="5"/>
  <c r="G39" i="5" s="1" a="1"/>
  <c r="G39" i="5" s="1"/>
  <c r="F37" i="5"/>
  <c r="G37" i="5" s="1" a="1"/>
  <c r="G37" i="5" s="1"/>
  <c r="F108" i="5"/>
  <c r="G108" i="5" s="1" a="1"/>
  <c r="G108" i="5" s="1"/>
  <c r="F347" i="5"/>
  <c r="G347" i="5" s="1" a="1"/>
  <c r="G347" i="5" s="1"/>
  <c r="F102" i="5"/>
  <c r="G102" i="5" s="1" a="1"/>
  <c r="G102" i="5" s="1"/>
  <c r="F342" i="5"/>
  <c r="G342" i="5" s="1" a="1"/>
  <c r="G342" i="5" s="1"/>
  <c r="F329" i="5"/>
  <c r="G329" i="5" s="1" a="1"/>
  <c r="G329" i="5" s="1"/>
  <c r="F62" i="5"/>
  <c r="G62" i="5" s="1" a="1"/>
  <c r="G62" i="5" s="1"/>
  <c r="F12" i="5"/>
  <c r="G12" i="5" s="1" a="1"/>
  <c r="G12" i="5" s="1"/>
  <c r="F293" i="5"/>
  <c r="G293" i="5" s="1" a="1"/>
  <c r="G293" i="5" s="1"/>
  <c r="F75" i="5"/>
  <c r="G75" i="5" s="1" a="1"/>
  <c r="G75" i="5" s="1"/>
  <c r="F18" i="5"/>
  <c r="G18" i="5" s="1" a="1"/>
  <c r="G18" i="5" s="1"/>
  <c r="F220" i="5"/>
  <c r="G220" i="5" s="1" a="1"/>
  <c r="G220" i="5" s="1"/>
  <c r="F459" i="5"/>
  <c r="G459" i="5" s="1" a="1"/>
  <c r="G459" i="5" s="1"/>
  <c r="F457" i="5"/>
  <c r="F436" i="5"/>
  <c r="G436" i="5" s="1" a="1"/>
  <c r="G436" i="5" s="1"/>
  <c r="F403" i="5"/>
  <c r="G403" i="5" s="1" a="1"/>
  <c r="G403" i="5" s="1"/>
  <c r="F371" i="5"/>
  <c r="G371" i="5" s="1" a="1"/>
  <c r="G371" i="5" s="1"/>
  <c r="F367" i="5"/>
  <c r="G367" i="5" s="1" a="1"/>
  <c r="G367" i="5" s="1"/>
  <c r="F274" i="5"/>
  <c r="G274" i="5" s="1" a="1"/>
  <c r="G274" i="5" s="1"/>
  <c r="F262" i="5"/>
  <c r="G262" i="5" s="1" a="1"/>
  <c r="G262" i="5" s="1"/>
  <c r="F257" i="5"/>
  <c r="G257" i="5" s="1" a="1"/>
  <c r="G257" i="5" s="1"/>
  <c r="F197" i="5"/>
  <c r="G197" i="5" s="1" a="1"/>
  <c r="G197" i="5" s="1"/>
  <c r="F112" i="5"/>
  <c r="G112" i="5" s="1" a="1"/>
  <c r="G112" i="5" s="1"/>
  <c r="F113" i="5"/>
  <c r="G113" i="5" s="1" a="1"/>
  <c r="G113" i="5" s="1"/>
  <c r="F109" i="5"/>
  <c r="G109" i="5" s="1" a="1"/>
  <c r="G109" i="5" s="1"/>
  <c r="F110" i="5"/>
  <c r="G110" i="5" s="1" a="1"/>
  <c r="G110" i="5" s="1"/>
  <c r="F100" i="5"/>
  <c r="G100" i="5" s="1" a="1"/>
  <c r="G100" i="5" s="1"/>
  <c r="F93" i="5"/>
  <c r="G93" i="5" s="1" a="1"/>
  <c r="G93" i="5" s="1"/>
  <c r="F92" i="5"/>
  <c r="G92" i="5" s="1" a="1"/>
  <c r="G92" i="5" s="1"/>
  <c r="F83" i="5"/>
  <c r="G83" i="5" s="1" a="1"/>
  <c r="G83" i="5" s="1"/>
  <c r="F48" i="5"/>
  <c r="G48" i="5" s="1" a="1"/>
  <c r="G48" i="5" s="1"/>
  <c r="F24" i="5"/>
  <c r="G24" i="5" s="1" a="1"/>
  <c r="G24" i="5" s="1"/>
  <c r="F96" i="5"/>
  <c r="G96" i="5" s="1" a="1"/>
  <c r="G96" i="5" s="1"/>
  <c r="F428" i="5"/>
  <c r="G428" i="5" s="1" a="1"/>
  <c r="G428" i="5" s="1"/>
  <c r="F25" i="5"/>
  <c r="G25" i="5" s="1" a="1"/>
  <c r="G25" i="5" s="1"/>
  <c r="F305" i="5"/>
  <c r="G305" i="5" s="1" a="1"/>
  <c r="G305" i="5" s="1"/>
  <c r="F227" i="5"/>
  <c r="G227" i="5" s="1" a="1"/>
  <c r="G227" i="5" s="1"/>
  <c r="F20" i="5"/>
  <c r="G20" i="5" s="1" a="1"/>
  <c r="G20" i="5" s="1"/>
  <c r="F51" i="5"/>
  <c r="G51" i="5" s="1" a="1"/>
  <c r="G51" i="5" s="1"/>
  <c r="F470" i="5"/>
  <c r="G470" i="5" s="1" a="1"/>
  <c r="G470" i="5" s="1"/>
  <c r="F124" i="5"/>
  <c r="G124" i="5" s="1" a="1"/>
  <c r="G124" i="5" s="1"/>
  <c r="F467" i="5"/>
  <c r="G467" i="5" s="1" a="1"/>
  <c r="G467" i="5" s="1"/>
  <c r="F380" i="5"/>
  <c r="G380" i="5" s="1" a="1"/>
  <c r="G380" i="5" s="1"/>
  <c r="F252" i="5"/>
  <c r="G252" i="5" s="1" a="1"/>
  <c r="G252" i="5" s="1"/>
  <c r="F69" i="5"/>
  <c r="G69" i="5" s="1" a="1"/>
  <c r="G69" i="5" s="1"/>
  <c r="F416" i="5"/>
  <c r="G416" i="5" s="1" a="1"/>
  <c r="G416" i="5" s="1"/>
  <c r="F101" i="5"/>
  <c r="G101" i="5" s="1" a="1"/>
  <c r="G101" i="5" s="1"/>
  <c r="F404" i="5"/>
  <c r="G404" i="5" s="1" a="1"/>
  <c r="G404" i="5" s="1"/>
  <c r="F388" i="5"/>
  <c r="G388" i="5" s="1" a="1"/>
  <c r="G388" i="5" s="1"/>
  <c r="F253" i="5"/>
  <c r="G253" i="5" s="1" a="1"/>
  <c r="G253" i="5" s="1"/>
  <c r="F131" i="5"/>
  <c r="G131" i="5" s="1" a="1"/>
  <c r="G131" i="5" s="1"/>
  <c r="F441" i="5"/>
  <c r="G441" i="5" s="1" a="1"/>
  <c r="G441" i="5" s="1"/>
  <c r="F277" i="5"/>
  <c r="G277" i="5" s="1" a="1"/>
  <c r="G277" i="5" s="1"/>
  <c r="F386" i="5"/>
  <c r="G386" i="5" s="1" a="1"/>
  <c r="G386" i="5" s="1"/>
  <c r="F381" i="5"/>
  <c r="G381" i="5" s="1" a="1"/>
  <c r="G381" i="5" s="1"/>
  <c r="F23" i="5"/>
  <c r="G23" i="5" s="1" a="1"/>
  <c r="G23" i="5" s="1"/>
  <c r="F366" i="5"/>
  <c r="G366" i="5" s="1" a="1"/>
  <c r="G366" i="5" s="1"/>
  <c r="F419" i="5"/>
  <c r="G419" i="5" s="1" a="1"/>
  <c r="G419" i="5" s="1"/>
  <c r="F111" i="5"/>
  <c r="G111" i="5" s="1" a="1"/>
  <c r="G111" i="5" s="1"/>
  <c r="F471" i="5"/>
  <c r="G471" i="5" s="1" a="1"/>
  <c r="G471" i="5" s="1"/>
  <c r="F30" i="5"/>
  <c r="G30" i="5" s="1" a="1"/>
  <c r="G30" i="5" s="1"/>
  <c r="F383" i="5"/>
  <c r="G383" i="5" s="1" a="1"/>
  <c r="G383" i="5" s="1"/>
  <c r="F463" i="5"/>
  <c r="G463" i="5" s="1" a="1"/>
  <c r="G463" i="5" s="1"/>
  <c r="F385" i="5"/>
  <c r="G385" i="5" s="1" a="1"/>
  <c r="G385" i="5" s="1"/>
  <c r="F128" i="5"/>
  <c r="G128" i="5" s="1" a="1"/>
  <c r="G128" i="5" s="1"/>
  <c r="F125" i="5"/>
  <c r="G125" i="5" s="1" a="1"/>
  <c r="G125" i="5" s="1"/>
  <c r="F162" i="5"/>
  <c r="G162" i="5" s="1" a="1"/>
  <c r="G162" i="5" s="1"/>
  <c r="F142" i="5"/>
  <c r="G142" i="5" s="1" a="1"/>
  <c r="G142" i="5" s="1"/>
  <c r="F3" i="5"/>
  <c r="G3" i="5" s="1" a="1"/>
  <c r="G3" i="5" s="1"/>
  <c r="F40" i="5"/>
  <c r="G40" i="5" s="1" a="1"/>
  <c r="G40" i="5" s="1"/>
  <c r="F389" i="5"/>
  <c r="G389" i="5" s="1" a="1"/>
  <c r="G389" i="5" s="1"/>
  <c r="F248" i="5"/>
  <c r="G248" i="5" s="1" a="1"/>
  <c r="G248" i="5" s="1"/>
  <c r="F120" i="5"/>
  <c r="G120" i="5" s="1" a="1"/>
  <c r="G120" i="5" s="1"/>
  <c r="F49" i="5"/>
  <c r="G49" i="5" s="1" a="1"/>
  <c r="G49" i="5" s="1"/>
  <c r="F397" i="5"/>
  <c r="G397" i="5" s="1" a="1"/>
  <c r="G397" i="5" s="1"/>
  <c r="F230" i="5"/>
  <c r="G230" i="5" s="1" a="1"/>
  <c r="G230" i="5" s="1"/>
  <c r="F89" i="5"/>
  <c r="F382" i="5"/>
  <c r="G382" i="5" s="1" a="1"/>
  <c r="G382" i="5" s="1"/>
  <c r="F209" i="5"/>
  <c r="G209" i="5" s="1" a="1"/>
  <c r="G209" i="5" s="1"/>
  <c r="F200" i="5"/>
  <c r="G200" i="5" s="1" a="1"/>
  <c r="G200" i="5" s="1"/>
  <c r="F434" i="5"/>
  <c r="G434" i="5" s="1" a="1"/>
  <c r="G434" i="5" s="1"/>
  <c r="F362" i="5"/>
  <c r="G362" i="5" s="1" a="1"/>
  <c r="G362" i="5" s="1"/>
  <c r="F180" i="5"/>
  <c r="G180" i="5" s="1" a="1"/>
  <c r="G180" i="5" s="1"/>
  <c r="F398" i="5"/>
  <c r="G398" i="5" s="1" a="1"/>
  <c r="G398" i="5" s="1"/>
  <c r="F445" i="5"/>
  <c r="G445" i="5" s="1" a="1"/>
  <c r="G445" i="5" s="1"/>
  <c r="F418" i="5"/>
  <c r="G418" i="5" s="1" a="1"/>
  <c r="G418" i="5" s="1"/>
  <c r="F349" i="5"/>
  <c r="G349" i="5" s="1" a="1"/>
  <c r="G349" i="5" s="1"/>
  <c r="F343" i="5"/>
  <c r="G343" i="5" s="1" a="1"/>
  <c r="G343" i="5" s="1"/>
  <c r="F327" i="5"/>
  <c r="G327" i="5" s="1" a="1"/>
  <c r="G327" i="5" s="1"/>
  <c r="F321" i="5"/>
  <c r="G321" i="5" s="1" a="1"/>
  <c r="G321" i="5" s="1"/>
  <c r="F312" i="5"/>
  <c r="F287" i="5"/>
  <c r="G287" i="5" s="1" a="1"/>
  <c r="G287" i="5" s="1"/>
  <c r="F272" i="5"/>
  <c r="F205" i="5"/>
  <c r="G205" i="5" s="1" a="1"/>
  <c r="G205" i="5" s="1"/>
  <c r="F163" i="5"/>
  <c r="G163" i="5" s="1" a="1"/>
  <c r="G163" i="5" s="1"/>
  <c r="F136" i="5"/>
  <c r="G136" i="5" s="1" a="1"/>
  <c r="G136" i="5" s="1"/>
  <c r="F74" i="5"/>
  <c r="F66" i="5"/>
  <c r="G66" i="5" s="1" a="1"/>
  <c r="G66" i="5" s="1"/>
  <c r="F36" i="5"/>
  <c r="G36" i="5" s="1" a="1"/>
  <c r="G36" i="5" s="1"/>
  <c r="F34" i="5"/>
  <c r="G34" i="5" s="1" a="1"/>
  <c r="G34" i="5" s="1"/>
  <c r="F22" i="5"/>
  <c r="G22" i="5" s="1" a="1"/>
  <c r="G22" i="5" s="1"/>
  <c r="F6" i="5"/>
  <c r="G6" i="5" s="1" a="1"/>
  <c r="G6" i="5" s="1"/>
  <c r="F148" i="5"/>
  <c r="G148" i="5" s="1" a="1"/>
  <c r="G148" i="5" s="1"/>
  <c r="F408" i="5"/>
  <c r="G408" i="5" s="1" a="1"/>
  <c r="G408" i="5" s="1"/>
  <c r="F469" i="5"/>
  <c r="G469" i="5" s="1" a="1"/>
  <c r="G469" i="5" s="1"/>
  <c r="F462" i="5"/>
  <c r="G462" i="5" s="1" a="1"/>
  <c r="G462" i="5" s="1"/>
  <c r="F458" i="5"/>
  <c r="G458" i="5" s="1" a="1"/>
  <c r="G458" i="5" s="1"/>
  <c r="F455" i="5"/>
  <c r="G455" i="5" s="1" a="1"/>
  <c r="G455" i="5" s="1"/>
  <c r="F447" i="5"/>
  <c r="F442" i="5"/>
  <c r="G442" i="5" s="1" a="1"/>
  <c r="G442" i="5" s="1"/>
  <c r="F426" i="5"/>
  <c r="G426" i="5" s="1" a="1"/>
  <c r="G426" i="5" s="1"/>
  <c r="F421" i="5"/>
  <c r="G421" i="5" s="1" a="1"/>
  <c r="G421" i="5" s="1"/>
  <c r="F420" i="5"/>
  <c r="G420" i="5" s="1" a="1"/>
  <c r="G420" i="5" s="1"/>
  <c r="F414" i="5"/>
  <c r="G414" i="5" s="1" a="1"/>
  <c r="G414" i="5" s="1"/>
  <c r="F413" i="5"/>
  <c r="G413" i="5" s="1" a="1"/>
  <c r="G413" i="5" s="1"/>
  <c r="F407" i="5"/>
  <c r="G407" i="5" s="1" a="1"/>
  <c r="G407" i="5" s="1"/>
  <c r="F401" i="5"/>
  <c r="G401" i="5" s="1" a="1"/>
  <c r="G401" i="5" s="1"/>
  <c r="F395" i="5"/>
  <c r="G395" i="5" s="1" a="1"/>
  <c r="G395" i="5" s="1"/>
  <c r="F399" i="5"/>
  <c r="G399" i="5" s="1" a="1"/>
  <c r="G399" i="5" s="1"/>
  <c r="F387" i="5"/>
  <c r="G387" i="5" s="1" a="1"/>
  <c r="G387" i="5" s="1"/>
  <c r="F372" i="5"/>
  <c r="G372" i="5" s="1" a="1"/>
  <c r="G372" i="5" s="1"/>
  <c r="F368" i="5"/>
  <c r="G368" i="5" s="1" a="1"/>
  <c r="G368" i="5" s="1"/>
  <c r="F363" i="5"/>
  <c r="G363" i="5" s="1" a="1"/>
  <c r="G363" i="5" s="1"/>
  <c r="F357" i="5"/>
  <c r="G357" i="5" s="1" a="1"/>
  <c r="G357" i="5" s="1"/>
  <c r="F354" i="5"/>
  <c r="G354" i="5" s="1" a="1"/>
  <c r="G354" i="5" s="1"/>
  <c r="F350" i="5"/>
  <c r="G350" i="5" s="1" a="1"/>
  <c r="G350" i="5" s="1"/>
  <c r="F348" i="5"/>
  <c r="G348" i="5" s="1" a="1"/>
  <c r="G348" i="5" s="1"/>
  <c r="F341" i="5"/>
  <c r="G341" i="5" s="1" a="1"/>
  <c r="G341" i="5" s="1"/>
  <c r="F346" i="5"/>
  <c r="G346" i="5" s="1" a="1"/>
  <c r="G346" i="5" s="1"/>
  <c r="F335" i="5"/>
  <c r="G335" i="5" s="1" a="1"/>
  <c r="G335" i="5" s="1"/>
  <c r="F336" i="5"/>
  <c r="G336" i="5" s="1" a="1"/>
  <c r="G336" i="5" s="1"/>
  <c r="F330" i="5"/>
  <c r="G330" i="5" s="1" a="1"/>
  <c r="G330" i="5" s="1"/>
  <c r="F325" i="5"/>
  <c r="G325" i="5" s="1" a="1"/>
  <c r="G325" i="5" s="1"/>
  <c r="F328" i="5"/>
  <c r="G328" i="5" s="1" a="1"/>
  <c r="G328" i="5" s="1"/>
  <c r="F318" i="5"/>
  <c r="G318" i="5" s="1" a="1"/>
  <c r="G318" i="5" s="1"/>
  <c r="F306" i="5"/>
  <c r="G306" i="5" s="1" a="1"/>
  <c r="G306" i="5" s="1"/>
  <c r="F302" i="5"/>
  <c r="G302" i="5" s="1" a="1"/>
  <c r="G302" i="5" s="1"/>
  <c r="F307" i="5"/>
  <c r="G307" i="5" s="1" a="1"/>
  <c r="G307" i="5" s="1"/>
  <c r="F308" i="5"/>
  <c r="G308" i="5" s="1" a="1"/>
  <c r="G308" i="5" s="1"/>
  <c r="F303" i="5"/>
  <c r="G303" i="5" s="1" a="1"/>
  <c r="G303" i="5" s="1"/>
  <c r="F301" i="5"/>
  <c r="G301" i="5" s="1" a="1"/>
  <c r="G301" i="5" s="1"/>
  <c r="F310" i="5"/>
  <c r="G310" i="5" s="1" a="1"/>
  <c r="G310" i="5" s="1"/>
  <c r="F283" i="5"/>
  <c r="G283" i="5" s="1" a="1"/>
  <c r="G283" i="5" s="1"/>
  <c r="F296" i="5"/>
  <c r="G296" i="5" s="1" a="1"/>
  <c r="G296" i="5" s="1"/>
  <c r="F281" i="5"/>
  <c r="G281" i="5" s="1" a="1"/>
  <c r="G281" i="5" s="1"/>
  <c r="F288" i="5"/>
  <c r="G288" i="5" s="1" a="1"/>
  <c r="G288" i="5" s="1"/>
  <c r="F266" i="5"/>
  <c r="G266" i="5" s="1" a="1"/>
  <c r="G266" i="5" s="1"/>
  <c r="F269" i="5"/>
  <c r="G269" i="5" s="1" a="1"/>
  <c r="G269" i="5" s="1"/>
  <c r="F271" i="5"/>
  <c r="G271" i="5" s="1" a="1"/>
  <c r="G271" i="5" s="1"/>
  <c r="F264" i="5"/>
  <c r="G264" i="5" s="1" a="1"/>
  <c r="G264" i="5" s="1"/>
  <c r="F259" i="5"/>
  <c r="G259" i="5" s="1" a="1"/>
  <c r="G259" i="5" s="1"/>
  <c r="F256" i="5"/>
  <c r="G256" i="5" s="1" a="1"/>
  <c r="G256" i="5" s="1"/>
  <c r="F250" i="5"/>
  <c r="G250" i="5" s="1" a="1"/>
  <c r="G250" i="5" s="1"/>
  <c r="F242" i="5"/>
  <c r="G242" i="5" s="1" a="1"/>
  <c r="G242" i="5" s="1"/>
  <c r="F241" i="5"/>
  <c r="G241" i="5" s="1" a="1"/>
  <c r="G241" i="5" s="1"/>
  <c r="F244" i="5"/>
  <c r="G244" i="5" s="1" a="1"/>
  <c r="G244" i="5" s="1"/>
  <c r="F243" i="5"/>
  <c r="G243" i="5" s="1" a="1"/>
  <c r="G243" i="5" s="1"/>
  <c r="F229" i="5"/>
  <c r="G229" i="5" s="1" a="1"/>
  <c r="G229" i="5" s="1"/>
  <c r="F239" i="5"/>
  <c r="G239" i="5" s="1" a="1"/>
  <c r="G239" i="5" s="1"/>
  <c r="F234" i="5"/>
  <c r="G234" i="5" s="1" a="1"/>
  <c r="G234" i="5" s="1"/>
  <c r="F235" i="5"/>
  <c r="G235" i="5" s="1" a="1"/>
  <c r="G235" i="5" s="1"/>
  <c r="F231" i="5"/>
  <c r="G231" i="5" s="1" a="1"/>
  <c r="G231" i="5" s="1"/>
  <c r="F228" i="5"/>
  <c r="G228" i="5" s="1" a="1"/>
  <c r="G228" i="5" s="1"/>
  <c r="F222" i="5"/>
  <c r="G222" i="5" s="1" a="1"/>
  <c r="G222" i="5" s="1"/>
  <c r="F213" i="5"/>
  <c r="G213" i="5" s="1" a="1"/>
  <c r="G213" i="5" s="1"/>
  <c r="F215" i="5"/>
  <c r="G215" i="5" s="1" a="1"/>
  <c r="G215" i="5" s="1"/>
  <c r="F211" i="5"/>
  <c r="G211" i="5" s="1" a="1"/>
  <c r="G211" i="5" s="1"/>
  <c r="F212" i="5"/>
  <c r="G212" i="5" s="1" a="1"/>
  <c r="G212" i="5" s="1"/>
  <c r="F206" i="5"/>
  <c r="G206" i="5" s="1" a="1"/>
  <c r="G206" i="5" s="1"/>
  <c r="F193" i="5"/>
  <c r="G193" i="5" s="1" a="1"/>
  <c r="G193" i="5" s="1"/>
  <c r="F201" i="5"/>
  <c r="G201" i="5" s="1" a="1"/>
  <c r="G201" i="5" s="1"/>
  <c r="F199" i="5"/>
  <c r="G199" i="5" s="1" a="1"/>
  <c r="G199" i="5" s="1"/>
  <c r="F198" i="5"/>
  <c r="G198" i="5" s="1" a="1"/>
  <c r="G198" i="5" s="1"/>
  <c r="F182" i="5"/>
  <c r="F183" i="5"/>
  <c r="G183" i="5" s="1" a="1"/>
  <c r="G183" i="5" s="1"/>
  <c r="F179" i="5"/>
  <c r="G179" i="5" s="1" a="1"/>
  <c r="G179" i="5" s="1"/>
  <c r="F177" i="5"/>
  <c r="G177" i="5" s="1" a="1"/>
  <c r="G177" i="5" s="1"/>
  <c r="F174" i="5"/>
  <c r="G174" i="5" s="1" a="1"/>
  <c r="G174" i="5" s="1"/>
  <c r="F170" i="5"/>
  <c r="G170" i="5" s="1" a="1"/>
  <c r="G170" i="5" s="1"/>
  <c r="F169" i="5"/>
  <c r="G169" i="5" s="1" a="1"/>
  <c r="G169" i="5" s="1"/>
  <c r="F171" i="5"/>
  <c r="G171" i="5" s="1" a="1"/>
  <c r="G171" i="5" s="1"/>
  <c r="F166" i="5"/>
  <c r="G166" i="5" s="1" a="1"/>
  <c r="G166" i="5" s="1"/>
  <c r="F154" i="5"/>
  <c r="G154" i="5" s="1" a="1"/>
  <c r="G154" i="5" s="1"/>
  <c r="F158" i="5"/>
  <c r="G158" i="5" s="1" a="1"/>
  <c r="G158" i="5" s="1"/>
  <c r="F157" i="5"/>
  <c r="G157" i="5" s="1" a="1"/>
  <c r="G157" i="5" s="1"/>
  <c r="F160" i="5"/>
  <c r="G160" i="5" s="1" a="1"/>
  <c r="G160" i="5" s="1"/>
  <c r="F164" i="5"/>
  <c r="G164" i="5" s="1" a="1"/>
  <c r="G164" i="5" s="1"/>
  <c r="F165" i="5"/>
  <c r="G165" i="5" s="1" a="1"/>
  <c r="G165" i="5" s="1"/>
  <c r="F161" i="5"/>
  <c r="G161" i="5" s="1" a="1"/>
  <c r="G161" i="5" s="1"/>
  <c r="F150" i="5"/>
  <c r="G150" i="5" s="1" a="1"/>
  <c r="G150" i="5" s="1"/>
  <c r="F146" i="5"/>
  <c r="G146" i="5" s="1" a="1"/>
  <c r="G146" i="5" s="1"/>
  <c r="F190" i="5"/>
  <c r="G190" i="5" s="1" a="1"/>
  <c r="G190" i="5" s="1"/>
  <c r="F134" i="5"/>
  <c r="G134" i="5" s="1" a="1"/>
  <c r="G134" i="5" s="1"/>
  <c r="F130" i="5"/>
  <c r="G130" i="5" s="1" a="1"/>
  <c r="G130" i="5" s="1"/>
  <c r="F127" i="5"/>
  <c r="G127" i="5" s="1" a="1"/>
  <c r="G127" i="5" s="1"/>
  <c r="F116" i="5"/>
  <c r="G116" i="5" s="1" a="1"/>
  <c r="G116" i="5" s="1"/>
  <c r="F103" i="5"/>
  <c r="G103" i="5" s="1" a="1"/>
  <c r="G103" i="5" s="1"/>
  <c r="F97" i="5"/>
  <c r="G97" i="5" s="1" a="1"/>
  <c r="G97" i="5" s="1"/>
  <c r="F95" i="5"/>
  <c r="G95" i="5" s="1" a="1"/>
  <c r="G95" i="5" s="1"/>
  <c r="F94" i="5"/>
  <c r="G94" i="5" s="1" a="1"/>
  <c r="G94" i="5" s="1"/>
  <c r="F90" i="5"/>
  <c r="G90" i="5" s="1" a="1"/>
  <c r="G90" i="5" s="1"/>
  <c r="F86" i="5"/>
  <c r="G86" i="5" s="1" a="1"/>
  <c r="G86" i="5" s="1"/>
  <c r="F80" i="5"/>
  <c r="G80" i="5" s="1" a="1"/>
  <c r="G80" i="5" s="1"/>
  <c r="F77" i="5"/>
  <c r="G77" i="5" s="1" a="1"/>
  <c r="G77" i="5" s="1"/>
  <c r="F71" i="5"/>
  <c r="G71" i="5" s="1" a="1"/>
  <c r="G71" i="5" s="1"/>
  <c r="F60" i="5"/>
  <c r="G60" i="5" s="1" a="1"/>
  <c r="G60" i="5" s="1"/>
  <c r="F58" i="5"/>
  <c r="G58" i="5" s="1" a="1"/>
  <c r="G58" i="5" s="1"/>
  <c r="F59" i="5"/>
  <c r="G59" i="5" s="1" a="1"/>
  <c r="G59" i="5" s="1"/>
  <c r="F57" i="5"/>
  <c r="G57" i="5" s="1" a="1"/>
  <c r="G57" i="5" s="1"/>
  <c r="F56" i="5"/>
  <c r="G56" i="5" s="1" a="1"/>
  <c r="G56" i="5" s="1"/>
  <c r="F54" i="5"/>
  <c r="G54" i="5" s="1" a="1"/>
  <c r="G54" i="5" s="1"/>
  <c r="F42" i="5"/>
  <c r="G42" i="5" s="1" a="1"/>
  <c r="G42" i="5" s="1"/>
  <c r="F26" i="5"/>
  <c r="G26" i="5" s="1" a="1"/>
  <c r="G26" i="5" s="1"/>
  <c r="F15" i="5"/>
  <c r="G15" i="5" s="1" a="1"/>
  <c r="G15" i="5" s="1"/>
  <c r="F203" i="5"/>
  <c r="G203" i="5" s="1" a="1"/>
  <c r="G203" i="5" s="1"/>
  <c r="F376" i="5"/>
  <c r="G376" i="5" s="1" a="1"/>
  <c r="G376" i="5" s="1"/>
  <c r="F152" i="5"/>
  <c r="G152" i="5" s="1" a="1"/>
  <c r="G152" i="5" s="1"/>
  <c r="F359" i="5"/>
  <c r="G359" i="5" s="1" a="1"/>
  <c r="G359" i="5" s="1"/>
  <c r="F351" i="5"/>
  <c r="G351" i="5" s="1" a="1"/>
  <c r="G351" i="5" s="1"/>
  <c r="F353" i="5"/>
  <c r="G353" i="5" s="1" a="1"/>
  <c r="G353" i="5" s="1"/>
  <c r="F304" i="5"/>
  <c r="G304" i="5" s="1" a="1"/>
  <c r="G304" i="5" s="1"/>
  <c r="F289" i="5"/>
  <c r="G289" i="5" s="1" a="1"/>
  <c r="G289" i="5" s="1"/>
  <c r="F245" i="5"/>
  <c r="G245" i="5" s="1" a="1"/>
  <c r="G245" i="5" s="1"/>
  <c r="F91" i="5"/>
  <c r="G91" i="5" s="1" a="1"/>
  <c r="G91" i="5" s="1"/>
  <c r="F63" i="5"/>
  <c r="G63" i="5" s="1" a="1"/>
  <c r="G63" i="5" s="1"/>
  <c r="F218" i="5"/>
  <c r="G218" i="5" s="1" a="1"/>
  <c r="G218" i="5" s="1"/>
  <c r="F47" i="5"/>
  <c r="G47" i="5" s="1" a="1"/>
  <c r="G47" i="5" s="1"/>
  <c r="F4" i="5"/>
  <c r="G4" i="5" s="1" a="1"/>
  <c r="G4" i="5" s="1"/>
  <c r="F278" i="5"/>
  <c r="G278" i="5" s="1" a="1"/>
  <c r="G278" i="5" s="1"/>
  <c r="F405" i="5"/>
  <c r="G405" i="5" s="1" a="1"/>
  <c r="G405" i="5" s="1"/>
  <c r="F294" i="5"/>
  <c r="G294" i="5" s="1" a="1"/>
  <c r="G294" i="5" s="1"/>
  <c r="F290" i="5"/>
  <c r="G290" i="5" s="1" a="1"/>
  <c r="G290" i="5" s="1"/>
  <c r="F331" i="5"/>
  <c r="G331" i="5" s="1" a="1"/>
  <c r="G331" i="5" s="1"/>
  <c r="F223" i="5"/>
  <c r="G223" i="5" s="1" a="1"/>
  <c r="G223" i="5" s="1"/>
  <c r="F167" i="5"/>
  <c r="G167" i="5" s="1" a="1"/>
  <c r="G167" i="5" s="1"/>
  <c r="F429" i="5"/>
  <c r="G429" i="5" s="1" a="1"/>
  <c r="G429" i="5" s="1"/>
  <c r="F358" i="5"/>
  <c r="G358" i="5" s="1" a="1"/>
  <c r="G358" i="5" s="1"/>
  <c r="F194" i="5"/>
  <c r="G194" i="5" s="1" a="1"/>
  <c r="G194" i="5" s="1"/>
  <c r="F232" i="5"/>
  <c r="G232" i="5" s="1" a="1"/>
  <c r="G232" i="5" s="1"/>
  <c r="F196" i="5"/>
  <c r="G196" i="5" s="1" a="1"/>
  <c r="G196" i="5" s="1"/>
  <c r="F337" i="5"/>
  <c r="G337" i="5" s="1" a="1"/>
  <c r="G337" i="5" s="1"/>
  <c r="F339" i="5"/>
  <c r="G339" i="5" s="1" a="1"/>
  <c r="G339" i="5" s="1"/>
  <c r="F334" i="5"/>
  <c r="G334" i="5" s="1" a="1"/>
  <c r="G334" i="5" s="1"/>
  <c r="F333" i="5"/>
  <c r="G333" i="5" s="1" a="1"/>
  <c r="G333" i="5" s="1"/>
  <c r="F324" i="5"/>
  <c r="G324" i="5" s="1" a="1"/>
  <c r="G324" i="5" s="1"/>
  <c r="F255" i="5"/>
  <c r="G255" i="5" s="1" a="1"/>
  <c r="G255" i="5" s="1"/>
  <c r="F208" i="5"/>
  <c r="G208" i="5" s="1" a="1"/>
  <c r="G208" i="5" s="1"/>
  <c r="F202" i="5"/>
  <c r="G202" i="5" s="1" a="1"/>
  <c r="G202" i="5" s="1"/>
  <c r="F195" i="5"/>
  <c r="G195" i="5" s="1" a="1"/>
  <c r="G195" i="5" s="1"/>
  <c r="F178" i="5"/>
  <c r="G178" i="5" s="1" a="1"/>
  <c r="G178" i="5" s="1"/>
  <c r="F191" i="5"/>
  <c r="G191" i="5" s="1" a="1"/>
  <c r="G191" i="5" s="1"/>
  <c r="F106" i="5"/>
  <c r="G106" i="5" s="1" a="1"/>
  <c r="G106" i="5" s="1"/>
  <c r="F44" i="5"/>
  <c r="G44" i="5" s="1" a="1"/>
  <c r="G44" i="5" s="1"/>
  <c r="F466" i="5"/>
  <c r="G466" i="5" s="1" a="1"/>
  <c r="G466" i="5" s="1"/>
  <c r="F391" i="5"/>
  <c r="G391" i="5" s="1" a="1"/>
  <c r="G391" i="5" s="1"/>
  <c r="F379" i="5"/>
  <c r="G379" i="5" s="1" a="1"/>
  <c r="G379" i="5" s="1"/>
  <c r="F345" i="5"/>
  <c r="G345" i="5" s="1" a="1"/>
  <c r="G345" i="5" s="1"/>
  <c r="F273" i="5"/>
  <c r="G273" i="5" s="1" a="1"/>
  <c r="G273" i="5" s="1"/>
  <c r="F435" i="5"/>
  <c r="G435" i="5" s="1" a="1"/>
  <c r="G435" i="5" s="1"/>
  <c r="F424" i="5"/>
  <c r="G424" i="5" s="1" a="1"/>
  <c r="G424" i="5" s="1"/>
  <c r="F390" i="5"/>
  <c r="G390" i="5" s="1" a="1"/>
  <c r="G390" i="5" s="1"/>
  <c r="F365" i="5"/>
  <c r="G365" i="5" s="1" a="1"/>
  <c r="G365" i="5" s="1"/>
  <c r="F338" i="5"/>
  <c r="G338" i="5" s="1" a="1"/>
  <c r="G338" i="5" s="1"/>
  <c r="F261" i="5"/>
  <c r="G261" i="5" s="1" a="1"/>
  <c r="G261" i="5" s="1"/>
  <c r="F260" i="5"/>
  <c r="G260" i="5" s="1" a="1"/>
  <c r="G260" i="5" s="1"/>
  <c r="F254" i="5"/>
  <c r="G254" i="5" s="1" a="1"/>
  <c r="G254" i="5" s="1"/>
  <c r="F151" i="5"/>
  <c r="G151" i="5" s="1" a="1"/>
  <c r="G151" i="5" s="1"/>
  <c r="F141" i="5"/>
  <c r="G141" i="5" s="1" a="1"/>
  <c r="G141" i="5" s="1"/>
  <c r="F145" i="5"/>
  <c r="G145" i="5" s="1" a="1"/>
  <c r="G145" i="5" s="1"/>
  <c r="F99" i="5"/>
  <c r="G99" i="5" s="1" a="1"/>
  <c r="G99" i="5" s="1"/>
  <c r="F73" i="5"/>
  <c r="G73" i="5" s="1" a="1"/>
  <c r="G73" i="5" s="1"/>
  <c r="F61" i="5"/>
  <c r="G61" i="5" s="1" a="1"/>
  <c r="G61" i="5" s="1"/>
  <c r="F50" i="5"/>
  <c r="G50" i="5" s="1" a="1"/>
  <c r="G50" i="5" s="1"/>
  <c r="F35" i="5"/>
  <c r="G35" i="5" s="1" a="1"/>
  <c r="G35" i="5" s="1"/>
  <c r="F19" i="5"/>
  <c r="G19" i="5" s="1" a="1"/>
  <c r="G19" i="5" s="1"/>
  <c r="F446" i="5"/>
  <c r="G446" i="5" s="1" a="1"/>
  <c r="G446" i="5" s="1"/>
  <c r="F443" i="5"/>
  <c r="G443" i="5" s="1" a="1"/>
  <c r="G443" i="5" s="1"/>
  <c r="F374" i="5"/>
  <c r="G374" i="5" s="1" a="1"/>
  <c r="G374" i="5" s="1"/>
  <c r="F369" i="5"/>
  <c r="G369" i="5" s="1" a="1"/>
  <c r="G369" i="5" s="1"/>
  <c r="F184" i="5"/>
  <c r="G184" i="5" s="1" a="1"/>
  <c r="G184" i="5" s="1"/>
  <c r="F27" i="5"/>
  <c r="G27" i="5" s="1" a="1"/>
  <c r="G27" i="5" s="1"/>
  <c r="F461" i="5"/>
  <c r="F460" i="5"/>
  <c r="G460" i="5" s="1" a="1"/>
  <c r="G460" i="5" s="1"/>
  <c r="F454" i="5"/>
  <c r="G454" i="5" s="1" a="1"/>
  <c r="G454" i="5" s="1"/>
  <c r="F439" i="5"/>
  <c r="G439" i="5" s="1" a="1"/>
  <c r="G439" i="5" s="1"/>
  <c r="F352" i="5"/>
  <c r="G352" i="5" s="1" a="1"/>
  <c r="G352" i="5" s="1"/>
  <c r="F355" i="5"/>
  <c r="G355" i="5" s="1" a="1"/>
  <c r="G355" i="5" s="1"/>
  <c r="F251" i="5"/>
  <c r="G251" i="5" s="1" a="1"/>
  <c r="G251" i="5" s="1"/>
  <c r="F246" i="5"/>
  <c r="G246" i="5" s="1" a="1"/>
  <c r="G246" i="5" s="1"/>
  <c r="F221" i="5"/>
  <c r="G221" i="5" s="1" a="1"/>
  <c r="G221" i="5" s="1"/>
  <c r="F153" i="5"/>
  <c r="G153" i="5" s="1" a="1"/>
  <c r="G153" i="5" s="1"/>
  <c r="F117" i="5"/>
  <c r="G117" i="5" s="1" a="1"/>
  <c r="G117" i="5" s="1"/>
  <c r="F11" i="5"/>
  <c r="G11" i="5" s="1" a="1"/>
  <c r="G11" i="5" s="1"/>
  <c r="F282" i="5"/>
  <c r="G282" i="5" s="1" a="1"/>
  <c r="G282" i="5" s="1"/>
  <c r="F465" i="5"/>
  <c r="G465" i="5" s="1" a="1"/>
  <c r="G465" i="5" s="1"/>
  <c r="F135" i="5"/>
  <c r="G135" i="5" s="1" a="1"/>
  <c r="G135" i="5" s="1"/>
  <c r="F45" i="5"/>
  <c r="G45" i="5" s="1" a="1"/>
  <c r="G45" i="5" s="1"/>
  <c r="F448" i="5"/>
  <c r="G448" i="5" s="1" a="1"/>
  <c r="G448" i="5" s="1"/>
  <c r="F450" i="5"/>
  <c r="G450" i="5" s="1" a="1"/>
  <c r="G450" i="5" s="1"/>
  <c r="F412" i="5"/>
  <c r="G412" i="5" s="1" a="1"/>
  <c r="G412" i="5" s="1"/>
  <c r="F400" i="5"/>
  <c r="G400" i="5" s="1" a="1"/>
  <c r="G400" i="5" s="1"/>
  <c r="F425" i="5"/>
  <c r="G425" i="5" s="1" a="1"/>
  <c r="G425" i="5" s="1"/>
  <c r="F263" i="5"/>
  <c r="G263" i="5" s="1" a="1"/>
  <c r="G263" i="5" s="1"/>
  <c r="F258" i="5"/>
  <c r="G258" i="5" s="1" a="1"/>
  <c r="G258" i="5" s="1"/>
  <c r="F225" i="5"/>
  <c r="G225" i="5" s="1" a="1"/>
  <c r="G225" i="5" s="1"/>
  <c r="F217" i="5"/>
  <c r="G217" i="5" s="1" a="1"/>
  <c r="G217" i="5" s="1"/>
  <c r="F185" i="5"/>
  <c r="G185" i="5" s="1" a="1"/>
  <c r="G185" i="5" s="1"/>
  <c r="F175" i="5"/>
  <c r="G175" i="5" s="1" a="1"/>
  <c r="G175" i="5" s="1"/>
  <c r="F119" i="5"/>
  <c r="G119" i="5" s="1" a="1"/>
  <c r="G119" i="5" s="1"/>
  <c r="F118" i="5"/>
  <c r="G118" i="5" s="1" a="1"/>
  <c r="G118" i="5" s="1"/>
  <c r="F147" i="5"/>
  <c r="G147" i="5" s="1" a="1"/>
  <c r="G147" i="5" s="1"/>
  <c r="F115" i="5"/>
  <c r="G115" i="5" s="1" a="1"/>
  <c r="G115" i="5" s="1"/>
  <c r="F43" i="5"/>
  <c r="G43" i="5" s="1" a="1"/>
  <c r="G43" i="5" s="1"/>
  <c r="F5" i="5"/>
  <c r="G5" i="5" s="1" a="1"/>
  <c r="G5" i="5" s="1"/>
  <c r="F121" i="5"/>
  <c r="G121" i="5" s="1" a="1"/>
  <c r="G121" i="5" s="1"/>
  <c r="F384" i="5"/>
  <c r="G384" i="5" s="1" a="1"/>
  <c r="G384" i="5" s="1"/>
  <c r="F393" i="5"/>
  <c r="G393" i="5" s="1" a="1"/>
  <c r="G393" i="5" s="1"/>
  <c r="F189" i="5"/>
  <c r="G189" i="5" s="1" a="1"/>
  <c r="G189" i="5" s="1"/>
  <c r="F431" i="5"/>
  <c r="G431" i="5" s="1" a="1"/>
  <c r="G431" i="5" s="1"/>
  <c r="F38" i="5"/>
  <c r="G38" i="5" s="1" a="1"/>
  <c r="G38" i="5" s="1"/>
  <c r="F427" i="5"/>
  <c r="G427" i="5" s="1" a="1"/>
  <c r="G427" i="5" s="1"/>
  <c r="F144" i="5"/>
  <c r="G144" i="5" s="1" a="1"/>
  <c r="G144" i="5" s="1"/>
  <c r="F392" i="5"/>
  <c r="G392" i="5" s="1" a="1"/>
  <c r="G392" i="5" s="1"/>
  <c r="F316" i="5"/>
  <c r="F311" i="5"/>
  <c r="G311" i="5" s="1" a="1"/>
  <c r="G311" i="5" s="1"/>
  <c r="F207" i="5"/>
  <c r="G207" i="5" s="1" a="1"/>
  <c r="G207" i="5" s="1"/>
  <c r="F176" i="5"/>
  <c r="G176" i="5" s="1" a="1"/>
  <c r="G176" i="5" s="1"/>
  <c r="F437" i="5"/>
  <c r="G437" i="5" s="1" a="1"/>
  <c r="G437" i="5" s="1"/>
  <c r="F233" i="5"/>
  <c r="G233" i="5" s="1" a="1"/>
  <c r="G233" i="5" s="1"/>
  <c r="F224" i="5"/>
  <c r="G224" i="5" s="1" a="1"/>
  <c r="G224" i="5" s="1"/>
  <c r="F440" i="5"/>
  <c r="G440" i="5" s="1" a="1"/>
  <c r="G440" i="5" s="1"/>
  <c r="F433" i="5"/>
  <c r="G433" i="5" s="1" a="1"/>
  <c r="G433" i="5" s="1"/>
  <c r="F422" i="5"/>
  <c r="G422" i="5" s="1" a="1"/>
  <c r="G422" i="5" s="1"/>
  <c r="F415" i="5"/>
  <c r="G415" i="5" s="1" a="1"/>
  <c r="G415" i="5" s="1"/>
  <c r="F410" i="5"/>
  <c r="G410" i="5" s="1" a="1"/>
  <c r="G410" i="5" s="1"/>
  <c r="F409" i="5"/>
  <c r="G409" i="5" s="1" a="1"/>
  <c r="G409" i="5" s="1"/>
  <c r="F402" i="5"/>
  <c r="G402" i="5" s="1" a="1"/>
  <c r="G402" i="5" s="1"/>
  <c r="F319" i="5"/>
  <c r="G319" i="5" s="1" a="1"/>
  <c r="G319" i="5" s="1"/>
  <c r="F314" i="5"/>
  <c r="G314" i="5" s="1" a="1"/>
  <c r="G314" i="5" s="1"/>
  <c r="F315" i="5"/>
  <c r="G315" i="5" s="1" a="1"/>
  <c r="G315" i="5" s="1"/>
  <c r="F309" i="5"/>
  <c r="G309" i="5" s="1" a="1"/>
  <c r="G309" i="5" s="1"/>
  <c r="F298" i="5"/>
  <c r="G298" i="5" s="1" a="1"/>
  <c r="G298" i="5" s="1"/>
  <c r="F292" i="5"/>
  <c r="G292" i="5" s="1" a="1"/>
  <c r="G292" i="5" s="1"/>
  <c r="F173" i="5"/>
  <c r="G173" i="5" s="1" a="1"/>
  <c r="G173" i="5" s="1"/>
  <c r="F132" i="5"/>
  <c r="G132" i="5" s="1" a="1"/>
  <c r="G132" i="5" s="1"/>
  <c r="F133" i="5"/>
  <c r="G133" i="5" s="1" a="1"/>
  <c r="G133" i="5" s="1"/>
  <c r="F126" i="5"/>
  <c r="G126" i="5" s="1" a="1"/>
  <c r="G126" i="5" s="1"/>
  <c r="F85" i="5"/>
  <c r="G85" i="5" s="1" a="1"/>
  <c r="G85" i="5" s="1"/>
  <c r="F81" i="5"/>
  <c r="G81" i="5" s="1" a="1"/>
  <c r="G81" i="5" s="1"/>
  <c r="F21" i="5"/>
  <c r="G21" i="5" s="1" a="1"/>
  <c r="G21" i="5" s="1"/>
  <c r="F9" i="5"/>
  <c r="G9" i="5" s="1" a="1"/>
  <c r="G9" i="5" s="1"/>
  <c r="F320" i="5"/>
  <c r="G320" i="5" s="1" a="1"/>
  <c r="G320" i="5" s="1"/>
  <c r="F276" i="5"/>
  <c r="G276" i="5" s="1" a="1"/>
  <c r="G276" i="5" s="1"/>
  <c r="F279" i="5"/>
  <c r="G279" i="5" s="1" a="1"/>
  <c r="G279" i="5" s="1"/>
  <c r="F280" i="5"/>
  <c r="G280" i="5" s="1" a="1"/>
  <c r="G280" i="5" s="1"/>
  <c r="F172" i="5"/>
  <c r="G172" i="5" s="1" a="1"/>
  <c r="G172" i="5" s="1"/>
  <c r="F87" i="5"/>
  <c r="G87" i="5" s="1" a="1"/>
  <c r="G87" i="5" s="1"/>
  <c r="F468" i="5"/>
  <c r="G468" i="5" s="1" a="1"/>
  <c r="G468" i="5" s="1"/>
  <c r="F456" i="5"/>
  <c r="G456" i="5" s="1" a="1"/>
  <c r="G456" i="5" s="1"/>
  <c r="F449" i="5"/>
  <c r="G449" i="5" s="1" a="1"/>
  <c r="G449" i="5" s="1"/>
  <c r="F451" i="5"/>
  <c r="G451" i="5" s="1" a="1"/>
  <c r="G451" i="5" s="1"/>
  <c r="F453" i="5"/>
  <c r="G453" i="5" s="1" a="1"/>
  <c r="G453" i="5" s="1"/>
  <c r="F452" i="5"/>
  <c r="G452" i="5" s="1" a="1"/>
  <c r="G452" i="5" s="1"/>
  <c r="F438" i="5"/>
  <c r="G438" i="5" s="1" a="1"/>
  <c r="G438" i="5" s="1"/>
  <c r="F411" i="5"/>
  <c r="G411" i="5" s="1" a="1"/>
  <c r="G411" i="5" s="1"/>
  <c r="F364" i="5"/>
  <c r="G364" i="5" s="1" a="1"/>
  <c r="G364" i="5" s="1"/>
  <c r="F360" i="5"/>
  <c r="G360" i="5" s="1" a="1"/>
  <c r="G360" i="5" s="1"/>
  <c r="F240" i="5"/>
  <c r="G240" i="5" s="1" a="1"/>
  <c r="G240" i="5" s="1"/>
  <c r="F238" i="5"/>
  <c r="G238" i="5" s="1" a="1"/>
  <c r="G238" i="5" s="1"/>
  <c r="F156" i="5"/>
  <c r="G156" i="5" s="1" a="1"/>
  <c r="G156" i="5" s="1"/>
  <c r="F155" i="5"/>
  <c r="G155" i="5" s="1" a="1"/>
  <c r="G155" i="5" s="1"/>
  <c r="F140" i="5"/>
  <c r="G140" i="5" s="1" a="1"/>
  <c r="G140" i="5" s="1"/>
  <c r="F138" i="5"/>
  <c r="G138" i="5" s="1" a="1"/>
  <c r="G138" i="5" s="1"/>
  <c r="F137" i="5"/>
  <c r="G137" i="5" s="1" a="1"/>
  <c r="G137" i="5" s="1"/>
  <c r="F104" i="5"/>
  <c r="G104" i="5" s="1" a="1"/>
  <c r="G104" i="5" s="1"/>
  <c r="F67" i="5"/>
  <c r="G67" i="5" s="1" a="1"/>
  <c r="G67" i="5" s="1"/>
  <c r="F64" i="5"/>
  <c r="G64" i="5" s="1" a="1"/>
  <c r="G64" i="5" s="1"/>
  <c r="F53" i="5"/>
  <c r="G53" i="5" s="1" a="1"/>
  <c r="G53" i="5" s="1"/>
  <c r="F33" i="5"/>
  <c r="G33" i="5" s="1" a="1"/>
  <c r="G33" i="5" s="1"/>
  <c r="F32" i="5"/>
  <c r="G32" i="5" s="1" a="1"/>
  <c r="G32" i="5" s="1"/>
  <c r="F29" i="5"/>
  <c r="G29" i="5" s="1" a="1"/>
  <c r="G29" i="5" s="1"/>
  <c r="F31" i="5"/>
  <c r="G31" i="5" s="1" a="1"/>
  <c r="G31" i="5" s="1"/>
  <c r="F28" i="5"/>
  <c r="G28" i="5" s="1" a="1"/>
  <c r="G28" i="5" s="1"/>
  <c r="F14" i="5"/>
  <c r="G14" i="5" s="1" a="1"/>
  <c r="G14" i="5" s="1"/>
  <c r="F2" i="5"/>
  <c r="G2" i="5" s="1" a="1"/>
  <c r="G2" i="5" s="1"/>
  <c r="F464" i="5"/>
  <c r="G464" i="5" s="1" a="1"/>
  <c r="G464" i="5" s="1"/>
  <c r="F356" i="5"/>
  <c r="G356" i="5" s="1" a="1"/>
  <c r="G356" i="5" s="1"/>
  <c r="F52" i="5"/>
  <c r="G52" i="5" s="1" a="1"/>
  <c r="G52" i="5" s="1"/>
  <c r="F168" i="5"/>
  <c r="G168" i="5" s="1" a="1"/>
  <c r="G168" i="5" s="1"/>
  <c r="F192" i="5"/>
  <c r="G192" i="5" s="1" a="1"/>
  <c r="G192" i="5" s="1"/>
  <c r="F317" i="5"/>
  <c r="G317" i="5" s="1" a="1"/>
  <c r="G317" i="5" s="1"/>
  <c r="F300" i="5"/>
  <c r="G300" i="5" s="1" a="1"/>
  <c r="G300" i="5" s="1"/>
  <c r="F17" i="5"/>
  <c r="G17" i="5" s="1" a="1"/>
  <c r="G17" i="5" s="1"/>
  <c r="F275" i="5"/>
  <c r="G275" i="5" s="1" a="1"/>
  <c r="G275" i="5" s="1"/>
  <c r="F444" i="5"/>
  <c r="G444" i="5" s="1" a="1"/>
  <c r="G444" i="5" s="1"/>
  <c r="F322" i="5"/>
  <c r="G322" i="5" s="1" a="1"/>
  <c r="G322" i="5" s="1"/>
  <c r="F291" i="5"/>
  <c r="G291" i="5" s="1" a="1"/>
  <c r="G291" i="5" s="1"/>
  <c r="F10" i="5"/>
  <c r="G10" i="5" s="1" a="1"/>
  <c r="G10" i="5" s="1"/>
  <c r="F8" i="5"/>
  <c r="G8" i="5" s="1" a="1"/>
  <c r="G8" i="5" s="1"/>
  <c r="F129" i="5"/>
  <c r="G129" i="5" s="1" a="1"/>
  <c r="G129" i="5" s="1"/>
  <c r="F295" i="5"/>
  <c r="G295" i="5" s="1" a="1"/>
  <c r="G295" i="5" s="1"/>
  <c r="F41" i="5"/>
  <c r="G41" i="5" s="1" a="1"/>
  <c r="G41" i="5" s="1"/>
  <c r="F139" i="5"/>
  <c r="F143" i="5"/>
  <c r="G143" i="5" s="1" a="1"/>
  <c r="G143" i="5" s="1"/>
  <c r="F323" i="5"/>
  <c r="G323" i="5" s="1" a="1"/>
  <c r="G323" i="5" s="1"/>
  <c r="F181" i="5"/>
  <c r="G181" i="5" s="1" a="1"/>
  <c r="G181" i="5" s="1"/>
  <c r="F313" i="5"/>
  <c r="G313" i="5" s="1" a="1"/>
  <c r="G313" i="5" s="1"/>
  <c r="F186" i="5"/>
  <c r="G186" i="5" s="1" a="1"/>
  <c r="G186" i="5" s="1"/>
  <c r="F159" i="5"/>
  <c r="G159" i="5" s="1" a="1"/>
  <c r="G159" i="5" s="1"/>
  <c r="F361" i="5"/>
  <c r="G361" i="5" s="1" a="1"/>
  <c r="G361" i="5" s="1"/>
  <c r="F265" i="5"/>
  <c r="G265" i="5" s="1" a="1"/>
  <c r="G265" i="5" s="1"/>
  <c r="F188" i="5"/>
  <c r="G188" i="5" s="1" a="1"/>
  <c r="G188" i="5" s="1"/>
  <c r="F332" i="5"/>
  <c r="G332" i="5" s="1" a="1"/>
  <c r="G332" i="5" s="1"/>
  <c r="F82" i="5"/>
  <c r="G82" i="5" s="1" a="1"/>
  <c r="G82" i="5" s="1"/>
  <c r="F55" i="5"/>
  <c r="G55" i="5" s="1" a="1"/>
  <c r="G55" i="5" s="1"/>
  <c r="F13" i="5"/>
  <c r="G13" i="5" s="1" a="1"/>
  <c r="G13" i="5" s="1"/>
  <c r="F70" i="5"/>
  <c r="G70" i="5" s="1" a="1"/>
  <c r="G70" i="5" s="1"/>
  <c r="F432" i="5"/>
  <c r="G432" i="5" s="1" a="1"/>
  <c r="G432" i="5" s="1"/>
  <c r="F396" i="5"/>
  <c r="G396" i="5" s="1" a="1"/>
  <c r="G396" i="5" s="1"/>
  <c r="F394" i="5"/>
  <c r="G394" i="5" s="1" a="1"/>
  <c r="G394" i="5" s="1"/>
  <c r="F373" i="5"/>
  <c r="G373" i="5" s="1" a="1"/>
  <c r="G373" i="5" s="1"/>
  <c r="F326" i="5"/>
  <c r="G326" i="5" s="1" a="1"/>
  <c r="G326" i="5" s="1"/>
  <c r="F270" i="5"/>
  <c r="G270" i="5" s="1" a="1"/>
  <c r="G270" i="5" s="1"/>
  <c r="F216" i="5"/>
  <c r="G216" i="5" s="1" a="1"/>
  <c r="G216" i="5" s="1"/>
  <c r="F204" i="5"/>
  <c r="G204" i="5" s="1" a="1"/>
  <c r="G204" i="5" s="1"/>
  <c r="F122" i="5"/>
  <c r="G122" i="5" s="1" a="1"/>
  <c r="G122" i="5" s="1"/>
  <c r="F123" i="5"/>
  <c r="G123" i="5" s="1" a="1"/>
  <c r="G123" i="5" s="1"/>
  <c r="F72" i="5"/>
  <c r="G72" i="5" s="1" a="1"/>
  <c r="G72" i="5" s="1"/>
  <c r="F79" i="5"/>
  <c r="G79" i="5" s="1" a="1"/>
  <c r="G79" i="5" s="1"/>
  <c r="F771" i="5"/>
  <c r="G771" i="5" s="1" a="1"/>
  <c r="G771" i="5" s="1"/>
  <c r="F772" i="5"/>
  <c r="G772" i="5" s="1" a="1"/>
  <c r="G772" i="5" s="1"/>
  <c r="F770" i="5"/>
  <c r="G770" i="5" s="1" a="1"/>
  <c r="G770" i="5" s="1"/>
  <c r="F769" i="5"/>
  <c r="G769" i="5" s="1" a="1"/>
  <c r="G769" i="5" s="1"/>
  <c r="F768" i="5"/>
  <c r="G768" i="5" s="1" a="1"/>
  <c r="G768" i="5" s="1"/>
  <c r="F767" i="5"/>
  <c r="G767" i="5" s="1" a="1"/>
  <c r="G767" i="5" s="1"/>
  <c r="F766" i="5"/>
  <c r="G766" i="5" s="1" a="1"/>
  <c r="G766" i="5" s="1"/>
  <c r="F765" i="5"/>
  <c r="G765" i="5" s="1" a="1"/>
  <c r="G765" i="5" s="1"/>
  <c r="F763" i="5"/>
  <c r="G763" i="5" s="1" a="1"/>
  <c r="G763" i="5" s="1"/>
  <c r="F764" i="5"/>
  <c r="G764" i="5" s="1" a="1"/>
  <c r="G764" i="5" s="1"/>
  <c r="F761" i="5"/>
  <c r="G761" i="5" s="1" a="1"/>
  <c r="G761" i="5" s="1"/>
  <c r="F762" i="5"/>
  <c r="G762" i="5" s="1" a="1"/>
  <c r="G762" i="5" s="1"/>
  <c r="F760" i="5"/>
  <c r="G760" i="5" s="1" a="1"/>
  <c r="G760" i="5" s="1"/>
  <c r="F759" i="5"/>
  <c r="G759" i="5" s="1" a="1"/>
  <c r="G759" i="5" s="1"/>
  <c r="F758" i="5"/>
  <c r="G758" i="5" s="1" a="1"/>
  <c r="G758" i="5" s="1"/>
  <c r="F757" i="5"/>
  <c r="G757" i="5" s="1" a="1"/>
  <c r="G757" i="5" s="1"/>
  <c r="F756" i="5"/>
  <c r="G756" i="5" s="1" a="1"/>
  <c r="G756" i="5" s="1"/>
  <c r="F755" i="5"/>
  <c r="G755" i="5" s="1" a="1"/>
  <c r="G755" i="5" s="1"/>
  <c r="F752" i="5"/>
  <c r="G752" i="5" s="1" a="1"/>
  <c r="G752" i="5" s="1"/>
  <c r="F753" i="5"/>
  <c r="G753" i="5" s="1" a="1"/>
  <c r="G753" i="5" s="1"/>
  <c r="F750" i="5"/>
  <c r="G750" i="5" s="1" a="1"/>
  <c r="G750" i="5" s="1"/>
  <c r="F751" i="5"/>
  <c r="G751" i="5" s="1" a="1"/>
  <c r="G751" i="5" s="1"/>
  <c r="F748" i="5"/>
  <c r="G748" i="5" s="1" a="1"/>
  <c r="G748" i="5" s="1"/>
  <c r="F744" i="5"/>
  <c r="G744" i="5" s="1" a="1"/>
  <c r="G744" i="5" s="1"/>
  <c r="F745" i="5"/>
  <c r="G745" i="5" s="1" a="1"/>
  <c r="G745" i="5" s="1"/>
  <c r="F749" i="5"/>
  <c r="G749" i="5" s="1" a="1"/>
  <c r="G749" i="5" s="1"/>
  <c r="F747" i="5"/>
  <c r="G747" i="5" s="1" a="1"/>
  <c r="G747" i="5" s="1"/>
  <c r="F746" i="5"/>
  <c r="G746" i="5" s="1" a="1"/>
  <c r="G746" i="5" s="1"/>
  <c r="F739" i="5"/>
  <c r="G739" i="5" s="1" a="1"/>
  <c r="G739" i="5" s="1"/>
  <c r="F738" i="5"/>
  <c r="G738" i="5" s="1" a="1"/>
  <c r="G738" i="5" s="1"/>
  <c r="F740" i="5"/>
  <c r="G740" i="5" s="1" a="1"/>
  <c r="G740" i="5" s="1"/>
  <c r="F743" i="5"/>
  <c r="G743" i="5" s="1" a="1"/>
  <c r="G743" i="5" s="1"/>
  <c r="F741" i="5"/>
  <c r="G741" i="5" s="1" a="1"/>
  <c r="G741" i="5" s="1"/>
  <c r="F742" i="5"/>
  <c r="G742" i="5" s="1" a="1"/>
  <c r="G742" i="5" s="1"/>
  <c r="F737" i="5"/>
  <c r="G737" i="5" s="1" a="1"/>
  <c r="G737" i="5" s="1"/>
  <c r="F736" i="5"/>
  <c r="F735" i="5"/>
  <c r="G735" i="5" s="1" a="1"/>
  <c r="G735" i="5" s="1"/>
  <c r="F734" i="5"/>
  <c r="F733" i="5"/>
  <c r="G733" i="5" s="1" a="1"/>
  <c r="G733" i="5" s="1"/>
  <c r="F729" i="5"/>
  <c r="G729" i="5" s="1" a="1"/>
  <c r="G729" i="5" s="1"/>
  <c r="F731" i="5"/>
  <c r="G731" i="5" s="1" a="1"/>
  <c r="G731" i="5" s="1"/>
  <c r="F732" i="5"/>
  <c r="G732" i="5" s="1" a="1"/>
  <c r="G732" i="5" s="1"/>
  <c r="F730" i="5"/>
  <c r="G730" i="5" s="1" a="1"/>
  <c r="G730" i="5" s="1"/>
  <c r="F727" i="5"/>
  <c r="G727" i="5" s="1" a="1"/>
  <c r="G727" i="5" s="1"/>
  <c r="F726" i="5"/>
  <c r="G726" i="5" s="1" a="1"/>
  <c r="G726" i="5" s="1"/>
  <c r="F728" i="5"/>
  <c r="G728" i="5" s="1" a="1"/>
  <c r="G728" i="5" s="1"/>
  <c r="F754" i="5"/>
  <c r="G754" i="5" s="1" a="1"/>
  <c r="G754" i="5" s="1"/>
  <c r="F723" i="5"/>
  <c r="G723" i="5" s="1" a="1"/>
  <c r="G723" i="5" s="1"/>
  <c r="F724" i="5"/>
  <c r="G724" i="5" s="1" a="1"/>
  <c r="G724" i="5" s="1"/>
  <c r="F725" i="5"/>
  <c r="G725" i="5" s="1" a="1"/>
  <c r="G725" i="5" s="1"/>
  <c r="F716" i="5"/>
  <c r="F718" i="5"/>
  <c r="G718" i="5" s="1" a="1"/>
  <c r="G718" i="5" s="1"/>
  <c r="F721" i="5"/>
  <c r="G721" i="5" s="1" a="1"/>
  <c r="G721" i="5" s="1"/>
  <c r="F719" i="5"/>
  <c r="G719" i="5" s="1" a="1"/>
  <c r="G719" i="5" s="1"/>
  <c r="F714" i="5"/>
  <c r="G714" i="5" s="1" a="1"/>
  <c r="G714" i="5" s="1"/>
  <c r="F720" i="5"/>
  <c r="G720" i="5" s="1" a="1"/>
  <c r="G720" i="5" s="1"/>
  <c r="F713" i="5"/>
  <c r="G713" i="5" s="1" a="1"/>
  <c r="G713" i="5" s="1"/>
  <c r="F717" i="5"/>
  <c r="G717" i="5" s="1" a="1"/>
  <c r="G717" i="5" s="1"/>
  <c r="F715" i="5"/>
  <c r="G715" i="5" s="1" a="1"/>
  <c r="G715" i="5" s="1"/>
  <c r="F722" i="5"/>
  <c r="G722" i="5" s="1" a="1"/>
  <c r="G722" i="5" s="1"/>
  <c r="F712" i="5"/>
  <c r="G712" i="5" s="1" a="1"/>
  <c r="G712" i="5" s="1"/>
  <c r="F711" i="5"/>
  <c r="G711" i="5" s="1" a="1"/>
  <c r="G711" i="5" s="1"/>
  <c r="F710" i="5"/>
  <c r="G710" i="5" s="1" a="1"/>
  <c r="G710" i="5" s="1"/>
  <c r="F709" i="5"/>
  <c r="G709" i="5" s="1" a="1"/>
  <c r="G709" i="5" s="1"/>
  <c r="F708" i="5"/>
  <c r="G708" i="5" s="1" a="1"/>
  <c r="G708" i="5" s="1"/>
  <c r="F707" i="5"/>
  <c r="G707" i="5" s="1" a="1"/>
  <c r="G707" i="5" s="1"/>
  <c r="F706" i="5"/>
  <c r="G706" i="5" s="1" a="1"/>
  <c r="G706" i="5" s="1"/>
  <c r="F705" i="5"/>
  <c r="G705" i="5" s="1" a="1"/>
  <c r="G705" i="5" s="1"/>
  <c r="F704" i="5"/>
  <c r="G704" i="5" s="1" a="1"/>
  <c r="G704" i="5" s="1"/>
  <c r="F702" i="5"/>
  <c r="G702" i="5" s="1" a="1"/>
  <c r="G702" i="5" s="1"/>
  <c r="F700" i="5"/>
  <c r="G700" i="5" s="1" a="1"/>
  <c r="G700" i="5" s="1"/>
  <c r="F701" i="5"/>
  <c r="G701" i="5" s="1" a="1"/>
  <c r="G701" i="5" s="1"/>
  <c r="F703" i="5"/>
  <c r="G703" i="5" s="1" a="1"/>
  <c r="G703" i="5" s="1"/>
  <c r="F685" i="5"/>
  <c r="G685" i="5" s="1" a="1"/>
  <c r="G685" i="5" s="1"/>
  <c r="F690" i="5"/>
  <c r="G690" i="5" s="1" a="1"/>
  <c r="G690" i="5" s="1"/>
  <c r="F699" i="5"/>
  <c r="G699" i="5" s="1" a="1"/>
  <c r="G699" i="5" s="1"/>
  <c r="F679" i="5"/>
  <c r="G679" i="5" s="1" a="1"/>
  <c r="G679" i="5" s="1"/>
  <c r="F687" i="5"/>
  <c r="G687" i="5" s="1" a="1"/>
  <c r="G687" i="5" s="1"/>
  <c r="F693" i="5"/>
  <c r="G693" i="5" s="1" a="1"/>
  <c r="G693" i="5" s="1"/>
  <c r="F698" i="5"/>
  <c r="G698" i="5" s="1" a="1"/>
  <c r="G698" i="5" s="1"/>
  <c r="F691" i="5"/>
  <c r="G691" i="5" s="1" a="1"/>
  <c r="G691" i="5" s="1"/>
  <c r="F684" i="5"/>
  <c r="G684" i="5" s="1" a="1"/>
  <c r="G684" i="5" s="1"/>
  <c r="F695" i="5"/>
  <c r="G695" i="5" s="1" a="1"/>
  <c r="G695" i="5" s="1"/>
  <c r="F696" i="5"/>
  <c r="G696" i="5" s="1" a="1"/>
  <c r="G696" i="5" s="1"/>
  <c r="F697" i="5"/>
  <c r="G697" i="5" s="1" a="1"/>
  <c r="G697" i="5" s="1"/>
  <c r="F692" i="5"/>
  <c r="G692" i="5" s="1" a="1"/>
  <c r="G692" i="5" s="1"/>
  <c r="F688" i="5"/>
  <c r="G688" i="5" s="1" a="1"/>
  <c r="G688" i="5" s="1"/>
  <c r="F686" i="5"/>
  <c r="G686" i="5" s="1" a="1"/>
  <c r="G686" i="5" s="1"/>
  <c r="F681" i="5"/>
  <c r="G681" i="5" s="1" a="1"/>
  <c r="G681" i="5" s="1"/>
  <c r="F682" i="5"/>
  <c r="G682" i="5" s="1" a="1"/>
  <c r="G682" i="5" s="1"/>
  <c r="F683" i="5"/>
  <c r="G683" i="5" s="1" a="1"/>
  <c r="G683" i="5" s="1"/>
  <c r="F680" i="5"/>
  <c r="G680" i="5" s="1" a="1"/>
  <c r="G680" i="5" s="1"/>
  <c r="F694" i="5"/>
  <c r="G694" i="5" s="1" a="1"/>
  <c r="G694" i="5" s="1"/>
  <c r="F689" i="5"/>
  <c r="G689" i="5" s="1" a="1"/>
  <c r="G689" i="5" s="1"/>
  <c r="F677" i="5"/>
  <c r="G677" i="5" s="1" a="1"/>
  <c r="G677" i="5" s="1"/>
  <c r="F665" i="5"/>
  <c r="G665" i="5" s="1" a="1"/>
  <c r="G665" i="5" s="1"/>
  <c r="F672" i="5"/>
  <c r="G672" i="5" s="1" a="1"/>
  <c r="G672" i="5" s="1"/>
  <c r="F670" i="5"/>
  <c r="G670" i="5" s="1" a="1"/>
  <c r="G670" i="5" s="1"/>
  <c r="F667" i="5"/>
  <c r="G667" i="5" s="1" a="1"/>
  <c r="G667" i="5" s="1"/>
  <c r="F675" i="5"/>
  <c r="G675" i="5" s="1" a="1"/>
  <c r="G675" i="5" s="1"/>
  <c r="F676" i="5"/>
  <c r="G676" i="5" s="1" a="1"/>
  <c r="G676" i="5" s="1"/>
  <c r="F668" i="5"/>
  <c r="G668" i="5" s="1" a="1"/>
  <c r="G668" i="5" s="1"/>
  <c r="F666" i="5"/>
  <c r="G666" i="5" s="1" a="1"/>
  <c r="G666" i="5" s="1"/>
  <c r="F673" i="5"/>
  <c r="G673" i="5" s="1" a="1"/>
  <c r="G673" i="5" s="1"/>
  <c r="F678" i="5"/>
  <c r="G678" i="5" s="1" a="1"/>
  <c r="G678" i="5" s="1"/>
  <c r="F671" i="5"/>
  <c r="G671" i="5" s="1" a="1"/>
  <c r="G671" i="5" s="1"/>
  <c r="F674" i="5"/>
  <c r="G674" i="5" s="1" a="1"/>
  <c r="G674" i="5" s="1"/>
  <c r="F669" i="5"/>
  <c r="G669" i="5" s="1" a="1"/>
  <c r="G669" i="5" s="1"/>
  <c r="F662" i="5"/>
  <c r="G662" i="5" s="1" a="1"/>
  <c r="G662" i="5" s="1"/>
  <c r="F648" i="5"/>
  <c r="G648" i="5" s="1" a="1"/>
  <c r="G648" i="5" s="1"/>
  <c r="F659" i="5"/>
  <c r="G659" i="5" s="1" a="1"/>
  <c r="G659" i="5" s="1"/>
  <c r="F646" i="5"/>
  <c r="G646" i="5" s="1" a="1"/>
  <c r="G646" i="5" s="1"/>
  <c r="F655" i="5"/>
  <c r="G655" i="5" s="1" a="1"/>
  <c r="G655" i="5" s="1"/>
  <c r="F649" i="5"/>
  <c r="G649" i="5" s="1" a="1"/>
  <c r="G649" i="5" s="1"/>
  <c r="F650" i="5"/>
  <c r="G650" i="5" s="1" a="1"/>
  <c r="G650" i="5" s="1"/>
  <c r="F663" i="5"/>
  <c r="G663" i="5" s="1" a="1"/>
  <c r="G663" i="5" s="1"/>
  <c r="F651" i="5"/>
  <c r="G651" i="5" s="1" a="1"/>
  <c r="G651" i="5" s="1"/>
  <c r="F653" i="5"/>
  <c r="G653" i="5" s="1" a="1"/>
  <c r="G653" i="5" s="1"/>
  <c r="F643" i="5"/>
  <c r="G643" i="5" s="1" a="1"/>
  <c r="G643" i="5" s="1"/>
  <c r="F628" i="5"/>
  <c r="G628" i="5" s="1" a="1"/>
  <c r="G628" i="5" s="1"/>
  <c r="F654" i="5"/>
  <c r="G654" i="5" s="1" a="1"/>
  <c r="G654" i="5" s="1"/>
  <c r="F652" i="5"/>
  <c r="G652" i="5" s="1" a="1"/>
  <c r="G652" i="5" s="1"/>
  <c r="F658" i="5"/>
  <c r="G658" i="5" s="1" a="1"/>
  <c r="G658" i="5" s="1"/>
  <c r="F664" i="5"/>
  <c r="G664" i="5" s="1" a="1"/>
  <c r="G664" i="5" s="1"/>
  <c r="F657" i="5"/>
  <c r="G657" i="5" s="1" a="1"/>
  <c r="G657" i="5" s="1"/>
  <c r="F644" i="5"/>
  <c r="G644" i="5" s="1" a="1"/>
  <c r="G644" i="5" s="1"/>
  <c r="F656" i="5"/>
  <c r="G656" i="5" s="1" a="1"/>
  <c r="G656" i="5" s="1"/>
  <c r="F647" i="5"/>
  <c r="G647" i="5" s="1" a="1"/>
  <c r="G647" i="5" s="1"/>
  <c r="F661" i="5"/>
  <c r="G661" i="5" s="1" a="1"/>
  <c r="G661" i="5" s="1"/>
  <c r="F645" i="5"/>
  <c r="G645" i="5" s="1" a="1"/>
  <c r="G645" i="5" s="1"/>
  <c r="F660" i="5"/>
  <c r="G660" i="5" s="1" a="1"/>
  <c r="G660" i="5" s="1"/>
  <c r="F641" i="5"/>
  <c r="G641" i="5" s="1" a="1"/>
  <c r="G641" i="5" s="1"/>
  <c r="F636" i="5"/>
  <c r="G636" i="5" s="1" a="1"/>
  <c r="G636" i="5" s="1"/>
  <c r="F638" i="5"/>
  <c r="G638" i="5" s="1" a="1"/>
  <c r="G638" i="5" s="1"/>
  <c r="F632" i="5"/>
  <c r="G632" i="5" s="1" a="1"/>
  <c r="G632" i="5" s="1"/>
  <c r="F642" i="5"/>
  <c r="G642" i="5" s="1" a="1"/>
  <c r="G642" i="5" s="1"/>
  <c r="F633" i="5"/>
  <c r="G633" i="5" s="1" a="1"/>
  <c r="G633" i="5" s="1"/>
  <c r="F631" i="5"/>
  <c r="G631" i="5" s="1" a="1"/>
  <c r="G631" i="5" s="1"/>
  <c r="F637" i="5"/>
  <c r="G637" i="5" s="1" a="1"/>
  <c r="G637" i="5" s="1"/>
  <c r="F640" i="5"/>
  <c r="G640" i="5" s="1" a="1"/>
  <c r="G640" i="5" s="1"/>
  <c r="F634" i="5"/>
  <c r="G634" i="5" s="1" a="1"/>
  <c r="G634" i="5" s="1"/>
  <c r="F630" i="5"/>
  <c r="G630" i="5" s="1" a="1"/>
  <c r="G630" i="5" s="1"/>
  <c r="F639" i="5"/>
  <c r="G639" i="5" s="1" a="1"/>
  <c r="G639" i="5" s="1"/>
  <c r="F635" i="5"/>
  <c r="G635" i="5" s="1" a="1"/>
  <c r="G635" i="5" s="1"/>
  <c r="F629" i="5"/>
  <c r="G629" i="5" s="1" a="1"/>
  <c r="G629" i="5" s="1"/>
  <c r="F616" i="5"/>
  <c r="G616" i="5" s="1" a="1"/>
  <c r="G616" i="5" s="1"/>
  <c r="F619" i="5"/>
  <c r="G619" i="5" s="1" a="1"/>
  <c r="G619" i="5" s="1"/>
  <c r="F613" i="5"/>
  <c r="G613" i="5" s="1" a="1"/>
  <c r="G613" i="5" s="1"/>
  <c r="F614" i="5"/>
  <c r="G614" i="5" s="1" a="1"/>
  <c r="G614" i="5" s="1"/>
  <c r="F620" i="5"/>
  <c r="G620" i="5" s="1" a="1"/>
  <c r="G620" i="5" s="1"/>
  <c r="F617" i="5"/>
  <c r="G617" i="5" s="1" a="1"/>
  <c r="G617" i="5" s="1"/>
  <c r="F618" i="5"/>
  <c r="G618" i="5" s="1" a="1"/>
  <c r="G618" i="5" s="1"/>
  <c r="F624" i="5"/>
  <c r="G624" i="5" s="1" a="1"/>
  <c r="G624" i="5" s="1"/>
  <c r="F623" i="5"/>
  <c r="G623" i="5" s="1" a="1"/>
  <c r="G623" i="5" s="1"/>
  <c r="F626" i="5"/>
  <c r="G626" i="5" s="1" a="1"/>
  <c r="G626" i="5" s="1"/>
  <c r="F627" i="5"/>
  <c r="G627" i="5" s="1" a="1"/>
  <c r="G627" i="5" s="1"/>
  <c r="F612" i="5"/>
  <c r="F625" i="5"/>
  <c r="G625" i="5" s="1" a="1"/>
  <c r="G625" i="5" s="1"/>
  <c r="F621" i="5"/>
  <c r="G621" i="5" s="1" a="1"/>
  <c r="G621" i="5" s="1"/>
  <c r="F615" i="5"/>
  <c r="G615" i="5" s="1" a="1"/>
  <c r="G615" i="5" s="1"/>
  <c r="F607" i="5"/>
  <c r="G607" i="5" s="1" a="1"/>
  <c r="G607" i="5" s="1"/>
  <c r="F603" i="5"/>
  <c r="G603" i="5" s="1" a="1"/>
  <c r="G603" i="5" s="1"/>
  <c r="F609" i="5"/>
  <c r="G609" i="5" s="1" a="1"/>
  <c r="G609" i="5" s="1"/>
  <c r="F610" i="5"/>
  <c r="G610" i="5" s="1" a="1"/>
  <c r="G610" i="5" s="1"/>
  <c r="F605" i="5"/>
  <c r="G605" i="5" s="1" a="1"/>
  <c r="G605" i="5" s="1"/>
  <c r="F611" i="5"/>
  <c r="G611" i="5" s="1" a="1"/>
  <c r="G611" i="5" s="1"/>
  <c r="F602" i="5"/>
  <c r="G602" i="5" s="1" a="1"/>
  <c r="G602" i="5" s="1"/>
  <c r="F604" i="5"/>
  <c r="G604" i="5" s="1" a="1"/>
  <c r="G604" i="5" s="1"/>
  <c r="F601" i="5"/>
  <c r="G601" i="5" s="1" a="1"/>
  <c r="G601" i="5" s="1"/>
  <c r="F608" i="5"/>
  <c r="G608" i="5" s="1" a="1"/>
  <c r="G608" i="5" s="1"/>
  <c r="F600" i="5"/>
  <c r="G600" i="5" s="1" a="1"/>
  <c r="G600" i="5" s="1"/>
  <c r="F606" i="5"/>
  <c r="G606" i="5" s="1" a="1"/>
  <c r="G606" i="5" s="1"/>
  <c r="F596" i="5"/>
  <c r="G596" i="5" s="1" a="1"/>
  <c r="G596" i="5" s="1"/>
  <c r="F597" i="5"/>
  <c r="G597" i="5" s="1" a="1"/>
  <c r="G597" i="5" s="1"/>
  <c r="F592" i="5"/>
  <c r="G592" i="5" s="1" a="1"/>
  <c r="G592" i="5" s="1"/>
  <c r="F598" i="5"/>
  <c r="G598" i="5" s="1" a="1"/>
  <c r="G598" i="5" s="1"/>
  <c r="F593" i="5"/>
  <c r="G593" i="5" s="1" a="1"/>
  <c r="G593" i="5" s="1"/>
  <c r="F599" i="5"/>
  <c r="G599" i="5" s="1" a="1"/>
  <c r="G599" i="5" s="1"/>
  <c r="F590" i="5"/>
  <c r="G590" i="5" s="1" a="1"/>
  <c r="G590" i="5" s="1"/>
  <c r="F586" i="5"/>
  <c r="G586" i="5" s="1" a="1"/>
  <c r="G586" i="5" s="1"/>
  <c r="F591" i="5"/>
  <c r="G591" i="5" s="1" a="1"/>
  <c r="G591" i="5" s="1"/>
  <c r="F589" i="5"/>
  <c r="G589" i="5" s="1" a="1"/>
  <c r="G589" i="5" s="1"/>
  <c r="F595" i="5"/>
  <c r="F587" i="5"/>
  <c r="G587" i="5" s="1" a="1"/>
  <c r="G587" i="5" s="1"/>
  <c r="F588" i="5"/>
  <c r="G588" i="5" s="1" a="1"/>
  <c r="G588" i="5" s="1"/>
  <c r="F594" i="5"/>
  <c r="G594" i="5" s="1" a="1"/>
  <c r="G594" i="5" s="1"/>
  <c r="F580" i="5"/>
  <c r="G580" i="5" s="1" a="1"/>
  <c r="G580" i="5" s="1"/>
  <c r="F583" i="5"/>
  <c r="G583" i="5" s="1" a="1"/>
  <c r="G583" i="5" s="1"/>
  <c r="F581" i="5"/>
  <c r="G581" i="5" s="1" a="1"/>
  <c r="G581" i="5" s="1"/>
  <c r="F584" i="5"/>
  <c r="G584" i="5" s="1" a="1"/>
  <c r="G584" i="5" s="1"/>
  <c r="F585" i="5"/>
  <c r="G585" i="5" s="1" a="1"/>
  <c r="G585" i="5" s="1"/>
  <c r="F582" i="5"/>
  <c r="G582" i="5" s="1" a="1"/>
  <c r="G582" i="5" s="1"/>
  <c r="F570" i="5"/>
  <c r="G570" i="5" s="1" a="1"/>
  <c r="G570" i="5" s="1"/>
  <c r="F574" i="5"/>
  <c r="G574" i="5" s="1" a="1"/>
  <c r="G574" i="5" s="1"/>
  <c r="F575" i="5"/>
  <c r="G575" i="5" s="1" a="1"/>
  <c r="G575" i="5" s="1"/>
  <c r="F578" i="5"/>
  <c r="G578" i="5" s="1" a="1"/>
  <c r="G578" i="5" s="1"/>
  <c r="F572" i="5"/>
  <c r="F576" i="5"/>
  <c r="G576" i="5" s="1" a="1"/>
  <c r="G576" i="5" s="1"/>
  <c r="F579" i="5"/>
  <c r="G579" i="5" s="1" a="1"/>
  <c r="G579" i="5" s="1"/>
  <c r="F571" i="5"/>
  <c r="G571" i="5" s="1" a="1"/>
  <c r="G571" i="5" s="1"/>
  <c r="F577" i="5"/>
  <c r="G577" i="5" s="1" a="1"/>
  <c r="G577" i="5" s="1"/>
  <c r="F573" i="5"/>
  <c r="G573" i="5" s="1" a="1"/>
  <c r="G573" i="5" s="1"/>
  <c r="F569" i="5"/>
  <c r="G569" i="5" s="1" a="1"/>
  <c r="G569" i="5" s="1"/>
  <c r="F563" i="5"/>
  <c r="G563" i="5" s="1" a="1"/>
  <c r="G563" i="5" s="1"/>
  <c r="F561" i="5"/>
  <c r="G561" i="5" s="1" a="1"/>
  <c r="G561" i="5" s="1"/>
  <c r="F568" i="5"/>
  <c r="G568" i="5" s="1" a="1"/>
  <c r="G568" i="5" s="1"/>
  <c r="F565" i="5"/>
  <c r="G565" i="5" s="1" a="1"/>
  <c r="G565" i="5" s="1"/>
  <c r="F562" i="5"/>
  <c r="G562" i="5" s="1" a="1"/>
  <c r="G562" i="5" s="1"/>
  <c r="F564" i="5"/>
  <c r="G564" i="5" s="1" a="1"/>
  <c r="G564" i="5" s="1"/>
  <c r="F550" i="5"/>
  <c r="G550" i="5" s="1" a="1"/>
  <c r="G550" i="5" s="1"/>
  <c r="F566" i="5"/>
  <c r="G566" i="5" s="1" a="1"/>
  <c r="G566" i="5" s="1"/>
  <c r="F559" i="5"/>
  <c r="G559" i="5" s="1" a="1"/>
  <c r="G559" i="5" s="1"/>
  <c r="F555" i="5"/>
  <c r="G555" i="5" s="1" a="1"/>
  <c r="G555" i="5" s="1"/>
  <c r="F558" i="5"/>
  <c r="G558" i="5" s="1" a="1"/>
  <c r="G558" i="5" s="1"/>
  <c r="F552" i="5"/>
  <c r="G552" i="5" s="1" a="1"/>
  <c r="G552" i="5" s="1"/>
  <c r="F553" i="5"/>
  <c r="G553" i="5" s="1" a="1"/>
  <c r="G553" i="5" s="1"/>
  <c r="F622" i="5"/>
  <c r="G622" i="5" s="1" a="1"/>
  <c r="G622" i="5" s="1"/>
  <c r="F556" i="5"/>
  <c r="G556" i="5" s="1" a="1"/>
  <c r="G556" i="5" s="1"/>
  <c r="F549" i="5"/>
  <c r="G549" i="5" s="1" a="1"/>
  <c r="G549" i="5" s="1"/>
  <c r="F554" i="5"/>
  <c r="G554" i="5" s="1" a="1"/>
  <c r="G554" i="5" s="1"/>
  <c r="F560" i="5"/>
  <c r="G560" i="5" s="1" a="1"/>
  <c r="G560" i="5" s="1"/>
  <c r="F557" i="5"/>
  <c r="G557" i="5" s="1" a="1"/>
  <c r="G557" i="5" s="1"/>
  <c r="F551" i="5"/>
  <c r="G551" i="5" s="1" a="1"/>
  <c r="G551" i="5" s="1"/>
  <c r="F545" i="5"/>
  <c r="G545" i="5" s="1" a="1"/>
  <c r="G545" i="5" s="1"/>
  <c r="F548" i="5"/>
  <c r="G548" i="5" s="1" a="1"/>
  <c r="G548" i="5" s="1"/>
  <c r="F541" i="5"/>
  <c r="G541" i="5" s="1" a="1"/>
  <c r="G541" i="5" s="1"/>
  <c r="F542" i="5"/>
  <c r="G542" i="5" s="1" a="1"/>
  <c r="G542" i="5" s="1"/>
  <c r="F543" i="5"/>
  <c r="G543" i="5" s="1" a="1"/>
  <c r="G543" i="5" s="1"/>
  <c r="F539" i="5"/>
  <c r="G539" i="5" s="1" a="1"/>
  <c r="G539" i="5" s="1"/>
  <c r="F540" i="5"/>
  <c r="G540" i="5" s="1" a="1"/>
  <c r="G540" i="5" s="1"/>
  <c r="F547" i="5"/>
  <c r="G547" i="5" s="1" a="1"/>
  <c r="G547" i="5" s="1"/>
  <c r="F546" i="5"/>
  <c r="G546" i="5" s="1" a="1"/>
  <c r="G546" i="5" s="1"/>
  <c r="F544" i="5"/>
  <c r="G544" i="5" s="1" a="1"/>
  <c r="G544" i="5" s="1"/>
  <c r="F534" i="5"/>
  <c r="G534" i="5" s="1" a="1"/>
  <c r="G534" i="5" s="1"/>
  <c r="F535" i="5"/>
  <c r="G535" i="5" s="1" a="1"/>
  <c r="G535" i="5" s="1"/>
  <c r="F536" i="5"/>
  <c r="G536" i="5" s="1" a="1"/>
  <c r="G536" i="5" s="1"/>
  <c r="F537" i="5"/>
  <c r="G537" i="5" s="1" a="1"/>
  <c r="G537" i="5" s="1"/>
  <c r="F538" i="5"/>
  <c r="G538" i="5" s="1" a="1"/>
  <c r="G538" i="5" s="1"/>
  <c r="F531" i="5"/>
  <c r="G531" i="5" s="1" a="1"/>
  <c r="G531" i="5" s="1"/>
  <c r="F533" i="5"/>
  <c r="G533" i="5" s="1" a="1"/>
  <c r="G533" i="5" s="1"/>
  <c r="F530" i="5"/>
  <c r="G530" i="5" s="1" a="1"/>
  <c r="G530" i="5" s="1"/>
  <c r="F532" i="5"/>
  <c r="G532" i="5" s="1" a="1"/>
  <c r="G532" i="5" s="1"/>
  <c r="F529" i="5"/>
  <c r="G529" i="5" s="1" a="1"/>
  <c r="G529" i="5" s="1"/>
  <c r="F528" i="5"/>
  <c r="G528" i="5" s="1" a="1"/>
  <c r="G528" i="5" s="1"/>
  <c r="F524" i="5"/>
  <c r="G524" i="5" s="1" a="1"/>
  <c r="G524" i="5" s="1"/>
  <c r="F525" i="5"/>
  <c r="G525" i="5" s="1" a="1"/>
  <c r="G525" i="5" s="1"/>
  <c r="F527" i="5"/>
  <c r="G527" i="5" s="1" a="1"/>
  <c r="G527" i="5" s="1"/>
  <c r="F526" i="5"/>
  <c r="G526" i="5" s="1" a="1"/>
  <c r="G526" i="5" s="1"/>
  <c r="F523" i="5"/>
  <c r="G523" i="5" s="1" a="1"/>
  <c r="G523" i="5" s="1"/>
  <c r="F519" i="5"/>
  <c r="G519" i="5" s="1" a="1"/>
  <c r="G519" i="5" s="1"/>
  <c r="F520" i="5"/>
  <c r="G520" i="5" s="1" a="1"/>
  <c r="G520" i="5" s="1"/>
  <c r="F522" i="5"/>
  <c r="G522" i="5" s="1" a="1"/>
  <c r="G522" i="5" s="1"/>
  <c r="F521" i="5"/>
  <c r="G521" i="5" s="1" a="1"/>
  <c r="G521" i="5" s="1"/>
  <c r="F518" i="5"/>
  <c r="G518" i="5" s="1" a="1"/>
  <c r="G518" i="5" s="1"/>
  <c r="F514" i="5"/>
  <c r="G514" i="5" s="1" a="1"/>
  <c r="G514" i="5" s="1"/>
  <c r="F517" i="5"/>
  <c r="G517" i="5" s="1" a="1"/>
  <c r="G517" i="5" s="1"/>
  <c r="F516" i="5"/>
  <c r="F515" i="5"/>
  <c r="G515" i="5" s="1" a="1"/>
  <c r="G515" i="5" s="1"/>
  <c r="F513" i="5"/>
  <c r="G513" i="5" s="1" a="1"/>
  <c r="G513" i="5" s="1"/>
  <c r="F511" i="5"/>
  <c r="G511" i="5" s="1" a="1"/>
  <c r="G511" i="5" s="1"/>
  <c r="F510" i="5"/>
  <c r="G510" i="5" s="1" a="1"/>
  <c r="G510" i="5" s="1"/>
  <c r="F567" i="5"/>
  <c r="G567" i="5" s="1" a="1"/>
  <c r="G567" i="5" s="1"/>
  <c r="F512" i="5"/>
  <c r="G512" i="5" s="1" a="1"/>
  <c r="G512" i="5" s="1"/>
  <c r="F508" i="5"/>
  <c r="G508" i="5" s="1" a="1"/>
  <c r="G508" i="5" s="1"/>
  <c r="F507" i="5"/>
  <c r="G507" i="5" s="1" a="1"/>
  <c r="G507" i="5" s="1"/>
  <c r="F505" i="5"/>
  <c r="G505" i="5" s="1" a="1"/>
  <c r="G505" i="5" s="1"/>
  <c r="F506" i="5"/>
  <c r="G506" i="5" s="1" a="1"/>
  <c r="G506" i="5" s="1"/>
  <c r="F504" i="5"/>
  <c r="G504" i="5" s="1" a="1"/>
  <c r="G504" i="5" s="1"/>
  <c r="F503" i="5"/>
  <c r="G503" i="5" s="1" a="1"/>
  <c r="G503" i="5" s="1"/>
  <c r="F502" i="5"/>
  <c r="G502" i="5" s="1" a="1"/>
  <c r="G502" i="5" s="1"/>
  <c r="F501" i="5"/>
  <c r="G501" i="5" s="1" a="1"/>
  <c r="G501" i="5" s="1"/>
  <c r="F500" i="5"/>
  <c r="G500" i="5" s="1" a="1"/>
  <c r="G500" i="5" s="1"/>
  <c r="F497" i="5"/>
  <c r="G497" i="5" s="1" a="1"/>
  <c r="G497" i="5" s="1"/>
  <c r="F499" i="5"/>
  <c r="G499" i="5" s="1" a="1"/>
  <c r="G499" i="5" s="1"/>
  <c r="F498" i="5"/>
  <c r="G498" i="5" s="1" a="1"/>
  <c r="G498" i="5" s="1"/>
  <c r="F496" i="5"/>
  <c r="G496" i="5" s="1" a="1"/>
  <c r="G496" i="5" s="1"/>
  <c r="F494" i="5"/>
  <c r="G494" i="5" s="1" a="1"/>
  <c r="G494" i="5" s="1"/>
  <c r="F495" i="5"/>
  <c r="G495" i="5" s="1" a="1"/>
  <c r="G495" i="5" s="1"/>
  <c r="F493" i="5"/>
  <c r="G493" i="5" s="1" a="1"/>
  <c r="G493" i="5" s="1"/>
  <c r="F492" i="5"/>
  <c r="G492" i="5" s="1" a="1"/>
  <c r="G492" i="5" s="1"/>
  <c r="F491" i="5"/>
  <c r="G491" i="5" s="1" a="1"/>
  <c r="G491" i="5" s="1"/>
  <c r="F490" i="5"/>
  <c r="G490" i="5" s="1" a="1"/>
  <c r="G490" i="5" s="1"/>
  <c r="F488" i="5"/>
  <c r="G488" i="5" s="1" a="1"/>
  <c r="G488" i="5" s="1"/>
  <c r="F489" i="5"/>
  <c r="G489" i="5" s="1" a="1"/>
  <c r="G489" i="5" s="1"/>
  <c r="F485" i="5"/>
  <c r="G485" i="5" s="1" a="1"/>
  <c r="G485" i="5" s="1"/>
  <c r="F486" i="5"/>
  <c r="G486" i="5" s="1" a="1"/>
  <c r="G486" i="5" s="1"/>
  <c r="F487" i="5"/>
  <c r="G487" i="5" s="1" a="1"/>
  <c r="G487" i="5" s="1"/>
  <c r="F484" i="5"/>
  <c r="G484" i="5" s="1" a="1"/>
  <c r="G484" i="5" s="1"/>
  <c r="F483" i="5"/>
  <c r="G483" i="5" s="1" a="1"/>
  <c r="G483" i="5" s="1"/>
  <c r="F482" i="5"/>
  <c r="G482" i="5" s="1" a="1"/>
  <c r="G482" i="5" s="1"/>
  <c r="F481" i="5"/>
  <c r="G481" i="5" s="1" a="1"/>
  <c r="G481" i="5" s="1"/>
  <c r="F480" i="5"/>
  <c r="G480" i="5" s="1" a="1"/>
  <c r="G480" i="5" s="1"/>
  <c r="F477" i="5"/>
  <c r="G477" i="5" s="1" a="1"/>
  <c r="G477" i="5" s="1"/>
  <c r="F479" i="5"/>
  <c r="G479" i="5" s="1" a="1"/>
  <c r="G479" i="5" s="1"/>
  <c r="F509" i="5"/>
  <c r="G509" i="5" s="1" a="1"/>
  <c r="G509" i="5" s="1"/>
  <c r="F475" i="5"/>
  <c r="G475" i="5" s="1" a="1"/>
  <c r="G475" i="5" s="1"/>
  <c r="F478" i="5"/>
  <c r="G478" i="5" s="1" a="1"/>
  <c r="G478" i="5" s="1"/>
  <c r="F476" i="5"/>
  <c r="G476" i="5" s="1" a="1"/>
  <c r="G476" i="5" s="1"/>
  <c r="F474" i="5"/>
  <c r="G474" i="5" s="1" a="1"/>
  <c r="G474" i="5" s="1"/>
  <c r="F473" i="5"/>
  <c r="G473" i="5" s="1" a="1"/>
  <c r="G473" i="5" s="1"/>
  <c r="F472" i="5"/>
  <c r="G472" i="5" s="1" a="1"/>
  <c r="G472" i="5" s="1"/>
  <c r="F935" i="5"/>
  <c r="G935" i="5" s="1" a="1"/>
  <c r="G935" i="5" s="1"/>
  <c r="F934" i="5"/>
  <c r="G934" i="5" s="1" a="1"/>
  <c r="G934" i="5" s="1"/>
  <c r="F933" i="5"/>
  <c r="G933" i="5" s="1" a="1"/>
  <c r="G933" i="5" s="1"/>
  <c r="F932" i="5"/>
  <c r="G932" i="5" s="1" a="1"/>
  <c r="G932" i="5" s="1"/>
  <c r="F931" i="5"/>
  <c r="G931" i="5" s="1" a="1"/>
  <c r="G931" i="5" s="1"/>
  <c r="F930" i="5"/>
  <c r="G930" i="5" s="1" a="1"/>
  <c r="G930" i="5" s="1"/>
  <c r="F929" i="5"/>
  <c r="G929" i="5" s="1" a="1"/>
  <c r="G929" i="5" s="1"/>
  <c r="F928" i="5"/>
  <c r="G928" i="5" s="1" a="1"/>
  <c r="G928" i="5" s="1"/>
  <c r="F927" i="5"/>
  <c r="G927" i="5" s="1" a="1"/>
  <c r="G927" i="5" s="1"/>
  <c r="F926" i="5"/>
  <c r="G926" i="5" s="1" a="1"/>
  <c r="G926" i="5" s="1"/>
  <c r="F925" i="5"/>
  <c r="G925" i="5" s="1" a="1"/>
  <c r="G925" i="5" s="1"/>
  <c r="F924" i="5"/>
  <c r="G924" i="5" s="1" a="1"/>
  <c r="G924" i="5" s="1"/>
  <c r="F923" i="5"/>
  <c r="G923" i="5" s="1" a="1"/>
  <c r="G923" i="5" s="1"/>
  <c r="F922" i="5"/>
  <c r="G922" i="5" s="1" a="1"/>
  <c r="G922" i="5" s="1"/>
  <c r="F920" i="5"/>
  <c r="G920" i="5" s="1" a="1"/>
  <c r="G920" i="5" s="1"/>
  <c r="F921" i="5"/>
  <c r="G921" i="5" s="1" a="1"/>
  <c r="G921" i="5" s="1"/>
  <c r="F919" i="5"/>
  <c r="G919" i="5" s="1" a="1"/>
  <c r="G919" i="5" s="1"/>
  <c r="F917" i="5"/>
  <c r="G917" i="5" s="1" a="1"/>
  <c r="G917" i="5" s="1"/>
  <c r="F913" i="5"/>
  <c r="G913" i="5" s="1" a="1"/>
  <c r="G913" i="5" s="1"/>
  <c r="F918" i="5"/>
  <c r="G918" i="5" s="1" a="1"/>
  <c r="G918" i="5" s="1"/>
  <c r="F915" i="5"/>
  <c r="G915" i="5" s="1" a="1"/>
  <c r="G915" i="5" s="1"/>
  <c r="F914" i="5"/>
  <c r="G914" i="5" s="1" a="1"/>
  <c r="G914" i="5" s="1"/>
  <c r="F916" i="5"/>
  <c r="G916" i="5" s="1" a="1"/>
  <c r="G916" i="5" s="1"/>
  <c r="F912" i="5"/>
  <c r="G912" i="5" s="1" a="1"/>
  <c r="G912" i="5" s="1"/>
  <c r="F911" i="5"/>
  <c r="G911" i="5" s="1" a="1"/>
  <c r="G911" i="5" s="1"/>
  <c r="F909" i="5"/>
  <c r="G909" i="5" s="1" a="1"/>
  <c r="G909" i="5" s="1"/>
  <c r="F910" i="5"/>
  <c r="G910" i="5" s="1" a="1"/>
  <c r="G910" i="5" s="1"/>
  <c r="F908" i="5"/>
  <c r="G908" i="5" s="1" a="1"/>
  <c r="G908" i="5" s="1"/>
  <c r="F907" i="5"/>
  <c r="G907" i="5" s="1" a="1"/>
  <c r="G907" i="5" s="1"/>
  <c r="F906" i="5"/>
  <c r="G906" i="5" s="1" a="1"/>
  <c r="G906" i="5" s="1"/>
  <c r="F905" i="5"/>
  <c r="G905" i="5" s="1" a="1"/>
  <c r="G905" i="5" s="1"/>
  <c r="F904" i="5"/>
  <c r="G904" i="5" s="1" a="1"/>
  <c r="G904" i="5" s="1"/>
  <c r="F903" i="5"/>
  <c r="G903" i="5" s="1" a="1"/>
  <c r="G903" i="5" s="1"/>
  <c r="F902" i="5"/>
  <c r="G902" i="5" s="1" a="1"/>
  <c r="G902" i="5" s="1"/>
  <c r="F901" i="5"/>
  <c r="G901" i="5" s="1" a="1"/>
  <c r="G901" i="5" s="1"/>
  <c r="F899" i="5"/>
  <c r="G899" i="5" s="1" a="1"/>
  <c r="G899" i="5" s="1"/>
  <c r="F900" i="5"/>
  <c r="G900" i="5" s="1" a="1"/>
  <c r="G900" i="5" s="1"/>
  <c r="F898" i="5"/>
  <c r="G898" i="5" s="1" a="1"/>
  <c r="G898" i="5" s="1"/>
  <c r="F897" i="5"/>
  <c r="G897" i="5" s="1" a="1"/>
  <c r="G897" i="5" s="1"/>
  <c r="F896" i="5"/>
  <c r="G896" i="5" s="1" a="1"/>
  <c r="G896" i="5" s="1"/>
  <c r="F895" i="5"/>
  <c r="G895" i="5" s="1" a="1"/>
  <c r="G895" i="5" s="1"/>
  <c r="F894" i="5"/>
  <c r="G894" i="5" s="1" a="1"/>
  <c r="G894" i="5" s="1"/>
  <c r="F893" i="5"/>
  <c r="G893" i="5" s="1" a="1"/>
  <c r="G893" i="5" s="1"/>
  <c r="F892" i="5"/>
  <c r="G892" i="5" s="1" a="1"/>
  <c r="G892" i="5" s="1"/>
  <c r="F891" i="5"/>
  <c r="G891" i="5" s="1" a="1"/>
  <c r="G891" i="5" s="1"/>
  <c r="F890" i="5"/>
  <c r="G890" i="5" s="1" a="1"/>
  <c r="G890" i="5" s="1"/>
  <c r="F889" i="5"/>
  <c r="G889" i="5" s="1" a="1"/>
  <c r="G889" i="5" s="1"/>
  <c r="F888" i="5"/>
  <c r="G888" i="5" s="1" a="1"/>
  <c r="G888" i="5" s="1"/>
  <c r="F886" i="5"/>
  <c r="G886" i="5" s="1" a="1"/>
  <c r="G886" i="5" s="1"/>
  <c r="F885" i="5"/>
  <c r="G885" i="5" s="1" a="1"/>
  <c r="G885" i="5" s="1"/>
  <c r="F887" i="5"/>
  <c r="G887" i="5" s="1" a="1"/>
  <c r="G887" i="5" s="1"/>
  <c r="F883" i="5"/>
  <c r="G883" i="5" s="1" a="1"/>
  <c r="G883" i="5" s="1"/>
  <c r="F884" i="5"/>
  <c r="G884" i="5" s="1" a="1"/>
  <c r="G884" i="5" s="1"/>
  <c r="F882" i="5"/>
  <c r="G882" i="5" s="1" a="1"/>
  <c r="G882" i="5" s="1"/>
  <c r="F877" i="5"/>
  <c r="G877" i="5" s="1" a="1"/>
  <c r="G877" i="5" s="1"/>
  <c r="F878" i="5"/>
  <c r="G878" i="5" s="1" a="1"/>
  <c r="G878" i="5" s="1"/>
  <c r="F880" i="5"/>
  <c r="G880" i="5" s="1" a="1"/>
  <c r="G880" i="5" s="1"/>
  <c r="F879" i="5"/>
  <c r="G879" i="5" s="1" a="1"/>
  <c r="G879" i="5" s="1"/>
  <c r="F875" i="5"/>
  <c r="G875" i="5" s="1" a="1"/>
  <c r="G875" i="5" s="1"/>
  <c r="F874" i="5"/>
  <c r="G874" i="5" s="1" a="1"/>
  <c r="G874" i="5" s="1"/>
  <c r="F876" i="5"/>
  <c r="G876" i="5" s="1" a="1"/>
  <c r="G876" i="5" s="1"/>
  <c r="F873" i="5"/>
  <c r="G873" i="5" s="1" a="1"/>
  <c r="G873" i="5" s="1"/>
  <c r="F871" i="5"/>
  <c r="G871" i="5" s="1" a="1"/>
  <c r="G871" i="5" s="1"/>
  <c r="F872" i="5"/>
  <c r="G872" i="5" s="1" a="1"/>
  <c r="G872" i="5" s="1"/>
  <c r="F869" i="5"/>
  <c r="G869" i="5" s="1" a="1"/>
  <c r="G869" i="5" s="1"/>
  <c r="F870" i="5"/>
  <c r="G870" i="5" s="1" a="1"/>
  <c r="G870" i="5" s="1"/>
  <c r="F867" i="5"/>
  <c r="G867" i="5" s="1" a="1"/>
  <c r="G867" i="5" s="1"/>
  <c r="F868" i="5"/>
  <c r="G868" i="5" s="1" a="1"/>
  <c r="G868" i="5" s="1"/>
  <c r="F866" i="5"/>
  <c r="G866" i="5" s="1" a="1"/>
  <c r="G866" i="5" s="1"/>
  <c r="F865" i="5"/>
  <c r="G865" i="5" s="1" a="1"/>
  <c r="G865" i="5" s="1"/>
  <c r="F864" i="5"/>
  <c r="G864" i="5" s="1" a="1"/>
  <c r="G864" i="5" s="1"/>
  <c r="F863" i="5"/>
  <c r="G863" i="5" s="1" a="1"/>
  <c r="G863" i="5" s="1"/>
  <c r="F860" i="5"/>
  <c r="G860" i="5" s="1" a="1"/>
  <c r="G860" i="5" s="1"/>
  <c r="F859" i="5"/>
  <c r="G859" i="5" s="1" a="1"/>
  <c r="G859" i="5" s="1"/>
  <c r="F861" i="5"/>
  <c r="G861" i="5" s="1" a="1"/>
  <c r="G861" i="5" s="1"/>
  <c r="F862" i="5"/>
  <c r="G862" i="5" s="1" a="1"/>
  <c r="G862" i="5" s="1"/>
  <c r="F858" i="5"/>
  <c r="G858" i="5" s="1" a="1"/>
  <c r="G858" i="5" s="1"/>
  <c r="F856" i="5"/>
  <c r="G856" i="5" s="1" a="1"/>
  <c r="G856" i="5" s="1"/>
  <c r="F857" i="5"/>
  <c r="G857" i="5" s="1" a="1"/>
  <c r="G857" i="5" s="1"/>
  <c r="F853" i="5"/>
  <c r="G853" i="5" s="1" a="1"/>
  <c r="G853" i="5" s="1"/>
  <c r="F851" i="5"/>
  <c r="G851" i="5" s="1" a="1"/>
  <c r="G851" i="5" s="1"/>
  <c r="F854" i="5"/>
  <c r="G854" i="5" s="1" a="1"/>
  <c r="G854" i="5" s="1"/>
  <c r="F852" i="5"/>
  <c r="G852" i="5" s="1" a="1"/>
  <c r="G852" i="5" s="1"/>
  <c r="F855" i="5"/>
  <c r="G855" i="5" s="1" a="1"/>
  <c r="G855" i="5" s="1"/>
  <c r="F850" i="5"/>
  <c r="G850" i="5" s="1" a="1"/>
  <c r="G850" i="5" s="1"/>
  <c r="F849" i="5"/>
  <c r="G849" i="5" s="1" a="1"/>
  <c r="G849" i="5" s="1"/>
  <c r="F847" i="5"/>
  <c r="G847" i="5" s="1" a="1"/>
  <c r="G847" i="5" s="1"/>
  <c r="F844" i="5"/>
  <c r="G844" i="5" s="1" a="1"/>
  <c r="G844" i="5" s="1"/>
  <c r="F848" i="5"/>
  <c r="G848" i="5" s="1" a="1"/>
  <c r="G848" i="5" s="1"/>
  <c r="F843" i="5"/>
  <c r="F845" i="5"/>
  <c r="G845" i="5" s="1" a="1"/>
  <c r="G845" i="5" s="1"/>
  <c r="F842" i="5"/>
  <c r="G842" i="5" s="1" a="1"/>
  <c r="G842" i="5" s="1"/>
  <c r="F846" i="5"/>
  <c r="G846" i="5" s="1" a="1"/>
  <c r="G846" i="5" s="1"/>
  <c r="F839" i="5"/>
  <c r="G839" i="5" s="1" a="1"/>
  <c r="G839" i="5" s="1"/>
  <c r="F841" i="5"/>
  <c r="G841" i="5" s="1" a="1"/>
  <c r="G841" i="5" s="1"/>
  <c r="F840" i="5"/>
  <c r="G840" i="5" s="1" a="1"/>
  <c r="G840" i="5" s="1"/>
  <c r="F834" i="5"/>
  <c r="G834" i="5" s="1" a="1"/>
  <c r="G834" i="5" s="1"/>
  <c r="F838" i="5"/>
  <c r="G838" i="5" s="1" a="1"/>
  <c r="G838" i="5" s="1"/>
  <c r="F837" i="5"/>
  <c r="G837" i="5" s="1" a="1"/>
  <c r="G837" i="5" s="1"/>
  <c r="F836" i="5"/>
  <c r="G836" i="5" s="1" a="1"/>
  <c r="G836" i="5" s="1"/>
  <c r="F835" i="5"/>
  <c r="G835" i="5" s="1" a="1"/>
  <c r="G835" i="5" s="1"/>
  <c r="F833" i="5"/>
  <c r="G833" i="5" s="1" a="1"/>
  <c r="G833" i="5" s="1"/>
  <c r="F832" i="5"/>
  <c r="G832" i="5" s="1" a="1"/>
  <c r="G832" i="5" s="1"/>
  <c r="F831" i="5"/>
  <c r="G831" i="5" s="1" a="1"/>
  <c r="G831" i="5" s="1"/>
  <c r="F830" i="5"/>
  <c r="G830" i="5" s="1" a="1"/>
  <c r="G830" i="5" s="1"/>
  <c r="F828" i="5"/>
  <c r="G828" i="5" s="1" a="1"/>
  <c r="G828" i="5" s="1"/>
  <c r="F829" i="5"/>
  <c r="G829" i="5" s="1" a="1"/>
  <c r="G829" i="5" s="1"/>
  <c r="F826" i="5"/>
  <c r="G826" i="5" s="1" a="1"/>
  <c r="G826" i="5" s="1"/>
  <c r="F827" i="5"/>
  <c r="G827" i="5" s="1" a="1"/>
  <c r="G827" i="5" s="1"/>
  <c r="F825" i="5"/>
  <c r="G825" i="5" s="1" a="1"/>
  <c r="G825" i="5" s="1"/>
  <c r="F824" i="5"/>
  <c r="G824" i="5" s="1" a="1"/>
  <c r="G824" i="5" s="1"/>
  <c r="F823" i="5"/>
  <c r="G823" i="5" s="1" a="1"/>
  <c r="G823" i="5" s="1"/>
  <c r="F822" i="5"/>
  <c r="G822" i="5" s="1" a="1"/>
  <c r="G822" i="5" s="1"/>
  <c r="F819" i="5"/>
  <c r="G819" i="5" s="1" a="1"/>
  <c r="G819" i="5" s="1"/>
  <c r="F821" i="5"/>
  <c r="G821" i="5" s="1" a="1"/>
  <c r="G821" i="5" s="1"/>
  <c r="F820" i="5"/>
  <c r="G820" i="5" s="1" a="1"/>
  <c r="G820" i="5" s="1"/>
  <c r="F818" i="5"/>
  <c r="G818" i="5" s="1" a="1"/>
  <c r="G818" i="5" s="1"/>
  <c r="F817" i="5"/>
  <c r="G817" i="5" s="1" a="1"/>
  <c r="G817" i="5" s="1"/>
  <c r="F816" i="5"/>
  <c r="G816" i="5" s="1" a="1"/>
  <c r="G816" i="5" s="1"/>
  <c r="F814" i="5"/>
  <c r="G814" i="5" s="1" a="1"/>
  <c r="G814" i="5" s="1"/>
  <c r="F813" i="5"/>
  <c r="G813" i="5" s="1" a="1"/>
  <c r="G813" i="5" s="1"/>
  <c r="F811" i="5"/>
  <c r="G811" i="5" s="1" a="1"/>
  <c r="G811" i="5" s="1"/>
  <c r="F810" i="5"/>
  <c r="G810" i="5" s="1" a="1"/>
  <c r="G810" i="5" s="1"/>
  <c r="F809" i="5"/>
  <c r="G809" i="5" s="1" a="1"/>
  <c r="G809" i="5" s="1"/>
  <c r="F815" i="5"/>
  <c r="G815" i="5" s="1" a="1"/>
  <c r="G815" i="5" s="1"/>
  <c r="F808" i="5"/>
  <c r="G808" i="5" s="1" a="1"/>
  <c r="G808" i="5" s="1"/>
  <c r="F805" i="5"/>
  <c r="G805" i="5" s="1" a="1"/>
  <c r="G805" i="5" s="1"/>
  <c r="F807" i="5"/>
  <c r="G807" i="5" s="1" a="1"/>
  <c r="G807" i="5" s="1"/>
  <c r="F804" i="5"/>
  <c r="G804" i="5" s="1" a="1"/>
  <c r="G804" i="5" s="1"/>
  <c r="F812" i="5"/>
  <c r="G812" i="5" s="1" a="1"/>
  <c r="G812" i="5" s="1"/>
  <c r="F803" i="5"/>
  <c r="G803" i="5" s="1" a="1"/>
  <c r="G803" i="5" s="1"/>
  <c r="F802" i="5"/>
  <c r="G802" i="5" s="1" a="1"/>
  <c r="G802" i="5" s="1"/>
  <c r="F806" i="5"/>
  <c r="G806" i="5" s="1" a="1"/>
  <c r="G806" i="5" s="1"/>
  <c r="F801" i="5"/>
  <c r="G801" i="5" s="1" a="1"/>
  <c r="G801" i="5" s="1"/>
  <c r="F800" i="5"/>
  <c r="G800" i="5" s="1" a="1"/>
  <c r="G800" i="5" s="1"/>
  <c r="F797" i="5"/>
  <c r="G797" i="5" s="1" a="1"/>
  <c r="G797" i="5" s="1"/>
  <c r="F796" i="5"/>
  <c r="G796" i="5" s="1" a="1"/>
  <c r="G796" i="5" s="1"/>
  <c r="F798" i="5"/>
  <c r="G798" i="5" s="1" a="1"/>
  <c r="G798" i="5" s="1"/>
  <c r="F794" i="5"/>
  <c r="G794" i="5" s="1" a="1"/>
  <c r="G794" i="5" s="1"/>
  <c r="F791" i="5"/>
  <c r="G791" i="5" s="1" a="1"/>
  <c r="G791" i="5" s="1"/>
  <c r="F792" i="5"/>
  <c r="G792" i="5" s="1" a="1"/>
  <c r="G792" i="5" s="1"/>
  <c r="F795" i="5"/>
  <c r="G795" i="5" s="1" a="1"/>
  <c r="G795" i="5" s="1"/>
  <c r="F793" i="5"/>
  <c r="G793" i="5" s="1" a="1"/>
  <c r="G793" i="5" s="1"/>
  <c r="F789" i="5"/>
  <c r="G789" i="5" s="1" a="1"/>
  <c r="G789" i="5" s="1"/>
  <c r="F790" i="5"/>
  <c r="G790" i="5" s="1" a="1"/>
  <c r="G790" i="5" s="1"/>
  <c r="F784" i="5"/>
  <c r="G784" i="5" s="1" a="1"/>
  <c r="G784" i="5" s="1"/>
  <c r="F786" i="5"/>
  <c r="G786" i="5" s="1" a="1"/>
  <c r="G786" i="5" s="1"/>
  <c r="F787" i="5"/>
  <c r="G787" i="5" s="1" a="1"/>
  <c r="G787" i="5" s="1"/>
  <c r="F788" i="5"/>
  <c r="G788" i="5" s="1" a="1"/>
  <c r="G788" i="5" s="1"/>
  <c r="F785" i="5"/>
  <c r="G785" i="5" s="1" a="1"/>
  <c r="G785" i="5" s="1"/>
  <c r="F783" i="5"/>
  <c r="G783" i="5" s="1" a="1"/>
  <c r="G783" i="5" s="1"/>
  <c r="F782" i="5"/>
  <c r="G782" i="5" s="1" a="1"/>
  <c r="G782" i="5" s="1"/>
  <c r="F781" i="5"/>
  <c r="G781" i="5" s="1" a="1"/>
  <c r="G781" i="5" s="1"/>
  <c r="F780" i="5"/>
  <c r="G780" i="5" s="1" a="1"/>
  <c r="G780" i="5" s="1"/>
  <c r="F799" i="5"/>
  <c r="G799" i="5" s="1" a="1"/>
  <c r="G799" i="5" s="1"/>
  <c r="F777" i="5"/>
  <c r="G777" i="5" s="1" a="1"/>
  <c r="G777" i="5" s="1"/>
  <c r="F778" i="5"/>
  <c r="G778" i="5" s="1" a="1"/>
  <c r="G778" i="5" s="1"/>
  <c r="F779" i="5"/>
  <c r="G779" i="5" s="1" a="1"/>
  <c r="G779" i="5" s="1"/>
  <c r="F776" i="5"/>
  <c r="G776" i="5" s="1" a="1"/>
  <c r="G776" i="5" s="1"/>
  <c r="F775" i="5"/>
  <c r="G775" i="5" s="1" a="1"/>
  <c r="G775" i="5" s="1"/>
  <c r="F774" i="5"/>
  <c r="G774" i="5" s="1" a="1"/>
  <c r="G774" i="5" s="1"/>
  <c r="F881" i="5"/>
  <c r="G881" i="5" s="1" a="1"/>
  <c r="G881" i="5" s="1"/>
  <c r="F773" i="5"/>
  <c r="G773" i="5" s="1" a="1"/>
  <c r="G773" i="5" s="1"/>
  <c r="F1166" i="5"/>
  <c r="G1166" i="5" s="1" a="1"/>
  <c r="G1166" i="5" s="1"/>
  <c r="F1165" i="5"/>
  <c r="G1165" i="5" s="1" a="1"/>
  <c r="G1165" i="5" s="1"/>
  <c r="F1164" i="5"/>
  <c r="F1163" i="5"/>
  <c r="G1163" i="5" s="1" a="1"/>
  <c r="G1163" i="5" s="1"/>
  <c r="F1162" i="5"/>
  <c r="G1162" i="5" s="1" a="1"/>
  <c r="G1162" i="5" s="1"/>
  <c r="F1161" i="5"/>
  <c r="G1161" i="5" s="1" a="1"/>
  <c r="G1161" i="5" s="1"/>
  <c r="F1157" i="5"/>
  <c r="G1157" i="5" s="1" a="1"/>
  <c r="G1157" i="5" s="1"/>
  <c r="F1158" i="5"/>
  <c r="G1158" i="5" s="1" a="1"/>
  <c r="G1158" i="5" s="1"/>
  <c r="F1160" i="5"/>
  <c r="G1160" i="5" s="1" a="1"/>
  <c r="G1160" i="5" s="1"/>
  <c r="F1159" i="5"/>
  <c r="G1159" i="5" s="1" a="1"/>
  <c r="G1159" i="5" s="1"/>
  <c r="F1156" i="5"/>
  <c r="G1156" i="5" s="1" a="1"/>
  <c r="G1156" i="5" s="1"/>
  <c r="F1155" i="5"/>
  <c r="G1155" i="5" s="1" a="1"/>
  <c r="G1155" i="5" s="1"/>
  <c r="F1154" i="5"/>
  <c r="G1154" i="5" s="1" a="1"/>
  <c r="G1154" i="5" s="1"/>
  <c r="F1152" i="5"/>
  <c r="G1152" i="5" s="1" a="1"/>
  <c r="G1152" i="5" s="1"/>
  <c r="F1153" i="5"/>
  <c r="G1153" i="5" s="1" a="1"/>
  <c r="G1153" i="5" s="1"/>
  <c r="F1151" i="5"/>
  <c r="G1151" i="5" s="1" a="1"/>
  <c r="G1151" i="5" s="1"/>
  <c r="F1149" i="5"/>
  <c r="G1149" i="5" s="1" a="1"/>
  <c r="G1149" i="5" s="1"/>
  <c r="F1148" i="5"/>
  <c r="G1148" i="5" s="1" a="1"/>
  <c r="G1148" i="5" s="1"/>
  <c r="F1150" i="5"/>
  <c r="G1150" i="5" s="1" a="1"/>
  <c r="G1150" i="5" s="1"/>
  <c r="F1145" i="5"/>
  <c r="G1145" i="5" s="1" a="1"/>
  <c r="G1145" i="5" s="1"/>
  <c r="F1147" i="5"/>
  <c r="G1147" i="5" s="1" a="1"/>
  <c r="G1147" i="5" s="1"/>
  <c r="F1146" i="5"/>
  <c r="G1146" i="5" s="1" a="1"/>
  <c r="G1146" i="5" s="1"/>
  <c r="F1143" i="5"/>
  <c r="G1143" i="5" s="1" a="1"/>
  <c r="G1143" i="5" s="1"/>
  <c r="F1144" i="5"/>
  <c r="G1144" i="5" s="1" a="1"/>
  <c r="G1144" i="5" s="1"/>
  <c r="F1142" i="5"/>
  <c r="G1142" i="5" s="1" a="1"/>
  <c r="G1142" i="5" s="1"/>
  <c r="F1138" i="5"/>
  <c r="G1138" i="5" s="1" a="1"/>
  <c r="G1138" i="5" s="1"/>
  <c r="F1139" i="5"/>
  <c r="G1139" i="5" s="1" a="1"/>
  <c r="G1139" i="5" s="1"/>
  <c r="F1137" i="5"/>
  <c r="G1137" i="5" s="1" a="1"/>
  <c r="G1137" i="5" s="1"/>
  <c r="F1140" i="5"/>
  <c r="G1140" i="5" s="1" a="1"/>
  <c r="G1140" i="5" s="1"/>
  <c r="F1136" i="5"/>
  <c r="G1136" i="5" s="1" a="1"/>
  <c r="G1136" i="5" s="1"/>
  <c r="F1133" i="5"/>
  <c r="G1133" i="5" s="1" a="1"/>
  <c r="G1133" i="5" s="1"/>
  <c r="F1131" i="5"/>
  <c r="G1131" i="5" s="1" a="1"/>
  <c r="G1131" i="5" s="1"/>
  <c r="F1127" i="5"/>
  <c r="G1127" i="5" s="1" a="1"/>
  <c r="G1127" i="5" s="1"/>
  <c r="F1130" i="5"/>
  <c r="G1130" i="5" s="1" a="1"/>
  <c r="G1130" i="5" s="1"/>
  <c r="F1135" i="5"/>
  <c r="G1135" i="5" s="1" a="1"/>
  <c r="G1135" i="5" s="1"/>
  <c r="F1128" i="5"/>
  <c r="G1128" i="5" s="1" a="1"/>
  <c r="G1128" i="5" s="1"/>
  <c r="F1129" i="5"/>
  <c r="G1129" i="5" s="1" a="1"/>
  <c r="G1129" i="5" s="1"/>
  <c r="F1132" i="5"/>
  <c r="G1132" i="5" s="1" a="1"/>
  <c r="G1132" i="5" s="1"/>
  <c r="F1134" i="5"/>
  <c r="G1134" i="5" s="1" a="1"/>
  <c r="G1134" i="5" s="1"/>
  <c r="F1126" i="5"/>
  <c r="G1126" i="5" s="1" a="1"/>
  <c r="G1126" i="5" s="1"/>
  <c r="F1125" i="5"/>
  <c r="G1125" i="5" s="1" a="1"/>
  <c r="G1125" i="5" s="1"/>
  <c r="F1123" i="5"/>
  <c r="G1123" i="5" s="1" a="1"/>
  <c r="G1123" i="5" s="1"/>
  <c r="F1122" i="5"/>
  <c r="G1122" i="5" s="1" a="1"/>
  <c r="G1122" i="5" s="1"/>
  <c r="F1124" i="5"/>
  <c r="G1124" i="5" s="1" a="1"/>
  <c r="G1124" i="5" s="1"/>
  <c r="F1121" i="5"/>
  <c r="G1121" i="5" s="1" a="1"/>
  <c r="G1121" i="5" s="1"/>
  <c r="F1141" i="5"/>
  <c r="G1141" i="5" s="1" a="1"/>
  <c r="G1141" i="5" s="1"/>
  <c r="F1120" i="5"/>
  <c r="G1120" i="5" s="1" a="1"/>
  <c r="G1120" i="5" s="1"/>
  <c r="F1119" i="5"/>
  <c r="G1119" i="5" s="1" a="1"/>
  <c r="G1119" i="5" s="1"/>
  <c r="F1116" i="5"/>
  <c r="G1116" i="5" s="1" a="1"/>
  <c r="G1116" i="5" s="1"/>
  <c r="F1117" i="5"/>
  <c r="G1117" i="5" s="1" a="1"/>
  <c r="G1117" i="5" s="1"/>
  <c r="F1118" i="5"/>
  <c r="G1118" i="5" s="1" a="1"/>
  <c r="G1118" i="5" s="1"/>
  <c r="F1115" i="5"/>
  <c r="G1115" i="5" s="1" a="1"/>
  <c r="G1115" i="5" s="1"/>
  <c r="F1112" i="5"/>
  <c r="G1112" i="5" s="1" a="1"/>
  <c r="G1112" i="5" s="1"/>
  <c r="F1113" i="5"/>
  <c r="G1113" i="5" s="1" a="1"/>
  <c r="G1113" i="5" s="1"/>
  <c r="F1114" i="5"/>
  <c r="G1114" i="5" s="1" a="1"/>
  <c r="G1114" i="5" s="1"/>
  <c r="F1110" i="5"/>
  <c r="G1110" i="5" s="1" a="1"/>
  <c r="G1110" i="5" s="1"/>
  <c r="F1109" i="5"/>
  <c r="G1109" i="5" s="1" a="1"/>
  <c r="G1109" i="5" s="1"/>
  <c r="F1111" i="5"/>
  <c r="G1111" i="5" s="1" a="1"/>
  <c r="G1111" i="5" s="1"/>
  <c r="F1108" i="5"/>
  <c r="G1108" i="5" s="1" a="1"/>
  <c r="G1108" i="5" s="1"/>
  <c r="F1107" i="5"/>
  <c r="G1107" i="5" s="1" a="1"/>
  <c r="G1107" i="5" s="1"/>
  <c r="F1106" i="5"/>
  <c r="F1105" i="5"/>
  <c r="G1105" i="5" s="1" a="1"/>
  <c r="G1105" i="5" s="1"/>
  <c r="F1099" i="5"/>
  <c r="G1099" i="5" s="1" a="1"/>
  <c r="G1099" i="5" s="1"/>
  <c r="F1094" i="5"/>
  <c r="G1094" i="5" s="1" a="1"/>
  <c r="G1094" i="5" s="1"/>
  <c r="F1095" i="5"/>
  <c r="G1095" i="5" s="1" a="1"/>
  <c r="G1095" i="5" s="1"/>
  <c r="F1103" i="5"/>
  <c r="G1103" i="5" s="1" a="1"/>
  <c r="G1103" i="5" s="1"/>
  <c r="F1100" i="5"/>
  <c r="F1101" i="5"/>
  <c r="G1101" i="5" s="1" a="1"/>
  <c r="G1101" i="5" s="1"/>
  <c r="F1104" i="5"/>
  <c r="G1104" i="5" s="1" a="1"/>
  <c r="G1104" i="5" s="1"/>
  <c r="F1097" i="5"/>
  <c r="G1097" i="5" s="1" a="1"/>
  <c r="G1097" i="5" s="1"/>
  <c r="F1096" i="5"/>
  <c r="G1096" i="5" s="1" a="1"/>
  <c r="G1096" i="5" s="1"/>
  <c r="F1102" i="5"/>
  <c r="G1102" i="5" s="1" a="1"/>
  <c r="G1102" i="5" s="1"/>
  <c r="F1098" i="5"/>
  <c r="G1098" i="5" s="1" a="1"/>
  <c r="G1098" i="5" s="1"/>
  <c r="F1092" i="5"/>
  <c r="G1092" i="5" s="1" a="1"/>
  <c r="G1092" i="5" s="1"/>
  <c r="F1093" i="5"/>
  <c r="G1093" i="5" s="1" a="1"/>
  <c r="G1093" i="5" s="1"/>
  <c r="F1090" i="5"/>
  <c r="G1090" i="5" s="1" a="1"/>
  <c r="G1090" i="5" s="1"/>
  <c r="F1089" i="5"/>
  <c r="G1089" i="5" s="1" a="1"/>
  <c r="G1089" i="5" s="1"/>
  <c r="F1088" i="5"/>
  <c r="G1088" i="5" s="1" a="1"/>
  <c r="G1088" i="5" s="1"/>
  <c r="F1087" i="5"/>
  <c r="G1087" i="5" s="1" a="1"/>
  <c r="G1087" i="5" s="1"/>
  <c r="F1091" i="5"/>
  <c r="F1085" i="5"/>
  <c r="G1085" i="5" s="1" a="1"/>
  <c r="G1085" i="5" s="1"/>
  <c r="F1079" i="5"/>
  <c r="G1079" i="5" s="1" a="1"/>
  <c r="G1079" i="5" s="1"/>
  <c r="F1075" i="5"/>
  <c r="G1075" i="5" s="1" a="1"/>
  <c r="G1075" i="5" s="1"/>
  <c r="F1076" i="5"/>
  <c r="G1076" i="5" s="1" a="1"/>
  <c r="G1076" i="5" s="1"/>
  <c r="F1082" i="5"/>
  <c r="G1082" i="5" s="1" a="1"/>
  <c r="G1082" i="5" s="1"/>
  <c r="F1078" i="5"/>
  <c r="G1078" i="5" s="1" a="1"/>
  <c r="G1078" i="5" s="1"/>
  <c r="F1081" i="5"/>
  <c r="G1081" i="5" s="1" a="1"/>
  <c r="G1081" i="5" s="1"/>
  <c r="F1086" i="5"/>
  <c r="G1086" i="5" s="1" a="1"/>
  <c r="G1086" i="5" s="1"/>
  <c r="F1084" i="5"/>
  <c r="G1084" i="5" s="1" a="1"/>
  <c r="G1084" i="5" s="1"/>
  <c r="F1074" i="5"/>
  <c r="G1074" i="5" s="1" a="1"/>
  <c r="G1074" i="5" s="1"/>
  <c r="F1080" i="5"/>
  <c r="G1080" i="5" s="1" a="1"/>
  <c r="G1080" i="5" s="1"/>
  <c r="F1077" i="5"/>
  <c r="G1077" i="5" s="1" a="1"/>
  <c r="G1077" i="5" s="1"/>
  <c r="F1073" i="5"/>
  <c r="G1073" i="5" s="1" a="1"/>
  <c r="G1073" i="5" s="1"/>
  <c r="F1083" i="5"/>
  <c r="G1083" i="5" s="1" a="1"/>
  <c r="G1083" i="5" s="1"/>
  <c r="F1070" i="5"/>
  <c r="G1070" i="5" s="1" a="1"/>
  <c r="G1070" i="5" s="1"/>
  <c r="F1063" i="5"/>
  <c r="G1063" i="5" s="1" a="1"/>
  <c r="G1063" i="5" s="1"/>
  <c r="F1064" i="5"/>
  <c r="G1064" i="5" s="1" a="1"/>
  <c r="G1064" i="5" s="1"/>
  <c r="F1072" i="5"/>
  <c r="G1072" i="5" s="1" a="1"/>
  <c r="G1072" i="5" s="1"/>
  <c r="F1069" i="5"/>
  <c r="G1069" i="5" s="1" a="1"/>
  <c r="G1069" i="5" s="1"/>
  <c r="F1065" i="5"/>
  <c r="G1065" i="5" s="1" a="1"/>
  <c r="G1065" i="5" s="1"/>
  <c r="F1061" i="5"/>
  <c r="G1061" i="5" s="1" a="1"/>
  <c r="G1061" i="5" s="1"/>
  <c r="F1066" i="5"/>
  <c r="G1066" i="5" s="1" a="1"/>
  <c r="G1066" i="5" s="1"/>
  <c r="F1068" i="5"/>
  <c r="G1068" i="5" s="1" a="1"/>
  <c r="G1068" i="5" s="1"/>
  <c r="F1067" i="5"/>
  <c r="G1067" i="5" s="1" a="1"/>
  <c r="G1067" i="5" s="1"/>
  <c r="F1071" i="5"/>
  <c r="G1071" i="5" s="1" a="1"/>
  <c r="G1071" i="5" s="1"/>
  <c r="F1062" i="5"/>
  <c r="G1062" i="5" s="1" a="1"/>
  <c r="G1062" i="5" s="1"/>
  <c r="F1053" i="5"/>
  <c r="G1053" i="5" s="1" a="1"/>
  <c r="G1053" i="5" s="1"/>
  <c r="F1057" i="5"/>
  <c r="G1057" i="5" s="1" a="1"/>
  <c r="G1057" i="5" s="1"/>
  <c r="F1056" i="5"/>
  <c r="G1056" i="5" s="1" a="1"/>
  <c r="G1056" i="5" s="1"/>
  <c r="F1047" i="5"/>
  <c r="G1047" i="5" s="1" a="1"/>
  <c r="G1047" i="5" s="1"/>
  <c r="F1049" i="5"/>
  <c r="G1049" i="5" s="1" a="1"/>
  <c r="G1049" i="5" s="1"/>
  <c r="F1052" i="5"/>
  <c r="G1052" i="5" s="1" a="1"/>
  <c r="G1052" i="5" s="1"/>
  <c r="F1060" i="5"/>
  <c r="G1060" i="5" s="1" a="1"/>
  <c r="G1060" i="5" s="1"/>
  <c r="F1058" i="5"/>
  <c r="G1058" i="5" s="1" a="1"/>
  <c r="G1058" i="5" s="1"/>
  <c r="F1048" i="5"/>
  <c r="G1048" i="5" s="1" a="1"/>
  <c r="G1048" i="5" s="1"/>
  <c r="F1059" i="5"/>
  <c r="G1059" i="5" s="1" a="1"/>
  <c r="G1059" i="5" s="1"/>
  <c r="F1046" i="5"/>
  <c r="G1046" i="5" s="1" a="1"/>
  <c r="G1046" i="5" s="1"/>
  <c r="F1044" i="5"/>
  <c r="G1044" i="5" s="1" a="1"/>
  <c r="G1044" i="5" s="1"/>
  <c r="F1050" i="5"/>
  <c r="G1050" i="5" s="1" a="1"/>
  <c r="G1050" i="5" s="1"/>
  <c r="F1051" i="5"/>
  <c r="G1051" i="5" s="1" a="1"/>
  <c r="G1051" i="5" s="1"/>
  <c r="F1041" i="5"/>
  <c r="G1041" i="5" s="1" a="1"/>
  <c r="G1041" i="5" s="1"/>
  <c r="F1031" i="5"/>
  <c r="G1031" i="5" s="1" a="1"/>
  <c r="G1031" i="5" s="1"/>
  <c r="F1045" i="5"/>
  <c r="G1045" i="5" s="1" a="1"/>
  <c r="G1045" i="5" s="1"/>
  <c r="F1035" i="5"/>
  <c r="G1035" i="5" s="1" a="1"/>
  <c r="G1035" i="5" s="1"/>
  <c r="F1043" i="5"/>
  <c r="G1043" i="5" s="1" a="1"/>
  <c r="G1043" i="5" s="1"/>
  <c r="F1037" i="5"/>
  <c r="G1037" i="5" s="1" a="1"/>
  <c r="G1037" i="5" s="1"/>
  <c r="F1040" i="5"/>
  <c r="G1040" i="5" s="1" a="1"/>
  <c r="G1040" i="5" s="1"/>
  <c r="F1036" i="5"/>
  <c r="G1036" i="5" s="1" a="1"/>
  <c r="G1036" i="5" s="1"/>
  <c r="F1033" i="5"/>
  <c r="G1033" i="5" s="1" a="1"/>
  <c r="G1033" i="5" s="1"/>
  <c r="F1034" i="5"/>
  <c r="G1034" i="5" s="1" a="1"/>
  <c r="G1034" i="5" s="1"/>
  <c r="F1032" i="5"/>
  <c r="G1032" i="5" s="1" a="1"/>
  <c r="G1032" i="5" s="1"/>
  <c r="F1054" i="5"/>
  <c r="G1054" i="5" s="1" a="1"/>
  <c r="G1054" i="5" s="1"/>
  <c r="F1038" i="5"/>
  <c r="G1038" i="5" s="1" a="1"/>
  <c r="G1038" i="5" s="1"/>
  <c r="F1039" i="5"/>
  <c r="G1039" i="5" s="1" a="1"/>
  <c r="G1039" i="5" s="1"/>
  <c r="F1025" i="5"/>
  <c r="G1025" i="5" s="1" a="1"/>
  <c r="G1025" i="5" s="1"/>
  <c r="F1023" i="5"/>
  <c r="G1023" i="5" s="1" a="1"/>
  <c r="G1023" i="5" s="1"/>
  <c r="F1019" i="5"/>
  <c r="G1019" i="5" s="1" a="1"/>
  <c r="G1019" i="5" s="1"/>
  <c r="F1020" i="5"/>
  <c r="G1020" i="5" s="1" a="1"/>
  <c r="G1020" i="5" s="1"/>
  <c r="F1017" i="5"/>
  <c r="G1017" i="5" s="1" a="1"/>
  <c r="G1017" i="5" s="1"/>
  <c r="F1027" i="5"/>
  <c r="G1027" i="5" s="1" a="1"/>
  <c r="G1027" i="5" s="1"/>
  <c r="F1030" i="5"/>
  <c r="G1030" i="5" s="1" a="1"/>
  <c r="G1030" i="5" s="1"/>
  <c r="F1018" i="5"/>
  <c r="G1018" i="5" s="1" a="1"/>
  <c r="G1018" i="5" s="1"/>
  <c r="F1022" i="5"/>
  <c r="G1022" i="5" s="1" a="1"/>
  <c r="G1022" i="5" s="1"/>
  <c r="F1024" i="5"/>
  <c r="G1024" i="5" s="1" a="1"/>
  <c r="G1024" i="5" s="1"/>
  <c r="F1021" i="5"/>
  <c r="G1021" i="5" s="1" a="1"/>
  <c r="G1021" i="5" s="1"/>
  <c r="F1029" i="5"/>
  <c r="G1029" i="5" s="1" a="1"/>
  <c r="G1029" i="5" s="1"/>
  <c r="F1028" i="5"/>
  <c r="G1028" i="5" s="1" a="1"/>
  <c r="G1028" i="5" s="1"/>
  <c r="F1026" i="5"/>
  <c r="G1026" i="5" s="1" a="1"/>
  <c r="G1026" i="5" s="1"/>
  <c r="F1015" i="5"/>
  <c r="G1015" i="5" s="1" a="1"/>
  <c r="G1015" i="5" s="1"/>
  <c r="F1013" i="5"/>
  <c r="G1013" i="5" s="1" a="1"/>
  <c r="G1013" i="5" s="1"/>
  <c r="F1011" i="5"/>
  <c r="G1011" i="5" s="1" a="1"/>
  <c r="G1011" i="5" s="1"/>
  <c r="F1014" i="5"/>
  <c r="G1014" i="5" s="1" a="1"/>
  <c r="G1014" i="5" s="1"/>
  <c r="F1016" i="5"/>
  <c r="G1016" i="5" s="1" a="1"/>
  <c r="G1016" i="5" s="1"/>
  <c r="F1012" i="5"/>
  <c r="G1012" i="5" s="1" a="1"/>
  <c r="G1012" i="5" s="1"/>
  <c r="F1042" i="5"/>
  <c r="G1042" i="5" s="1" a="1"/>
  <c r="G1042" i="5" s="1"/>
  <c r="F1010" i="5"/>
  <c r="G1010" i="5" s="1" a="1"/>
  <c r="G1010" i="5" s="1"/>
  <c r="F1009" i="5"/>
  <c r="G1009" i="5" s="1" a="1"/>
  <c r="G1009" i="5" s="1"/>
  <c r="F1002" i="5"/>
  <c r="G1002" i="5" s="1" a="1"/>
  <c r="G1002" i="5" s="1"/>
  <c r="F1004" i="5"/>
  <c r="G1004" i="5" s="1" a="1"/>
  <c r="G1004" i="5" s="1"/>
  <c r="F1008" i="5"/>
  <c r="F1005" i="5"/>
  <c r="G1005" i="5" s="1" a="1"/>
  <c r="G1005" i="5" s="1"/>
  <c r="F1007" i="5"/>
  <c r="G1007" i="5" s="1" a="1"/>
  <c r="G1007" i="5" s="1"/>
  <c r="F1006" i="5"/>
  <c r="G1006" i="5" s="1" a="1"/>
  <c r="G1006" i="5" s="1"/>
  <c r="F1003" i="5"/>
  <c r="G1003" i="5" s="1" a="1"/>
  <c r="G1003" i="5" s="1"/>
  <c r="F1001" i="5"/>
  <c r="G1001" i="5" s="1" a="1"/>
  <c r="G1001" i="5" s="1"/>
  <c r="F999" i="5"/>
  <c r="F1000" i="5"/>
  <c r="G1000" i="5" s="1" a="1"/>
  <c r="G1000" i="5" s="1"/>
  <c r="F1055" i="5"/>
  <c r="G1055" i="5" s="1" a="1"/>
  <c r="G1055" i="5" s="1"/>
  <c r="F998" i="5"/>
  <c r="G998" i="5" s="1" a="1"/>
  <c r="G998" i="5" s="1"/>
  <c r="F997" i="5"/>
  <c r="G997" i="5" s="1" a="1"/>
  <c r="G997" i="5" s="1"/>
  <c r="F995" i="5"/>
  <c r="G995" i="5" s="1" a="1"/>
  <c r="G995" i="5" s="1"/>
  <c r="F994" i="5"/>
  <c r="G994" i="5" s="1" a="1"/>
  <c r="G994" i="5" s="1"/>
  <c r="F992" i="5"/>
  <c r="G992" i="5" s="1" a="1"/>
  <c r="G992" i="5" s="1"/>
  <c r="F993" i="5"/>
  <c r="G993" i="5" s="1" a="1"/>
  <c r="G993" i="5" s="1"/>
  <c r="F991" i="5"/>
  <c r="G991" i="5" s="1" a="1"/>
  <c r="G991" i="5" s="1"/>
  <c r="F990" i="5"/>
  <c r="G990" i="5" s="1" a="1"/>
  <c r="G990" i="5" s="1"/>
  <c r="F989" i="5"/>
  <c r="G989" i="5" s="1" a="1"/>
  <c r="G989" i="5" s="1"/>
  <c r="F985" i="5"/>
  <c r="F986" i="5"/>
  <c r="G986" i="5" s="1" a="1"/>
  <c r="G986" i="5" s="1"/>
  <c r="F987" i="5"/>
  <c r="F988" i="5"/>
  <c r="G988" i="5" s="1" a="1"/>
  <c r="G988" i="5" s="1"/>
  <c r="F984" i="5"/>
  <c r="G984" i="5" s="1" a="1"/>
  <c r="G984" i="5" s="1"/>
  <c r="F983" i="5"/>
  <c r="G983" i="5" s="1" a="1"/>
  <c r="G983" i="5" s="1"/>
  <c r="F996" i="5"/>
  <c r="G996" i="5" s="1" a="1"/>
  <c r="G996" i="5" s="1"/>
  <c r="F982" i="5"/>
  <c r="G982" i="5" s="1" a="1"/>
  <c r="G982" i="5" s="1"/>
  <c r="F981" i="5"/>
  <c r="G981" i="5" s="1" a="1"/>
  <c r="G981" i="5" s="1"/>
  <c r="F979" i="5"/>
  <c r="G979" i="5" s="1" a="1"/>
  <c r="G979" i="5" s="1"/>
  <c r="F980" i="5"/>
  <c r="G980" i="5" s="1" a="1"/>
  <c r="G980" i="5" s="1"/>
  <c r="F977" i="5"/>
  <c r="G977" i="5" s="1" a="1"/>
  <c r="G977" i="5" s="1"/>
  <c r="F978" i="5"/>
  <c r="G978" i="5" s="1" a="1"/>
  <c r="G978" i="5" s="1"/>
  <c r="F976" i="5"/>
  <c r="G976" i="5" s="1" a="1"/>
  <c r="G976" i="5" s="1"/>
  <c r="F975" i="5"/>
  <c r="G975" i="5" s="1" a="1"/>
  <c r="G975" i="5" s="1"/>
  <c r="F972" i="5"/>
  <c r="G972" i="5" s="1" a="1"/>
  <c r="G972" i="5" s="1"/>
  <c r="F974" i="5"/>
  <c r="G974" i="5" s="1" a="1"/>
  <c r="G974" i="5" s="1"/>
  <c r="F973" i="5"/>
  <c r="G973" i="5" s="1" a="1"/>
  <c r="G973" i="5" s="1"/>
  <c r="F971" i="5"/>
  <c r="G971" i="5" s="1" a="1"/>
  <c r="G971" i="5" s="1"/>
  <c r="F970" i="5"/>
  <c r="G970" i="5" s="1" a="1"/>
  <c r="G970" i="5" s="1"/>
  <c r="F968" i="5"/>
  <c r="G968" i="5" s="1" a="1"/>
  <c r="G968" i="5" s="1"/>
  <c r="F969" i="5"/>
  <c r="G969" i="5" s="1" a="1"/>
  <c r="G969" i="5" s="1"/>
  <c r="F966" i="5"/>
  <c r="G966" i="5" s="1" a="1"/>
  <c r="G966" i="5" s="1"/>
  <c r="F967" i="5"/>
  <c r="G967" i="5" s="1" a="1"/>
  <c r="G967" i="5" s="1"/>
  <c r="F965" i="5"/>
  <c r="G965" i="5" s="1" a="1"/>
  <c r="G965" i="5" s="1"/>
  <c r="F964" i="5"/>
  <c r="G964" i="5" s="1" a="1"/>
  <c r="G964" i="5" s="1"/>
  <c r="F963" i="5"/>
  <c r="G963" i="5" s="1" a="1"/>
  <c r="G963" i="5" s="1"/>
  <c r="F961" i="5"/>
  <c r="G961" i="5" s="1" a="1"/>
  <c r="G961" i="5" s="1"/>
  <c r="F962" i="5"/>
  <c r="G962" i="5" s="1" a="1"/>
  <c r="G962" i="5" s="1"/>
  <c r="F960" i="5"/>
  <c r="G960" i="5" s="1" a="1"/>
  <c r="G960" i="5" s="1"/>
  <c r="F959" i="5"/>
  <c r="G959" i="5" s="1" a="1"/>
  <c r="G959" i="5" s="1"/>
  <c r="F958" i="5"/>
  <c r="G958" i="5" s="1" a="1"/>
  <c r="G958" i="5" s="1"/>
  <c r="F956" i="5"/>
  <c r="G956" i="5" s="1" a="1"/>
  <c r="G956" i="5" s="1"/>
  <c r="F957" i="5"/>
  <c r="G957" i="5" s="1" a="1"/>
  <c r="G957" i="5" s="1"/>
  <c r="F955" i="5"/>
  <c r="G955" i="5" s="1" a="1"/>
  <c r="G955" i="5" s="1"/>
  <c r="F954" i="5"/>
  <c r="G954" i="5" s="1" a="1"/>
  <c r="G954" i="5" s="1"/>
  <c r="F953" i="5"/>
  <c r="G953" i="5" s="1" a="1"/>
  <c r="G953" i="5" s="1"/>
  <c r="F952" i="5"/>
  <c r="G952" i="5" s="1" a="1"/>
  <c r="G952" i="5" s="1"/>
  <c r="F951" i="5"/>
  <c r="G951" i="5" s="1" a="1"/>
  <c r="G951" i="5" s="1"/>
  <c r="F950" i="5"/>
  <c r="G950" i="5" s="1" a="1"/>
  <c r="G950" i="5" s="1"/>
  <c r="F949" i="5"/>
  <c r="G949" i="5" s="1" a="1"/>
  <c r="G949" i="5" s="1"/>
  <c r="F948" i="5"/>
  <c r="G948" i="5" s="1" a="1"/>
  <c r="G948" i="5" s="1"/>
  <c r="F947" i="5"/>
  <c r="G947" i="5" s="1" a="1"/>
  <c r="G947" i="5" s="1"/>
  <c r="F946" i="5"/>
  <c r="G946" i="5" s="1" a="1"/>
  <c r="G946" i="5" s="1"/>
  <c r="F945" i="5"/>
  <c r="G945" i="5" s="1" a="1"/>
  <c r="G945" i="5" s="1"/>
  <c r="F943" i="5"/>
  <c r="G943" i="5" s="1" a="1"/>
  <c r="G943" i="5" s="1"/>
  <c r="F944" i="5"/>
  <c r="G944" i="5" s="1" a="1"/>
  <c r="G944" i="5" s="1"/>
  <c r="F942" i="5"/>
  <c r="G942" i="5" s="1" a="1"/>
  <c r="G942" i="5" s="1"/>
  <c r="F941" i="5"/>
  <c r="G941" i="5" s="1" a="1"/>
  <c r="G941" i="5" s="1"/>
  <c r="F940" i="5"/>
  <c r="G940" i="5" s="1" a="1"/>
  <c r="G940" i="5" s="1"/>
  <c r="F938" i="5"/>
  <c r="G938" i="5" s="1" a="1"/>
  <c r="G938" i="5" s="1"/>
  <c r="F937" i="5"/>
  <c r="G937" i="5" s="1" a="1"/>
  <c r="G937" i="5" s="1"/>
  <c r="F939" i="5"/>
  <c r="G939" i="5" s="1" a="1"/>
  <c r="G939" i="5" s="1"/>
  <c r="F936" i="5"/>
  <c r="G936" i="5" s="1" a="1"/>
  <c r="G936" i="5" s="1"/>
  <c r="F76" i="5"/>
  <c r="G76" i="5" s="1" a="1"/>
  <c r="G7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<sst xmlns="http://schemas.openxmlformats.org/spreadsheetml/2006/main" count="24975" uniqueCount="5167">
  <si>
    <t>Case #</t>
  </si>
  <si>
    <t>Name</t>
  </si>
  <si>
    <t>Date of Death</t>
  </si>
  <si>
    <t>Age</t>
  </si>
  <si>
    <t>Race</t>
  </si>
  <si>
    <t>Cause of Death A</t>
  </si>
  <si>
    <t>Cause of Death B</t>
  </si>
  <si>
    <t>Cause of Death C</t>
  </si>
  <si>
    <t>Cause of Death D</t>
  </si>
  <si>
    <t>OSC</t>
  </si>
  <si>
    <t>Manner of Death</t>
  </si>
  <si>
    <t>State of Residence</t>
  </si>
  <si>
    <t>Incident Location</t>
  </si>
  <si>
    <t>Incident Place Type</t>
  </si>
  <si>
    <t>Death Location</t>
  </si>
  <si>
    <t>Death Place Type</t>
  </si>
  <si>
    <t>2023-02198</t>
  </si>
  <si>
    <t>Eddie B. Moore</t>
  </si>
  <si>
    <t>Black American</t>
  </si>
  <si>
    <t>Toxic Effects of Cocaine</t>
  </si>
  <si>
    <t>Hypertensive Heart Disease; Environmental Heat Stress</t>
  </si>
  <si>
    <t>Accident</t>
  </si>
  <si>
    <t>CA</t>
  </si>
  <si>
    <t>2260 Village Walk Drive</t>
  </si>
  <si>
    <t>Parking Lot</t>
  </si>
  <si>
    <t>2023-02211</t>
  </si>
  <si>
    <t>Jeovany H. Acevedo</t>
  </si>
  <si>
    <t>Hispanic</t>
  </si>
  <si>
    <t>Hypertensive Cardiovascular Disease</t>
  </si>
  <si>
    <t xml:space="preserve">Environmental Heat Stress; Diabetes Mellitus; Morbid Obesity; Former Cigarette Smoking </t>
  </si>
  <si>
    <t>Outdoors/Public Area</t>
  </si>
  <si>
    <t>2023-02984</t>
  </si>
  <si>
    <t>Charley Lewellen</t>
  </si>
  <si>
    <t>Caucasian</t>
  </si>
  <si>
    <t>Acute Methamphetamine Toxicity</t>
  </si>
  <si>
    <t>Environmental Heat Exposure</t>
  </si>
  <si>
    <t>NV</t>
  </si>
  <si>
    <t>6076 Yellowstone Avenue</t>
  </si>
  <si>
    <t>Home</t>
  </si>
  <si>
    <t>2023-03049</t>
  </si>
  <si>
    <t>Evie  Ringenberg</t>
  </si>
  <si>
    <t>Acute Methamphetamine and Amphetamine Toxicity</t>
  </si>
  <si>
    <t>Environmental Heat Stress; Cardiomegaly of the  Hypertensive Type; Obesity</t>
  </si>
  <si>
    <t>1409 E. Lake Mead Blvd.</t>
  </si>
  <si>
    <t>Hospital ER</t>
  </si>
  <si>
    <t>2023-03053</t>
  </si>
  <si>
    <t>David Gibbs</t>
  </si>
  <si>
    <t>Acute Combined Methamphetamine and Amphetamine Toxicity</t>
  </si>
  <si>
    <t xml:space="preserve">Environmental Heat Stress </t>
  </si>
  <si>
    <t>1013 South 3rd Street</t>
  </si>
  <si>
    <t>1800 W. Charleston Blvd.</t>
  </si>
  <si>
    <t>Hospital ICU</t>
  </si>
  <si>
    <t>2023-03123</t>
  </si>
  <si>
    <t>Gyula P. Lajos</t>
  </si>
  <si>
    <t>Environmental Heat Stress</t>
  </si>
  <si>
    <t>205 S. 10th Street #6</t>
  </si>
  <si>
    <t>2023-03127</t>
  </si>
  <si>
    <t>David T. Lewis</t>
  </si>
  <si>
    <t>Acute Ethanol Intoxication</t>
  </si>
  <si>
    <t>Environmental Heat Stress and Methamphetamine Use</t>
  </si>
  <si>
    <t>Silverado Ranch Boulevard</t>
  </si>
  <si>
    <t>2023-03356</t>
  </si>
  <si>
    <t>Robert S. Shake</t>
  </si>
  <si>
    <t>Atherosclerotic Cardiovascular Disease</t>
  </si>
  <si>
    <t>5300 E. Craig Road #509</t>
  </si>
  <si>
    <t>Vehicle</t>
  </si>
  <si>
    <t>2023-03371</t>
  </si>
  <si>
    <t>Antonio  Savala</t>
  </si>
  <si>
    <t>Hypertensive Atherosclerotic Cardiovascular Disease</t>
  </si>
  <si>
    <t>1525 North Gateway Road</t>
  </si>
  <si>
    <t>Outdoors/Non-Public</t>
  </si>
  <si>
    <t>2023-03384</t>
  </si>
  <si>
    <t>Abraham Bekele</t>
  </si>
  <si>
    <t>Congestive Heart Failure</t>
  </si>
  <si>
    <t>2901 Schaffer Circle #3C</t>
  </si>
  <si>
    <t>2023-03431</t>
  </si>
  <si>
    <t>Patrick L. Duarte</t>
  </si>
  <si>
    <t>3815 E. Craig Road</t>
  </si>
  <si>
    <t>2023-03434</t>
  </si>
  <si>
    <t>Michael H. Ewy</t>
  </si>
  <si>
    <t>Cardiomyopathy</t>
  </si>
  <si>
    <t>Remote Myocardial Infarction</t>
  </si>
  <si>
    <t>Cardiomegaly secondary to Exogenous Steroid Use</t>
  </si>
  <si>
    <t>Environmental Heat Stress; Left Anterior Descending Coronary Artery Diagonal Branch Thrombosis</t>
  </si>
  <si>
    <t>11765 Discovery Canyon Drive</t>
  </si>
  <si>
    <t>2023-03508</t>
  </si>
  <si>
    <t>Jody W. Wallace</t>
  </si>
  <si>
    <t>Mixed Drug (Ketamine, Methamphetamine) Toxicity</t>
  </si>
  <si>
    <t>220 block of Pacific Ave</t>
  </si>
  <si>
    <t>1050 Galleria Drive</t>
  </si>
  <si>
    <t>2023-03561</t>
  </si>
  <si>
    <t>Brian D. Mapes</t>
  </si>
  <si>
    <t>Environmental Exposure with Dehydration</t>
  </si>
  <si>
    <t>Methamphetamine Toxicity, Atherosclerotic Cardiovascular Disease</t>
  </si>
  <si>
    <t>2029 E Charleston Boulevard</t>
  </si>
  <si>
    <t>2023-03639</t>
  </si>
  <si>
    <t>William  Hernandez</t>
  </si>
  <si>
    <t>Hyperthermia</t>
  </si>
  <si>
    <t>Methamphetamine Use</t>
  </si>
  <si>
    <t>3186 S. Maryland Pkwy.</t>
  </si>
  <si>
    <t>2023-03664</t>
  </si>
  <si>
    <t>Raymond Stevens</t>
  </si>
  <si>
    <t>Sequelae of Insulin-Dependent Diabetes Mellitus</t>
  </si>
  <si>
    <t>3401 N. Walnut Road #401</t>
  </si>
  <si>
    <t>2023-03667</t>
  </si>
  <si>
    <t>Imelda Harding</t>
  </si>
  <si>
    <t>Multi-Cultured</t>
  </si>
  <si>
    <t>6434 Mayfair Park Street</t>
  </si>
  <si>
    <t>3150 North Tenaya Way #350</t>
  </si>
  <si>
    <t>Hospice</t>
  </si>
  <si>
    <t>2023-03799</t>
  </si>
  <si>
    <t>Roderick  Azares</t>
  </si>
  <si>
    <t>Asian</t>
  </si>
  <si>
    <t>Arteriosclerotic cardiovascular disease</t>
  </si>
  <si>
    <t>Environmental heat exposure</t>
  </si>
  <si>
    <t>1300 Dressen Avenue</t>
  </si>
  <si>
    <t>3001 St. Rose Pkwy</t>
  </si>
  <si>
    <t>2023-03847</t>
  </si>
  <si>
    <t>Wayne R. Harrison</t>
  </si>
  <si>
    <t>Atherosclerotic cardiovascular disease</t>
  </si>
  <si>
    <t>Environmental heat stress</t>
  </si>
  <si>
    <t>MN</t>
  </si>
  <si>
    <t>133 S Falcon Ridge</t>
  </si>
  <si>
    <t>2023-03850</t>
  </si>
  <si>
    <t>Tyshon Gaston</t>
  </si>
  <si>
    <t>Hyperthermia and Thermal Injuries</t>
  </si>
  <si>
    <t>480 W. Bonanza Road</t>
  </si>
  <si>
    <t>620 Shadow Lane</t>
  </si>
  <si>
    <t>2023-03865</t>
  </si>
  <si>
    <t>Christopher Jerome Sanders</t>
  </si>
  <si>
    <t>Alcohol, Methamphetamine, and Fentanyl Intoxication</t>
  </si>
  <si>
    <t>1315 S. Main Street</t>
  </si>
  <si>
    <t>Business</t>
  </si>
  <si>
    <t>2023-03866</t>
  </si>
  <si>
    <t>Joseph T. Green</t>
  </si>
  <si>
    <t>Methamphetamine Intoxication</t>
  </si>
  <si>
    <t>3428 Lute Street</t>
  </si>
  <si>
    <t>2023-03878</t>
  </si>
  <si>
    <t>Alice M. Monzo</t>
  </si>
  <si>
    <t>Atherosclerotic Cardiovascular Disease; Renal Hypertension; Stage III Chronic Kidney Disease; Secondary Hyperparathyroidism; Hypothyroidism</t>
  </si>
  <si>
    <t>6420 East Tropicana Avenue #96</t>
  </si>
  <si>
    <t>2023-03881</t>
  </si>
  <si>
    <t>Gerald L. Drauden</t>
  </si>
  <si>
    <t>2545 Swan Lane</t>
  </si>
  <si>
    <t>2023-03886</t>
  </si>
  <si>
    <t>George  Steele</t>
  </si>
  <si>
    <t>3130 Mcleod Drive</t>
  </si>
  <si>
    <t>2023-03887</t>
  </si>
  <si>
    <t>John Monroe Adler</t>
  </si>
  <si>
    <t>4592 Laguna Vista Street</t>
  </si>
  <si>
    <t>9300 W. Sunset Rd.</t>
  </si>
  <si>
    <t>2023-03889</t>
  </si>
  <si>
    <t>Beau Gypsy Rollins</t>
  </si>
  <si>
    <t>Near 500 E Mesquite Avenue</t>
  </si>
  <si>
    <t>2023-03893</t>
  </si>
  <si>
    <t>Pamelee N. Torres</t>
  </si>
  <si>
    <t>4623 Maderaperla Street</t>
  </si>
  <si>
    <t>2023-03897</t>
  </si>
  <si>
    <t>Vivian B. Lopez</t>
  </si>
  <si>
    <t>Chronic Obstructive Pulmonary Disease; Environmental Heat Stress</t>
  </si>
  <si>
    <t>155 Betty Lane</t>
  </si>
  <si>
    <t>2023-03905</t>
  </si>
  <si>
    <t>Danny  Acevedo</t>
  </si>
  <si>
    <t>Environmental Hyperthermia</t>
  </si>
  <si>
    <t>2023-03908</t>
  </si>
  <si>
    <t>Gordon E. Hammond</t>
  </si>
  <si>
    <t xml:space="preserve">Atherosclerotic Cardiovascular Disease </t>
  </si>
  <si>
    <t>1675 Industrial Road</t>
  </si>
  <si>
    <t>2023-03913</t>
  </si>
  <si>
    <t>Pamela I. Lindus</t>
  </si>
  <si>
    <t>2023-03915</t>
  </si>
  <si>
    <t>Kenneth H. Brock</t>
  </si>
  <si>
    <t>Methamphetamine Toxicity</t>
  </si>
  <si>
    <t xml:space="preserve">Environmental Hyperthermia, Atherosclerotic Cardiovascular Disease </t>
  </si>
  <si>
    <t>1900 South Casino Drive</t>
  </si>
  <si>
    <t>2023-03921</t>
  </si>
  <si>
    <t>Ricky Daniels</t>
  </si>
  <si>
    <t>Recent methamphetamine use</t>
  </si>
  <si>
    <t>3930 S. University Center Drive</t>
  </si>
  <si>
    <t>2023-03928</t>
  </si>
  <si>
    <t>Michael D. Debee</t>
  </si>
  <si>
    <t>Chronic Obstructive Pulmonary Disease</t>
  </si>
  <si>
    <t>East Lake Mead Blvd and Bassler Street</t>
  </si>
  <si>
    <t>2023-03943</t>
  </si>
  <si>
    <t>Veldon Simpson</t>
  </si>
  <si>
    <t>Diabetes Mellitus; Environmental Heat Stress</t>
  </si>
  <si>
    <t>2984 Sun Lake Drive</t>
  </si>
  <si>
    <t>2023-03980</t>
  </si>
  <si>
    <t>Tyler Scott Campbell</t>
  </si>
  <si>
    <t>East Sahara Avenue &amp; Maryland Parkway</t>
  </si>
  <si>
    <t>2023-03981</t>
  </si>
  <si>
    <t>Edgar R. Valenzuela</t>
  </si>
  <si>
    <t>Chronic Alcohol Abuse and Sequelae thereof</t>
  </si>
  <si>
    <t>3535 Cambridge Street</t>
  </si>
  <si>
    <t>2023-04008</t>
  </si>
  <si>
    <t>Nakeia  Cole</t>
  </si>
  <si>
    <t>Blunt Force Injury of the Lower Cervical Spine</t>
  </si>
  <si>
    <t>2023-04019</t>
  </si>
  <si>
    <t>David M. Peterson</t>
  </si>
  <si>
    <t>Chronic Ethanolism</t>
  </si>
  <si>
    <t>2530 E Heather Court</t>
  </si>
  <si>
    <t>2023-04025</t>
  </si>
  <si>
    <t>Christina M. Casas</t>
  </si>
  <si>
    <t>College Drive &amp; Boulder Highway</t>
  </si>
  <si>
    <t>2023-04031</t>
  </si>
  <si>
    <t>Kenyon  Collins</t>
  </si>
  <si>
    <t>Cocaine and Phencyclidine Use</t>
  </si>
  <si>
    <t>J Street and Madison Avenue</t>
  </si>
  <si>
    <t>Roadway</t>
  </si>
  <si>
    <t>2023-04033</t>
  </si>
  <si>
    <t>Luis  Valdivia Cervantes</t>
  </si>
  <si>
    <t>2876 Playa Del Rey Street</t>
  </si>
  <si>
    <t>2023-04044</t>
  </si>
  <si>
    <t>Michael Donovan Campbell</t>
  </si>
  <si>
    <t>Environmental Heat Stress with Blunt Force Trauma of Torso</t>
  </si>
  <si>
    <t xml:space="preserve">Chronic Ethanolism with Cirrhosis of Liver </t>
  </si>
  <si>
    <t>6855 Bermuda Road</t>
  </si>
  <si>
    <t>2023-04053</t>
  </si>
  <si>
    <t>Lloyd Wendell Travis</t>
  </si>
  <si>
    <t>Acute Toxic Effects of Methamphetamine and Environmental Heat Stress</t>
  </si>
  <si>
    <t>2421 Losee Road</t>
  </si>
  <si>
    <t>2023-04058</t>
  </si>
  <si>
    <t>Joel M. Morris</t>
  </si>
  <si>
    <t>Acute Toxic Effects of Methamphetamine</t>
  </si>
  <si>
    <t>Valley View Blvd &amp; Harmon Ave</t>
  </si>
  <si>
    <t>2023-04069</t>
  </si>
  <si>
    <t>Marjorie Leserman</t>
  </si>
  <si>
    <t>Hypertensive and Atherosclerotic Cardiovascular Disease</t>
  </si>
  <si>
    <t>Hospital Inpatient</t>
  </si>
  <si>
    <t>2023-04087</t>
  </si>
  <si>
    <t>John L. Moten</t>
  </si>
  <si>
    <t>Chronic Renal Failure (Dialysis Dependent), Reported History of Agent Orange Exposure</t>
  </si>
  <si>
    <t>Natural</t>
  </si>
  <si>
    <t>2904 Avalon Avenue</t>
  </si>
  <si>
    <t>2023-04090</t>
  </si>
  <si>
    <t>Joshua R. Bestman</t>
  </si>
  <si>
    <t>Acute Toxic Effects of Methamphetamine and Diphenhydramine</t>
  </si>
  <si>
    <t>East Sahara Avenue and South Nellis Blvd</t>
  </si>
  <si>
    <t>2023-04098</t>
  </si>
  <si>
    <t>William T. Konie</t>
  </si>
  <si>
    <t>588 Beryl Court</t>
  </si>
  <si>
    <t>2023-04108</t>
  </si>
  <si>
    <t>Harriet Krause</t>
  </si>
  <si>
    <t>4541 East Ownes, #1</t>
  </si>
  <si>
    <t>2023-04112</t>
  </si>
  <si>
    <t>Steven M. Lopez</t>
  </si>
  <si>
    <t>5007 Tamarus Street</t>
  </si>
  <si>
    <t>2023-04113</t>
  </si>
  <si>
    <t>Fred E. Webb</t>
  </si>
  <si>
    <t>Acute Methamphetamine and Phencyclidine Toxicity</t>
  </si>
  <si>
    <t>Unknown</t>
  </si>
  <si>
    <t>2023-04117</t>
  </si>
  <si>
    <t>Melissa Berthiaume</t>
  </si>
  <si>
    <t>5540 Bisset Avenue</t>
  </si>
  <si>
    <t>2023-04118</t>
  </si>
  <si>
    <t>James M. Brandon</t>
  </si>
  <si>
    <t>1804 W. Bonanza Road</t>
  </si>
  <si>
    <t>2023-04119</t>
  </si>
  <si>
    <t>Joe F. Norman</t>
  </si>
  <si>
    <t>601 East Fremont Street</t>
  </si>
  <si>
    <t>601  East Fremont Street</t>
  </si>
  <si>
    <t>2023-04120</t>
  </si>
  <si>
    <t>Devin R. Duncan</t>
  </si>
  <si>
    <t>Acute Methamphetamine Toxicity and Environmental Heat Stress</t>
  </si>
  <si>
    <t>1600 N. Jones Boulevard</t>
  </si>
  <si>
    <t>2023-04121</t>
  </si>
  <si>
    <t>Timothy N. Marvin</t>
  </si>
  <si>
    <t>479 S. Moapa Valley Boulevard, Space #59</t>
  </si>
  <si>
    <t>2023-04123</t>
  </si>
  <si>
    <t>Orrin D. Lillie</t>
  </si>
  <si>
    <t>4121 East Ogden Avenue</t>
  </si>
  <si>
    <t>Other Residence</t>
  </si>
  <si>
    <t>2023-04124</t>
  </si>
  <si>
    <t>Charles D. Coss Jr.</t>
  </si>
  <si>
    <t>Atherosclerotic Cardiovascular Disease; Tobacco Use</t>
  </si>
  <si>
    <t>629 Holly Bush Court</t>
  </si>
  <si>
    <t>2023-04132</t>
  </si>
  <si>
    <t>Dawn Marie Ames</t>
  </si>
  <si>
    <t>Methamphetamine Use and Chronic Ethanolism</t>
  </si>
  <si>
    <t>2023-04136</t>
  </si>
  <si>
    <t>Pasquale Luisi</t>
  </si>
  <si>
    <t>Atherosclerotic and Hypertensive Cardiovascular Disease</t>
  </si>
  <si>
    <t>Diabetes Mellitus and Environmental Heat Stress</t>
  </si>
  <si>
    <t>3330 Rio Grande Street</t>
  </si>
  <si>
    <t>2023-04138</t>
  </si>
  <si>
    <t>Richard C. Adams</t>
  </si>
  <si>
    <t>Fentanyl Toxicity</t>
  </si>
  <si>
    <t>Environmental Heat Stress, Recent Methamphetamine Use</t>
  </si>
  <si>
    <t>500 Harris Street</t>
  </si>
  <si>
    <t>2023-04161</t>
  </si>
  <si>
    <t>Alfred V. Rodricks</t>
  </si>
  <si>
    <t>2023-04162</t>
  </si>
  <si>
    <t>Mary A. De Lara</t>
  </si>
  <si>
    <t>2023-04180</t>
  </si>
  <si>
    <t>Joseph L. Brady</t>
  </si>
  <si>
    <t>near Stewart Ave &amp; Casino Center Blvd</t>
  </si>
  <si>
    <t>2023-04181</t>
  </si>
  <si>
    <t>Gary A. Stevens</t>
  </si>
  <si>
    <t>Native American</t>
  </si>
  <si>
    <t>Hypertensive Heart Disease</t>
  </si>
  <si>
    <t>3546 Huerta Drive</t>
  </si>
  <si>
    <t>2023-04184</t>
  </si>
  <si>
    <t>Evelyn  Razzano</t>
  </si>
  <si>
    <t>Hypertensive and atherosclerotic cardiovascular disease</t>
  </si>
  <si>
    <t>315 Reber Drive</t>
  </si>
  <si>
    <t>2023-04202</t>
  </si>
  <si>
    <t>Dan  Bailey</t>
  </si>
  <si>
    <t>Obesity, Environmental Heat Stress</t>
  </si>
  <si>
    <t>2670 West Irene Street</t>
  </si>
  <si>
    <t>2023-04208</t>
  </si>
  <si>
    <t>Alexander Uberpakker</t>
  </si>
  <si>
    <t>Enviironmental Heat Stress</t>
  </si>
  <si>
    <t>1892 N Gateway Road</t>
  </si>
  <si>
    <t>2023-04209</t>
  </si>
  <si>
    <t>Richard Delano Norman</t>
  </si>
  <si>
    <t xml:space="preserve">Chronic Ethanolism </t>
  </si>
  <si>
    <t>1190 S. Mojave Rd. #211</t>
  </si>
  <si>
    <t>2023-04218</t>
  </si>
  <si>
    <t>Candie Ann Malone</t>
  </si>
  <si>
    <t>3620 Lincoln Road</t>
  </si>
  <si>
    <t>2023-04222</t>
  </si>
  <si>
    <t>Aldemar M. Sesmundo</t>
  </si>
  <si>
    <t>2208 Santa Rita Drive</t>
  </si>
  <si>
    <t>2023-04225</t>
  </si>
  <si>
    <t>Wendell Mann</t>
  </si>
  <si>
    <t>2825 Bluegrass Lane #1001</t>
  </si>
  <si>
    <t>2023-04226</t>
  </si>
  <si>
    <t>Martha Ochoa</t>
  </si>
  <si>
    <t>3544 Mountain Valley Drive</t>
  </si>
  <si>
    <t>2023-04229</t>
  </si>
  <si>
    <t>Kristina Bishop</t>
  </si>
  <si>
    <t>Construction/Industrial Site</t>
  </si>
  <si>
    <t>E. Cheyenne Ave and Abels Lane</t>
  </si>
  <si>
    <t>Storage Yard</t>
  </si>
  <si>
    <t>2023-04230</t>
  </si>
  <si>
    <t>Dustin E. McHenry</t>
  </si>
  <si>
    <t>1021 East Charleston Boulevard</t>
  </si>
  <si>
    <t>2023-04231</t>
  </si>
  <si>
    <t>Larry R. Bell</t>
  </si>
  <si>
    <t>Toxic Effects of Methamphetamine</t>
  </si>
  <si>
    <t>315 South Casino Center Boulevard</t>
  </si>
  <si>
    <t>2023-04235</t>
  </si>
  <si>
    <t>Patrick D. Leathers</t>
  </si>
  <si>
    <t>Methamphetamine Use and Chronic Ethanol Use</t>
  </si>
  <si>
    <t>5610 Ballinger Drive</t>
  </si>
  <si>
    <t>2023-04236</t>
  </si>
  <si>
    <t>Adam Job Waller</t>
  </si>
  <si>
    <t>2023-04240</t>
  </si>
  <si>
    <t>Jaime R. Vavra</t>
  </si>
  <si>
    <t>Diabetic Ketoacidosis</t>
  </si>
  <si>
    <t>4976 Stanley Avenue #3</t>
  </si>
  <si>
    <t>2023-04245</t>
  </si>
  <si>
    <t>Virginia  Wertz Wilson</t>
  </si>
  <si>
    <t>2651 Wyandotte Street, #225</t>
  </si>
  <si>
    <t>2023-04246</t>
  </si>
  <si>
    <t>Barbra S. Hickey</t>
  </si>
  <si>
    <t>Diabetes Mellitus; Hypertensive Cardiovascular Disease; Obesity</t>
  </si>
  <si>
    <t>1613 Ardmore Street</t>
  </si>
  <si>
    <t>2023-04249</t>
  </si>
  <si>
    <t>Elizabeth J. Veliu</t>
  </si>
  <si>
    <t>Recent Fentanyl and Methamphetamine Use</t>
  </si>
  <si>
    <t>2023-04253</t>
  </si>
  <si>
    <t>Robert  Russell</t>
  </si>
  <si>
    <t>Mixed Drug (Fentanyl, Methamphetamine) Toxicity</t>
  </si>
  <si>
    <t>Acute Pneumonia, Environmental Heat Stress</t>
  </si>
  <si>
    <t>2023-04254</t>
  </si>
  <si>
    <t>Rick McMurtry</t>
  </si>
  <si>
    <t xml:space="preserve">Mixed Drug (Heroin, Methamphetamine) Toxicity </t>
  </si>
  <si>
    <t>Environmental Heat Stress and Sequelae of Diabetes Mellitus</t>
  </si>
  <si>
    <t>5400 S. Rainbow Blvd.</t>
  </si>
  <si>
    <t>2023-04256</t>
  </si>
  <si>
    <t>Demetrius Pearson</t>
  </si>
  <si>
    <t>near E. Sahara Avenue &amp; Van Patten Stree</t>
  </si>
  <si>
    <t>2023-04257</t>
  </si>
  <si>
    <t>Terry A. Ball</t>
  </si>
  <si>
    <t>Environmental Heat Stress, Diabetes Mellitus, Obesity</t>
  </si>
  <si>
    <t>3094 Diamond Avenue</t>
  </si>
  <si>
    <t>2023-04259</t>
  </si>
  <si>
    <t>Phillip A. Lobosco</t>
  </si>
  <si>
    <t>Recent Methamphetamine Use</t>
  </si>
  <si>
    <t>Foremaster Lane</t>
  </si>
  <si>
    <t>2023-04260</t>
  </si>
  <si>
    <t>Jill Stahnke</t>
  </si>
  <si>
    <t>2023-04263</t>
  </si>
  <si>
    <t>Joy  Braxton</t>
  </si>
  <si>
    <t>Las Vegas Boulevard</t>
  </si>
  <si>
    <t>2023-04264</t>
  </si>
  <si>
    <t>Laurie Galloway</t>
  </si>
  <si>
    <t>Environmental Heat Stress, Hypertensive Cardiovascular Disease, Chronic Obstructive Pulmonary Disease, Hepatitis C Cirrhosis</t>
  </si>
  <si>
    <t>10525 Autumn Pine Avenue #203</t>
  </si>
  <si>
    <t>2023-04266</t>
  </si>
  <si>
    <t>John J. Signorello</t>
  </si>
  <si>
    <t>Methamphetamine  Use</t>
  </si>
  <si>
    <t>11th Street &amp; Carson Avenue</t>
  </si>
  <si>
    <t>2023-04267</t>
  </si>
  <si>
    <t>John E. Ivey</t>
  </si>
  <si>
    <t>Hypertensive Cardiomyopathy and Methamphetamine Use</t>
  </si>
  <si>
    <t>2023-04273</t>
  </si>
  <si>
    <t>Jose G. Hernandez</t>
  </si>
  <si>
    <t>North 28th Street &amp; East Elm Avenue</t>
  </si>
  <si>
    <t>2023-04276</t>
  </si>
  <si>
    <t>Janice  Simone Clayton</t>
  </si>
  <si>
    <t>1001 East Carey Avenue, #2-206</t>
  </si>
  <si>
    <t>2023-04278</t>
  </si>
  <si>
    <t>Robert Ferris</t>
  </si>
  <si>
    <t>3674 Hauck Street</t>
  </si>
  <si>
    <t>2023-04279</t>
  </si>
  <si>
    <t>Joaquin G. Gonzales</t>
  </si>
  <si>
    <t>Combined Toxic Effects of Fentanyl and Methamphetamine</t>
  </si>
  <si>
    <t>Hypertensive Heart Disease;  Environmental Heat Stress</t>
  </si>
  <si>
    <t>219 North 14th Street</t>
  </si>
  <si>
    <t>2023-04281</t>
  </si>
  <si>
    <t>Alberto Rojas</t>
  </si>
  <si>
    <t>3750 East Bonanza Road</t>
  </si>
  <si>
    <t>2023-04282</t>
  </si>
  <si>
    <t>Michael J. Jefferson</t>
  </si>
  <si>
    <t>Environmental Heat Stress, Hypertensive Cardiovascular Disease</t>
  </si>
  <si>
    <t>5866 Sassy Rose Dr</t>
  </si>
  <si>
    <t>2023-04283</t>
  </si>
  <si>
    <t>Andre R. Johnson</t>
  </si>
  <si>
    <t>69 North 30th Street</t>
  </si>
  <si>
    <t>2023-04287</t>
  </si>
  <si>
    <t>James Sundeen</t>
  </si>
  <si>
    <t>1500 North Las Vegas Boulevard</t>
  </si>
  <si>
    <t>2023-04288</t>
  </si>
  <si>
    <t>Mickey Marie Klinger</t>
  </si>
  <si>
    <t>10181 Deerfield Beach Avenue #201</t>
  </si>
  <si>
    <t>2023-04291</t>
  </si>
  <si>
    <t>Katie A. Levy</t>
  </si>
  <si>
    <t>4611 Mitchell Street</t>
  </si>
  <si>
    <t>2023-04292</t>
  </si>
  <si>
    <t>Kenneth Hilliard</t>
  </si>
  <si>
    <t>2023-04293</t>
  </si>
  <si>
    <t>Christina Seals</t>
  </si>
  <si>
    <t>Morbid Obesity</t>
  </si>
  <si>
    <t>3100 N. Tenaya Way</t>
  </si>
  <si>
    <t>2023-04295</t>
  </si>
  <si>
    <t>Philip E. Thomas</t>
  </si>
  <si>
    <t>5380 E. Flamingo Road, #19</t>
  </si>
  <si>
    <t>2023-04299</t>
  </si>
  <si>
    <t>Misty D. Turner</t>
  </si>
  <si>
    <t>Combined Effects of Fentanyl and Methamphetmaine</t>
  </si>
  <si>
    <t>1531 South Las Vegas Boulevard</t>
  </si>
  <si>
    <t>2023-04300</t>
  </si>
  <si>
    <t>Radee A. Majied</t>
  </si>
  <si>
    <t>near W. Colorado Ave &amp; Commerce St</t>
  </si>
  <si>
    <t>2023-04302</t>
  </si>
  <si>
    <t>Gerald A. Eggers</t>
  </si>
  <si>
    <t>Diabetes Mellitus, Environmental Heat Stress</t>
  </si>
  <si>
    <t>2901 East Sunset Road</t>
  </si>
  <si>
    <t>2023-04303</t>
  </si>
  <si>
    <t>Oksun Park (Soh)</t>
  </si>
  <si>
    <t>Hepatic Cirrhosis</t>
  </si>
  <si>
    <t>Chronic Hepatitis B Infection</t>
  </si>
  <si>
    <t>608 Byrnes Avenue</t>
  </si>
  <si>
    <t>2023-04306</t>
  </si>
  <si>
    <t>Dewitt M. Gould</t>
  </si>
  <si>
    <t>200 N. 28th Street</t>
  </si>
  <si>
    <t>School</t>
  </si>
  <si>
    <t>2023-04308</t>
  </si>
  <si>
    <t>Dennis L. Guy</t>
  </si>
  <si>
    <t>Dehydration</t>
  </si>
  <si>
    <t>4786 Powell Ave</t>
  </si>
  <si>
    <t>2023-04309</t>
  </si>
  <si>
    <t>Danielle  Tunnell</t>
  </si>
  <si>
    <t>3333 Losee Road</t>
  </si>
  <si>
    <t>2023-04312</t>
  </si>
  <si>
    <t>John L. Flack</t>
  </si>
  <si>
    <t>Chronic Ethanol Use</t>
  </si>
  <si>
    <t>3376 Dragon Fly Street</t>
  </si>
  <si>
    <t>2023-04315</t>
  </si>
  <si>
    <t>Michael G. Decamillo</t>
  </si>
  <si>
    <t xml:space="preserve">Fentanyl Intoxication </t>
  </si>
  <si>
    <t>2023-04316</t>
  </si>
  <si>
    <t>Gary E. Cochran</t>
  </si>
  <si>
    <t>3660 Boulder Highway, #42</t>
  </si>
  <si>
    <t>2023-04317</t>
  </si>
  <si>
    <t>Michelle South</t>
  </si>
  <si>
    <t>4141 University Center Drive</t>
  </si>
  <si>
    <t>2023-04319</t>
  </si>
  <si>
    <t>Arthur P. Warfield</t>
  </si>
  <si>
    <t>1400 S. Valley View Boulevard, #2153</t>
  </si>
  <si>
    <t>2023-04320</t>
  </si>
  <si>
    <t>Michael Emerson</t>
  </si>
  <si>
    <t>2023-04321</t>
  </si>
  <si>
    <t>Courtney Marie Haddix</t>
  </si>
  <si>
    <t>4700 E Harris Avenue</t>
  </si>
  <si>
    <t>2023-04322</t>
  </si>
  <si>
    <t>Richard S. Schackart</t>
  </si>
  <si>
    <t>N. Main St. / E. Bonanza Rd. - SE corner</t>
  </si>
  <si>
    <t>2023-04323</t>
  </si>
  <si>
    <t>Samuel D. Franklin</t>
  </si>
  <si>
    <t>Obesity and Sequelae thereof</t>
  </si>
  <si>
    <t>Parkinson's Disease, Environmental Heat Stress</t>
  </si>
  <si>
    <t>5487 Morning Swim Lane</t>
  </si>
  <si>
    <t>2023-04324</t>
  </si>
  <si>
    <t>Corina B. Briggs</t>
  </si>
  <si>
    <t>2023-04325</t>
  </si>
  <si>
    <t>Ezra A. Turner</t>
  </si>
  <si>
    <t>Methamphetamine and Fentanyl Toxicity</t>
  </si>
  <si>
    <t>5130 East Charleston Blvd</t>
  </si>
  <si>
    <t>2023-04327</t>
  </si>
  <si>
    <t>Henry R. Castillo</t>
  </si>
  <si>
    <t xml:space="preserve">Methamphetamine Toxicity </t>
  </si>
  <si>
    <t>Enivronmental Hyperthermia</t>
  </si>
  <si>
    <t>2319 Ellis Street</t>
  </si>
  <si>
    <t>2023-04328</t>
  </si>
  <si>
    <t>Wallace Burks</t>
  </si>
  <si>
    <t>4800 Spring Mountain Road</t>
  </si>
  <si>
    <t>2023-04331</t>
  </si>
  <si>
    <t>Dale V. King</t>
  </si>
  <si>
    <t>283 W. Mesquite Boulevard, Space #2</t>
  </si>
  <si>
    <t>2023-04332</t>
  </si>
  <si>
    <t>Carroll C Hilliard</t>
  </si>
  <si>
    <t>750 E. Colton Avenue</t>
  </si>
  <si>
    <t>2023-04333</t>
  </si>
  <si>
    <t>Jonnie  Harris</t>
  </si>
  <si>
    <t>1648 J Street</t>
  </si>
  <si>
    <t>2023-04334</t>
  </si>
  <si>
    <t>Jennifer A. Lindquist</t>
  </si>
  <si>
    <t>Las Vegas Blvd and Foremaster Ln</t>
  </si>
  <si>
    <t>2023-04337</t>
  </si>
  <si>
    <t>Chrystal P. Scott</t>
  </si>
  <si>
    <t>2504 Sunrise Street</t>
  </si>
  <si>
    <t>2023-04344</t>
  </si>
  <si>
    <t>Troy Hans Smithy</t>
  </si>
  <si>
    <t>3489 E. Owens Avenue</t>
  </si>
  <si>
    <t>2023-04347</t>
  </si>
  <si>
    <t>Julia P. Strahan</t>
  </si>
  <si>
    <t>6400 West Lake Mead Blvd.</t>
  </si>
  <si>
    <t>2023-04357</t>
  </si>
  <si>
    <t>Jenine Johnson</t>
  </si>
  <si>
    <t>Tobacco Use; Chronic Ethanol Use; Environmental Heat Stress</t>
  </si>
  <si>
    <t>2655 W. Lake Mead Boulevard #18-1139</t>
  </si>
  <si>
    <t>2023-04360</t>
  </si>
  <si>
    <t>Dennis L. Poole</t>
  </si>
  <si>
    <t>Fentanyl Toxicity, Recent Methamphetamine Use</t>
  </si>
  <si>
    <t>2023-04362</t>
  </si>
  <si>
    <t>Vance G. Bensen</t>
  </si>
  <si>
    <t>2245 N. Decatur Boulevard</t>
  </si>
  <si>
    <t>2023-04363</t>
  </si>
  <si>
    <t>Douglas E. Wolcott</t>
  </si>
  <si>
    <t>Pacemaker-Dependent Hypertensive and Atherosclerotic Cardiovascular Disease; Global Geriatric Decline</t>
  </si>
  <si>
    <t>2500 Karen Avenue, #171</t>
  </si>
  <si>
    <t>2023-04364</t>
  </si>
  <si>
    <t>Angelina Fleitas</t>
  </si>
  <si>
    <t>3516 East Webb Avenue</t>
  </si>
  <si>
    <t>2023-04365</t>
  </si>
  <si>
    <t>Remedios Ancelmo</t>
  </si>
  <si>
    <t>Global Geriatric Decline</t>
  </si>
  <si>
    <t>2023-04371</t>
  </si>
  <si>
    <t>Patrick Joseph Duffy</t>
  </si>
  <si>
    <t>5500 Mountain Vista Street #1028</t>
  </si>
  <si>
    <t>2023-04372</t>
  </si>
  <si>
    <t>Billy A. Nash</t>
  </si>
  <si>
    <t>238 W. Cleveland Avenue</t>
  </si>
  <si>
    <t>2023-04375</t>
  </si>
  <si>
    <t>Eugene Carson III</t>
  </si>
  <si>
    <t>Heroin Toxicity</t>
  </si>
  <si>
    <t>916 Balzar Avenue #2</t>
  </si>
  <si>
    <t>2023-04376</t>
  </si>
  <si>
    <t>Craig Knighton</t>
  </si>
  <si>
    <t>2104 Isabelle Avenue</t>
  </si>
  <si>
    <t>2023-04377</t>
  </si>
  <si>
    <t>William R. Frederick</t>
  </si>
  <si>
    <t>2023-04382</t>
  </si>
  <si>
    <t>Pamela A. Cruse</t>
  </si>
  <si>
    <t>E Charleston Blvd &amp; S Atlantic St</t>
  </si>
  <si>
    <t>2023-04385</t>
  </si>
  <si>
    <t>Gerald R. Tower</t>
  </si>
  <si>
    <t>Subdural Hemorrhage</t>
  </si>
  <si>
    <t>Ground-Level Fall</t>
  </si>
  <si>
    <t>4380 Donovan Way</t>
  </si>
  <si>
    <t>2023-04388</t>
  </si>
  <si>
    <t>Donald Bieber</t>
  </si>
  <si>
    <t>1335 Lorilyn Avenue</t>
  </si>
  <si>
    <t>2023-04389</t>
  </si>
  <si>
    <t>Miguel Vasquez-Andrade</t>
  </si>
  <si>
    <t xml:space="preserve">Hyponatremic Dehydration </t>
  </si>
  <si>
    <t>2437 North Las Vegas Blvd</t>
  </si>
  <si>
    <t>2023-04393</t>
  </si>
  <si>
    <t>Juan Hernandez Castillo</t>
  </si>
  <si>
    <t>Complications of Chronic Ethanolism</t>
  </si>
  <si>
    <t>5140 South Maryland Parkway</t>
  </si>
  <si>
    <t>2023-04394</t>
  </si>
  <si>
    <t>Terrence Jackson</t>
  </si>
  <si>
    <t>1740 East Fremont Street</t>
  </si>
  <si>
    <t>2023-04395</t>
  </si>
  <si>
    <t>Jonnie N. Wheeler</t>
  </si>
  <si>
    <t>3300 East Flamingo Road</t>
  </si>
  <si>
    <t>2023-04396</t>
  </si>
  <si>
    <t>Gary M. Collard</t>
  </si>
  <si>
    <t xml:space="preserve">Acute Methamphetamine and Amphetamine Toxicity </t>
  </si>
  <si>
    <t>Environmental Heat Stress; Moderate Coronary Artery Disease; Acute Angle Takeoff of Left and Right Coronary Arteries</t>
  </si>
  <si>
    <t>2023-04397</t>
  </si>
  <si>
    <t>James Morris</t>
  </si>
  <si>
    <t>Morbid Obesity; Environmental Heat Stress</t>
  </si>
  <si>
    <t>24 Aztec Road</t>
  </si>
  <si>
    <t>2023-04398</t>
  </si>
  <si>
    <t>Jessica Rosalie Rhodes</t>
  </si>
  <si>
    <t>2023-04399</t>
  </si>
  <si>
    <t>Diana Matienzo Rivera</t>
  </si>
  <si>
    <t>2023-04400</t>
  </si>
  <si>
    <t>Aaron R. Sanchez</t>
  </si>
  <si>
    <t>2023-04401</t>
  </si>
  <si>
    <t>Linda H. Gorman</t>
  </si>
  <si>
    <t xml:space="preserve">Obesity; Hypertensive and Atherosclerotic Cardiovascular Disease </t>
  </si>
  <si>
    <t>2023-04402</t>
  </si>
  <si>
    <t>Jose E. Gonzalez</t>
  </si>
  <si>
    <t>Acute Combined Ethanol and Drug Toxicity (Methamphetamine, Amphetamine)</t>
  </si>
  <si>
    <t>5160 Escondido Way</t>
  </si>
  <si>
    <t>2023-04406</t>
  </si>
  <si>
    <t>Mayben H. Naumu</t>
  </si>
  <si>
    <t>Pacific Islander</t>
  </si>
  <si>
    <t>Non-Specified Natural Disease Process</t>
  </si>
  <si>
    <t>Probable Environmental Heat Stress</t>
  </si>
  <si>
    <t>2836 Beacon Falls Way</t>
  </si>
  <si>
    <t>2023-04409</t>
  </si>
  <si>
    <t>Aaron J. Hamley</t>
  </si>
  <si>
    <t>Probable Heat Stroke</t>
  </si>
  <si>
    <t>Exposure to Elevated Environmental Temperatures</t>
  </si>
  <si>
    <t>815 E. Twain Avenue</t>
  </si>
  <si>
    <t>2023-04412</t>
  </si>
  <si>
    <t>Joseph B. Hill</t>
  </si>
  <si>
    <t>Methamphetamine and Methadone Toxicity</t>
  </si>
  <si>
    <t>2621 East Sahara Avenue</t>
  </si>
  <si>
    <t>2023-04414</t>
  </si>
  <si>
    <t>Lamar Albert</t>
  </si>
  <si>
    <t>2023-04420</t>
  </si>
  <si>
    <t>Glenn F. Quiocho</t>
  </si>
  <si>
    <t>2023-04422</t>
  </si>
  <si>
    <t>Joseph Allen Cavitt</t>
  </si>
  <si>
    <t>5600 Boulder Highway #K-2440</t>
  </si>
  <si>
    <t>2023-04423</t>
  </si>
  <si>
    <t>David Reichenbach</t>
  </si>
  <si>
    <t xml:space="preserve">Chronic Ethanolism, Atherosclerotic Cardiovascular Disease and Cardiac Valvular Disease </t>
  </si>
  <si>
    <t>2023-04425</t>
  </si>
  <si>
    <t>Arlene F. Meiner</t>
  </si>
  <si>
    <t>Hypernatremic Dehydration</t>
  </si>
  <si>
    <t>Exposure to Elevated Temperatures</t>
  </si>
  <si>
    <t xml:space="preserve">Probable Atherosclerotic Cardiovascular Disease </t>
  </si>
  <si>
    <t>1818 Santa Paula Drive</t>
  </si>
  <si>
    <t>2023-04426</t>
  </si>
  <si>
    <t>Carlos A. Arnal</t>
  </si>
  <si>
    <t>3467 W. Mardon Avenue</t>
  </si>
  <si>
    <t>2023-04427</t>
  </si>
  <si>
    <t>De la-Cruz, Roberto R.</t>
  </si>
  <si>
    <t>5439 E. Carey Avenue</t>
  </si>
  <si>
    <t>2023-04428</t>
  </si>
  <si>
    <t>Keith D. Smith</t>
  </si>
  <si>
    <t>Stewart Avenue &amp; N 28th Street</t>
  </si>
  <si>
    <t>2023-04430</t>
  </si>
  <si>
    <t>Eleesha Dorsey</t>
  </si>
  <si>
    <t>10500 Clark R. Petersen Blvd</t>
  </si>
  <si>
    <t>2023-04434</t>
  </si>
  <si>
    <t>Phet A. Cheuang</t>
  </si>
  <si>
    <t>Hypertensive Cardiovascular Disease; Subclinical Human Rhinovirus/Enterovirus Infection</t>
  </si>
  <si>
    <t>5881 E. Charleston Boulevard</t>
  </si>
  <si>
    <t>2023-04438</t>
  </si>
  <si>
    <t>Jon Jerold Kessler</t>
  </si>
  <si>
    <t>Heat Stroke</t>
  </si>
  <si>
    <t>Exposure to Elevated Outdoor Temperatures</t>
  </si>
  <si>
    <t>Sepsis Secondary to Pneumonia (Not Otherwise Specified)</t>
  </si>
  <si>
    <t>2023-04439</t>
  </si>
  <si>
    <t>Paul A. Williams</t>
  </si>
  <si>
    <t>Toxic Effects of Methamphetamine Use</t>
  </si>
  <si>
    <t>2023-04440</t>
  </si>
  <si>
    <t>Spencer C. Sanders</t>
  </si>
  <si>
    <t>Acute Cocaine Toxicity; Dilated Cardiomegaly</t>
  </si>
  <si>
    <t>335 East Harmon Avenue #74</t>
  </si>
  <si>
    <t>2023-04446</t>
  </si>
  <si>
    <t>Stephen R. Dickison</t>
  </si>
  <si>
    <t>2023-04451</t>
  </si>
  <si>
    <t>Mary Telora Ervin</t>
  </si>
  <si>
    <t>Morbid Obesity and Sequelae thereof</t>
  </si>
  <si>
    <t>3508 Hudson Bay Avenue</t>
  </si>
  <si>
    <t>2023-04452</t>
  </si>
  <si>
    <t>Lester R. Baker</t>
  </si>
  <si>
    <t>East Charleston Boulevard and Shiloah Dr</t>
  </si>
  <si>
    <t>2023-04454</t>
  </si>
  <si>
    <t>Nicholas A. Michaud</t>
  </si>
  <si>
    <t>Acute Methamphetamine and Fentanyl Toxicity</t>
  </si>
  <si>
    <t>2900 Stewart Avenue</t>
  </si>
  <si>
    <t>2023-04462</t>
  </si>
  <si>
    <t>Nicola E. Foss</t>
  </si>
  <si>
    <t>Acute Methamphetamine Toxicity; Atherosclerotic Cardiovascular Disease</t>
  </si>
  <si>
    <t>2023-04463</t>
  </si>
  <si>
    <t>Billy J. McFadden</t>
  </si>
  <si>
    <t>3215 S. Lamb Boulevard</t>
  </si>
  <si>
    <t>2023-04464</t>
  </si>
  <si>
    <t>David Snethen</t>
  </si>
  <si>
    <t>Diabetic Ketoacidosis, Hypertensive Cardiovascular Disease</t>
  </si>
  <si>
    <t>3 Renegades Mine Road</t>
  </si>
  <si>
    <t>2023-04469</t>
  </si>
  <si>
    <t>Joseph K. McLallen</t>
  </si>
  <si>
    <t>Emphysema</t>
  </si>
  <si>
    <t>H Street &amp; Bonanza Road</t>
  </si>
  <si>
    <t>2023-04470</t>
  </si>
  <si>
    <t>Urbano Ramirez-Campos</t>
  </si>
  <si>
    <t>Diabetes, Environmental Heat Stress</t>
  </si>
  <si>
    <t>2405 N. McCarran Street, Apt. C</t>
  </si>
  <si>
    <t>2023-04471</t>
  </si>
  <si>
    <t>Rosa Zaragoza</t>
  </si>
  <si>
    <t>2405 McCarran Street</t>
  </si>
  <si>
    <t>2023-04472</t>
  </si>
  <si>
    <t>Joshua Leonard Youngblood</t>
  </si>
  <si>
    <t>555 Maryland Parkway</t>
  </si>
  <si>
    <t>2023-04473</t>
  </si>
  <si>
    <t>Joshua A. Corella</t>
  </si>
  <si>
    <t>1723 East Charleston Boulevard</t>
  </si>
  <si>
    <t>2023-04478</t>
  </si>
  <si>
    <t>Rey Rafael I. De Guzman</t>
  </si>
  <si>
    <t>Autism</t>
  </si>
  <si>
    <t>4476 Avondale Avenue</t>
  </si>
  <si>
    <t>2023-04480</t>
  </si>
  <si>
    <t>Dennis A. Hart</t>
  </si>
  <si>
    <t>2400 Webster Street</t>
  </si>
  <si>
    <t>2023-04482</t>
  </si>
  <si>
    <t>James  Earl  Gray Jr</t>
  </si>
  <si>
    <t>Combined Effects of Recent Methamphetamine and Fentanyl Use</t>
  </si>
  <si>
    <t>2023-04485</t>
  </si>
  <si>
    <t>Janell Marie Ehry</t>
  </si>
  <si>
    <t>2023-04492</t>
  </si>
  <si>
    <t>Jason M. Young</t>
  </si>
  <si>
    <t>Environmental Heat Stress; Critically Severe Coronary Artery Atherosclerosis</t>
  </si>
  <si>
    <t>2920 Losee Road</t>
  </si>
  <si>
    <t>Tunnel</t>
  </si>
  <si>
    <t>2023-04499</t>
  </si>
  <si>
    <t>Carlos A. Mejia</t>
  </si>
  <si>
    <t>2613 E. Tonopah Avenue</t>
  </si>
  <si>
    <t>2023-04503</t>
  </si>
  <si>
    <t>James R. Bolin</t>
  </si>
  <si>
    <t>Russell Road east of Whitney Ranch Drive</t>
  </si>
  <si>
    <t>2023-04505</t>
  </si>
  <si>
    <t>Gary Caldwell</t>
  </si>
  <si>
    <t>6350 Boulder Highway</t>
  </si>
  <si>
    <t>2023-04507</t>
  </si>
  <si>
    <t>Ismael G. Hernandez</t>
  </si>
  <si>
    <t xml:space="preserve">Mixed drug (Fentanyl, Methamphetamine) Toxicity </t>
  </si>
  <si>
    <t>2023-04514</t>
  </si>
  <si>
    <t>Ardella  Lindsey</t>
  </si>
  <si>
    <t>3210 South Sandhill Road, #336</t>
  </si>
  <si>
    <t>2023-04517</t>
  </si>
  <si>
    <t>Emanuel D. Smith</t>
  </si>
  <si>
    <t>4th Street / Adams Avenue</t>
  </si>
  <si>
    <t>2023-04519</t>
  </si>
  <si>
    <t>Luis  Molina Jr</t>
  </si>
  <si>
    <t>2023-04520</t>
  </si>
  <si>
    <t>Austin J. Law-Williams</t>
  </si>
  <si>
    <t>4110 S. Maryland Parkway</t>
  </si>
  <si>
    <t>2023-04521</t>
  </si>
  <si>
    <t>Ulisses Vargas</t>
  </si>
  <si>
    <t xml:space="preserve">Toxic Effects of Olanzapine </t>
  </si>
  <si>
    <t>2023-04522</t>
  </si>
  <si>
    <t>Richard  Glasoe</t>
  </si>
  <si>
    <t>Chronic Obstructive Pulmonary Disease and Environmental Heat Stress</t>
  </si>
  <si>
    <t>4800 Kisha Avenue</t>
  </si>
  <si>
    <t>2023-04527</t>
  </si>
  <si>
    <t>Rick D. Apodaca</t>
  </si>
  <si>
    <t>2011 East Lake Mead Boulevard</t>
  </si>
  <si>
    <t>2023-04528</t>
  </si>
  <si>
    <t>Brandi S. Fixico</t>
  </si>
  <si>
    <t>5681 Boulder Highway</t>
  </si>
  <si>
    <t>2023-04529</t>
  </si>
  <si>
    <t>Faith Dennis</t>
  </si>
  <si>
    <t>Fentanyl and Methamphetamine Use</t>
  </si>
  <si>
    <t>North 16th Street &amp; Marlin Avenue</t>
  </si>
  <si>
    <t>2023-04532</t>
  </si>
  <si>
    <t>Douglas W. Forristall</t>
  </si>
  <si>
    <t>Hypertensive-Type Cardiovascular Disease</t>
  </si>
  <si>
    <t>2023-04535</t>
  </si>
  <si>
    <t>Elizabeth S. Mooney</t>
  </si>
  <si>
    <t>9901 Trailwood Drive #2077</t>
  </si>
  <si>
    <t>2023-04536</t>
  </si>
  <si>
    <t>Clifford Allen Jr.</t>
  </si>
  <si>
    <t>2020 North Rainbow Boulevard</t>
  </si>
  <si>
    <t>2023-04550</t>
  </si>
  <si>
    <t>Robert  Silas</t>
  </si>
  <si>
    <t>Black</t>
  </si>
  <si>
    <t>9394 Roping Cowboy Avenue</t>
  </si>
  <si>
    <t>2023-04551</t>
  </si>
  <si>
    <t>Stephen T. Chopp</t>
  </si>
  <si>
    <t>Drug Intoxication: Methamphetamine, Aripiprazole; Hypertensive-Type Cardiovascular Disease</t>
  </si>
  <si>
    <t>1700 Poplar Avenue</t>
  </si>
  <si>
    <t>2023-04557</t>
  </si>
  <si>
    <t>Kimball  Niemisto</t>
  </si>
  <si>
    <t>NB I15 past Speedway Boulevard</t>
  </si>
  <si>
    <t>2023-04558</t>
  </si>
  <si>
    <t>Ross P. Boomhower</t>
  </si>
  <si>
    <t>Drug Intoxication: Methamphetamine, Fentanyl; Hypertensive-Type Cardiovascular Disease</t>
  </si>
  <si>
    <t>5712 Missouri Avenue</t>
  </si>
  <si>
    <t>2023-04562</t>
  </si>
  <si>
    <t>Regina Kemp</t>
  </si>
  <si>
    <t>Cardiovascular Disease</t>
  </si>
  <si>
    <t>4323 Paramount Street</t>
  </si>
  <si>
    <t>2023-04564</t>
  </si>
  <si>
    <t>Pablo A. Posadas</t>
  </si>
  <si>
    <t>6145 East Harrison Drive</t>
  </si>
  <si>
    <t>2023-04571</t>
  </si>
  <si>
    <t>Vincent B. Yabut</t>
  </si>
  <si>
    <t>Drug Intoxication: Methamphetamine</t>
  </si>
  <si>
    <t>3290 S. Nellis Blvd.</t>
  </si>
  <si>
    <t>2023-04572</t>
  </si>
  <si>
    <t>Anthony J. Grace</t>
  </si>
  <si>
    <t>Chronic Obstructive Pulmonary Disease, Cardiovascular Disease</t>
  </si>
  <si>
    <t>3601 East Wyoming Avenue, #100A</t>
  </si>
  <si>
    <t>2023-04574</t>
  </si>
  <si>
    <t>Javier Martinez</t>
  </si>
  <si>
    <t>2023-04575</t>
  </si>
  <si>
    <t>David M. Verbenec</t>
  </si>
  <si>
    <t>Atherosclerotic Cardiovascular Disease, Probable Diabetes Mellitus</t>
  </si>
  <si>
    <t>4600 Baxter Place</t>
  </si>
  <si>
    <t>2023-04577</t>
  </si>
  <si>
    <t>Damon B. Damico</t>
  </si>
  <si>
    <t>2023-04579</t>
  </si>
  <si>
    <t>Anthony  Montiel</t>
  </si>
  <si>
    <t>Mixed Drug (Fentanyl, Methamphetamine, Probable Heroin) Intoxication</t>
  </si>
  <si>
    <t>3915 East Charleston Boulevard</t>
  </si>
  <si>
    <t>2023-04581</t>
  </si>
  <si>
    <t>Linda L. Harris</t>
  </si>
  <si>
    <t>Valvular, Atherosclerotic and Hypertensive Cardiovascular Disease; Pulmonary Fibrosis; Dementia</t>
  </si>
  <si>
    <t>N36.04519, W-114.57606</t>
  </si>
  <si>
    <t>2023-04583</t>
  </si>
  <si>
    <t>Kristoffer Stubsjoen</t>
  </si>
  <si>
    <t>4733 Amazing View Street</t>
  </si>
  <si>
    <t>2023-04585</t>
  </si>
  <si>
    <t>Steven D. Wollnick</t>
  </si>
  <si>
    <t>2112 Western Avenue</t>
  </si>
  <si>
    <t>2023-04594</t>
  </si>
  <si>
    <t>Curtis K. Cain</t>
  </si>
  <si>
    <t>Mixed Drug (Fentanyl, Methamphetamine) Intoxication</t>
  </si>
  <si>
    <t xml:space="preserve">Environmental Heat Exposure </t>
  </si>
  <si>
    <t>Charleston Boulevard &amp; Bruce Street</t>
  </si>
  <si>
    <t>2023-04603</t>
  </si>
  <si>
    <t>April R. Crabtree</t>
  </si>
  <si>
    <t>6059 W Oakey Boulevard</t>
  </si>
  <si>
    <t>2023-04604</t>
  </si>
  <si>
    <t>Dennis E. Wade</t>
  </si>
  <si>
    <t>2810 W. Charleston Boulevard</t>
  </si>
  <si>
    <t>2023-04605</t>
  </si>
  <si>
    <t>Lonnie H. Hill</t>
  </si>
  <si>
    <t>White</t>
  </si>
  <si>
    <t>3660 Boulder Highway #31F</t>
  </si>
  <si>
    <t>2023-04607</t>
  </si>
  <si>
    <t>Thomas Jensen</t>
  </si>
  <si>
    <t>7910 Firethorn Lane</t>
  </si>
  <si>
    <t>2023-04608</t>
  </si>
  <si>
    <t>Susan Suiter</t>
  </si>
  <si>
    <t>2023-04609</t>
  </si>
  <si>
    <t>Michael J. Gray</t>
  </si>
  <si>
    <t xml:space="preserve">Pulmonary Emphysema </t>
  </si>
  <si>
    <t>2460 W. Warm Springs Road</t>
  </si>
  <si>
    <t>2023-04610</t>
  </si>
  <si>
    <t>Williams Bouer</t>
  </si>
  <si>
    <t>Drug Toxicity: Methamphetamine; Atherosclerotic Cardiovascular Disease</t>
  </si>
  <si>
    <t>Hospital Trauma</t>
  </si>
  <si>
    <t>2023-04613</t>
  </si>
  <si>
    <t>Anthony R. Gallego</t>
  </si>
  <si>
    <t>2023-04616</t>
  </si>
  <si>
    <t>Nedeljko Vujicic</t>
  </si>
  <si>
    <t>Acute and Chronic Ethanol Use</t>
  </si>
  <si>
    <t>8597 West Sahara Avenue</t>
  </si>
  <si>
    <t>2023-04617</t>
  </si>
  <si>
    <t>Monica D. Yslas</t>
  </si>
  <si>
    <t>Drug Intoxication: Methamphetamine, Fentanyl</t>
  </si>
  <si>
    <t>1624 Palm Street #224</t>
  </si>
  <si>
    <t>2023-04619</t>
  </si>
  <si>
    <t>Mike Nelson</t>
  </si>
  <si>
    <t>25 East Horizon Ridge Parkway</t>
  </si>
  <si>
    <t>2023-04620</t>
  </si>
  <si>
    <t>Charles O. Anderson</t>
  </si>
  <si>
    <t>4441 W. Charleston Boulevard</t>
  </si>
  <si>
    <t>2023-04626</t>
  </si>
  <si>
    <t>Robert E. Rego</t>
  </si>
  <si>
    <t>Hypertensive and Atherosclerotic Cardiovascular Disease, Diabetes Mellitus</t>
  </si>
  <si>
    <t>5335 Silvermist Court #202</t>
  </si>
  <si>
    <t>2023-04629</t>
  </si>
  <si>
    <t>Lemoina Chapman</t>
  </si>
  <si>
    <t>S. Industrial Road and Western Avenue</t>
  </si>
  <si>
    <t>2023-04646</t>
  </si>
  <si>
    <t>Elizabeth Cannon</t>
  </si>
  <si>
    <t>2023-04648</t>
  </si>
  <si>
    <t>Melvin R. Smith</t>
  </si>
  <si>
    <t>2023-04651</t>
  </si>
  <si>
    <t>Anthony  Joseph Green</t>
  </si>
  <si>
    <t>107 S. Las Vegas Boulevard</t>
  </si>
  <si>
    <t>2023-04656</t>
  </si>
  <si>
    <t>Saundra Parish</t>
  </si>
  <si>
    <t>3850 Leonard Street</t>
  </si>
  <si>
    <t>2023-04667</t>
  </si>
  <si>
    <t>Juan R. Morales Jr.</t>
  </si>
  <si>
    <t>2023-04675</t>
  </si>
  <si>
    <t>Wayne K. Choo</t>
  </si>
  <si>
    <t>2800 S. Lamb Blvd Spc 112</t>
  </si>
  <si>
    <t>2023-04679</t>
  </si>
  <si>
    <t>Leroy N. Parker</t>
  </si>
  <si>
    <t>1004 North 17th Street</t>
  </si>
  <si>
    <t>2023-04690</t>
  </si>
  <si>
    <t>Jackie L. Cormany</t>
  </si>
  <si>
    <t>1825 Goldfield Street #6</t>
  </si>
  <si>
    <t>2023-04693</t>
  </si>
  <si>
    <t>Robert O. Cofield</t>
  </si>
  <si>
    <t>S Town Center Drive &amp; W Sahara Avenue</t>
  </si>
  <si>
    <t>2023-04694</t>
  </si>
  <si>
    <t>Raymond P. Ornelas</t>
  </si>
  <si>
    <t>2601 East Sunset Road</t>
  </si>
  <si>
    <t>2023-04718</t>
  </si>
  <si>
    <t>Lowell J. Wellman</t>
  </si>
  <si>
    <t>1303 Palmwood Street</t>
  </si>
  <si>
    <t>2023-04732</t>
  </si>
  <si>
    <t>Deborah L. Weiner</t>
  </si>
  <si>
    <t>3080 Garnet Court</t>
  </si>
  <si>
    <t>2023-04733</t>
  </si>
  <si>
    <t>Zachary B. Weiner</t>
  </si>
  <si>
    <t>2023-04745</t>
  </si>
  <si>
    <t>Beatrice Warrenburg</t>
  </si>
  <si>
    <t>Choking on Food Bolus</t>
  </si>
  <si>
    <t>Burns due to Environmental Heat</t>
  </si>
  <si>
    <t>121 Wildshire Way</t>
  </si>
  <si>
    <t>2023-04753</t>
  </si>
  <si>
    <t>Karen A. Shultenburg</t>
  </si>
  <si>
    <t>Alzheimer's Dementia; Environmental Heat Stress</t>
  </si>
  <si>
    <t>3669 Cottage Canyon Street</t>
  </si>
  <si>
    <t>2023-04766</t>
  </si>
  <si>
    <t>Aaron R. Smith</t>
  </si>
  <si>
    <t>2023-04767</t>
  </si>
  <si>
    <t>Michael Mikolitis</t>
  </si>
  <si>
    <t>3201 S. Mojave Road</t>
  </si>
  <si>
    <t>2023-04769</t>
  </si>
  <si>
    <t>Kenneth Fehrman</t>
  </si>
  <si>
    <t>2038 Palm Street #223</t>
  </si>
  <si>
    <t>2023-04770</t>
  </si>
  <si>
    <t>Marc E. Coats</t>
  </si>
  <si>
    <t>1208 S. Las Vegas Boulevard</t>
  </si>
  <si>
    <t>2023-04773</t>
  </si>
  <si>
    <t>Gregory Holen</t>
  </si>
  <si>
    <t>2023-04805</t>
  </si>
  <si>
    <t>John D. Reedy</t>
  </si>
  <si>
    <t>Acute Angle Takeoff of the Left and Right Coronary Arteries</t>
  </si>
  <si>
    <t>035.748181N, -115.363290W</t>
  </si>
  <si>
    <t>2023-04819</t>
  </si>
  <si>
    <t>Justin D. Jasset</t>
  </si>
  <si>
    <t>E Oquendo Road &amp; McLeod Drive</t>
  </si>
  <si>
    <t>2023-04822</t>
  </si>
  <si>
    <t>Robert Pane</t>
  </si>
  <si>
    <t>Pneumonia, Hypertensive Heart Disease</t>
  </si>
  <si>
    <t>3530 Routte Way</t>
  </si>
  <si>
    <t>360 S Lola Ln</t>
  </si>
  <si>
    <t>2023-04826</t>
  </si>
  <si>
    <t>Sandra K. Gibbs</t>
  </si>
  <si>
    <t>Pulmonary Fibrosis</t>
  </si>
  <si>
    <t>1420 Tree Line Drive #1047</t>
  </si>
  <si>
    <t>2023-04839</t>
  </si>
  <si>
    <t>Arthur P. Boyer</t>
  </si>
  <si>
    <t>Atherosclerotic Cardiovascular Disease, Tobacco Use, Recent Methamphetamine Use</t>
  </si>
  <si>
    <t>2023-04840</t>
  </si>
  <si>
    <t>Keith A. Frick</t>
  </si>
  <si>
    <t>Clinical History of Schizophrenia (per history)</t>
  </si>
  <si>
    <t>1027 Laurel Avenue</t>
  </si>
  <si>
    <t>2023-04868</t>
  </si>
  <si>
    <t>Corita Rhoden</t>
  </si>
  <si>
    <t>near 715 Harrison Avenue</t>
  </si>
  <si>
    <t>2023-04875</t>
  </si>
  <si>
    <t>June M. Branco</t>
  </si>
  <si>
    <t>400 South Martin Luther King Boulevard</t>
  </si>
  <si>
    <t>2023-04877</t>
  </si>
  <si>
    <t>Michael M. Phegley</t>
  </si>
  <si>
    <t>7400 Pirates Cove Road., #209</t>
  </si>
  <si>
    <t>2023-04911</t>
  </si>
  <si>
    <t>Manuel Flores</t>
  </si>
  <si>
    <t>Chronic Methamphetamine Use; Hypertensive Cardiovascular Disease</t>
  </si>
  <si>
    <t>Lake Shore Drive</t>
  </si>
  <si>
    <t>2023-04931</t>
  </si>
  <si>
    <t>Demetrius R. Edwards</t>
  </si>
  <si>
    <t>Recent Cocaine Use</t>
  </si>
  <si>
    <t>2401 North Street</t>
  </si>
  <si>
    <t>2023-04945</t>
  </si>
  <si>
    <t>Jordan Aden</t>
  </si>
  <si>
    <t>7350 West Cheyenne Avenue</t>
  </si>
  <si>
    <t>2023-04947</t>
  </si>
  <si>
    <t>Nathan L. Foster</t>
  </si>
  <si>
    <t>Fentanyl and Methamphetamine Toxicity</t>
  </si>
  <si>
    <t>S. Highland Ave, south of Western Ave</t>
  </si>
  <si>
    <t>2023-04965</t>
  </si>
  <si>
    <t>Anthony Hauser</t>
  </si>
  <si>
    <t>370 East Harmon Avenue #Q315</t>
  </si>
  <si>
    <t>2023-04986</t>
  </si>
  <si>
    <t>Natan Zaichick</t>
  </si>
  <si>
    <t>Combined Drug Toxicity</t>
  </si>
  <si>
    <t>1003 East Lake Mead Boulevard</t>
  </si>
  <si>
    <t>2023-05005</t>
  </si>
  <si>
    <t>Robert J. Turkovic</t>
  </si>
  <si>
    <t>Cirrhosis; Environmental Heat Stress</t>
  </si>
  <si>
    <t>1604 E. St. Louis Avenue</t>
  </si>
  <si>
    <t>2023-05007</t>
  </si>
  <si>
    <t>Michael W. Minor</t>
  </si>
  <si>
    <t>1171 W. Dyer Road, Unit B</t>
  </si>
  <si>
    <t>2023-05020</t>
  </si>
  <si>
    <t>Rogelio L. Lim</t>
  </si>
  <si>
    <t>4505 Paradise Road #J1115</t>
  </si>
  <si>
    <t>2023-05026</t>
  </si>
  <si>
    <t>Gregory A. Eldridge</t>
  </si>
  <si>
    <t>Environmental Heat Stress and Hypertensive Cardiovascular Disease</t>
  </si>
  <si>
    <t>2200 S. Las Vegas Boulevard</t>
  </si>
  <si>
    <t>2023-05029</t>
  </si>
  <si>
    <t>Virginia Molina-Cervantes</t>
  </si>
  <si>
    <t>2581 Rafferty Creek Lane</t>
  </si>
  <si>
    <t>2023-05247</t>
  </si>
  <si>
    <t>John Taormino</t>
  </si>
  <si>
    <t xml:space="preserve">Probable Acute on Chronic Myocardial Infarction </t>
  </si>
  <si>
    <t>1111 N. Lamb Blvd #132</t>
  </si>
  <si>
    <t>2023-05266</t>
  </si>
  <si>
    <t>Ricardo Vizcarra</t>
  </si>
  <si>
    <t>Vegas Valley Drive  &amp; Tree Line Drive</t>
  </si>
  <si>
    <t>2023-05283</t>
  </si>
  <si>
    <t>David F. Wilt</t>
  </si>
  <si>
    <t>Drug Intoxication: Methamphetamine; Chronic Obstructive Pulmonary Disease; Atherosclerotic and Hypertensive-Type Cardiovascular Disease</t>
  </si>
  <si>
    <t>2121 Peyton Drive</t>
  </si>
  <si>
    <t>2023-05294</t>
  </si>
  <si>
    <t>Sue A. McHale</t>
  </si>
  <si>
    <t>Tobacco Use, Environmental Heat Stress</t>
  </si>
  <si>
    <t>8112 Kinsella Way</t>
  </si>
  <si>
    <t>2023-05331</t>
  </si>
  <si>
    <t>James A. Fowler</t>
  </si>
  <si>
    <t>2023-05335</t>
  </si>
  <si>
    <t>Quatalone Y. McClain</t>
  </si>
  <si>
    <t>2023-05340</t>
  </si>
  <si>
    <t>Linda D. Harper</t>
  </si>
  <si>
    <t>Drug Toxicity: Methamphetamine</t>
  </si>
  <si>
    <t>3257 Tularosa Lane</t>
  </si>
  <si>
    <t>2023-05355</t>
  </si>
  <si>
    <t>Frank L. Honish Jr.</t>
  </si>
  <si>
    <t>Acute Ethanol Intoxication; Atherosclerotic Cardiovascular Disease</t>
  </si>
  <si>
    <t>721 South Casino Center Boulevard</t>
  </si>
  <si>
    <t>2023-05359</t>
  </si>
  <si>
    <t>Tyrone R. Salton</t>
  </si>
  <si>
    <t xml:space="preserve">Acute Methamphetamine Toxicity </t>
  </si>
  <si>
    <t>Hypertensive Cardiovascular Disease, Environmental Heat Stress</t>
  </si>
  <si>
    <t>2023-05412</t>
  </si>
  <si>
    <t>Leroy Talayumptewa</t>
  </si>
  <si>
    <t>Second Degree Thermal Injuries; Acute and Chronic Ethanol Abuse; Hypertensive Atherosclerotic Cardiovascular Disease; Diabetes Mellitus</t>
  </si>
  <si>
    <t>3421 East Andy Devine Avenue</t>
  </si>
  <si>
    <t>Hotel/Motel</t>
  </si>
  <si>
    <t>2023-05415</t>
  </si>
  <si>
    <t>Michael P. Christ</t>
  </si>
  <si>
    <t>Right Inguinal Hernia with Incarcerated Ischemic Bowel, Environmental Heat Stress</t>
  </si>
  <si>
    <t>4611 E Mitchell Street</t>
  </si>
  <si>
    <t>2023-05487</t>
  </si>
  <si>
    <t>Timothy Vance</t>
  </si>
  <si>
    <t>Hyperthermia with Thermocutaneous Injury</t>
  </si>
  <si>
    <t>Down Syndrome</t>
  </si>
  <si>
    <t>2023-05540</t>
  </si>
  <si>
    <t>Jack Gray</t>
  </si>
  <si>
    <t>Sammy Davis Jr. / Circus Circus (NE)</t>
  </si>
  <si>
    <t>2023-05609</t>
  </si>
  <si>
    <t>Adam J. Stormwind</t>
  </si>
  <si>
    <t>1521 Franklin Ave</t>
  </si>
  <si>
    <t>2023-05640</t>
  </si>
  <si>
    <t>Paris Scales</t>
  </si>
  <si>
    <t>Mixed Drugs (Cocaine, Opiate, and Probable Methamphetamine) Toxicity</t>
  </si>
  <si>
    <t>2650 Sherwood Street #12</t>
  </si>
  <si>
    <t>2023-05651</t>
  </si>
  <si>
    <t>Monica J. McGuire</t>
  </si>
  <si>
    <t xml:space="preserve">Mixed Drug (Heroin, Methamphetamine, Diazepam) Intoxication </t>
  </si>
  <si>
    <t>4055 University Center Drive, #210</t>
  </si>
  <si>
    <t>2023-05704</t>
  </si>
  <si>
    <t>David Figueroa</t>
  </si>
  <si>
    <t>2023-05872</t>
  </si>
  <si>
    <t>William Widmier</t>
  </si>
  <si>
    <t>Cardiomyopathy (Implant dependent)</t>
  </si>
  <si>
    <t xml:space="preserve">Chronic Obstructive Pulmonary Disease, Silicosis exposure, obesity and chronic ethanol use. </t>
  </si>
  <si>
    <t>Nevada</t>
  </si>
  <si>
    <t>13568 Racel Street</t>
  </si>
  <si>
    <t>Residence</t>
  </si>
  <si>
    <t>2023-05879</t>
  </si>
  <si>
    <t>Lorraine M. Beasley</t>
  </si>
  <si>
    <t>Cocaine use, Hypertensive Cardiovascular Disease, Diabetes Mellitus and thermal injuries</t>
  </si>
  <si>
    <t>Hospices</t>
  </si>
  <si>
    <t>2023-05880</t>
  </si>
  <si>
    <t>Allen F. Guthrie</t>
  </si>
  <si>
    <t>2240 Highpoint Drive</t>
  </si>
  <si>
    <t>2023-05903</t>
  </si>
  <si>
    <t>Lana Formato</t>
  </si>
  <si>
    <t>Cardiac Arrhythmia</t>
  </si>
  <si>
    <t>Dehydration with Hyperglycemia, Exposure to Elevated Ambient Temperatures and Exhaust Fumes</t>
  </si>
  <si>
    <t>10284 Tresor Court</t>
  </si>
  <si>
    <t>Garage</t>
  </si>
  <si>
    <t>2023-06215</t>
  </si>
  <si>
    <t>Otto Gerard</t>
  </si>
  <si>
    <t>Metastatic Spindle Cell Sarcoma</t>
  </si>
  <si>
    <t xml:space="preserve">Agent Orange Exposure </t>
  </si>
  <si>
    <t>4316 Veranda Hill Court</t>
  </si>
  <si>
    <t>2024-00141</t>
  </si>
  <si>
    <t>Charles S. Batrin</t>
  </si>
  <si>
    <t xml:space="preserve">Sequelae of Heat Stroke and Thermocutaneous Injury </t>
  </si>
  <si>
    <t>HIV/AIDs, Hepatitis C, Hypertensive Cardiovascular Disease</t>
  </si>
  <si>
    <t>8025 Amigo Street</t>
  </si>
  <si>
    <t>Health care service</t>
  </si>
  <si>
    <t>2022-01217</t>
  </si>
  <si>
    <t>Evelyn  Turner</t>
  </si>
  <si>
    <t>Hyperthermia and Sequelae Thereof</t>
  </si>
  <si>
    <t>Hypertensive Cardiovascular Disease, Obesity and Borderline Diabetes Mellitus</t>
  </si>
  <si>
    <t>6201 East Lake Mead Bouldard #258</t>
  </si>
  <si>
    <t>2022-02977</t>
  </si>
  <si>
    <t>Stephen Robert Gray</t>
  </si>
  <si>
    <t>3640 N. Las Vegas Boulevard #29</t>
  </si>
  <si>
    <t>2022-02997</t>
  </si>
  <si>
    <t>Louis  Washington</t>
  </si>
  <si>
    <t>S. Cactus Avenue and Durango Drive</t>
  </si>
  <si>
    <t>8280 W. Warm Springs Rd.</t>
  </si>
  <si>
    <t>2022-03003</t>
  </si>
  <si>
    <t>John  Berry</t>
  </si>
  <si>
    <t>Recent Use of Methamphetamine</t>
  </si>
  <si>
    <t>3921 Mary Lou Street</t>
  </si>
  <si>
    <t>2022-03062</t>
  </si>
  <si>
    <t>Tommie Lee Kennedy</t>
  </si>
  <si>
    <t>2022-03093</t>
  </si>
  <si>
    <t>Maria Christina Marruffo</t>
  </si>
  <si>
    <t>682 Canfield Point Avenue</t>
  </si>
  <si>
    <t>2022-03155</t>
  </si>
  <si>
    <t>Christopher M Hollingsworth</t>
  </si>
  <si>
    <t>2909 West Washington Avenue</t>
  </si>
  <si>
    <t>2022-03205</t>
  </si>
  <si>
    <t>John W. Locke</t>
  </si>
  <si>
    <t>Dilated Cardiomyopathy</t>
  </si>
  <si>
    <t>Environmental Heat Stress and Heavy Metal Poisoning due to Pica</t>
  </si>
  <si>
    <t>I-215 and Charleston Boulevard</t>
  </si>
  <si>
    <t>657 N. Town Center Dr.</t>
  </si>
  <si>
    <t>2022-03313</t>
  </si>
  <si>
    <t>Robert Neil Cheatham</t>
  </si>
  <si>
    <t>Shadow Lane and Travis Jason Ave.</t>
  </si>
  <si>
    <t>2022-03347</t>
  </si>
  <si>
    <t>Fletcher L. Johnson</t>
  </si>
  <si>
    <t xml:space="preserve">Environmental Heat Stress and Methamphetamine Intoxication </t>
  </si>
  <si>
    <t>921 S. Las Vegas Boulevard</t>
  </si>
  <si>
    <t>2022-03431</t>
  </si>
  <si>
    <t>Wayne K. Banks</t>
  </si>
  <si>
    <t>South of 936 N. Main Street</t>
  </si>
  <si>
    <t>2022-03442</t>
  </si>
  <si>
    <t>Maurice G Eppenger</t>
  </si>
  <si>
    <t>2022-03468</t>
  </si>
  <si>
    <t>Sau Wong</t>
  </si>
  <si>
    <t>8123 Fairfield Crescent Court</t>
  </si>
  <si>
    <t>2022-03472</t>
  </si>
  <si>
    <t>Jean  Zale</t>
  </si>
  <si>
    <t>5709 Whale Rock Street</t>
  </si>
  <si>
    <t>2022-03491</t>
  </si>
  <si>
    <t>Michael L. Williams</t>
  </si>
  <si>
    <t>Clozapine Toxicity</t>
  </si>
  <si>
    <t>4603 W. Desert Inn Road</t>
  </si>
  <si>
    <t>2022-03494</t>
  </si>
  <si>
    <t>Herbert Yazzie</t>
  </si>
  <si>
    <t>2022-03500</t>
  </si>
  <si>
    <t>Dishond T. Diggs</t>
  </si>
  <si>
    <t>Combined Effects of Methamphetamine and Phencyclidine</t>
  </si>
  <si>
    <t>Dehydration and Environmental Heat Stress</t>
  </si>
  <si>
    <t>2022-03530</t>
  </si>
  <si>
    <t>Alexander T. Stellakis</t>
  </si>
  <si>
    <t>Overpass above Tropicana Avenue</t>
  </si>
  <si>
    <t>6900 N. Durango Dr.</t>
  </si>
  <si>
    <t>2022-03534</t>
  </si>
  <si>
    <t>Jeffery T. Chasteen</t>
  </si>
  <si>
    <t>Methamphetamine Toxicity, Hypertensive and Atherosclerotic Cardiovascular Disease</t>
  </si>
  <si>
    <t>1400 North Decatur Boulevard</t>
  </si>
  <si>
    <t>2022-03536</t>
  </si>
  <si>
    <t>Thurman S. Hearn</t>
  </si>
  <si>
    <t>2022-03537</t>
  </si>
  <si>
    <t>Michael J. Janis</t>
  </si>
  <si>
    <t xml:space="preserve">Hypertensive Heart Disease, Methadone Toxicity </t>
  </si>
  <si>
    <t>100 East Pioneer Road</t>
  </si>
  <si>
    <t>2022-03539</t>
  </si>
  <si>
    <t>Elizabeth A. Collinsworth</t>
  </si>
  <si>
    <t>Atherosclerotic and hypertensive cardiovascular disease, dementia</t>
  </si>
  <si>
    <t>Owens avenue and Sandy Lane</t>
  </si>
  <si>
    <t>2022-03547</t>
  </si>
  <si>
    <t>Brian D. Smith</t>
  </si>
  <si>
    <t>Exposure to Elevated Environmental Temperature</t>
  </si>
  <si>
    <t>1270 Burnham Avenue</t>
  </si>
  <si>
    <t>2022-03554</t>
  </si>
  <si>
    <t>Edward A. Bembo</t>
  </si>
  <si>
    <t>Casino Center Boulevard</t>
  </si>
  <si>
    <t>Casino Center</t>
  </si>
  <si>
    <t>2022-03556</t>
  </si>
  <si>
    <t>Parrish L. Stewart</t>
  </si>
  <si>
    <t>Acute renal failure</t>
  </si>
  <si>
    <t>Rhabdomyolysis</t>
  </si>
  <si>
    <t>Heat stroke</t>
  </si>
  <si>
    <t>523 East Oakey Boulevard</t>
  </si>
  <si>
    <t>2022-03560</t>
  </si>
  <si>
    <t>Justin V. Hill</t>
  </si>
  <si>
    <t>Chronic Obstructive Pulmomary Disease and Cirrhosis</t>
  </si>
  <si>
    <t>1501 Las Vegas Boulevard N.</t>
  </si>
  <si>
    <t>2022-03569</t>
  </si>
  <si>
    <t>Tavion V. Mack</t>
  </si>
  <si>
    <t>3646 Las Vegas Boulevard North</t>
  </si>
  <si>
    <t>2022-03579</t>
  </si>
  <si>
    <t>Carolyn Sue Brown</t>
  </si>
  <si>
    <t>3700 East Bonanza Road #5-2047</t>
  </si>
  <si>
    <t>2022-03591</t>
  </si>
  <si>
    <t>Sheryl Davis-Smith</t>
  </si>
  <si>
    <t>1601 Sandhill Road, Space 236</t>
  </si>
  <si>
    <t>2022-03615</t>
  </si>
  <si>
    <t>Andrew Michael Carroll</t>
  </si>
  <si>
    <t>2067 N. Las Vegas Boulevard, Space 33</t>
  </si>
  <si>
    <t>2022-03651</t>
  </si>
  <si>
    <t>Orlando Max Malone</t>
  </si>
  <si>
    <t>4450 Spring Mountain Road</t>
  </si>
  <si>
    <t>2022-03685</t>
  </si>
  <si>
    <t>Joel Riverol</t>
  </si>
  <si>
    <t>3725 W. Russell Road</t>
  </si>
  <si>
    <t>2022-03793</t>
  </si>
  <si>
    <t>Flora   Serrano Rodriguez</t>
  </si>
  <si>
    <t>Dementia, Atherosclerotic Cardiovascular Disease</t>
  </si>
  <si>
    <t>2022-03835</t>
  </si>
  <si>
    <t>Roberta Carol Stock</t>
  </si>
  <si>
    <t>Hypertensive cardiovascular disease</t>
  </si>
  <si>
    <t>Chronic obstructive pulmonary disease, diabetes mellitus, and environmental heat stress</t>
  </si>
  <si>
    <t>8576 W. Lake Mead Boulevard</t>
  </si>
  <si>
    <t>2022-03866</t>
  </si>
  <si>
    <t>Marc S. Stroud</t>
  </si>
  <si>
    <t>Atherosclerotic and hypertensive heart disease</t>
  </si>
  <si>
    <t>10012 W  Flamingo Road</t>
  </si>
  <si>
    <t>2022-03871</t>
  </si>
  <si>
    <t>Jennifer L. Davis</t>
  </si>
  <si>
    <t>2022-03881</t>
  </si>
  <si>
    <t>Daniel D. Nickels</t>
  </si>
  <si>
    <t>S. Pecos Road and E. Patrick Lane</t>
  </si>
  <si>
    <t>2022-03886</t>
  </si>
  <si>
    <t>Melvin W. Wooden</t>
  </si>
  <si>
    <t>Environmental Heat Stress, Methamphetamine Use</t>
  </si>
  <si>
    <t>3975 E. Lake Mead BlvdSpace #116</t>
  </si>
  <si>
    <t>2022-03897</t>
  </si>
  <si>
    <t>Janice D. Ernest</t>
  </si>
  <si>
    <t>Atherosclerotic Heart Disease</t>
  </si>
  <si>
    <t>1323 Comstock Drive</t>
  </si>
  <si>
    <t>2022-03916</t>
  </si>
  <si>
    <t>Genesis  Holley</t>
  </si>
  <si>
    <t>Probable Hyperthermia</t>
  </si>
  <si>
    <t>Lake Mead Blvd. and Las Vegas Blvd.</t>
  </si>
  <si>
    <t>2022-03926</t>
  </si>
  <si>
    <t>Albert   Uribe</t>
  </si>
  <si>
    <t>Environmental Heat Stress; Tobacco Use</t>
  </si>
  <si>
    <t>4712 Red Rose Lane</t>
  </si>
  <si>
    <t>2022-03936</t>
  </si>
  <si>
    <t>Itoko  Gould</t>
  </si>
  <si>
    <t xml:space="preserve">Environmental Heat Stress; Alzheimer's Disease </t>
  </si>
  <si>
    <t>401 Suburst Drive</t>
  </si>
  <si>
    <t>2022-03941</t>
  </si>
  <si>
    <t>Karey L. Parker</t>
  </si>
  <si>
    <t>Methamphetamine Toxicity and Environmental Heat Stress</t>
  </si>
  <si>
    <t xml:space="preserve">Dilated Cardiomyopathy </t>
  </si>
  <si>
    <t>329 N. Las Vegas Boulevard</t>
  </si>
  <si>
    <t>2022-03963</t>
  </si>
  <si>
    <t>Leroy K. Aldana</t>
  </si>
  <si>
    <t xml:space="preserve">Methamphetamine Intoxication </t>
  </si>
  <si>
    <t>2022-03981</t>
  </si>
  <si>
    <t>Denny Toirac</t>
  </si>
  <si>
    <t xml:space="preserve">Acute Intoxication by Methamphetamine </t>
  </si>
  <si>
    <t>2022-03987</t>
  </si>
  <si>
    <t>Tevya Lee Shaver</t>
  </si>
  <si>
    <t>2813 Cacto Court</t>
  </si>
  <si>
    <t>2022-04025</t>
  </si>
  <si>
    <t>James Jennings</t>
  </si>
  <si>
    <t>Hypertensive and Atherosclerotic Cardiovascular Disease; Chronic Obstructive Pulmonary Disease</t>
  </si>
  <si>
    <t>5039 Merrill Avenue</t>
  </si>
  <si>
    <t>2022-04048</t>
  </si>
  <si>
    <t>Ryan A. Poole</t>
  </si>
  <si>
    <t xml:space="preserve">Environmental Heat Stress; Hypernatremic Dehydration </t>
  </si>
  <si>
    <t>near 3230 E. Charleston Boulevard</t>
  </si>
  <si>
    <t>2022-04063</t>
  </si>
  <si>
    <t>Roland Bilodeau</t>
  </si>
  <si>
    <t>Hypertensive heart disease</t>
  </si>
  <si>
    <t>3210 S. Sandhill Road #2-323</t>
  </si>
  <si>
    <t>2022-04067</t>
  </si>
  <si>
    <t>Richard Pryor</t>
  </si>
  <si>
    <t>100 S. Boulder Highway</t>
  </si>
  <si>
    <t>2022-04068</t>
  </si>
  <si>
    <t>Glenda Bedford</t>
  </si>
  <si>
    <t>3907 Rose Canyon Drive</t>
  </si>
  <si>
    <t>2022-04077</t>
  </si>
  <si>
    <t>Donald Joseph Walker</t>
  </si>
  <si>
    <t>Combined Effects of Methamphetamine, Fentanyl, Morphine and Ethanol</t>
  </si>
  <si>
    <t>1825 Lewis Ave</t>
  </si>
  <si>
    <t>2022-04085</t>
  </si>
  <si>
    <t>Peter  Post</t>
  </si>
  <si>
    <t>2022-04104</t>
  </si>
  <si>
    <t>Anthony Carmine Bosco</t>
  </si>
  <si>
    <t>2022-04105</t>
  </si>
  <si>
    <t>Robert Gipson</t>
  </si>
  <si>
    <t>6016 Boulder Highway</t>
  </si>
  <si>
    <t>2022-04111</t>
  </si>
  <si>
    <t>James Gary Wells</t>
  </si>
  <si>
    <t>Acute Fentanyl and Oxycodone Toxicity</t>
  </si>
  <si>
    <t>Environmental Heat Stress, Chronic Obstructive Pulmonary Disease, and COVID-19</t>
  </si>
  <si>
    <t>1397 W. Galleria Drive</t>
  </si>
  <si>
    <t>2022-04113</t>
  </si>
  <si>
    <t>Jeffrey Frank Armstrong</t>
  </si>
  <si>
    <t>4355 San Cascina Street</t>
  </si>
  <si>
    <t>2022-04115</t>
  </si>
  <si>
    <t>Lester L. Cortez</t>
  </si>
  <si>
    <t>3995 E. Charleston Boulevard</t>
  </si>
  <si>
    <t>2022-04129</t>
  </si>
  <si>
    <t>Hailey Martin Gonzalez</t>
  </si>
  <si>
    <t>Multiorgan Dysfunction Syndrome</t>
  </si>
  <si>
    <t>Methamphetamine Intoxication and Blunt Force Trauma</t>
  </si>
  <si>
    <t>Las Vegas Blvd &amp; Searles Ave</t>
  </si>
  <si>
    <t>2022-04134</t>
  </si>
  <si>
    <t>Hermelinda  Jacobo</t>
  </si>
  <si>
    <t>Cerebrovascular Atherosclerosis and Seizure Disorder</t>
  </si>
  <si>
    <t>1720 W. Craig Road</t>
  </si>
  <si>
    <t>2022-04139</t>
  </si>
  <si>
    <t>Frank A. Zavatsky</t>
  </si>
  <si>
    <t>Methamphetamine Toxicity; Atherosclerotic and Hypertensive Cardiovascular Disease</t>
  </si>
  <si>
    <t>2022-04152</t>
  </si>
  <si>
    <t>Jesus  Garcia</t>
  </si>
  <si>
    <t>120 N Pico Way</t>
  </si>
  <si>
    <t>2022-04185</t>
  </si>
  <si>
    <t>Harry C. Sawyer</t>
  </si>
  <si>
    <t>near 12501 Apex Great Basin Way</t>
  </si>
  <si>
    <t>2022-04186</t>
  </si>
  <si>
    <t>Michel Jenkins</t>
  </si>
  <si>
    <t>3130 Basswood Circle</t>
  </si>
  <si>
    <t>2022-04190</t>
  </si>
  <si>
    <t>Esther C. Lumalu</t>
  </si>
  <si>
    <t>2022-04195</t>
  </si>
  <si>
    <t>Evan Lee Blind</t>
  </si>
  <si>
    <t>2022-04213</t>
  </si>
  <si>
    <t>Cody John Gutierrez</t>
  </si>
  <si>
    <t>UT</t>
  </si>
  <si>
    <t>1001 Sunset Road</t>
  </si>
  <si>
    <t>2075 E. Flamingo Rd.</t>
  </si>
  <si>
    <t>2022-04215</t>
  </si>
  <si>
    <t>Eileen Helen Finne</t>
  </si>
  <si>
    <t>Environmental Heat Stress, Atherosclerotic and Hypertensive Cardiovascular Disease</t>
  </si>
  <si>
    <t>N. 5th Street &amp; Judson Avenue</t>
  </si>
  <si>
    <t>2022-04224</t>
  </si>
  <si>
    <t>Michael R. Kline</t>
  </si>
  <si>
    <t>East Flamingo Road and Spencer Street</t>
  </si>
  <si>
    <t>2022-04232</t>
  </si>
  <si>
    <t>Mark E. Cook</t>
  </si>
  <si>
    <t>Acute Alcohol Use</t>
  </si>
  <si>
    <t>5600 Boulder Highway</t>
  </si>
  <si>
    <t>2022-04237</t>
  </si>
  <si>
    <t>Kevin Durbin</t>
  </si>
  <si>
    <t>Environmental Heat Stress associated with Methamphetamine Use</t>
  </si>
  <si>
    <t>2213 Paradise Road</t>
  </si>
  <si>
    <t>2022-04258</t>
  </si>
  <si>
    <t>Kevin Sherman</t>
  </si>
  <si>
    <t>2975 South Nellis Blvd.</t>
  </si>
  <si>
    <t>2022-04267</t>
  </si>
  <si>
    <t>Sean P. Nelson</t>
  </si>
  <si>
    <t>2601 Sunset Road</t>
  </si>
  <si>
    <t>2022-04275</t>
  </si>
  <si>
    <t>Julio Rafael Vargas</t>
  </si>
  <si>
    <t>212 E. Owens Ave</t>
  </si>
  <si>
    <t>2022-04277</t>
  </si>
  <si>
    <t>Ralph L. Mitchell</t>
  </si>
  <si>
    <t>6001 W Cheyenne Avenue</t>
  </si>
  <si>
    <t>2022-04282</t>
  </si>
  <si>
    <t>William James Davis</t>
  </si>
  <si>
    <t>2022-04311</t>
  </si>
  <si>
    <t>Kenneth A. Joblin</t>
  </si>
  <si>
    <t>Environmental Heat Stress, Atherosclerotic Cardiovascular Disease</t>
  </si>
  <si>
    <t>Stephanie Street</t>
  </si>
  <si>
    <t>2022-04352</t>
  </si>
  <si>
    <t>Juan M. Moreno</t>
  </si>
  <si>
    <t>near Flamingo Road and Koval Lane</t>
  </si>
  <si>
    <t>2022-04353</t>
  </si>
  <si>
    <t>Park H. Bigelow</t>
  </si>
  <si>
    <t>9350 S. Cimarron Road #1030</t>
  </si>
  <si>
    <t>2022-04360</t>
  </si>
  <si>
    <t>Kayla  Brehmer</t>
  </si>
  <si>
    <t>Toxic Effects of Methamphetamine and Heroin Use</t>
  </si>
  <si>
    <t>6401 West Charleston Boulevard</t>
  </si>
  <si>
    <t>2022-04363</t>
  </si>
  <si>
    <t>Robert  Barton</t>
  </si>
  <si>
    <t>Acute Renal Failure</t>
  </si>
  <si>
    <t>Heat Stroke due to Exertion in Elevated Environmental Temperatures</t>
  </si>
  <si>
    <t xml:space="preserve">Acute Myocardial Infarction </t>
  </si>
  <si>
    <t>2022-04372</t>
  </si>
  <si>
    <t>Denise  Lum</t>
  </si>
  <si>
    <t>900 Samoy Street</t>
  </si>
  <si>
    <t>2022-04373</t>
  </si>
  <si>
    <t>David W. Woods</t>
  </si>
  <si>
    <t>4290 Boulder Highway</t>
  </si>
  <si>
    <t>2022-04377</t>
  </si>
  <si>
    <t>Mark  Steven Child</t>
  </si>
  <si>
    <t>2022-04402</t>
  </si>
  <si>
    <t>James Mayer</t>
  </si>
  <si>
    <t>Pacer-Dependent Cardiomyopathy</t>
  </si>
  <si>
    <t>2501 Wigwam Parkway #418</t>
  </si>
  <si>
    <t>2022-04412</t>
  </si>
  <si>
    <t>Gerardo M. Gausin</t>
  </si>
  <si>
    <t>Methamphetamine Use, Atherosclerotic Heart Disease</t>
  </si>
  <si>
    <t>1455 N. Main Street</t>
  </si>
  <si>
    <t>2022-04423</t>
  </si>
  <si>
    <t>Michael Alan Lau</t>
  </si>
  <si>
    <t xml:space="preserve">Hypertensive Heart Disease </t>
  </si>
  <si>
    <t>West Hafen Lane &amp; Sunset Greens Way</t>
  </si>
  <si>
    <t>2022-04428</t>
  </si>
  <si>
    <t>Carlos  Espinosa Caldera</t>
  </si>
  <si>
    <t>Emvironmental Heat Stress</t>
  </si>
  <si>
    <t>3100 block of East Sunset Road</t>
  </si>
  <si>
    <t>2022-04430</t>
  </si>
  <si>
    <t>Horton L. Ivory</t>
  </si>
  <si>
    <t>2022-04434</t>
  </si>
  <si>
    <t>Harold  Flores</t>
  </si>
  <si>
    <t>1930 E. Charleston Boulevard</t>
  </si>
  <si>
    <t>2022-04436</t>
  </si>
  <si>
    <t>Andrea Lee Stall</t>
  </si>
  <si>
    <t>Environemental Heat Stress</t>
  </si>
  <si>
    <t xml:space="preserve">Methamphetamine Use </t>
  </si>
  <si>
    <t>4700 Paradise Rd</t>
  </si>
  <si>
    <t>2022-04437</t>
  </si>
  <si>
    <t>Daniel Wright</t>
  </si>
  <si>
    <t>190 E. Flamingo Road</t>
  </si>
  <si>
    <t>2022-04438</t>
  </si>
  <si>
    <t>Lorraine  Widmer</t>
  </si>
  <si>
    <t>568 Pearberry Ave</t>
  </si>
  <si>
    <t>2022-04455</t>
  </si>
  <si>
    <t>Colette  Ramirez</t>
  </si>
  <si>
    <t>2022-04457</t>
  </si>
  <si>
    <t>Dustin Morgan Crocker</t>
  </si>
  <si>
    <t>Recent Methamphetamine and Probable Heroin Use, Environmental Heat Stress</t>
  </si>
  <si>
    <t>4900 block of Linda Avenue</t>
  </si>
  <si>
    <t>2022-04458</t>
  </si>
  <si>
    <t>Daniel Andres Asuncion</t>
  </si>
  <si>
    <t>200 E. Flamingo Road</t>
  </si>
  <si>
    <t>2022-04471</t>
  </si>
  <si>
    <t>Mary  Lindner</t>
  </si>
  <si>
    <t>2217 Beverly Way</t>
  </si>
  <si>
    <t>2022-04473</t>
  </si>
  <si>
    <t>Scott E. Blakemore</t>
  </si>
  <si>
    <t>Phencyclidine Use</t>
  </si>
  <si>
    <t>W. Washington Avenue &amp; N. D Street</t>
  </si>
  <si>
    <t>2022-04475</t>
  </si>
  <si>
    <t>Derrick L. Byron</t>
  </si>
  <si>
    <t>Acute Methamphetamine and Heroin Toxicity</t>
  </si>
  <si>
    <t>Neon Gateway and Western Avenue</t>
  </si>
  <si>
    <t>2022-04476</t>
  </si>
  <si>
    <t>Judith  Pontejos</t>
  </si>
  <si>
    <t>Atherosclerotic and hypertensive cardiovascular disease</t>
  </si>
  <si>
    <t>Diabetes mellitus and environmental heat stress</t>
  </si>
  <si>
    <t>579 Primrose Hill Ave</t>
  </si>
  <si>
    <t>2022-04477</t>
  </si>
  <si>
    <t>Paul Oswald Jagger</t>
  </si>
  <si>
    <t>Recent Methamphetamine Use, Environmental Heat Stress</t>
  </si>
  <si>
    <t>5269 S. Eastern Avenue</t>
  </si>
  <si>
    <t>2022-04487</t>
  </si>
  <si>
    <t>Gary J. Weber</t>
  </si>
  <si>
    <t>Methamphetamine Use and Environmental Heat Stress</t>
  </si>
  <si>
    <t>2022-04488</t>
  </si>
  <si>
    <t>Benjamin Lee Beatty</t>
  </si>
  <si>
    <t>4505 West Charleston Boulevard</t>
  </si>
  <si>
    <t>2022-04504</t>
  </si>
  <si>
    <t>Dion Hunt</t>
  </si>
  <si>
    <t>1023 Fremont Street</t>
  </si>
  <si>
    <t>2022-04555</t>
  </si>
  <si>
    <t>Rodney D. Vaughn</t>
  </si>
  <si>
    <t>Toxic Effects of Methamphetamine and Cocaine</t>
  </si>
  <si>
    <t>Park Paseo &amp; S. Las Vegas Boulevard</t>
  </si>
  <si>
    <t>2022-04593</t>
  </si>
  <si>
    <t>Tomasz Brynk</t>
  </si>
  <si>
    <t>Complications of environmental heat strain</t>
  </si>
  <si>
    <t>657 Town Center Drive</t>
  </si>
  <si>
    <t>2022-04595</t>
  </si>
  <si>
    <t>Elenda  Waltz</t>
  </si>
  <si>
    <t>400 S. 1st Street</t>
  </si>
  <si>
    <t>2022-04604</t>
  </si>
  <si>
    <t>Peter S. Pandelis</t>
  </si>
  <si>
    <t>Recent Cocaine Use and Coronary Artery Thrombus</t>
  </si>
  <si>
    <t>Hoyt Avenue and Euclid Avenue</t>
  </si>
  <si>
    <t>2022-04614</t>
  </si>
  <si>
    <t>Joshua L. Pacheco</t>
  </si>
  <si>
    <t>2022-04666</t>
  </si>
  <si>
    <t>Penelope A Witherspoon</t>
  </si>
  <si>
    <t>Probable environmental heat exposure</t>
  </si>
  <si>
    <t xml:space="preserve"> Diabetes mellitus, hypertensive cardiovascular disease</t>
  </si>
  <si>
    <t>1917 Crystal Glen Court</t>
  </si>
  <si>
    <t>2022-04672</t>
  </si>
  <si>
    <t>Gale L. Paulson</t>
  </si>
  <si>
    <t>Hypertensive cardiovascular disease, diabetes mellitus</t>
  </si>
  <si>
    <t>168 Vance Court</t>
  </si>
  <si>
    <t>2022-04709</t>
  </si>
  <si>
    <t>Justin  Mays</t>
  </si>
  <si>
    <t xml:space="preserve">Environmental Heat Stress; History of COVID-19 Viral Infection </t>
  </si>
  <si>
    <t>36°5'27- N, 114°, 59'32- W</t>
  </si>
  <si>
    <t>2022-04743</t>
  </si>
  <si>
    <t>Evayne J. Martin-Coen</t>
  </si>
  <si>
    <t>Long-Term Tobacco Use</t>
  </si>
  <si>
    <t>2315 St. Joseph Street</t>
  </si>
  <si>
    <t>2022-04805</t>
  </si>
  <si>
    <t>Ronald Laurence Berger</t>
  </si>
  <si>
    <t>1021 East Paradise Hills Drive</t>
  </si>
  <si>
    <t>2022-04815</t>
  </si>
  <si>
    <t>Rolando Marcelo</t>
  </si>
  <si>
    <t>3963 Visby Lane</t>
  </si>
  <si>
    <t>2022-04819</t>
  </si>
  <si>
    <t>Shelton Santiago</t>
  </si>
  <si>
    <t>2301 Sunrise Avenue</t>
  </si>
  <si>
    <t>2022-04850</t>
  </si>
  <si>
    <t>Patrick H. Parks</t>
  </si>
  <si>
    <t xml:space="preserve">Chronic Ethanolism and Fentanyl Toxicity </t>
  </si>
  <si>
    <t>Sands Avenue</t>
  </si>
  <si>
    <t>2022-04876</t>
  </si>
  <si>
    <t>Rosa M. Gonzalez-Decampo</t>
  </si>
  <si>
    <t>4770 Topaz Street, #93</t>
  </si>
  <si>
    <t>2022-04894</t>
  </si>
  <si>
    <t>Markeeta Norma Figueroa</t>
  </si>
  <si>
    <t>2022-04949</t>
  </si>
  <si>
    <t>Melissa  Nicole Burnson</t>
  </si>
  <si>
    <t>Methamphetamine Use, Hypertensive Heart Disease</t>
  </si>
  <si>
    <t>7180 Dean Martin Drive</t>
  </si>
  <si>
    <t>2022-04971</t>
  </si>
  <si>
    <t>Daryl Shanon Methvin</t>
  </si>
  <si>
    <t>129 Elm Street</t>
  </si>
  <si>
    <t>2022-04986</t>
  </si>
  <si>
    <t>Paris L Collins</t>
  </si>
  <si>
    <t>Environmental Heat Stress; Cervical Vertebral Fracture</t>
  </si>
  <si>
    <t>2022-05012</t>
  </si>
  <si>
    <t>Christian Blair</t>
  </si>
  <si>
    <t>West of N Texas Star Ln and W Coran Ln</t>
  </si>
  <si>
    <t>West of N Texas Star Ln and W  Coran Ln</t>
  </si>
  <si>
    <t>2022-05028</t>
  </si>
  <si>
    <t>Corey A. Middleton</t>
  </si>
  <si>
    <t>Environmental Heat Stress with Thermal Injuries</t>
  </si>
  <si>
    <t>N. Eastern Ave and E. Washington Ave</t>
  </si>
  <si>
    <t>2022-05033</t>
  </si>
  <si>
    <t>Michael Oneal Franklin</t>
  </si>
  <si>
    <t>Subdural Hematoma</t>
  </si>
  <si>
    <t>Blunt Force Head Trauma</t>
  </si>
  <si>
    <t>Phencyclidine Intoxication and Environmental Heat Stress and Metastatic Prostate Carcinoma</t>
  </si>
  <si>
    <t>West Owens Avenue and A Street</t>
  </si>
  <si>
    <t>1705 Yale Street #219</t>
  </si>
  <si>
    <t>2022-05073</t>
  </si>
  <si>
    <t>Timothy Bountieng Nokham</t>
  </si>
  <si>
    <t>4910 South Mojave Road</t>
  </si>
  <si>
    <t>2022-05082</t>
  </si>
  <si>
    <t>Virginia C Desapio</t>
  </si>
  <si>
    <t>Pulmonary Carcinoma, Not Otherwise Specified</t>
  </si>
  <si>
    <t>1790 Puerto Way</t>
  </si>
  <si>
    <t>2022-05094</t>
  </si>
  <si>
    <t>Ramona  Baynori-Armenta</t>
  </si>
  <si>
    <t>Sequelae of thermal injuries and enviornmental heat stress</t>
  </si>
  <si>
    <t>Hypertensive cardiovascular disease, peripheral neuropathy, obesity</t>
  </si>
  <si>
    <t>2022-05103</t>
  </si>
  <si>
    <t>Herbert Joseph Rodriguez</t>
  </si>
  <si>
    <t>Atherosclerotic and Hypertensive Heart Disease</t>
  </si>
  <si>
    <t>E. Colorado Ave. and S. 4th St.</t>
  </si>
  <si>
    <t>2022-05138</t>
  </si>
  <si>
    <t>Anthony Toalepai</t>
  </si>
  <si>
    <t>Environmental Heat Stress and Sequelae Thereof</t>
  </si>
  <si>
    <t>Morbid Obesity, Recent Amphetamine Use</t>
  </si>
  <si>
    <t>6340 S. Jones Boulevard</t>
  </si>
  <si>
    <t>2022-05145</t>
  </si>
  <si>
    <t>David L. Smith</t>
  </si>
  <si>
    <t>2022-05149</t>
  </si>
  <si>
    <t>Fadil Kurtaj</t>
  </si>
  <si>
    <t>10777 West Twain Avenue</t>
  </si>
  <si>
    <t>2022-05153</t>
  </si>
  <si>
    <t>Fidela  Alcaide</t>
  </si>
  <si>
    <t>End-Stage Renal Failure, Hypertension</t>
  </si>
  <si>
    <t>1040 Canosa Avenue</t>
  </si>
  <si>
    <t>2022-05196</t>
  </si>
  <si>
    <t>Leticia  Davis-Baniyasin</t>
  </si>
  <si>
    <t>Environmental Heat Stress; Atherosclerotic and Hypertensive Cardiovascular Disease</t>
  </si>
  <si>
    <t>1309 S. Commerce Street</t>
  </si>
  <si>
    <t>2022-05239</t>
  </si>
  <si>
    <t>Danny  Der-Gregorian</t>
  </si>
  <si>
    <t>2424 Western Avenue</t>
  </si>
  <si>
    <t>2022-05277</t>
  </si>
  <si>
    <t>Katrina Nan Blye</t>
  </si>
  <si>
    <t>1660 Duneville Street</t>
  </si>
  <si>
    <t>2022-05285</t>
  </si>
  <si>
    <t>John  Raymond Tafoya</t>
  </si>
  <si>
    <t>1501 N. Las Vegas Boulevard</t>
  </si>
  <si>
    <t>2022-05289</t>
  </si>
  <si>
    <t>Vincent D. Scott</t>
  </si>
  <si>
    <t>Chronic Obstructive Pulmonary Disease and Atherosclerotic Cardiovascular Disease</t>
  </si>
  <si>
    <t>425 Scenic Drive</t>
  </si>
  <si>
    <t>2022-05297</t>
  </si>
  <si>
    <t>Steven K. Brower</t>
  </si>
  <si>
    <t>Arteriosclerotic Cardiovascular Disease</t>
  </si>
  <si>
    <t>3602 East Bonanza Road</t>
  </si>
  <si>
    <t>2022-05315</t>
  </si>
  <si>
    <t>Anthony G. Wisnieski</t>
  </si>
  <si>
    <t>Atherosclerotic Cardiovascular Disease and Environmental Heat Stress</t>
  </si>
  <si>
    <t>3411 Sockeye Lane</t>
  </si>
  <si>
    <t>2022-05316</t>
  </si>
  <si>
    <t>Jay Paul Anderson</t>
  </si>
  <si>
    <t>Environmental Heat Strain</t>
  </si>
  <si>
    <t>463 Highland View Court</t>
  </si>
  <si>
    <t>2022-05317</t>
  </si>
  <si>
    <t>Michael  Berkley</t>
  </si>
  <si>
    <t>2022-05318</t>
  </si>
  <si>
    <t>Billy D. Meeker</t>
  </si>
  <si>
    <t>Chronic Obstructive Pulmonary Disease, Hepatic Cirrhosis, Environmental Heat Stress, Cachexia</t>
  </si>
  <si>
    <t>500 North 15th Street</t>
  </si>
  <si>
    <t>2022-05325</t>
  </si>
  <si>
    <t>Roberto Escoto</t>
  </si>
  <si>
    <t>3447 Marion Drive</t>
  </si>
  <si>
    <t>2022-05330</t>
  </si>
  <si>
    <t>Li-Ling  Shueh</t>
  </si>
  <si>
    <t>S Valley View Blvd &amp; W  Twain Ave</t>
  </si>
  <si>
    <t>2022-05346</t>
  </si>
  <si>
    <t>Carl Anthony Hackett</t>
  </si>
  <si>
    <t>4160 E Sahara Avenue</t>
  </si>
  <si>
    <t>2022-05348</t>
  </si>
  <si>
    <t>Zachary Swain Lyford</t>
  </si>
  <si>
    <t>3781 Meade Avenue</t>
  </si>
  <si>
    <t>2022-05354</t>
  </si>
  <si>
    <t>Christopher M. O'Malley</t>
  </si>
  <si>
    <t>State Route147 near mile marker 13</t>
  </si>
  <si>
    <t>2022-05361</t>
  </si>
  <si>
    <t>Cristian Paredes Gaona</t>
  </si>
  <si>
    <t>Combined Effects of Cocaine and Ethanol</t>
  </si>
  <si>
    <t>816 Carter Street</t>
  </si>
  <si>
    <t>2022-05362</t>
  </si>
  <si>
    <t>Pamela J. Ross</t>
  </si>
  <si>
    <t>Recent Methamphetamine and Morphine, Probably Heroin, Use</t>
  </si>
  <si>
    <t>E. Sahara Avenue and Boulder Highway</t>
  </si>
  <si>
    <t>2022-05386</t>
  </si>
  <si>
    <t>Shaun  Petrusa</t>
  </si>
  <si>
    <t>Complications of Hyperthermia and Thermal Injuries</t>
  </si>
  <si>
    <t>Prolonged Contact with Hot Pavement</t>
  </si>
  <si>
    <t>Cirrhosis, Chronic Ethanol Use</t>
  </si>
  <si>
    <t>8600 W. Charleston Boulevard #1051</t>
  </si>
  <si>
    <t>2022-05388</t>
  </si>
  <si>
    <t>Shawndra K. Richards</t>
  </si>
  <si>
    <t>E. Mesquite Avenue &amp; N. Maryland Parkway</t>
  </si>
  <si>
    <t>2022-05409</t>
  </si>
  <si>
    <t>Raymond Lee Burkett</t>
  </si>
  <si>
    <t>3820 W. Lake Mead Boulevard</t>
  </si>
  <si>
    <t>2022-05451</t>
  </si>
  <si>
    <t>Angela Miller</t>
  </si>
  <si>
    <t>Environmental Heat Stress, Obesity</t>
  </si>
  <si>
    <t>455 Clark Lane #18A</t>
  </si>
  <si>
    <t>2022-05460</t>
  </si>
  <si>
    <t>William J. Ables</t>
  </si>
  <si>
    <t>Methamphetamine and Ethanol Use and Sequelae Thereof</t>
  </si>
  <si>
    <t>2022-05471</t>
  </si>
  <si>
    <t>William Scott Wagner</t>
  </si>
  <si>
    <t>Environmental Heat Stress, Blunt Force Injuries of Chest</t>
  </si>
  <si>
    <t>300 W. Bonanza Road</t>
  </si>
  <si>
    <t>2022-05486</t>
  </si>
  <si>
    <t>Richard Charles Arida</t>
  </si>
  <si>
    <t>Enviromental heat exposure</t>
  </si>
  <si>
    <t>4805 Osborn Court</t>
  </si>
  <si>
    <t>2022-05487</t>
  </si>
  <si>
    <t>Janet Mary Arida</t>
  </si>
  <si>
    <t>2022-05501</t>
  </si>
  <si>
    <t>Alois Brownlee Greer</t>
  </si>
  <si>
    <t>1019 Via Calderia</t>
  </si>
  <si>
    <t>1019 Via Calderia PI</t>
  </si>
  <si>
    <t>2022-05502</t>
  </si>
  <si>
    <t>Janice Renee Greer</t>
  </si>
  <si>
    <t>2022-05756</t>
  </si>
  <si>
    <t>Richard Victor Carlson</t>
  </si>
  <si>
    <t>2022-06294</t>
  </si>
  <si>
    <t>Robert Perry</t>
  </si>
  <si>
    <t>Hyperthemia-Environmental Heat Stress</t>
  </si>
  <si>
    <t>Methamphetamine use</t>
  </si>
  <si>
    <t>2022-06713</t>
  </si>
  <si>
    <t>Joseph M. Santos</t>
  </si>
  <si>
    <t>Multiorgan dysfunction syndrome</t>
  </si>
  <si>
    <t>Methamphetamine/Amphetamine intoxication</t>
  </si>
  <si>
    <t>460 Rexford Drive, Apt. 3102</t>
  </si>
  <si>
    <t>2021-02497</t>
  </si>
  <si>
    <t>Cesar Saul Jacobo-Pena</t>
  </si>
  <si>
    <t>335 East Harmon Avenue #B-57</t>
  </si>
  <si>
    <t>2021-02871</t>
  </si>
  <si>
    <t>Lawrence Dixon</t>
  </si>
  <si>
    <t>Hyponatremic Dehydration</t>
  </si>
  <si>
    <t>Chronic Ethanolism, Atherosclerotic Cardiovascular Disease and Small Caliber Right Coronary Artery</t>
  </si>
  <si>
    <t>2021-03065</t>
  </si>
  <si>
    <t>Titus Delathian Johnson</t>
  </si>
  <si>
    <t>Blunt Force Injury, Environmental Heat Stress, Phentermine Toxicity</t>
  </si>
  <si>
    <t>2021-03281</t>
  </si>
  <si>
    <t>Noel A. Sanchez</t>
  </si>
  <si>
    <t>Community-Acquired Pneumonia with Sepsis</t>
  </si>
  <si>
    <t>Human Immunodeficiency Virus (HIV) Infection, Complications of Hyperthermia</t>
  </si>
  <si>
    <t>2021-03420</t>
  </si>
  <si>
    <t>Charles W. Mizenberg</t>
  </si>
  <si>
    <t>5400 block of Haven Street</t>
  </si>
  <si>
    <t>2021-03455</t>
  </si>
  <si>
    <t>Fred Leroy Vernon</t>
  </si>
  <si>
    <t>479 S. Moapa Valley Boulevard #76</t>
  </si>
  <si>
    <t>2021-03473</t>
  </si>
  <si>
    <t>Rodney J. Stevenson</t>
  </si>
  <si>
    <t>2985 E. Sahara Avenue</t>
  </si>
  <si>
    <t>2021-03476</t>
  </si>
  <si>
    <t>Tana Therese Gilmore</t>
  </si>
  <si>
    <t>Environmental heat exposure, dementia</t>
  </si>
  <si>
    <t>3468 N. Quadrel Street</t>
  </si>
  <si>
    <t>2021-03477</t>
  </si>
  <si>
    <t>Robert L. Flannery</t>
  </si>
  <si>
    <t>Environmental Heat Stress; Diabetes Mellitus</t>
  </si>
  <si>
    <t>6436 Tanager Way</t>
  </si>
  <si>
    <t>2021-03486</t>
  </si>
  <si>
    <t>Michael  Silket</t>
  </si>
  <si>
    <t>Diabetes Mellitus, Environmental heat exposure</t>
  </si>
  <si>
    <t>3842 Hayward Field Road</t>
  </si>
  <si>
    <t>2021-03508</t>
  </si>
  <si>
    <t>German T Rolon</t>
  </si>
  <si>
    <t>Methamphetamine and Cocaine Toxicity</t>
  </si>
  <si>
    <t>2021-03555</t>
  </si>
  <si>
    <t>Willie S. Gray</t>
  </si>
  <si>
    <t>Karen Avenue, west of Mojave Road</t>
  </si>
  <si>
    <t>2021-03631</t>
  </si>
  <si>
    <t>Casmier Jaszczak</t>
  </si>
  <si>
    <t>Sequelae of subdural heatoma due to fall</t>
  </si>
  <si>
    <t>3100 North Tenaya Way</t>
  </si>
  <si>
    <t>3150 N. Tenaya Way #350</t>
  </si>
  <si>
    <t>2021-03679</t>
  </si>
  <si>
    <t>Larry Joseph Mendez</t>
  </si>
  <si>
    <t xml:space="preserve">Acute Ethanol Intoxication </t>
  </si>
  <si>
    <t>5125 West Reno Avenue</t>
  </si>
  <si>
    <t>2021-03688</t>
  </si>
  <si>
    <t>Gabriel Leon Woody</t>
  </si>
  <si>
    <t>Complications of Chronic Ethanol Use</t>
  </si>
  <si>
    <t>6530 Annie Oakley Drive #3221</t>
  </si>
  <si>
    <t>2021-03692</t>
  </si>
  <si>
    <t>Barbara  Drury</t>
  </si>
  <si>
    <t>Hypertensive Cardiovascular Disease, Diabetes</t>
  </si>
  <si>
    <t>1967 Wagonwheel Avenue</t>
  </si>
  <si>
    <t>2021-03707</t>
  </si>
  <si>
    <t>John E. Kirchner</t>
  </si>
  <si>
    <t>2075 E. Flamingo Road</t>
  </si>
  <si>
    <t>2021-03713</t>
  </si>
  <si>
    <t>Deborah F. Woodruff</t>
  </si>
  <si>
    <t>Acute Hyperthermia</t>
  </si>
  <si>
    <t>2021-03715</t>
  </si>
  <si>
    <t>Frank W. Orlando</t>
  </si>
  <si>
    <t>2021-03732</t>
  </si>
  <si>
    <t>Yvette Elaine Sturrup</t>
  </si>
  <si>
    <t>2021-03734</t>
  </si>
  <si>
    <t>Gary  Nevels</t>
  </si>
  <si>
    <t>Atherosclerotic Cardiovascular Disease, Methamphetamine Use</t>
  </si>
  <si>
    <t>2021-03743</t>
  </si>
  <si>
    <t>Jordan Bennett Malik</t>
  </si>
  <si>
    <t>3131 S. Las Vegas Blvd.</t>
  </si>
  <si>
    <t>2021-03752</t>
  </si>
  <si>
    <t>Derontae  Dashay Dodson</t>
  </si>
  <si>
    <t>Methamphetamine and Phencyclidine Toxicity</t>
  </si>
  <si>
    <t>4640 East Flamingo Road</t>
  </si>
  <si>
    <t>2021-03756</t>
  </si>
  <si>
    <t>Marcus A. Coleman</t>
  </si>
  <si>
    <t>4900 E. Lana Drive</t>
  </si>
  <si>
    <t>2021-03762</t>
  </si>
  <si>
    <t>Mary A. Soper</t>
  </si>
  <si>
    <t>1780 Clearwater Canyon Dr.</t>
  </si>
  <si>
    <t>2021-03769</t>
  </si>
  <si>
    <t>Yvonne  Marie Fatherree</t>
  </si>
  <si>
    <t>3131 Cottonwood Drive</t>
  </si>
  <si>
    <t>2021-03773</t>
  </si>
  <si>
    <t>Dana Douglas Bent</t>
  </si>
  <si>
    <t>4350 North Nellis Blvd.</t>
  </si>
  <si>
    <t>2021-03777</t>
  </si>
  <si>
    <t>Miguel  Acosta</t>
  </si>
  <si>
    <t>1315 S. Maryland Parkway</t>
  </si>
  <si>
    <t>2021-03780</t>
  </si>
  <si>
    <t>Glenn Robert Miles</t>
  </si>
  <si>
    <t>Methamphetamine and Heroin Toxicity</t>
  </si>
  <si>
    <t>US 95 NB offramp, Charleston Boulevard</t>
  </si>
  <si>
    <t>2021-03782</t>
  </si>
  <si>
    <t>Kevin Clenard  McNary Jr.</t>
  </si>
  <si>
    <t>1200 A Street</t>
  </si>
  <si>
    <t>2021-03788</t>
  </si>
  <si>
    <t>James Mc Gee</t>
  </si>
  <si>
    <t>South Decatur Boulevard &amp; Meadows La</t>
  </si>
  <si>
    <t>2021-03791</t>
  </si>
  <si>
    <t>Garry D. Daniels</t>
  </si>
  <si>
    <t>Cocaine Intoxication</t>
  </si>
  <si>
    <t>710 West Monroe Avenue</t>
  </si>
  <si>
    <t>2021-03794</t>
  </si>
  <si>
    <t>Brian Paul Wallace</t>
  </si>
  <si>
    <t>310 South Maryland Parkway #8</t>
  </si>
  <si>
    <t>2021-03800</t>
  </si>
  <si>
    <t>Lewis  Trujillo</t>
  </si>
  <si>
    <t>5612 Wheatfield Drive</t>
  </si>
  <si>
    <t>2021-03809</t>
  </si>
  <si>
    <t>Demetrius Andrea Gaines</t>
  </si>
  <si>
    <t>5360 E. El Campos Grande  Avenue</t>
  </si>
  <si>
    <t>5360 East El Campos Grande  Avenue</t>
  </si>
  <si>
    <t>2021-03810</t>
  </si>
  <si>
    <t>Patricia Felice Cicogna</t>
  </si>
  <si>
    <t>31700 S. Las Vegas Boulevard</t>
  </si>
  <si>
    <t>2021-03811</t>
  </si>
  <si>
    <t>Raymond Gonzales Perez</t>
  </si>
  <si>
    <t>435 E. Van Wagenen Street #402</t>
  </si>
  <si>
    <t>2021-03812</t>
  </si>
  <si>
    <t>Kamlesh  Chandra</t>
  </si>
  <si>
    <t>Chronic Obstructive Pulmonary Disease and Tobacco Use</t>
  </si>
  <si>
    <t>928 Las Vegas Boulevard S., #145</t>
  </si>
  <si>
    <t>2021-03815</t>
  </si>
  <si>
    <t>Michael Stephen Hittner</t>
  </si>
  <si>
    <t>Drug Toxicity: Methamphetamine;  Diabetic Ketoacidosis</t>
  </si>
  <si>
    <t>1650 South Casino Drive</t>
  </si>
  <si>
    <t>2021-03818</t>
  </si>
  <si>
    <t>Richard Louis Purcell</t>
  </si>
  <si>
    <t>Blunt Force Trauma of the Head</t>
  </si>
  <si>
    <t>Environmental Heat Stress; Congestive Heart Failure</t>
  </si>
  <si>
    <t>3rd Street and Lewis Avenue</t>
  </si>
  <si>
    <t>2021-03819</t>
  </si>
  <si>
    <t>Robert Keone Harris</t>
  </si>
  <si>
    <t>770 East Sahara Avenue</t>
  </si>
  <si>
    <t>2021-03823</t>
  </si>
  <si>
    <t>James Francis Tygh</t>
  </si>
  <si>
    <t>Methamphetamine and Fentanyl Intoxication</t>
  </si>
  <si>
    <t>160 East Flamingo Road</t>
  </si>
  <si>
    <t>2021-03824</t>
  </si>
  <si>
    <t>Pablo  Carreon</t>
  </si>
  <si>
    <t>Hypertensive Cardiovascular Disease and Diabetes Mellitus</t>
  </si>
  <si>
    <t>6509 Grand Oaks Drive</t>
  </si>
  <si>
    <t>2021-03837</t>
  </si>
  <si>
    <t>Kevin Michael Douglas</t>
  </si>
  <si>
    <t>Diabetes Mellitus and Hypertensive Cardiovascular Disease</t>
  </si>
  <si>
    <t>560 Elm Street Unit B</t>
  </si>
  <si>
    <t>2021-03877</t>
  </si>
  <si>
    <t>Duane G. Fuller</t>
  </si>
  <si>
    <t>Chronic Obstructive Pulmonary Disease due to Tobacco Use</t>
  </si>
  <si>
    <t>916 N Main Street</t>
  </si>
  <si>
    <t>2021-03910</t>
  </si>
  <si>
    <t>Kelly Jaeger</t>
  </si>
  <si>
    <t>Amphetamine Use</t>
  </si>
  <si>
    <t>2021-03921</t>
  </si>
  <si>
    <t>Kimberly Amy Lee</t>
  </si>
  <si>
    <t xml:space="preserve">Ethanol Intoxication </t>
  </si>
  <si>
    <t>200 S. Las Vegas Boulevard</t>
  </si>
  <si>
    <t>2021-03938</t>
  </si>
  <si>
    <t>Rondo Miles Wright</t>
  </si>
  <si>
    <t>1006 Ripplestone Ave</t>
  </si>
  <si>
    <t>2021-03947</t>
  </si>
  <si>
    <t>Samir  Karoum</t>
  </si>
  <si>
    <t>Parkinson's disease</t>
  </si>
  <si>
    <t>2017 Pelican Sky Beach Avenue</t>
  </si>
  <si>
    <t>2021-03949</t>
  </si>
  <si>
    <t>Shirley Marie Lyons</t>
  </si>
  <si>
    <t>Environmental heat stress and obesity</t>
  </si>
  <si>
    <t>4711 Boulder Highway #J-8</t>
  </si>
  <si>
    <t>2021-03952</t>
  </si>
  <si>
    <t>Mark J. Boudreau</t>
  </si>
  <si>
    <t>2200 Tam Drive</t>
  </si>
  <si>
    <t>2021-03955</t>
  </si>
  <si>
    <t>Austre Bertha Krauss</t>
  </si>
  <si>
    <t>1322 S. Mojave Road Space #200</t>
  </si>
  <si>
    <t>2021-03981</t>
  </si>
  <si>
    <t>Sheri L. Aldrich</t>
  </si>
  <si>
    <t>Hyperthermia in the Setting of Acute Intoxication by Methamphetamine</t>
  </si>
  <si>
    <t>Diabetic Ketoacidosis, Renal Failure</t>
  </si>
  <si>
    <t>West Owens Avenue &amp; North Main Street</t>
  </si>
  <si>
    <t>2021-03993</t>
  </si>
  <si>
    <t>Michael George Roche</t>
  </si>
  <si>
    <t>Hypertension, Environmental Heat Stress</t>
  </si>
  <si>
    <t>near Tomiyasu Lane &amp; La Mirada Avenue</t>
  </si>
  <si>
    <t>2021-03995</t>
  </si>
  <si>
    <t>Gregory Feinapel</t>
  </si>
  <si>
    <t>Complications of heat stroke</t>
  </si>
  <si>
    <t>Exposure to elevated environmental temperatures</t>
  </si>
  <si>
    <t>2021-04020</t>
  </si>
  <si>
    <t>Robert J. Alvarado</t>
  </si>
  <si>
    <t>2021-04023</t>
  </si>
  <si>
    <t>Frendy F. DeJong</t>
  </si>
  <si>
    <t>Cardiovascular Disease, Environmental Heat Stress</t>
  </si>
  <si>
    <t>1116 E. Owens Avenue</t>
  </si>
  <si>
    <t>2021-04030</t>
  </si>
  <si>
    <t>Duwayne Newton</t>
  </si>
  <si>
    <t>Lamb Boulevard and Charleston Boulevard</t>
  </si>
  <si>
    <t>2021-04066</t>
  </si>
  <si>
    <t>Thomas James Rugala</t>
  </si>
  <si>
    <t>1964 Las Palmas Lane #244</t>
  </si>
  <si>
    <t>2021-04089</t>
  </si>
  <si>
    <t>Joseph  Perez</t>
  </si>
  <si>
    <t>2021-04173</t>
  </si>
  <si>
    <t>James  Weber</t>
  </si>
  <si>
    <t>983 Diamond Circle</t>
  </si>
  <si>
    <t>2021-04176</t>
  </si>
  <si>
    <t>Juanita  Wilkerson</t>
  </si>
  <si>
    <t>Diabetes mellitus, debility and environmental heat stress</t>
  </si>
  <si>
    <t>800 N. Eastern Avenue, #210</t>
  </si>
  <si>
    <t>2021-04185</t>
  </si>
  <si>
    <t>Jack L. Bundy</t>
  </si>
  <si>
    <t>17443 US-95</t>
  </si>
  <si>
    <t>2021-04189</t>
  </si>
  <si>
    <t>David Allen Ruppert</t>
  </si>
  <si>
    <t>History of osteomyelitis, cellulitis and neurogenic bladder with recurrent urinary tract infections</t>
  </si>
  <si>
    <t>2038 Palm Street., #313</t>
  </si>
  <si>
    <t>2021-04193</t>
  </si>
  <si>
    <t>Robert  Maddox</t>
  </si>
  <si>
    <t>3550 East Lake Mead Boulevard A-336</t>
  </si>
  <si>
    <t>2021-04196</t>
  </si>
  <si>
    <t>Kim E. Fitzgerald</t>
  </si>
  <si>
    <t>Multiple Sclerosis</t>
  </si>
  <si>
    <t>5836 Corazon Avenue</t>
  </si>
  <si>
    <t>2021-04200</t>
  </si>
  <si>
    <t>Katherine A. Carlson</t>
  </si>
  <si>
    <t>1815 E. Lake Mead Blvd</t>
  </si>
  <si>
    <t>2021-04202</t>
  </si>
  <si>
    <t>Shane Rider Jardine</t>
  </si>
  <si>
    <t>Puebla Street &amp; N. Las Vegas Boulevard</t>
  </si>
  <si>
    <t>2021-04205</t>
  </si>
  <si>
    <t>Michael A. Rice</t>
  </si>
  <si>
    <t>Topaz Street and Pebble Road</t>
  </si>
  <si>
    <t>Topaz and Pebble</t>
  </si>
  <si>
    <t>2021-04208</t>
  </si>
  <si>
    <t>Maryjane  Hayes-Dyer</t>
  </si>
  <si>
    <t>Combined Effects of Phenibut, Amphetamine, Gabapentin and Oxymorphone</t>
  </si>
  <si>
    <t>6009 Jubilee Gardens Avenue</t>
  </si>
  <si>
    <t>2021-04210</t>
  </si>
  <si>
    <t>Dennis  Bernard Delavy</t>
  </si>
  <si>
    <t>morbid obesity</t>
  </si>
  <si>
    <t>5959 Dodd Street Spc. 23</t>
  </si>
  <si>
    <t>2021-04211</t>
  </si>
  <si>
    <t>Daniel  L. Mott</t>
  </si>
  <si>
    <t>2021-04213</t>
  </si>
  <si>
    <t>Ann  Kelley</t>
  </si>
  <si>
    <t xml:space="preserve">Topiramate and Hydroxyzine Toxicity </t>
  </si>
  <si>
    <t>8 W. Owens Avenue #F</t>
  </si>
  <si>
    <t>2021-04215</t>
  </si>
  <si>
    <t>Robert Edward Herndon</t>
  </si>
  <si>
    <t>2021-04218</t>
  </si>
  <si>
    <t>Margaret Griffin</t>
  </si>
  <si>
    <t>Cardiomyopathy, Chronic Obstructive Pulmonary Disease and Obesity</t>
  </si>
  <si>
    <t>2021-04221</t>
  </si>
  <si>
    <t>Merrill Paul Simpson</t>
  </si>
  <si>
    <t>9081 S. Maryland Parkway</t>
  </si>
  <si>
    <t>2021-04229</t>
  </si>
  <si>
    <t>Iris Mae Porter</t>
  </si>
  <si>
    <t>Chronic renal insufficiency</t>
  </si>
  <si>
    <t>509 Recco Avenue</t>
  </si>
  <si>
    <t>2021-04235</t>
  </si>
  <si>
    <t>Alan C. Wadsworth</t>
  </si>
  <si>
    <t>3848 Koval Lane</t>
  </si>
  <si>
    <t>2021-04238</t>
  </si>
  <si>
    <t>Harold Willis</t>
  </si>
  <si>
    <t>1300 S. 3rd Street</t>
  </si>
  <si>
    <t>2021-04246</t>
  </si>
  <si>
    <t>Bernard E. Russell</t>
  </si>
  <si>
    <t>1735 Athol Avenue</t>
  </si>
  <si>
    <t>2021-04251</t>
  </si>
  <si>
    <t>Xavier F. Chambers</t>
  </si>
  <si>
    <t>2021-04258</t>
  </si>
  <si>
    <t>Vilma  Tarrosa</t>
  </si>
  <si>
    <t>Congestive Heart Failure of unknown etiology</t>
  </si>
  <si>
    <t>5155 W. Tropicana Avenue #2175</t>
  </si>
  <si>
    <t>2021-04261</t>
  </si>
  <si>
    <t>James Earl MacLaren</t>
  </si>
  <si>
    <t>1624 Palm Street #67</t>
  </si>
  <si>
    <t>2021-04264</t>
  </si>
  <si>
    <t>Chrisanto Dalmaceda</t>
  </si>
  <si>
    <t>2500 E. Lake Mead Boulevard</t>
  </si>
  <si>
    <t>2021-04265</t>
  </si>
  <si>
    <t>Dante M. Morris</t>
  </si>
  <si>
    <t>Hyperthermia with Dehydration</t>
  </si>
  <si>
    <t>Mojave Avenue and Charleston Boulevard</t>
  </si>
  <si>
    <t>2021-04266</t>
  </si>
  <si>
    <t>Kenneth E. Williams</t>
  </si>
  <si>
    <t>Drug Toxicity:  Methamphetamine</t>
  </si>
  <si>
    <t>Near Nellis and Charleston Boulevards</t>
  </si>
  <si>
    <t>2021-04268</t>
  </si>
  <si>
    <t>Charles E. Labella</t>
  </si>
  <si>
    <t>Collins Drive and Burkholder Boulevard</t>
  </si>
  <si>
    <t>2021-04270</t>
  </si>
  <si>
    <t>Jamon  Bunker</t>
  </si>
  <si>
    <t>Myocardial Infarction</t>
  </si>
  <si>
    <t>Cardiac Valvular Disease and Environmental Heat Stress</t>
  </si>
  <si>
    <t>Lake</t>
  </si>
  <si>
    <t>2021-04271</t>
  </si>
  <si>
    <t>Sylvester  Lee Williams</t>
  </si>
  <si>
    <t>2021-04272</t>
  </si>
  <si>
    <t>Jerrod L. Casey</t>
  </si>
  <si>
    <t>Drug Intoxication:  Methamphetamine</t>
  </si>
  <si>
    <t>314 Foremaster Lane</t>
  </si>
  <si>
    <t>2021-04274</t>
  </si>
  <si>
    <t>Diane Kennedy</t>
  </si>
  <si>
    <t xml:space="preserve">Chronic Obstructive Pulmonary Disease and Hypertensive Cardiovascular Disease </t>
  </si>
  <si>
    <t>2021-04275</t>
  </si>
  <si>
    <t>Keelin Kapun Cuifici</t>
  </si>
  <si>
    <t>2848 E. Lake Mead Boulevard</t>
  </si>
  <si>
    <t>2021-04277</t>
  </si>
  <si>
    <t>Marshall A. Claffey</t>
  </si>
  <si>
    <t>Environmental Heat Stress, Hypertensive Cardiovascular Disease. Chronic Obstructive Pulmonary Disease</t>
  </si>
  <si>
    <t>1234 E. Hacienda Avenue</t>
  </si>
  <si>
    <t>2021-04278</t>
  </si>
  <si>
    <t>Joseph A. Smith</t>
  </si>
  <si>
    <t>2021-04282</t>
  </si>
  <si>
    <t>James D. Covey</t>
  </si>
  <si>
    <t xml:space="preserve">Methamphetamine and Morphine Toxicity </t>
  </si>
  <si>
    <t>across from 7205 S. Eastern Avenue</t>
  </si>
  <si>
    <t>2021-04283</t>
  </si>
  <si>
    <t>Patrick Michael Oloane</t>
  </si>
  <si>
    <t>1500 N. Las Vegas Boulevard</t>
  </si>
  <si>
    <t>2021-04297</t>
  </si>
  <si>
    <t>Kathleen Hallford</t>
  </si>
  <si>
    <t>Acute Intoxication by Methamphetamine</t>
  </si>
  <si>
    <t>Dehydration, Environmental Heat Stress</t>
  </si>
  <si>
    <t>1903 Stevens Street</t>
  </si>
  <si>
    <t>2021-04302</t>
  </si>
  <si>
    <t>Allen Lee Lander</t>
  </si>
  <si>
    <t>AZ</t>
  </si>
  <si>
    <t>2021-04307</t>
  </si>
  <si>
    <t>Vincent  Santiago</t>
  </si>
  <si>
    <t>Indian</t>
  </si>
  <si>
    <t>3333 Al Davis Way</t>
  </si>
  <si>
    <t>2021-04308</t>
  </si>
  <si>
    <t>Raymond C. Glover</t>
  </si>
  <si>
    <t>2595 S. Maryland Parkway</t>
  </si>
  <si>
    <t>2021-04309</t>
  </si>
  <si>
    <t>Jesse   Joachim</t>
  </si>
  <si>
    <t>3191 N. Nellis Boulevard</t>
  </si>
  <si>
    <t>2021-04310</t>
  </si>
  <si>
    <t>Daniel J. Williams</t>
  </si>
  <si>
    <t>261 North Las Vegas Blvd.</t>
  </si>
  <si>
    <t>2021-04313</t>
  </si>
  <si>
    <t>Thomas D. McCarthy</t>
  </si>
  <si>
    <t>4225 E. Sahara Avenue</t>
  </si>
  <si>
    <t>2021-04316</t>
  </si>
  <si>
    <t>Chauncey Louis Bondon</t>
  </si>
  <si>
    <t>3865 N. Las Vegas Boulevard</t>
  </si>
  <si>
    <t>2021-04317</t>
  </si>
  <si>
    <t>Darric T. Butler</t>
  </si>
  <si>
    <t>820 Rancho Lane</t>
  </si>
  <si>
    <t>2021-04320</t>
  </si>
  <si>
    <t>Sherry A. Powell</t>
  </si>
  <si>
    <t>Main Street &amp; Bonanza Road</t>
  </si>
  <si>
    <t>2021-04321</t>
  </si>
  <si>
    <t>Charles Michael Andrew</t>
  </si>
  <si>
    <t>2885 E. Charleston Boulevard</t>
  </si>
  <si>
    <t>2021-04332</t>
  </si>
  <si>
    <t>Randal  Johnson</t>
  </si>
  <si>
    <t>2021-04340</t>
  </si>
  <si>
    <t>Jason S. Evans</t>
  </si>
  <si>
    <t>4445 E. Charleston Blvd.</t>
  </si>
  <si>
    <t>2021-04342</t>
  </si>
  <si>
    <t>Barbara W.  Schwartz</t>
  </si>
  <si>
    <t>10281 Bentley Oaks Avenue</t>
  </si>
  <si>
    <t>2021-04343</t>
  </si>
  <si>
    <t>Ricardo Beltran</t>
  </si>
  <si>
    <t>1214 S. 3rd Street</t>
  </si>
  <si>
    <t>2021-04350</t>
  </si>
  <si>
    <t>Forrest Dean Yeatts</t>
  </si>
  <si>
    <t>Hyperthermia, Hypertensive Cardiovascular Disease, Prior Cocaine Use</t>
  </si>
  <si>
    <t>5111 Boulder Highway</t>
  </si>
  <si>
    <t>2021-04351</t>
  </si>
  <si>
    <t>Guochi Yu</t>
  </si>
  <si>
    <t>2021-04353</t>
  </si>
  <si>
    <t>Annette Medland</t>
  </si>
  <si>
    <t>Atherosclerotic and Hypertensive Cardiovascular Disease, Methamphetamine Use</t>
  </si>
  <si>
    <t>2021-04354</t>
  </si>
  <si>
    <t>George P. Brow</t>
  </si>
  <si>
    <t>5701 Missouri Avenue</t>
  </si>
  <si>
    <t>2021-04355</t>
  </si>
  <si>
    <t>Danyell Louis</t>
  </si>
  <si>
    <t>2021-04356</t>
  </si>
  <si>
    <t>Alvin L. Bebout</t>
  </si>
  <si>
    <t>Enviromental Heat Stress</t>
  </si>
  <si>
    <t>Aha Macav Parkway southeast Needles Hwy</t>
  </si>
  <si>
    <t>2021-04362</t>
  </si>
  <si>
    <t>Patrick H Thrash</t>
  </si>
  <si>
    <t>Enviromental heat stress</t>
  </si>
  <si>
    <t>2021-04366</t>
  </si>
  <si>
    <t>Herman  Hill Jr.</t>
  </si>
  <si>
    <t>2021-04367</t>
  </si>
  <si>
    <t>Evan T. Hopson</t>
  </si>
  <si>
    <t>2021-04370</t>
  </si>
  <si>
    <t>Karen Sweet-Sherman</t>
  </si>
  <si>
    <t>Heatstroke</t>
  </si>
  <si>
    <t>2021-04373</t>
  </si>
  <si>
    <t>Andre Lamar Johnson</t>
  </si>
  <si>
    <t>2021-04382</t>
  </si>
  <si>
    <t>Niclas Hernandez Perez</t>
  </si>
  <si>
    <t>Exposure to Elevated Environment Temperatures</t>
  </si>
  <si>
    <t>2021-04391</t>
  </si>
  <si>
    <t>Robert Benziger</t>
  </si>
  <si>
    <t>2021-04392</t>
  </si>
  <si>
    <t>Oleg Olegovich Zviaguin</t>
  </si>
  <si>
    <t>Acute Intoxication by the Combined Effects of Methamphetamine and Heroin</t>
  </si>
  <si>
    <t>2112 Tam Drive</t>
  </si>
  <si>
    <t>2021-04393</t>
  </si>
  <si>
    <t>Phyllis Brooks-Calderas</t>
  </si>
  <si>
    <t>3145 E. Flamingo Road, #2003</t>
  </si>
  <si>
    <t>2021-04396</t>
  </si>
  <si>
    <t>Taryn K. Lueck</t>
  </si>
  <si>
    <t>4240 East Craig Road</t>
  </si>
  <si>
    <t>2021-04402</t>
  </si>
  <si>
    <t>Jason A. Gutermuth</t>
  </si>
  <si>
    <t>300 N. Casino Center Boulevard</t>
  </si>
  <si>
    <t>2021-04404</t>
  </si>
  <si>
    <t>Christopher D. Scott</t>
  </si>
  <si>
    <t>2021-04405</t>
  </si>
  <si>
    <t>Roy R. Romero</t>
  </si>
  <si>
    <t>2585 East Flamingo Road</t>
  </si>
  <si>
    <t>2021-04406</t>
  </si>
  <si>
    <t>Corey Miramontes</t>
  </si>
  <si>
    <t>1501 N. Las Vegas Blvd.</t>
  </si>
  <si>
    <t>2021-04408</t>
  </si>
  <si>
    <t>David  Hadley</t>
  </si>
  <si>
    <t>Hypoxic-ischemic encephalopathy</t>
  </si>
  <si>
    <t>Cerebral edema</t>
  </si>
  <si>
    <t>2021-04418</t>
  </si>
  <si>
    <t>Timothy  Paul Speichinger</t>
  </si>
  <si>
    <t>2021-04419</t>
  </si>
  <si>
    <t>Karen  Cale</t>
  </si>
  <si>
    <t>3642 Boulder Highway</t>
  </si>
  <si>
    <t>2021-04423</t>
  </si>
  <si>
    <t>Cyrus H. Swartz</t>
  </si>
  <si>
    <t>Environmental Heat Stress with Dehydration</t>
  </si>
  <si>
    <t>2021-04425</t>
  </si>
  <si>
    <t>Manual Ramos-Ruiz</t>
  </si>
  <si>
    <t>817 North 22nd Street</t>
  </si>
  <si>
    <t>2021-04428</t>
  </si>
  <si>
    <t>Alfred P. Baca</t>
  </si>
  <si>
    <t>3168 Devry Lane</t>
  </si>
  <si>
    <t>2021-04437</t>
  </si>
  <si>
    <t>Fredrik R. Osipo</t>
  </si>
  <si>
    <t>3839 East Charleston Boulevard, #10</t>
  </si>
  <si>
    <t>2021-04440</t>
  </si>
  <si>
    <t>Janet  Dukes</t>
  </si>
  <si>
    <t>1636 Palmae Way</t>
  </si>
  <si>
    <t>2021-04441</t>
  </si>
  <si>
    <t>Shannon Richard Jefferson</t>
  </si>
  <si>
    <t>Thermal Injuries</t>
  </si>
  <si>
    <t>2021-04450</t>
  </si>
  <si>
    <t>Johnnie R. Ward</t>
  </si>
  <si>
    <t>2021-04451</t>
  </si>
  <si>
    <t>Larry L. Hodge</t>
  </si>
  <si>
    <t>2900 E. Charleston Boulevard #5-185</t>
  </si>
  <si>
    <t>2021-04455</t>
  </si>
  <si>
    <t>Christopher R. Dedeaux</t>
  </si>
  <si>
    <t>Davis Dam Road</t>
  </si>
  <si>
    <t>2021-04456</t>
  </si>
  <si>
    <t>Luis Martinez III</t>
  </si>
  <si>
    <t>9100 W. Flamingo Road, #2066</t>
  </si>
  <si>
    <t>2021-04458</t>
  </si>
  <si>
    <t>Alan Craig Harris</t>
  </si>
  <si>
    <t>5482 E. Lake Mead Boulevard</t>
  </si>
  <si>
    <t>2021-04461</t>
  </si>
  <si>
    <t>John P. Mehr</t>
  </si>
  <si>
    <t>Probable Methamphetamine and Ethanol Use</t>
  </si>
  <si>
    <t>2021-04462</t>
  </si>
  <si>
    <t>Erica Habell</t>
  </si>
  <si>
    <t>1310 West Owens Avenue</t>
  </si>
  <si>
    <t>2021-04464</t>
  </si>
  <si>
    <t>Michael Anthony Saavedra</t>
  </si>
  <si>
    <t>2021-04467</t>
  </si>
  <si>
    <t>Charles  Wheeler</t>
  </si>
  <si>
    <t xml:space="preserve">Cocaine and Ethanol Toxicity </t>
  </si>
  <si>
    <t>Cope Avenue &amp; Civic Center Drive</t>
  </si>
  <si>
    <t>2021-04469</t>
  </si>
  <si>
    <t>Lisa Lee La Liberte</t>
  </si>
  <si>
    <t>3616 Perliter Avenue</t>
  </si>
  <si>
    <t>2021-04471</t>
  </si>
  <si>
    <t>Derek M. Irons</t>
  </si>
  <si>
    <t>Methamphetamine and Ethanol Toxicity</t>
  </si>
  <si>
    <t>1131 East Tropicana Ave</t>
  </si>
  <si>
    <t>2021-04488</t>
  </si>
  <si>
    <t>Robert M. Arias</t>
  </si>
  <si>
    <t xml:space="preserve">Methamphetamine Toxicity and Hypertensive Cardiovascular Disease </t>
  </si>
  <si>
    <t>4769 East Flamingo Road</t>
  </si>
  <si>
    <t>2021-04489</t>
  </si>
  <si>
    <t>David Thomas</t>
  </si>
  <si>
    <t>Phencyclidine Intoxication</t>
  </si>
  <si>
    <t>1921 Granite Gable Avenue</t>
  </si>
  <si>
    <t>2021-04499</t>
  </si>
  <si>
    <t>Paul Frank Felix</t>
  </si>
  <si>
    <t>1710 E. Charleston Boulevard</t>
  </si>
  <si>
    <t>2021-04514</t>
  </si>
  <si>
    <t>Graham Victor Molzahn</t>
  </si>
  <si>
    <t>Combined Drug Toxicities (Methamphetamine and Morphine)</t>
  </si>
  <si>
    <t>2021-04515</t>
  </si>
  <si>
    <t>Jeannette  Hill</t>
  </si>
  <si>
    <t>1421 N. Tonopah Drive</t>
  </si>
  <si>
    <t>2021-04516</t>
  </si>
  <si>
    <t>David L. Cowley</t>
  </si>
  <si>
    <t>Near 1257 Paiute Circle</t>
  </si>
  <si>
    <t>2021-04533</t>
  </si>
  <si>
    <t>Ricky Keith Mann</t>
  </si>
  <si>
    <t xml:space="preserve">Hypertensive Cardiovascular Disease and Chronic Obstructive Pulmonary Disease </t>
  </si>
  <si>
    <t>2200 Palm Street #116</t>
  </si>
  <si>
    <t>2021-04534</t>
  </si>
  <si>
    <t>James Christopher Jordan</t>
  </si>
  <si>
    <t>3820 N. Rainbow Boulevard</t>
  </si>
  <si>
    <t>2021-04536</t>
  </si>
  <si>
    <t>Bruce  Burkey</t>
  </si>
  <si>
    <t>700 N. Main Street #204</t>
  </si>
  <si>
    <t>2021-04539</t>
  </si>
  <si>
    <t>Larry R. Goldstein</t>
  </si>
  <si>
    <t>3890 S. Nellis Boulevard #117</t>
  </si>
  <si>
    <t>2021-04542</t>
  </si>
  <si>
    <t>Shawn M Carver</t>
  </si>
  <si>
    <t>113 N. 4th Street</t>
  </si>
  <si>
    <t>2021-04550</t>
  </si>
  <si>
    <t>Christopher  Barnson</t>
  </si>
  <si>
    <t>4308 Bitterroot Drive</t>
  </si>
  <si>
    <t>2021-04551</t>
  </si>
  <si>
    <t>Jeffrey Joshua Treganowan</t>
  </si>
  <si>
    <t>Fentanyl and Ethanol Toxicity</t>
  </si>
  <si>
    <t>Environmental Heat Stress, Morbid Obesity</t>
  </si>
  <si>
    <t>3750 Twinkle Star Drive</t>
  </si>
  <si>
    <t>2021-04577</t>
  </si>
  <si>
    <t>Anthony A. Zamora</t>
  </si>
  <si>
    <t>2780 S. Las Vegas Boulevard</t>
  </si>
  <si>
    <t>2021-04662</t>
  </si>
  <si>
    <t>Von Toshio Goto</t>
  </si>
  <si>
    <t>1735 Athol Avenue, #7</t>
  </si>
  <si>
    <t>2021-04669</t>
  </si>
  <si>
    <t>Harold Rainsford</t>
  </si>
  <si>
    <t>Needles Hwy &amp; Bay Sands Avenue</t>
  </si>
  <si>
    <t>2021-04697</t>
  </si>
  <si>
    <t>Darrius R. Newman</t>
  </si>
  <si>
    <t>2021-04700</t>
  </si>
  <si>
    <t>Lawrence Edward Dent</t>
  </si>
  <si>
    <t>103 Gooseberry Lane</t>
  </si>
  <si>
    <t>2021-04709</t>
  </si>
  <si>
    <t>Barry Aitken</t>
  </si>
  <si>
    <t>Chronic Alcoholism</t>
  </si>
  <si>
    <t>300 blk of Charleston Blvd, east of 3rd</t>
  </si>
  <si>
    <t>2021-04720</t>
  </si>
  <si>
    <t>Hadley M. Blair</t>
  </si>
  <si>
    <t>400 North Major Avenue</t>
  </si>
  <si>
    <t>2021-04724</t>
  </si>
  <si>
    <t>Ruben  Weeks</t>
  </si>
  <si>
    <t>2067 N. Las Vegas Blvd. #38</t>
  </si>
  <si>
    <t>2021-04735</t>
  </si>
  <si>
    <t>Rodney W. Berry</t>
  </si>
  <si>
    <t>2021-04740</t>
  </si>
  <si>
    <t>Enquire  Silva</t>
  </si>
  <si>
    <t>1869 Star Sapphire Court</t>
  </si>
  <si>
    <t>2021-04759</t>
  </si>
  <si>
    <t>David Alan Schwartz</t>
  </si>
  <si>
    <t>2021-04784</t>
  </si>
  <si>
    <t>Anthony M. Katona</t>
  </si>
  <si>
    <t>Hyperthermia and thermal injuries</t>
  </si>
  <si>
    <t>2021-04856</t>
  </si>
  <si>
    <t>Allen Lyman Godfrey</t>
  </si>
  <si>
    <t>Water Submersion, Environmental Heat Stress</t>
  </si>
  <si>
    <t>5483 Club House Drive</t>
  </si>
  <si>
    <t>2021-04876</t>
  </si>
  <si>
    <t>Paul  Reese</t>
  </si>
  <si>
    <t>2196 Laurel Ridge Way</t>
  </si>
  <si>
    <t>2021-04877</t>
  </si>
  <si>
    <t>Joan  Reese</t>
  </si>
  <si>
    <t>2021-04880</t>
  </si>
  <si>
    <t>Ralph  Noriega</t>
  </si>
  <si>
    <t>4910 S. Maryland Parkway</t>
  </si>
  <si>
    <t>2021-04903</t>
  </si>
  <si>
    <t>Rance Mitchell</t>
  </si>
  <si>
    <t>Complications of hyperthermia</t>
  </si>
  <si>
    <t>2021-04919</t>
  </si>
  <si>
    <t>Gladys  Victoria Tullock-Ikner</t>
  </si>
  <si>
    <t>4337 Threshold Court</t>
  </si>
  <si>
    <t>2021-04968</t>
  </si>
  <si>
    <t>Rae'Quan R. Bascombe</t>
  </si>
  <si>
    <t>2655 E. Deer Springs Way</t>
  </si>
  <si>
    <t>2021-04981</t>
  </si>
  <si>
    <t>Michael J. Aldrich</t>
  </si>
  <si>
    <t>2021-04997</t>
  </si>
  <si>
    <t>Stuart K. Blankinship</t>
  </si>
  <si>
    <t>2021-04999</t>
  </si>
  <si>
    <t>Symarion  Brown</t>
  </si>
  <si>
    <t>Undetermined</t>
  </si>
  <si>
    <t>Cardiomegaly, Exposure to Gamma-Hydroxybutyric Acid</t>
  </si>
  <si>
    <t>5100 East Tropicana Avenue #8B</t>
  </si>
  <si>
    <t>2021-05041</t>
  </si>
  <si>
    <t>Javier A. Martinez</t>
  </si>
  <si>
    <t xml:space="preserve">chronic ethanolism </t>
  </si>
  <si>
    <t>235 Eastern Avenue</t>
  </si>
  <si>
    <t>2021-05043</t>
  </si>
  <si>
    <t>Malcolm L. Norton</t>
  </si>
  <si>
    <t>History of Mental Illness</t>
  </si>
  <si>
    <t>4830 E. Cincinnnati Avenue</t>
  </si>
  <si>
    <t>2021-05050</t>
  </si>
  <si>
    <t>Michael Leon Mack</t>
  </si>
  <si>
    <t>1325 E. Flamingo Road</t>
  </si>
  <si>
    <t>2021-05072</t>
  </si>
  <si>
    <t>Wilfred J. Rasmussen</t>
  </si>
  <si>
    <t>9300 W. Sunset Road</t>
  </si>
  <si>
    <t>2021-05089</t>
  </si>
  <si>
    <t>Jessica Leane Grant</t>
  </si>
  <si>
    <t>4543 Andrews Street</t>
  </si>
  <si>
    <t>2021-05095</t>
  </si>
  <si>
    <t>Jason  Chang</t>
  </si>
  <si>
    <t>3975 N Nellis Blvd., Apt #2004</t>
  </si>
  <si>
    <t>2021-05127</t>
  </si>
  <si>
    <t>Robert L. Grimble</t>
  </si>
  <si>
    <t>Substance Abuse and Lobar Pneumonia</t>
  </si>
  <si>
    <t>1180 N. Town Center Drive</t>
  </si>
  <si>
    <t>2021-05129</t>
  </si>
  <si>
    <t>Ricardo E. Harrison</t>
  </si>
  <si>
    <t>2021-05131</t>
  </si>
  <si>
    <t>Timothy Matlock</t>
  </si>
  <si>
    <t>Complications of Dehydration</t>
  </si>
  <si>
    <t>2021-05202</t>
  </si>
  <si>
    <t>Francisco Rodriquez Michel</t>
  </si>
  <si>
    <t>4600 W. Charleston Boulevard</t>
  </si>
  <si>
    <t>2021-05207</t>
  </si>
  <si>
    <t>Clinton C. Camp</t>
  </si>
  <si>
    <t>2021-05227</t>
  </si>
  <si>
    <t>Robert Michael Bowman</t>
  </si>
  <si>
    <t>4379 Las Vegas Boulevard North</t>
  </si>
  <si>
    <t>2021-05239</t>
  </si>
  <si>
    <t>Thomas Lane</t>
  </si>
  <si>
    <t>1485 E. Flamingo Road</t>
  </si>
  <si>
    <t>2021-05287</t>
  </si>
  <si>
    <t>Rod Kannadara Shine</t>
  </si>
  <si>
    <t>2935 Coleman Street</t>
  </si>
  <si>
    <t>2021-05301</t>
  </si>
  <si>
    <t>Michael W. Bader</t>
  </si>
  <si>
    <t>522 E. St. Louis Avenue</t>
  </si>
  <si>
    <t>2021-05327</t>
  </si>
  <si>
    <t>Marcus J. Walter</t>
  </si>
  <si>
    <t>1900 East Flamingo Road</t>
  </si>
  <si>
    <t>2021-05354</t>
  </si>
  <si>
    <t>Mario L Lewis</t>
  </si>
  <si>
    <t>2125 N. Las Vegas Boulevard</t>
  </si>
  <si>
    <t>2021-05383</t>
  </si>
  <si>
    <t>Mike J. Henderson</t>
  </si>
  <si>
    <t>Acute Ethanol Intoxication and Environmental Heat Stress</t>
  </si>
  <si>
    <t>East Harris Avenue &amp; North 9th Street</t>
  </si>
  <si>
    <t>2021-05415</t>
  </si>
  <si>
    <t>Benjamin Franklin Reed</t>
  </si>
  <si>
    <t>Lake Mead Boulevard and Las Vegas Boulev</t>
  </si>
  <si>
    <t>2021-05416</t>
  </si>
  <si>
    <t>David J. Cruz</t>
  </si>
  <si>
    <t>2021-05421</t>
  </si>
  <si>
    <t>William Kevin Daugherty</t>
  </si>
  <si>
    <t>6605 Miners Hope Dr.</t>
  </si>
  <si>
    <t>2021-05443</t>
  </si>
  <si>
    <t>Orren D. Hodges</t>
  </si>
  <si>
    <t>1468 East Charleston Boulevard</t>
  </si>
  <si>
    <t>2021-05466</t>
  </si>
  <si>
    <t>Andrew  Louie</t>
  </si>
  <si>
    <t>Dementia</t>
  </si>
  <si>
    <t>2021-05471</t>
  </si>
  <si>
    <t>Steve Hinkell</t>
  </si>
  <si>
    <t>Pneumonia and sequelae thereof</t>
  </si>
  <si>
    <t>Alzheimer's Disease, Lung Disease (agent orange exposure per family)</t>
  </si>
  <si>
    <t>2320 Ione Road #323</t>
  </si>
  <si>
    <t>2021-05474</t>
  </si>
  <si>
    <t>Benjamin Lee Blacksmith</t>
  </si>
  <si>
    <t xml:space="preserve">Environmental Heat Stress, Dehydration </t>
  </si>
  <si>
    <t>4080 Paradise Road</t>
  </si>
  <si>
    <t>2021-05534</t>
  </si>
  <si>
    <t>Terrence L. Williams</t>
  </si>
  <si>
    <t>2048 North Las Vegas Boulevard</t>
  </si>
  <si>
    <t>2021-05550</t>
  </si>
  <si>
    <t>Michael Washington</t>
  </si>
  <si>
    <t>10000 S. Eastern Avenue</t>
  </si>
  <si>
    <t>2021-05591</t>
  </si>
  <si>
    <t>Steven  Ford</t>
  </si>
  <si>
    <t>Codeine and Morphine Toxicity and Environmental Heat Stress</t>
  </si>
  <si>
    <t>6011 College Park Lane</t>
  </si>
  <si>
    <t>2021-05606</t>
  </si>
  <si>
    <t>Melissa Jayne Agena</t>
  </si>
  <si>
    <t>Coronary Artery Atherosclerosis and Environmental Heat Stress</t>
  </si>
  <si>
    <t>33 Hole Overlook</t>
  </si>
  <si>
    <t>2021-05628</t>
  </si>
  <si>
    <t>Wesley R. Stead</t>
  </si>
  <si>
    <t>1077 East Sahara Ave</t>
  </si>
  <si>
    <t>2021-05659</t>
  </si>
  <si>
    <t>Randall J. Thompson</t>
  </si>
  <si>
    <t>Acute Intoxication by the Combined Effects of Methamphetamine and Methadone</t>
  </si>
  <si>
    <t>2021-05660</t>
  </si>
  <si>
    <t>Leroy Odom</t>
  </si>
  <si>
    <t>Obesity</t>
  </si>
  <si>
    <t>2021-05700</t>
  </si>
  <si>
    <t>Larry A. Lynch</t>
  </si>
  <si>
    <t>COVID-19 (SARS-CoV-2) Infection</t>
  </si>
  <si>
    <t>2021-05747</t>
  </si>
  <si>
    <t>Chris Lawrence Lacey</t>
  </si>
  <si>
    <t>Complications of probable methamphetamine toxicity</t>
  </si>
  <si>
    <t>2021-05770</t>
  </si>
  <si>
    <t>Jerry W. Taylor</t>
  </si>
  <si>
    <t>2021-05921</t>
  </si>
  <si>
    <t>Ralph Flores</t>
  </si>
  <si>
    <t>2021-05928</t>
  </si>
  <si>
    <t>Rolla Loy Coffman</t>
  </si>
  <si>
    <t>2021-05932</t>
  </si>
  <si>
    <t>Scott M. Dahl</t>
  </si>
  <si>
    <t>2021-05951</t>
  </si>
  <si>
    <t>Andrew Jackson McFadden</t>
  </si>
  <si>
    <t>6000 Miracosta Avenue</t>
  </si>
  <si>
    <t>2021-05970</t>
  </si>
  <si>
    <t>Augustus D. Alexander</t>
  </si>
  <si>
    <t>217 Chicago Avenue</t>
  </si>
  <si>
    <t>2021-05987</t>
  </si>
  <si>
    <t>David George Gugino</t>
  </si>
  <si>
    <t>Hypertension</t>
  </si>
  <si>
    <t>4711 Boulder Highway #E-1</t>
  </si>
  <si>
    <t>2021-06092</t>
  </si>
  <si>
    <t>Randy Lange</t>
  </si>
  <si>
    <t>2160 Pueblo Circle</t>
  </si>
  <si>
    <t>2021-06124</t>
  </si>
  <si>
    <t>Jamar Lavel Williams</t>
  </si>
  <si>
    <t>Environmental Heat Stress, Methamphetamine Intoxication</t>
  </si>
  <si>
    <t>2021-06197</t>
  </si>
  <si>
    <t>Mary A. Vallandingham</t>
  </si>
  <si>
    <t>3095 La Barca Lane</t>
  </si>
  <si>
    <t>2021-06260</t>
  </si>
  <si>
    <t>Janet Rae Antonson</t>
  </si>
  <si>
    <t>579 Lake Huron Lane</t>
  </si>
  <si>
    <t>2024-05824</t>
  </si>
  <si>
    <t>Chancellor, Robert S.</t>
  </si>
  <si>
    <t>Acute Combined Drug Overdose (Cocaine and Methamphetamine)</t>
  </si>
  <si>
    <t>3555 Stober Boulevard</t>
  </si>
  <si>
    <t>Outdoors/Public</t>
  </si>
  <si>
    <t>2024-04880</t>
  </si>
  <si>
    <t>King, Kevin L.</t>
  </si>
  <si>
    <t>Acute Combined Drug Overdose (Fentanyl and Methamphetamine)</t>
  </si>
  <si>
    <t>1238 Las Vegas Boulevard South</t>
  </si>
  <si>
    <t>2024-04881</t>
  </si>
  <si>
    <t>Garcia, Randy</t>
  </si>
  <si>
    <t>North Rampart Boulevard &amp; West Lake Mead Boulevard</t>
  </si>
  <si>
    <t>Hospitals</t>
  </si>
  <si>
    <t>2024-04927</t>
  </si>
  <si>
    <t>Parks, Tyrone J.</t>
  </si>
  <si>
    <t>2024-05790</t>
  </si>
  <si>
    <t>Konyha, Jason A.</t>
  </si>
  <si>
    <t>Acute Combined Drug Overdose (Para-Fluorofentanyl and Methamphetamine)</t>
  </si>
  <si>
    <t>3178 PaintedHills Avenue</t>
  </si>
  <si>
    <t>3178 Painted Hills Avenue</t>
  </si>
  <si>
    <t>2024-05103</t>
  </si>
  <si>
    <t>Hernandez, Eliberto</t>
  </si>
  <si>
    <t>Acute Combined Drug Toxicity (Fentanyl, Methamphetamine, and Ethanol)</t>
  </si>
  <si>
    <t>2024-05177</t>
  </si>
  <si>
    <t>Oliver, Lainna R.</t>
  </si>
  <si>
    <t>Acute Combined Drug Toxicity (Methamphetamine, Amphetamine, Fentanyl, Para-Fluorofentanyl)</t>
  </si>
  <si>
    <t>I-15 / Stewart Avenue</t>
  </si>
  <si>
    <t>2024-04376</t>
  </si>
  <si>
    <t>Weiss, Michael K.</t>
  </si>
  <si>
    <t>Acute Combined Methadone, Methamphetamine, Amphetamine, Olanzapine, and Alprazolam Toxicity</t>
  </si>
  <si>
    <t>35 West Owens Avenue</t>
  </si>
  <si>
    <t>Homeless shelter</t>
  </si>
  <si>
    <t>Hospital</t>
  </si>
  <si>
    <t>2024-06550</t>
  </si>
  <si>
    <t>Davis, Azell</t>
  </si>
  <si>
    <t>Hypertension; Environmental Heat Stress; Pulmonary Adhesions with Pulmonary Hyperinflation</t>
  </si>
  <si>
    <t>2024-05261</t>
  </si>
  <si>
    <t>Veltman, Hendrick W.</t>
  </si>
  <si>
    <t xml:space="preserve">Acute Combined Methamphetamine and Amphetamine Toxicity </t>
  </si>
  <si>
    <t>2332 Las Vegas Boulevard North</t>
  </si>
  <si>
    <t>Jail/Detention Center</t>
  </si>
  <si>
    <t>2024-06955</t>
  </si>
  <si>
    <t>Huntley, John E.</t>
  </si>
  <si>
    <t>Environmental Heat Exposure, Hypertensive Cardiovascular Disease; Hepatic Cirrhosis</t>
  </si>
  <si>
    <t>2024-05066</t>
  </si>
  <si>
    <t>Deaton, Kerby P.</t>
  </si>
  <si>
    <t>Acute Fentanyl and Methamphetamine Toxicity</t>
  </si>
  <si>
    <t>1531 Western Avenue</t>
  </si>
  <si>
    <t>2024-05102</t>
  </si>
  <si>
    <t>Christensen, Lee G.</t>
  </si>
  <si>
    <t>North Mojave Road &amp; Builders Avenue</t>
  </si>
  <si>
    <t>2024-05055</t>
  </si>
  <si>
    <t>Nelson, Monee L.</t>
  </si>
  <si>
    <t>Acute Fentanyl Toxicity</t>
  </si>
  <si>
    <t>300 Las Vegas Boulevard North</t>
  </si>
  <si>
    <t>2024-04093</t>
  </si>
  <si>
    <t>Muscat, Shaun A.</t>
  </si>
  <si>
    <t>2024-04232</t>
  </si>
  <si>
    <t>Burcham, Daniel S.</t>
  </si>
  <si>
    <t>3186 South Maryland Parkway</t>
  </si>
  <si>
    <t>2024-05191</t>
  </si>
  <si>
    <t>Tucker, Connie</t>
  </si>
  <si>
    <t>Right Lower Lung Lobe Pneumonia; Chronic Heroin Use; Environmental Heat Stress</t>
  </si>
  <si>
    <t>8280 West Warm Springs Road</t>
  </si>
  <si>
    <t>Emergency Room</t>
  </si>
  <si>
    <t>2024-05403</t>
  </si>
  <si>
    <t>Cook, Arthur L.</t>
  </si>
  <si>
    <t>Environmental Heat Stress; Hypertensive and Atherosclerotic Cardiovascular Disease; Diabetes Mellitus</t>
  </si>
  <si>
    <t>2024-04719</t>
  </si>
  <si>
    <t>Sans Souci, Andrew G.</t>
  </si>
  <si>
    <t>4840 South Jones Boulevard</t>
  </si>
  <si>
    <t>2024-04960</t>
  </si>
  <si>
    <t>Jones, Artesia</t>
  </si>
  <si>
    <t xml:space="preserve">Acute Methamphetamine Intoxication </t>
  </si>
  <si>
    <t>7055 East Lake Mead Boulevard</t>
  </si>
  <si>
    <t>1409 E Lake Mead Blvd</t>
  </si>
  <si>
    <t>emergency room</t>
  </si>
  <si>
    <t>2024-04166</t>
  </si>
  <si>
    <t>Miller, Chance C.</t>
  </si>
  <si>
    <t>Environmental Heat Stress and Cardiomegaly</t>
  </si>
  <si>
    <t>300 West Sahara Avenue</t>
  </si>
  <si>
    <t>Sidewalk</t>
  </si>
  <si>
    <t>2024-04504</t>
  </si>
  <si>
    <t>Betts, James E.</t>
  </si>
  <si>
    <t>1873 N Las Vegas Boulevard #109</t>
  </si>
  <si>
    <t>hotel/motel</t>
  </si>
  <si>
    <t>2024-04540</t>
  </si>
  <si>
    <t>Wallace, Sherrie R.</t>
  </si>
  <si>
    <t>2024-04569</t>
  </si>
  <si>
    <t>Manning, Juan A.</t>
  </si>
  <si>
    <t>Environmental Heat Stress; Dilated Cardiomyopathy</t>
  </si>
  <si>
    <t>Main Street / Las Vegas Boulevard</t>
  </si>
  <si>
    <t>Desert lot</t>
  </si>
  <si>
    <t>2024-04936</t>
  </si>
  <si>
    <t>White, Marelis J.</t>
  </si>
  <si>
    <t>4601 East Cheyenne Avenue #109</t>
  </si>
  <si>
    <t>2024-04940</t>
  </si>
  <si>
    <t>Miller, Craig</t>
  </si>
  <si>
    <t>Fremont Street &amp; Sahara Avenue</t>
  </si>
  <si>
    <t>2024-04965</t>
  </si>
  <si>
    <t>Marsh, Matthew B.</t>
  </si>
  <si>
    <t>131 North 9th Street</t>
  </si>
  <si>
    <t>2024-05129</t>
  </si>
  <si>
    <t>Wada, Kaoru</t>
  </si>
  <si>
    <t>Stanley Avenue &amp; Civic Center Drive</t>
  </si>
  <si>
    <t>2024-05174</t>
  </si>
  <si>
    <t>Lewis, Lorenzo T.</t>
  </si>
  <si>
    <t>2024-05785</t>
  </si>
  <si>
    <t>Foster, Brandon R.</t>
  </si>
  <si>
    <t>4954 Boulder Highway</t>
  </si>
  <si>
    <t>2024-05821</t>
  </si>
  <si>
    <t>Finnell, Scott F.</t>
  </si>
  <si>
    <t>South 4th Street &amp; East Clark Avenue</t>
  </si>
  <si>
    <t>2024-05718</t>
  </si>
  <si>
    <t>Singleton, Marcus L.</t>
  </si>
  <si>
    <t>Acute Para-Fluorofentanyl and Methamphetamine Toxicity</t>
  </si>
  <si>
    <t>2024-04523</t>
  </si>
  <si>
    <t>Hubbert, Michael R.</t>
  </si>
  <si>
    <t>East Bridger Avenue &amp; 1st Street</t>
  </si>
  <si>
    <t>2024-04730</t>
  </si>
  <si>
    <t>Bigelow, Danielle K.</t>
  </si>
  <si>
    <t>2024-05662</t>
  </si>
  <si>
    <t>Peinado, Philip S.</t>
  </si>
  <si>
    <t>301 South Martin Luther King Boulevard</t>
  </si>
  <si>
    <t>furniture/home furnishings</t>
  </si>
  <si>
    <t>2024-05716</t>
  </si>
  <si>
    <t>Archie, Danny L.</t>
  </si>
  <si>
    <t>486 Calcaterra Circle</t>
  </si>
  <si>
    <t>2024-05736</t>
  </si>
  <si>
    <t>Johnson, Robert E.</t>
  </si>
  <si>
    <t>60 North 25th Street</t>
  </si>
  <si>
    <t>2024-05898</t>
  </si>
  <si>
    <t>Huertas, Angel A.</t>
  </si>
  <si>
    <t>Paradise Road near Sierra Vista Drive</t>
  </si>
  <si>
    <t>2024-05949</t>
  </si>
  <si>
    <t>Berniz, Joseph</t>
  </si>
  <si>
    <t>Emergency Room/Outpatient</t>
  </si>
  <si>
    <t>2024-06183</t>
  </si>
  <si>
    <t>Taber, Patricia A.</t>
  </si>
  <si>
    <t>2850 Desert Hills Circle</t>
  </si>
  <si>
    <t>2024-06242</t>
  </si>
  <si>
    <t>Blakeman, Dana M.</t>
  </si>
  <si>
    <t>3186 S Maryland Pkwy</t>
  </si>
  <si>
    <t>Emergency room</t>
  </si>
  <si>
    <t>2024-06243</t>
  </si>
  <si>
    <t>Rodrigues, Keevan</t>
  </si>
  <si>
    <t>Other</t>
  </si>
  <si>
    <t>122 East Clark Avenue</t>
  </si>
  <si>
    <t>2024-05698</t>
  </si>
  <si>
    <t>Baldwin, Robert A.</t>
  </si>
  <si>
    <t>Acute Toxic Effects of Methamphetamine and Cocaine</t>
  </si>
  <si>
    <t>2024-04709</t>
  </si>
  <si>
    <t>Sosa-Aguirre, Enrique</t>
  </si>
  <si>
    <t>Acute Toxic Effects of Methamphetamine and Fentanyl</t>
  </si>
  <si>
    <t>2016 Poplar Avenue</t>
  </si>
  <si>
    <t>Backyard</t>
  </si>
  <si>
    <t>2024-05709</t>
  </si>
  <si>
    <t>Maddox, Brett</t>
  </si>
  <si>
    <t>1600 East Rochelle Avenue</t>
  </si>
  <si>
    <t>2024-04729</t>
  </si>
  <si>
    <t>Allard, Donald C. Jr.</t>
  </si>
  <si>
    <t>Acute Toxic Effects of Methamphetamine, Heroin and Fentanyl</t>
  </si>
  <si>
    <t>7600 block South Las Vegas Boulevard</t>
  </si>
  <si>
    <t>Drainage tunnel entrance</t>
  </si>
  <si>
    <t>2024-04814</t>
  </si>
  <si>
    <t>Roat, Dustin J.</t>
  </si>
  <si>
    <t>Alcohol, Methamphetamine and Fentanyl Intoxication</t>
  </si>
  <si>
    <t>2024-06005</t>
  </si>
  <si>
    <t>Potter, Alexandra</t>
  </si>
  <si>
    <t>Anoxic Brain Injury</t>
  </si>
  <si>
    <t>Methamphetamine and Probable PCP Toxicity during Environmental Heat Stress</t>
  </si>
  <si>
    <t>3254 Andrea Street</t>
  </si>
  <si>
    <t>MICU</t>
  </si>
  <si>
    <t>2024-06818</t>
  </si>
  <si>
    <t>Copas, Adalina A.</t>
  </si>
  <si>
    <t>Hyperthermia in the Setting of Environmental Heat Stress and Methamphetamine Toxicity</t>
  </si>
  <si>
    <t>Empty Lot</t>
  </si>
  <si>
    <t>1409 East Lake Mead Boulevard</t>
  </si>
  <si>
    <t>Intensive Care Unit (ICU)</t>
  </si>
  <si>
    <t>2024-04916</t>
  </si>
  <si>
    <t>Johnson, Hollis</t>
  </si>
  <si>
    <t xml:space="preserve">Arteriosclerotic and Hypertensive Cardiovascular Disease </t>
  </si>
  <si>
    <t xml:space="preserve">Environmental Heat exposure </t>
  </si>
  <si>
    <t>2024-05842</t>
  </si>
  <si>
    <t>Malpezzi, Michael J.</t>
  </si>
  <si>
    <t>2007 Pin Oak Avenue</t>
  </si>
  <si>
    <t>2024-06510</t>
  </si>
  <si>
    <t>Ouimette, Donald F.</t>
  </si>
  <si>
    <t>Environmental heat exposure, emphysema</t>
  </si>
  <si>
    <t>2316 Valley Drive</t>
  </si>
  <si>
    <t>2024-05173</t>
  </si>
  <si>
    <t>Campbell, Angel M.</t>
  </si>
  <si>
    <t>2024-03880</t>
  </si>
  <si>
    <t>Lane, Edward R.</t>
  </si>
  <si>
    <t>3665 Needles Highway #54E</t>
  </si>
  <si>
    <t>2024-03913</t>
  </si>
  <si>
    <t>Hanley, Zena A.</t>
  </si>
  <si>
    <t>Tobacco Use, Breast Cancer, Environmental Heat Stress</t>
  </si>
  <si>
    <t>3751 South Nellis Boulevard, #153</t>
  </si>
  <si>
    <t>2024-04004</t>
  </si>
  <si>
    <t>Brown, Linda</t>
  </si>
  <si>
    <t>Tobacco Use; Environmental Heat Stress</t>
  </si>
  <si>
    <t>2240 Village Walk Drive #2315</t>
  </si>
  <si>
    <t>2024-04374</t>
  </si>
  <si>
    <t>Umbarger, Patricia</t>
  </si>
  <si>
    <t>Environmental Heat Stress; Obesity</t>
  </si>
  <si>
    <t>2024-04551</t>
  </si>
  <si>
    <t>Guerra, Martin D.</t>
  </si>
  <si>
    <t>2024-04574</t>
  </si>
  <si>
    <t>Acosta, Nethan R.</t>
  </si>
  <si>
    <t>Lakeshore Drive</t>
  </si>
  <si>
    <t>2024-04957</t>
  </si>
  <si>
    <t>Rohlman, Michael</t>
  </si>
  <si>
    <t>Mobile Home</t>
  </si>
  <si>
    <t>2024-04969</t>
  </si>
  <si>
    <t>Knight, Keith</t>
  </si>
  <si>
    <t>6504 Sundown Heights Avenue</t>
  </si>
  <si>
    <t>2024-05015</t>
  </si>
  <si>
    <t>Gunter, Tina L.</t>
  </si>
  <si>
    <t>Chronic Ethanol Use; Environmental Heat Stress</t>
  </si>
  <si>
    <t>Florida</t>
  </si>
  <si>
    <t>south of 300 Las Vegas Boulevard South</t>
  </si>
  <si>
    <t>2024-05277</t>
  </si>
  <si>
    <t>Williams, Sandra J.</t>
  </si>
  <si>
    <t>8350 West Desert Inn Road # 2043</t>
  </si>
  <si>
    <t>2024-05380</t>
  </si>
  <si>
    <t>Macek, Virgil</t>
  </si>
  <si>
    <t>2621 E. Ambush Street</t>
  </si>
  <si>
    <t>2024-05668</t>
  </si>
  <si>
    <t>Turner, Brian</t>
  </si>
  <si>
    <t>2221 West Cordova Place</t>
  </si>
  <si>
    <t>2024-05682</t>
  </si>
  <si>
    <t>Horner, Lee M.</t>
  </si>
  <si>
    <t>2754 El Toreador Street</t>
  </si>
  <si>
    <t>2024-05693</t>
  </si>
  <si>
    <t>Miller, Malcolm</t>
  </si>
  <si>
    <t>95 Urbana Drive</t>
  </si>
  <si>
    <t>2024-05703</t>
  </si>
  <si>
    <t>Hicks, John</t>
  </si>
  <si>
    <t>3492 Pinon Peak Drive</t>
  </si>
  <si>
    <t>2024-05732</t>
  </si>
  <si>
    <t>Moazed, Bernyce</t>
  </si>
  <si>
    <t>2024-05763</t>
  </si>
  <si>
    <t>Edwards, JoEllen</t>
  </si>
  <si>
    <t>2024-05767</t>
  </si>
  <si>
    <t>Kim, Jaden J.</t>
  </si>
  <si>
    <t>7707 Duran Harbor Lane</t>
  </si>
  <si>
    <t>2024-05788</t>
  </si>
  <si>
    <t>Varela, George A.</t>
  </si>
  <si>
    <t>Probable Ruptured Cerebral Artery at the Base of the Brain; Environmental Heat Stress</t>
  </si>
  <si>
    <t>97 Sir George Drive</t>
  </si>
  <si>
    <t>2024-06174</t>
  </si>
  <si>
    <t>Wu, Paul K.</t>
  </si>
  <si>
    <t>2024-06364</t>
  </si>
  <si>
    <t>Moore, Juan</t>
  </si>
  <si>
    <t>3920 Las Vegas Boulevard North #121B</t>
  </si>
  <si>
    <t>2024-05722</t>
  </si>
  <si>
    <t>Lapp, Janice</t>
  </si>
  <si>
    <t>4505 East Desert Inn Road #62</t>
  </si>
  <si>
    <t>2024-04128</t>
  </si>
  <si>
    <t>Nelson, Lana</t>
  </si>
  <si>
    <t>2024-06373</t>
  </si>
  <si>
    <t>Loman, Alan</t>
  </si>
  <si>
    <t>Colorado</t>
  </si>
  <si>
    <t>Desert Area near Hafen Ranch Road &amp; 160</t>
  </si>
  <si>
    <t>Desert</t>
  </si>
  <si>
    <t>2024-04894</t>
  </si>
  <si>
    <t>Lee, Randall</t>
  </si>
  <si>
    <t>Carbon Monoxide Toxicity</t>
  </si>
  <si>
    <t>Methamphetamine Use; Environmental Heat Stress</t>
  </si>
  <si>
    <t>2024-05139</t>
  </si>
  <si>
    <t>Brass, Theodis</t>
  </si>
  <si>
    <t>Cardiac arrhythmia</t>
  </si>
  <si>
    <t>Diabetes Mellitus and Environmental heat stress</t>
  </si>
  <si>
    <t>2024-06461</t>
  </si>
  <si>
    <t>Rubin, Jack E.</t>
  </si>
  <si>
    <t>Cardiomegaly of Unclear Origin</t>
  </si>
  <si>
    <t>History of Cardiac Arrhythmia and Remote Stroke; Chronic Kidney Disease; Environmental Heat Stress</t>
  </si>
  <si>
    <t>4283 Sunrise Flats Street</t>
  </si>
  <si>
    <t>2024-06153</t>
  </si>
  <si>
    <t>Jacobsen, Svein</t>
  </si>
  <si>
    <t>Cardiorespiratory Arrest</t>
  </si>
  <si>
    <t>ST-elevated Myocardial Infarction</t>
  </si>
  <si>
    <t>5400 South Rainbow Boulevard</t>
  </si>
  <si>
    <t>2024-03687</t>
  </si>
  <si>
    <t>Livingstone, Carol</t>
  </si>
  <si>
    <t xml:space="preserve">Cerebrovascular Accident </t>
  </si>
  <si>
    <t>Hyperthermia, Dilated Cardiomyopathy, Obesity</t>
  </si>
  <si>
    <t>2813 Belmont Drive</t>
  </si>
  <si>
    <t>Backyard of residence</t>
  </si>
  <si>
    <t>2024-05613</t>
  </si>
  <si>
    <t>Reyes, James</t>
  </si>
  <si>
    <t>California</t>
  </si>
  <si>
    <t>2050 Bonnie Lane</t>
  </si>
  <si>
    <t>1800 West Charleston Boulevard</t>
  </si>
  <si>
    <t>general</t>
  </si>
  <si>
    <t>2024-03783</t>
  </si>
  <si>
    <t>Jerochim, Marilyn</t>
  </si>
  <si>
    <t>Chronic Ethanol Use and Sequelae thereof</t>
  </si>
  <si>
    <t>North H Street &amp; West Lake Mead Boulevard</t>
  </si>
  <si>
    <t>2024-04495</t>
  </si>
  <si>
    <t>Hernandez, Dave</t>
  </si>
  <si>
    <t>4952 Larkspur Street</t>
  </si>
  <si>
    <t>2024-05058</t>
  </si>
  <si>
    <t>Sawamura, Jonathan H.</t>
  </si>
  <si>
    <t>6930 Paradise Road #2050</t>
  </si>
  <si>
    <t>2024-05853</t>
  </si>
  <si>
    <t>Koney, Barbara J.</t>
  </si>
  <si>
    <t>1744 La Cruz Drive</t>
  </si>
  <si>
    <t>2024-04225</t>
  </si>
  <si>
    <t>Shutte, Douglas A.</t>
  </si>
  <si>
    <t>Environmental Heat Stress; Recent Blunt Impact Injury of Head</t>
  </si>
  <si>
    <t>398 Viewmont Drive</t>
  </si>
  <si>
    <t>2024-05727</t>
  </si>
  <si>
    <t>Moctezuma, Arturo</t>
  </si>
  <si>
    <t>Chronic Ethanolism and Sequelae thereof</t>
  </si>
  <si>
    <t>Diabetes Mellitus; Obesity; Environmental Heat Stress</t>
  </si>
  <si>
    <t>2024-04375</t>
  </si>
  <si>
    <t>Umbarger, Kenneth J.</t>
  </si>
  <si>
    <t>2024-04476</t>
  </si>
  <si>
    <t>Mayabb, Kenneth D.</t>
  </si>
  <si>
    <t>4976 Stanley Avenue</t>
  </si>
  <si>
    <t>2024-05036</t>
  </si>
  <si>
    <t>Baumgarten, Betty J.</t>
  </si>
  <si>
    <t>5805 West Harmon Avenue</t>
  </si>
  <si>
    <t>2024-05589</t>
  </si>
  <si>
    <t>Hargis, Barbara A.</t>
  </si>
  <si>
    <t>929 Sulpher Springs Lane, #202</t>
  </si>
  <si>
    <t>2024-03979</t>
  </si>
  <si>
    <t>Borrel, Dana M.</t>
  </si>
  <si>
    <t>Cocaine and Methamphetamine Toxicity</t>
  </si>
  <si>
    <t>Louisiana</t>
  </si>
  <si>
    <t>4340 West Warm Springs Road</t>
  </si>
  <si>
    <t>2024-04948</t>
  </si>
  <si>
    <t>Johnson, Daniel</t>
  </si>
  <si>
    <t xml:space="preserve">Cocaine Intoxication </t>
  </si>
  <si>
    <t>2024-04490</t>
  </si>
  <si>
    <t>Moten, Benny L.</t>
  </si>
  <si>
    <t>Cocaine Toxicity</t>
  </si>
  <si>
    <t>Environmental Heat Stress, Recent Phencyclidine Use</t>
  </si>
  <si>
    <t>F Street northeast of West Van Buren Avenue</t>
  </si>
  <si>
    <t>2024-04511</t>
  </si>
  <si>
    <t>Jefferson, Eddy</t>
  </si>
  <si>
    <t>Combined Cocaine and Ethanol Toxicity</t>
  </si>
  <si>
    <t>826 Hart Avenue</t>
  </si>
  <si>
    <t>2024-06381</t>
  </si>
  <si>
    <t>Hardy, Darlean L.</t>
  </si>
  <si>
    <t>Combined Cocaine, Methamphetamine, and Phenylpropanolamine Toxicity</t>
  </si>
  <si>
    <t>Civic Center Drive &amp; Saturn Avenue</t>
  </si>
  <si>
    <t>2024-04590</t>
  </si>
  <si>
    <t>Gonyer, Daniel T.</t>
  </si>
  <si>
    <t>Boulder Highway</t>
  </si>
  <si>
    <t>2024-04208</t>
  </si>
  <si>
    <t>Kaleikini, Daniel M.</t>
  </si>
  <si>
    <t>Combined Effects of Fentanyl and Methamphetamine</t>
  </si>
  <si>
    <t>4055 South Fort Apache Road</t>
  </si>
  <si>
    <t>2024-05665</t>
  </si>
  <si>
    <t>Vides Alarcon, Cesar A.</t>
  </si>
  <si>
    <t>1355 South Mojave Road</t>
  </si>
  <si>
    <t>2024-02806</t>
  </si>
  <si>
    <t>Kiesha Y. Phillips</t>
  </si>
  <si>
    <t>Combined Effects of Methamphetamine and Ethanol</t>
  </si>
  <si>
    <t xml:space="preserve"> South Hollywood Boulevard</t>
  </si>
  <si>
    <t>Outdoors (Public)</t>
  </si>
  <si>
    <t>2024-06311</t>
  </si>
  <si>
    <t>Alvarez, Jason J.</t>
  </si>
  <si>
    <t>Combined Fentanyl, Methamphetamine, Para-Fluorofentanyl and Xylazine Toxicity</t>
  </si>
  <si>
    <t>Torrey Pines Drive &amp; Flamingo Road</t>
  </si>
  <si>
    <t>2024-04496</t>
  </si>
  <si>
    <t>Cheeks, Artis</t>
  </si>
  <si>
    <t>Combined Methamphetamine and Phencyclidine Toxicity</t>
  </si>
  <si>
    <t>2024-03823</t>
  </si>
  <si>
    <t>Hutcheson, Alyssa L.</t>
  </si>
  <si>
    <t>Combined Toxic Effects of Fentanyl, Mitragynine and Methamphetamine</t>
  </si>
  <si>
    <t>rear of 5475 Wynn Road</t>
  </si>
  <si>
    <t>2024-04483</t>
  </si>
  <si>
    <t>Lewicki, Carolyn A.</t>
  </si>
  <si>
    <t>Combined Toxic Effects of Fentanyl, Mitragynine, Hydrocodone and Gabapentin</t>
  </si>
  <si>
    <t>2125 Elm Avenue</t>
  </si>
  <si>
    <t>2024-05603</t>
  </si>
  <si>
    <t>Bell, Rueben G.</t>
  </si>
  <si>
    <t>Combined Toxic Effects of Methadone, Cyclobenzaprine and Methamphetamine</t>
  </si>
  <si>
    <t>955 White Drive</t>
  </si>
  <si>
    <t>2024-05591</t>
  </si>
  <si>
    <t>Ayers, Jerome A.</t>
  </si>
  <si>
    <t>Combined Toxic Effects of Para-Fluorofentanyl and Methamphetamine</t>
  </si>
  <si>
    <t>East Desert Inn Road</t>
  </si>
  <si>
    <t>2024-05366</t>
  </si>
  <si>
    <t>Jenson, Paul L.</t>
  </si>
  <si>
    <t>6920 Arroyo Crossing Parkway</t>
  </si>
  <si>
    <t>2024-05415</t>
  </si>
  <si>
    <t>Valentine, Maurice L.</t>
  </si>
  <si>
    <t>Complications of Environmental Heat Exposure</t>
  </si>
  <si>
    <t>Methamphetamine Toxicity, Pulmonary Emphysema</t>
  </si>
  <si>
    <t>2024-07848</t>
  </si>
  <si>
    <t>Arakawa, Corinne</t>
  </si>
  <si>
    <t>Complications of Thermal Cutaneous Injuries</t>
  </si>
  <si>
    <t>Remote Environmental Hyperthermia and Sequelae Thereof, Diabetes Mellitus</t>
  </si>
  <si>
    <t>2024-06244</t>
  </si>
  <si>
    <t>Marko, John III</t>
  </si>
  <si>
    <t>Complications of Third Degree Burns</t>
  </si>
  <si>
    <t>Thermal Injury</t>
  </si>
  <si>
    <t>Elevated Environmental Temperatures</t>
  </si>
  <si>
    <t>Complications of Right Femur Fracture; Hypertension; Atherosclerosis' Prosthetic Aortic Valve; atrial Fibrillation; Diabetes</t>
  </si>
  <si>
    <t>3985 South Pearl Street</t>
  </si>
  <si>
    <t>Assisted Living</t>
  </si>
  <si>
    <t>2024-04479</t>
  </si>
  <si>
    <t>Burch, Dean A.</t>
  </si>
  <si>
    <t>4445 Boulder Highway, Space #7031</t>
  </si>
  <si>
    <t>2024-05048</t>
  </si>
  <si>
    <t>Triggs, Phillip</t>
  </si>
  <si>
    <t>2300 Holly Avenue</t>
  </si>
  <si>
    <t>2024-05647</t>
  </si>
  <si>
    <t>Lo, Chino R.</t>
  </si>
  <si>
    <t>Diabetes Mellitus</t>
  </si>
  <si>
    <t>Hypertensive and Atherosclerotic Cardiovascular Disease; Environmental Heat Stress</t>
  </si>
  <si>
    <t>5166 West Desert Inn Road</t>
  </si>
  <si>
    <t>2024-06159</t>
  </si>
  <si>
    <t>Dubarton, Anne E.</t>
  </si>
  <si>
    <t>Environmental Heat Stress; Hypertension</t>
  </si>
  <si>
    <t>4269 Roanridge Avenue</t>
  </si>
  <si>
    <t>2024-04431</t>
  </si>
  <si>
    <t>Esser, Josephine</t>
  </si>
  <si>
    <t>Diabetes Mellitus and Sequelae thereof</t>
  </si>
  <si>
    <t>530 Osprey Street</t>
  </si>
  <si>
    <t>2024-05123</t>
  </si>
  <si>
    <t>Gjerdahl, Milo</t>
  </si>
  <si>
    <t>Diabetes mellitus and sequelae thereof</t>
  </si>
  <si>
    <t>Hypertensive cardiovascular disease and environmental heat stress</t>
  </si>
  <si>
    <t>1481 Palm Street #413</t>
  </si>
  <si>
    <t>2024-05751</t>
  </si>
  <si>
    <t>Anderson, Janis A.</t>
  </si>
  <si>
    <t>1655 East Sahara Avenue #5-2002</t>
  </si>
  <si>
    <t>2024-04501</t>
  </si>
  <si>
    <t>Pretti, Lori S.</t>
  </si>
  <si>
    <t>853 Mesa Boulevard</t>
  </si>
  <si>
    <t>2024-05198</t>
  </si>
  <si>
    <t>Rancher, Rickey B.</t>
  </si>
  <si>
    <t>Environmental Heat Stress; Acute Cocaine Toxicity; Atherosclerotic Cardiovascular Disease</t>
  </si>
  <si>
    <t>1904 Holmes Street</t>
  </si>
  <si>
    <t>2024-05265</t>
  </si>
  <si>
    <t>Leed, Tony V.</t>
  </si>
  <si>
    <t>Acute Combined Methamphetamine and Amphetamine Toxicity; Hyperthermia</t>
  </si>
  <si>
    <t>2024-04020</t>
  </si>
  <si>
    <t>Oshea, Patrick M.</t>
  </si>
  <si>
    <t>2237 West Charleston Boulevard</t>
  </si>
  <si>
    <t>2024-04596</t>
  </si>
  <si>
    <t>Jasmon, Mark A.</t>
  </si>
  <si>
    <t>1640 Alta Drive</t>
  </si>
  <si>
    <t>2024-05298</t>
  </si>
  <si>
    <t>Carol, Linda</t>
  </si>
  <si>
    <t>Drowning</t>
  </si>
  <si>
    <t>Spontaneous Retroperitoneal Hemorrhage; Environmental Heat Stress</t>
  </si>
  <si>
    <t>270 East Flamingo Road 7-113</t>
  </si>
  <si>
    <t>2024-04419</t>
  </si>
  <si>
    <t>Cohee, Jeffery E.</t>
  </si>
  <si>
    <t>End-Stage Renal Disease, Dialysis Dependent</t>
  </si>
  <si>
    <t>Chronic Obstructive Pulmonary Disease; Coronary Artery Disease; Methamphetamine Use; Environmental Heat Stress</t>
  </si>
  <si>
    <t>937 Highside Court</t>
  </si>
  <si>
    <t>2024-03964</t>
  </si>
  <si>
    <t>Aguiluz, Elinor</t>
  </si>
  <si>
    <t>2024-04223</t>
  </si>
  <si>
    <t>Gasso, Anthony A.</t>
  </si>
  <si>
    <t>Dehydration, Atherosclerotic Cardiovascular Disease, Obesity</t>
  </si>
  <si>
    <t>2024-04708</t>
  </si>
  <si>
    <t>Vernier, Joseph W.</t>
  </si>
  <si>
    <t>2024-04733</t>
  </si>
  <si>
    <t>Ambarsoom, Hilda</t>
  </si>
  <si>
    <t>Mixed Drug (Diphenhydramine, Naproxen) Consumption</t>
  </si>
  <si>
    <t>8975 Topaz Street</t>
  </si>
  <si>
    <t>2024-04800</t>
  </si>
  <si>
    <t>Johnson, Lynne</t>
  </si>
  <si>
    <t>Boulder Highway and Calle Bonito</t>
  </si>
  <si>
    <t>2024-04838</t>
  </si>
  <si>
    <t>Hooks, Lakisha Y.</t>
  </si>
  <si>
    <t>2024-04847</t>
  </si>
  <si>
    <t>Green, Daytron J. Jr.</t>
  </si>
  <si>
    <t>2757 Wild Cactus Court</t>
  </si>
  <si>
    <t>2024-04917</t>
  </si>
  <si>
    <t>Sierra, Juan M.</t>
  </si>
  <si>
    <t>2024-04954</t>
  </si>
  <si>
    <t>Lavender, Charles J.</t>
  </si>
  <si>
    <t>2450 Las Vegas Boulevard North</t>
  </si>
  <si>
    <t>2024-05234</t>
  </si>
  <si>
    <t>Ibbs, Patricia F.</t>
  </si>
  <si>
    <t>2835 China Cove Street</t>
  </si>
  <si>
    <t>2024-05379</t>
  </si>
  <si>
    <t>Blair, Michael W.</t>
  </si>
  <si>
    <t>Dehydration, Pulmonary Emphysema</t>
  </si>
  <si>
    <t>S. 4th Street / E. Bonneville Avenue</t>
  </si>
  <si>
    <t>2024-05536</t>
  </si>
  <si>
    <t>Brown, Paul D.</t>
  </si>
  <si>
    <t>4121 Fortune Avenue</t>
  </si>
  <si>
    <t>2024-05829</t>
  </si>
  <si>
    <t>Carpenter, Ernest J.</t>
  </si>
  <si>
    <t>Summitpeak Way &amp; Painted Hills Avenue</t>
  </si>
  <si>
    <t>Travel Trailer</t>
  </si>
  <si>
    <t>2024-05914</t>
  </si>
  <si>
    <t>Taylor, Edward E.</t>
  </si>
  <si>
    <t>Hypertensive Cardiovascular Disease, Obesity</t>
  </si>
  <si>
    <t>2485 West Wigwam Avenue Spc 101</t>
  </si>
  <si>
    <t>2024-06256</t>
  </si>
  <si>
    <t>Palma, Miguel G.</t>
  </si>
  <si>
    <t>Dehydration, Hypertensive and Atherosclerotic Cardiovascular Disease, Pulmonary Emphysema</t>
  </si>
  <si>
    <t>Hollywood Boulevard</t>
  </si>
  <si>
    <t>2024-06259</t>
  </si>
  <si>
    <t>Paul, David M.</t>
  </si>
  <si>
    <t>Cardiomegaly, Obesity</t>
  </si>
  <si>
    <t>1501 Las Vegas Boulevard North</t>
  </si>
  <si>
    <t>2024-06393</t>
  </si>
  <si>
    <t>Parker, Michael A.</t>
  </si>
  <si>
    <t>Recent Fentanyl and Buprenorphine Intoxication</t>
  </si>
  <si>
    <t>5504 Berchmans Avenue</t>
  </si>
  <si>
    <t>2024-06957</t>
  </si>
  <si>
    <t>Tepepa Avendano, Jacobo</t>
  </si>
  <si>
    <t>1600 Ferrell Street Unit B</t>
  </si>
  <si>
    <t>2024-05394</t>
  </si>
  <si>
    <t>Eubanks, Dan E.</t>
  </si>
  <si>
    <t>Environmental Heat Exposure with Dehydration</t>
  </si>
  <si>
    <t>Cardiomegaly</t>
  </si>
  <si>
    <t>2024-04384</t>
  </si>
  <si>
    <t>Bankston, Dequan R.</t>
  </si>
  <si>
    <t>Environmental Heat Exposure with Hyperthermia</t>
  </si>
  <si>
    <t>129 Fremont St</t>
  </si>
  <si>
    <t>2024-03702</t>
  </si>
  <si>
    <t>Pezley, Stanley G.</t>
  </si>
  <si>
    <t>Probable Atherosclerotic Cardiovascular Disease</t>
  </si>
  <si>
    <t>5300 East Craig Road #1-412</t>
  </si>
  <si>
    <t>2024-03829</t>
  </si>
  <si>
    <t>Piotroski, Martin K.</t>
  </si>
  <si>
    <t>Inanition</t>
  </si>
  <si>
    <t>behind 2250 East Flamingo Road</t>
  </si>
  <si>
    <t>2024-03897</t>
  </si>
  <si>
    <t>Murray, Heather</t>
  </si>
  <si>
    <t>1205 Mews Lane</t>
  </si>
  <si>
    <t>2024-03934</t>
  </si>
  <si>
    <t>Loving, Arthur R. Jr.</t>
  </si>
  <si>
    <t>2024-03939</t>
  </si>
  <si>
    <t>Reiber, Judy</t>
  </si>
  <si>
    <t>Breast Cancer</t>
  </si>
  <si>
    <t>291 Lido Drive</t>
  </si>
  <si>
    <t>2024-03967</t>
  </si>
  <si>
    <t>Duty, Alicia M.</t>
  </si>
  <si>
    <t>2024-04122</t>
  </si>
  <si>
    <t>Sanders, Mark A.</t>
  </si>
  <si>
    <t>2586 Meadows Ave</t>
  </si>
  <si>
    <t>general car repair servicing</t>
  </si>
  <si>
    <t>2024-04200</t>
  </si>
  <si>
    <t>Garcia, Herman</t>
  </si>
  <si>
    <t>2024-04207</t>
  </si>
  <si>
    <t>Rodriguez, Sonny D.</t>
  </si>
  <si>
    <t>5428 Funks Grove Lane</t>
  </si>
  <si>
    <t>2024-04245</t>
  </si>
  <si>
    <t>Verduzco, Jose</t>
  </si>
  <si>
    <t>Diabetes; Hypertension; Acute Angle Take-Off of the Left Main Coronary Artery (Left Dominant Heart)</t>
  </si>
  <si>
    <t>650 East Owens Avenue</t>
  </si>
  <si>
    <t>2024-04275</t>
  </si>
  <si>
    <t>Barber, Donald H.</t>
  </si>
  <si>
    <t>Peripheral Artery Disease</t>
  </si>
  <si>
    <t>3790 Royal Crest Street #51</t>
  </si>
  <si>
    <t>2024-04386</t>
  </si>
  <si>
    <t>Henry, Bonita D.</t>
  </si>
  <si>
    <t>6811 Fallona Avenue</t>
  </si>
  <si>
    <t>2024-04398</t>
  </si>
  <si>
    <t>Kennedy, Susan</t>
  </si>
  <si>
    <t>3957 South Torrey Pines Drive</t>
  </si>
  <si>
    <t>2024-04425</t>
  </si>
  <si>
    <t>Weathers, Willie J.</t>
  </si>
  <si>
    <t>Cocaine Use; Chronic Obstructive Pulmonary Disease</t>
  </si>
  <si>
    <t>328 North 11th Street #328</t>
  </si>
  <si>
    <t>2024-04429</t>
  </si>
  <si>
    <t>Morse, Christopher J.</t>
  </si>
  <si>
    <t>Fentanyl and Methamphetamine Use: Chronic Obstructive Pulmonary Disease</t>
  </si>
  <si>
    <t>5048 Boulder Highway</t>
  </si>
  <si>
    <t>2024-04493</t>
  </si>
  <si>
    <t>Jabarikavkani, Mehrdad</t>
  </si>
  <si>
    <t>Recent Methamphetamine Use, Atherosclerotic Cardiovascular Disease</t>
  </si>
  <si>
    <t>2024-04566</t>
  </si>
  <si>
    <t>Thomas, Valetine T.</t>
  </si>
  <si>
    <t>2024-04579</t>
  </si>
  <si>
    <t>Johnson, Robert J.</t>
  </si>
  <si>
    <t>2024-04607</t>
  </si>
  <si>
    <t>Gallia, Melissa A.</t>
  </si>
  <si>
    <t>Chronic Ethanolism, Hypertensive Cardiovascular Disease</t>
  </si>
  <si>
    <t>2882 South Maryland Parkway</t>
  </si>
  <si>
    <t>2024-04679</t>
  </si>
  <si>
    <t>Sebastini-Poma, Cesar R.</t>
  </si>
  <si>
    <t>Hypertensive and Atherosclerotic Cardiovascular Disease; Recent Blunt Force Injuries</t>
  </si>
  <si>
    <t>6244 Great Smoky Avenue</t>
  </si>
  <si>
    <t>Bedroom</t>
  </si>
  <si>
    <t>2024-04687</t>
  </si>
  <si>
    <t>Green, Ervin</t>
  </si>
  <si>
    <t xml:space="preserve">Global Geriatric Decline </t>
  </si>
  <si>
    <t>1438 East Auburn Valley Avenue</t>
  </si>
  <si>
    <t>2024-04702</t>
  </si>
  <si>
    <t>Anderson, Dennis L.</t>
  </si>
  <si>
    <t>2024-04710</t>
  </si>
  <si>
    <t>Rexroat, Lloyd</t>
  </si>
  <si>
    <t>Acute and Chronic Ethanol Toxicity</t>
  </si>
  <si>
    <t>5750 North Cimarron Road</t>
  </si>
  <si>
    <t>2024-04712</t>
  </si>
  <si>
    <t>Zolkiewicz, Ted</t>
  </si>
  <si>
    <t>7339 Cisco Lane</t>
  </si>
  <si>
    <t>2024-04720</t>
  </si>
  <si>
    <t>Aube, Errol</t>
  </si>
  <si>
    <t>2024-04748</t>
  </si>
  <si>
    <t>Peever, Linda D.</t>
  </si>
  <si>
    <t>Ethanol (Alcohol) Use</t>
  </si>
  <si>
    <t>3005 Treasure Island Road</t>
  </si>
  <si>
    <t>2024-04759</t>
  </si>
  <si>
    <t>Austin, Gerald D. Jr.</t>
  </si>
  <si>
    <t>4711 Boulder Highway #D-4</t>
  </si>
  <si>
    <t>2024-04785</t>
  </si>
  <si>
    <t>Buster, Solomon O. II</t>
  </si>
  <si>
    <t>2426 Cash Court</t>
  </si>
  <si>
    <t>2024-04801</t>
  </si>
  <si>
    <t>Hicks, CW</t>
  </si>
  <si>
    <t>End-Stage Renal Disease; Atherosclerotic Cardiovascular Disease</t>
  </si>
  <si>
    <t>4111 Boulder Highway</t>
  </si>
  <si>
    <t>2024-04810</t>
  </si>
  <si>
    <t>Washington, Clifton</t>
  </si>
  <si>
    <t>Las Vegas Boulevard and East Lake Mead Boulevard</t>
  </si>
  <si>
    <t>Bus Stop</t>
  </si>
  <si>
    <t>2024-04851</t>
  </si>
  <si>
    <t>Lowe, Sandra E.</t>
  </si>
  <si>
    <t>6741 Solaron Avenue</t>
  </si>
  <si>
    <t>2024-04871</t>
  </si>
  <si>
    <t>Booker, David</t>
  </si>
  <si>
    <t>2024-04884</t>
  </si>
  <si>
    <t>Nilsen, Kenneth R.</t>
  </si>
  <si>
    <t>4805 Jay Avenue</t>
  </si>
  <si>
    <t>2024-04889</t>
  </si>
  <si>
    <t>Conn, Marlin A.</t>
  </si>
  <si>
    <t>2024-04891</t>
  </si>
  <si>
    <t>Philippe, John P.</t>
  </si>
  <si>
    <t>Methamphetamine and Fentanyl Use</t>
  </si>
  <si>
    <t>2024-04896</t>
  </si>
  <si>
    <t>Timo, Joanne M.</t>
  </si>
  <si>
    <t>Bonanza Road / Main Street</t>
  </si>
  <si>
    <t>2024-04899</t>
  </si>
  <si>
    <t>Mayhew, Terry</t>
  </si>
  <si>
    <t>406 E. Naples Drive</t>
  </si>
  <si>
    <t>2024-04902</t>
  </si>
  <si>
    <t>Harris, Michael A.</t>
  </si>
  <si>
    <t>2024-04912</t>
  </si>
  <si>
    <t>Jackson, Johnny L.</t>
  </si>
  <si>
    <t>Park</t>
  </si>
  <si>
    <t>2024-04923</t>
  </si>
  <si>
    <t>Howard, David J.</t>
  </si>
  <si>
    <t>2024-04932</t>
  </si>
  <si>
    <t>Devane, Artez L.</t>
  </si>
  <si>
    <t>150 Las Vegas Boulevard North</t>
  </si>
  <si>
    <t>2024-04933</t>
  </si>
  <si>
    <t>Noble, Joshua E.</t>
  </si>
  <si>
    <t>Methamphetamine and Ethanol Use</t>
  </si>
  <si>
    <t>620 East Twain Avenue</t>
  </si>
  <si>
    <t>2024-04939</t>
  </si>
  <si>
    <t>Gervais, Anna H.</t>
  </si>
  <si>
    <t>1251 South Decatur Boulevard</t>
  </si>
  <si>
    <t>2024-04959</t>
  </si>
  <si>
    <t>Nguyen, Guise</t>
  </si>
  <si>
    <t>1624 Palm Street #68</t>
  </si>
  <si>
    <t>2024-04962</t>
  </si>
  <si>
    <t>Rau, Ananaka A.</t>
  </si>
  <si>
    <t>2050 South Magic Way Spc. 123</t>
  </si>
  <si>
    <t>2024-04987</t>
  </si>
  <si>
    <t>Garcia, Richard B.</t>
  </si>
  <si>
    <t>Methamphetamine Use and Atherosclerotic Heart Disease</t>
  </si>
  <si>
    <t>2024-05001</t>
  </si>
  <si>
    <t>Joseph, Kevin T.</t>
  </si>
  <si>
    <t>2121 Fremont Street</t>
  </si>
  <si>
    <t>2024-05017</t>
  </si>
  <si>
    <t>Mendenhall, Michael</t>
  </si>
  <si>
    <t>2815 Sorrel Street</t>
  </si>
  <si>
    <t>2024-05041</t>
  </si>
  <si>
    <t>Squilla, Michael C.</t>
  </si>
  <si>
    <t>3048 East Sunset Road</t>
  </si>
  <si>
    <t>2024-05068</t>
  </si>
  <si>
    <t>Sweet, Jeffrey W.</t>
  </si>
  <si>
    <t>Stocker Street &amp; W Owens Avenue</t>
  </si>
  <si>
    <t>2024-05080</t>
  </si>
  <si>
    <t>Martin, Pamela A.</t>
  </si>
  <si>
    <t>720 Kasper Avenue</t>
  </si>
  <si>
    <t>2024-05084</t>
  </si>
  <si>
    <t>Hardeman, Georgia Y.</t>
  </si>
  <si>
    <t>Atherosclerotic and Valvular Heart Disease</t>
  </si>
  <si>
    <t>2024-05092</t>
  </si>
  <si>
    <t>Leon-Aguilar, Alberto</t>
  </si>
  <si>
    <t>2024-05099</t>
  </si>
  <si>
    <t>Higa, Blake H.</t>
  </si>
  <si>
    <t>1208 Marion Drive</t>
  </si>
  <si>
    <t>2024-05109</t>
  </si>
  <si>
    <t>Howell, Stacy L.</t>
  </si>
  <si>
    <t>2024-05114</t>
  </si>
  <si>
    <t>Konetski, Robert J.</t>
  </si>
  <si>
    <t>3011 Liberty Circle South</t>
  </si>
  <si>
    <t>2024-05119</t>
  </si>
  <si>
    <t>Straker, Stephen</t>
  </si>
  <si>
    <t>Hypertensive Cardiovascular Disease, Chronic Ethanol Use</t>
  </si>
  <si>
    <t>3076 Gavilan Lane</t>
  </si>
  <si>
    <t>2024-05120</t>
  </si>
  <si>
    <t>Schwiening, Edward</t>
  </si>
  <si>
    <t>212 Hinkle Street</t>
  </si>
  <si>
    <t>2024-05131</t>
  </si>
  <si>
    <t>Freeman, Jeffrey A.</t>
  </si>
  <si>
    <t>2024-05140</t>
  </si>
  <si>
    <t>Metcalf, Linda D.</t>
  </si>
  <si>
    <t>1180 Lava Avenue</t>
  </si>
  <si>
    <t>2024-05172</t>
  </si>
  <si>
    <t>Davis, Wilbert</t>
  </si>
  <si>
    <t>Peripheral Artery Disease with Probable Coronary Artery Disease</t>
  </si>
  <si>
    <t>11086 Mount George Street</t>
  </si>
  <si>
    <t>2024-05182</t>
  </si>
  <si>
    <t>Inerson, Alice</t>
  </si>
  <si>
    <t>1890 West Anns Road</t>
  </si>
  <si>
    <t>2024-05199</t>
  </si>
  <si>
    <t>Delvecchio, Pasqual N.</t>
  </si>
  <si>
    <t>2024-05203</t>
  </si>
  <si>
    <t>Herman, Stanley H.</t>
  </si>
  <si>
    <t>2024-05238</t>
  </si>
  <si>
    <t>Overton, Walter H.</t>
  </si>
  <si>
    <t>2024-05263</t>
  </si>
  <si>
    <t>Jerolamon, David A.</t>
  </si>
  <si>
    <t>3616 Las Vegas Boulevard North</t>
  </si>
  <si>
    <t>2024-05271</t>
  </si>
  <si>
    <t>Regan, John D. II</t>
  </si>
  <si>
    <t>715 Clarkway Drive</t>
  </si>
  <si>
    <t>2024-05281</t>
  </si>
  <si>
    <t>Gilman, Beverly J.</t>
  </si>
  <si>
    <t>Lamb Boulevard &amp; Judson Avenue</t>
  </si>
  <si>
    <t>2024-05282</t>
  </si>
  <si>
    <t>Cross-Robinson, Emily M.</t>
  </si>
  <si>
    <t>Ethanol (Alcohol) Intoxication</t>
  </si>
  <si>
    <t>Wheeler Pass Road approximately 4.5 miles from SR 160</t>
  </si>
  <si>
    <t>2024-05286</t>
  </si>
  <si>
    <t>McCurdy, Benjamin J.</t>
  </si>
  <si>
    <t>4175 East Desert Inn Road</t>
  </si>
  <si>
    <t>2024-05295</t>
  </si>
  <si>
    <t>Clark, Jennifer M.</t>
  </si>
  <si>
    <t>North City Parkway &amp; D Street Connector</t>
  </si>
  <si>
    <t>2024-05296</t>
  </si>
  <si>
    <t>Peterson, Sharon K.</t>
  </si>
  <si>
    <t>2512 Fremont Street</t>
  </si>
  <si>
    <t>2024-05335</t>
  </si>
  <si>
    <t>Green, Leo</t>
  </si>
  <si>
    <t>5237 Varsity Avenue</t>
  </si>
  <si>
    <t>2024-05336</t>
  </si>
  <si>
    <t>Durrell, Ann</t>
  </si>
  <si>
    <t>165 East Tropicana Avenue</t>
  </si>
  <si>
    <t>2024-05338</t>
  </si>
  <si>
    <t>Mabry, Lynda</t>
  </si>
  <si>
    <t>Atherosclerotic Cardiovascular Disease and Debility</t>
  </si>
  <si>
    <t>3055 Santa Margarita Street</t>
  </si>
  <si>
    <t>2024-05347</t>
  </si>
  <si>
    <t>Wilkins, Frank R.</t>
  </si>
  <si>
    <t>1429 South Commerce Street</t>
  </si>
  <si>
    <t>2024-05349</t>
  </si>
  <si>
    <t>Ellis, Lonnie R.</t>
  </si>
  <si>
    <t>Methamphetamine and Methadone Use</t>
  </si>
  <si>
    <t>460 North Sandhill Boulevard</t>
  </si>
  <si>
    <t>2024-05362</t>
  </si>
  <si>
    <t>Lamb, Barbara</t>
  </si>
  <si>
    <t>2024-05371</t>
  </si>
  <si>
    <t>Gibbs, Jacqueline D.</t>
  </si>
  <si>
    <t>2310 Industrial Road</t>
  </si>
  <si>
    <t>2024-05372</t>
  </si>
  <si>
    <t>Holly, Bruce A.</t>
  </si>
  <si>
    <t>4594 Cabo Lane</t>
  </si>
  <si>
    <t>2024-05373</t>
  </si>
  <si>
    <t>Terando, Evon M.</t>
  </si>
  <si>
    <t>Obesity-Related Cardiomyopathy</t>
  </si>
  <si>
    <t>3601 Folage Drive</t>
  </si>
  <si>
    <t>2024-05377</t>
  </si>
  <si>
    <t>Gill, Stanley M.</t>
  </si>
  <si>
    <t>531 East Sahara Avenue</t>
  </si>
  <si>
    <t>2024-05382</t>
  </si>
  <si>
    <t>Werner, James</t>
  </si>
  <si>
    <t>White","Pacific Islander</t>
  </si>
  <si>
    <t>Hypertensive and Atherosclerotic Cardiovascular Disease; Tobacco Use</t>
  </si>
  <si>
    <t>Utah</t>
  </si>
  <si>
    <t>Pabco Road / Wetlands Park</t>
  </si>
  <si>
    <t>Desert Area</t>
  </si>
  <si>
    <t>2024-05385</t>
  </si>
  <si>
    <t>Eisler, Daniel B.</t>
  </si>
  <si>
    <t>North Las Vegas Boulevard &amp; Williams Avenue,</t>
  </si>
  <si>
    <t>2024-05387</t>
  </si>
  <si>
    <t>Walsh, Stephen J.</t>
  </si>
  <si>
    <t>5892 Whispering Pines Avenue</t>
  </si>
  <si>
    <t>2024-05393</t>
  </si>
  <si>
    <t>Davis, Cameron A.</t>
  </si>
  <si>
    <t>2024-05418</t>
  </si>
  <si>
    <t>Tollusis, John R.</t>
  </si>
  <si>
    <t>Dehydration; Atherosclerotic Cardiovascular Disease</t>
  </si>
  <si>
    <t>I-15 &amp; W. Sahara Avenue</t>
  </si>
  <si>
    <t>2024-05484</t>
  </si>
  <si>
    <t>Nickerson, Rodney E.</t>
  </si>
  <si>
    <t>COVID-19 Infection, Thermal Cutaneous Injuries</t>
  </si>
  <si>
    <t>651 Eastgate Road</t>
  </si>
  <si>
    <t>Storage Shed</t>
  </si>
  <si>
    <t>3150 North Tenaya Way</t>
  </si>
  <si>
    <t>health care service</t>
  </si>
  <si>
    <t>2024-05566</t>
  </si>
  <si>
    <t>Sylvester, Tyriq</t>
  </si>
  <si>
    <t>Chronic Obstructive Pulmonary Disease; Methamphetamine Use</t>
  </si>
  <si>
    <t>1936 Lawry Avenue</t>
  </si>
  <si>
    <t>2024-05588</t>
  </si>
  <si>
    <t>Eck, Rodney D.</t>
  </si>
  <si>
    <t>3660 Boulder Highway, Spc. #188 1/2</t>
  </si>
  <si>
    <t>2024-05605</t>
  </si>
  <si>
    <t>Tolliver, Joseph R.</t>
  </si>
  <si>
    <t>Acute Combined Methamphetamine and Amphetamine Toxicity; Recent Cocaine Use; Adenovirus Respiratory Infection</t>
  </si>
  <si>
    <t>5238 Vegas Drive</t>
  </si>
  <si>
    <t>2024-05670</t>
  </si>
  <si>
    <t>Kennedy, Sean P.</t>
  </si>
  <si>
    <t>45 Maleena Mesa Street #9-924</t>
  </si>
  <si>
    <t>2024-05710</t>
  </si>
  <si>
    <t>Haught, Diana L.</t>
  </si>
  <si>
    <t>Methamphetamine Use, Cardiomegaly, Pulmonary Emphysema</t>
  </si>
  <si>
    <t>2545 South Eastern Avenue</t>
  </si>
  <si>
    <t>2024-05742</t>
  </si>
  <si>
    <t>Keeder, Ryan S.</t>
  </si>
  <si>
    <t>4542 East Charleston Boulevard</t>
  </si>
  <si>
    <t>2024-05743</t>
  </si>
  <si>
    <t>Hogue, Thomas M.</t>
  </si>
  <si>
    <t>Atherosclerotic Heart Disease and Methamphetamine Use</t>
  </si>
  <si>
    <t>1786 Autumn Rust Drive</t>
  </si>
  <si>
    <t>2024-05744</t>
  </si>
  <si>
    <t>Allison, Madonna M.</t>
  </si>
  <si>
    <t>Hypertension and Dementia</t>
  </si>
  <si>
    <t>175 East Tropicana Avenue</t>
  </si>
  <si>
    <t>2024-05776</t>
  </si>
  <si>
    <t>Trujillo, Selvyn</t>
  </si>
  <si>
    <t>3500 E. Charleston Boulevard</t>
  </si>
  <si>
    <t>2024-05781</t>
  </si>
  <si>
    <t>Redmond, Michael L.</t>
  </si>
  <si>
    <t>Paradise Road North of Kitty Hawk Way</t>
  </si>
  <si>
    <t>2024-05809</t>
  </si>
  <si>
    <t>Story, Robert W.</t>
  </si>
  <si>
    <t>2024-05814</t>
  </si>
  <si>
    <t>Kaneali'i, Joseph</t>
  </si>
  <si>
    <t>Native Hawaiian</t>
  </si>
  <si>
    <t>Hypertension; Diabetes Mellitus</t>
  </si>
  <si>
    <t>1712 Comstock Drive</t>
  </si>
  <si>
    <t>2024-05833</t>
  </si>
  <si>
    <t>Scott, Steven</t>
  </si>
  <si>
    <t>5555 Everglade Street</t>
  </si>
  <si>
    <t>2024-05871</t>
  </si>
  <si>
    <t>Difillips, Daryl</t>
  </si>
  <si>
    <t>Chronic Ethanolism and Acute and Chronic Rib Fractures</t>
  </si>
  <si>
    <t>Outdoor- unknown location</t>
  </si>
  <si>
    <t>5110 West Sahara Avenue</t>
  </si>
  <si>
    <t>2024-06003</t>
  </si>
  <si>
    <t>Valmore, Rickey B.</t>
  </si>
  <si>
    <t>538 Sparrow Gull Court</t>
  </si>
  <si>
    <t>2024-06022</t>
  </si>
  <si>
    <t>Savage, Torrey L.</t>
  </si>
  <si>
    <t>4250 Karen Avenue</t>
  </si>
  <si>
    <t>school</t>
  </si>
  <si>
    <t>2024-06023</t>
  </si>
  <si>
    <t>Ryan, Douglas F.</t>
  </si>
  <si>
    <t>4711 Boulder Highway</t>
  </si>
  <si>
    <t>2024-06036</t>
  </si>
  <si>
    <t>McDonald, Raymond L.</t>
  </si>
  <si>
    <t>6025 South Pecos Road</t>
  </si>
  <si>
    <t>2024-06039</t>
  </si>
  <si>
    <t>Jones, John L.</t>
  </si>
  <si>
    <t>3619 New Horizon Drive</t>
  </si>
  <si>
    <t>2024-06067</t>
  </si>
  <si>
    <t>Dickson, Marc M.</t>
  </si>
  <si>
    <t>Mountain Vista Street / Ramrod Avenue</t>
  </si>
  <si>
    <t>2024-06211</t>
  </si>
  <si>
    <t>Messa Lopez, Javir E.</t>
  </si>
  <si>
    <t>Substance Use</t>
  </si>
  <si>
    <t>4525 Fulton Place</t>
  </si>
  <si>
    <t>2024-06358</t>
  </si>
  <si>
    <t>Rhines, Frankie L.</t>
  </si>
  <si>
    <t>Native Hawaiian","Pacific Islander</t>
  </si>
  <si>
    <t>2024-06714</t>
  </si>
  <si>
    <t>Vicente Najera, Jose V.</t>
  </si>
  <si>
    <t>Cirrhosis of the Liver due to Chronic Alcoholism</t>
  </si>
  <si>
    <t>4124 Glass Lantern Drive</t>
  </si>
  <si>
    <t>2024-05225</t>
  </si>
  <si>
    <t>Brady, Scott P.</t>
  </si>
  <si>
    <t>Environmental Heat Stress with Cutaneous Burns</t>
  </si>
  <si>
    <t>2024-06057</t>
  </si>
  <si>
    <t>Brown, Donnaetrion E.</t>
  </si>
  <si>
    <t>Environmental Heat Stress with Cutaneous Thermal Injuries</t>
  </si>
  <si>
    <t>2024-05369</t>
  </si>
  <si>
    <t>Boatwright, Jeremy L.</t>
  </si>
  <si>
    <t>Environmental Heat Stress with Hyperthermia</t>
  </si>
  <si>
    <t>Methamphetamine Toxicity; Obesity</t>
  </si>
  <si>
    <t>2024-04646</t>
  </si>
  <si>
    <t>Edwards, Anthony R.</t>
  </si>
  <si>
    <t>500 South Rancho Drive</t>
  </si>
  <si>
    <t>2024-04669</t>
  </si>
  <si>
    <t>Watts, Chandi</t>
  </si>
  <si>
    <t>Unknown Location</t>
  </si>
  <si>
    <t>Outdoors</t>
  </si>
  <si>
    <t>2024-04680</t>
  </si>
  <si>
    <t>Morstad, Noemi A.</t>
  </si>
  <si>
    <t>1 West Owens Avenue</t>
  </si>
  <si>
    <t>2024-04882</t>
  </si>
  <si>
    <t>Banks, Damien E.</t>
  </si>
  <si>
    <t>1502 North Main Street</t>
  </si>
  <si>
    <t>2024-04910</t>
  </si>
  <si>
    <t>Smith, Charlene</t>
  </si>
  <si>
    <t>23 Winley Chase Avenue</t>
  </si>
  <si>
    <t>2024-05067</t>
  </si>
  <si>
    <t>Kohn, Susan L.</t>
  </si>
  <si>
    <t>Atherosclerotic Cardiovascular Disease, Tobacco Use</t>
  </si>
  <si>
    <t>3255 Longford Way</t>
  </si>
  <si>
    <t>2024-05778</t>
  </si>
  <si>
    <t>Rocha, Nina</t>
  </si>
  <si>
    <t>Parkinson's Disease</t>
  </si>
  <si>
    <t>4417 Deforest Street</t>
  </si>
  <si>
    <t>2024-05967</t>
  </si>
  <si>
    <t>Silva, Peter O.</t>
  </si>
  <si>
    <t>3540 East Lake Mead Boulevard</t>
  </si>
  <si>
    <t>2024-06207</t>
  </si>
  <si>
    <t>Gilbert, Robert W.</t>
  </si>
  <si>
    <t>Warm Springs Road &amp; Eastern Avenue</t>
  </si>
  <si>
    <t>2024-05953</t>
  </si>
  <si>
    <t>Kingston, Jeffrey</t>
  </si>
  <si>
    <t>Environmental Hyperthermia and Sequelae Thereof</t>
  </si>
  <si>
    <t>Eastern Avenue / Fremont Street</t>
  </si>
  <si>
    <t>2024-07944</t>
  </si>
  <si>
    <t>Johnson, Walter H.</t>
  </si>
  <si>
    <t>1500 W. Warm Springs Rd</t>
  </si>
  <si>
    <t>Hospice Inpatient</t>
  </si>
  <si>
    <t>2024-04958</t>
  </si>
  <si>
    <t>Vargas, Xavier J.</t>
  </si>
  <si>
    <t>Ethanol and Methamphetamine Intoxication</t>
  </si>
  <si>
    <t>Hyperthermia and Thermal Burns</t>
  </si>
  <si>
    <t>2024-04385</t>
  </si>
  <si>
    <t>Ledford, James A. Jr.</t>
  </si>
  <si>
    <t xml:space="preserve">Ethanol and Methamphetamine Intoxication </t>
  </si>
  <si>
    <t>Environmental Heat Stress; Remote Brain Infarcts</t>
  </si>
  <si>
    <t>5576 Boulder Highway</t>
  </si>
  <si>
    <t>2024-04919</t>
  </si>
  <si>
    <t>Davis, Berry W.</t>
  </si>
  <si>
    <t>Ethanol Intoxication</t>
  </si>
  <si>
    <t>2024-04929</t>
  </si>
  <si>
    <t>Franke, Joseph A. III</t>
  </si>
  <si>
    <t>812 East Mesquite Avenue</t>
  </si>
  <si>
    <t>2024-04769</t>
  </si>
  <si>
    <t>Davis, Hakim E.</t>
  </si>
  <si>
    <t>Fentanyl and Methamphetamine Intoxication</t>
  </si>
  <si>
    <t>3865 East Charleston Boulevard</t>
  </si>
  <si>
    <t>2024-05126</t>
  </si>
  <si>
    <t>Pinney, Shawn A. Jr.</t>
  </si>
  <si>
    <t>1220 Atlantic Street</t>
  </si>
  <si>
    <t>2024-05363</t>
  </si>
  <si>
    <t>Perry, Steven R.</t>
  </si>
  <si>
    <t>Environmental Heat Exposure; Cardiomegaly</t>
  </si>
  <si>
    <t>2024-04120</t>
  </si>
  <si>
    <t>Guest, John R. Jr.</t>
  </si>
  <si>
    <t>3500 block of South Maryland Parkway</t>
  </si>
  <si>
    <t>2024-04662</t>
  </si>
  <si>
    <t>Lethig, Joshua</t>
  </si>
  <si>
    <t>Recent Methamphetamine Use; Environmental Heat Stress</t>
  </si>
  <si>
    <t>2024-05279</t>
  </si>
  <si>
    <t>Zimbrick, Teri A.</t>
  </si>
  <si>
    <t>Fentanyl, Acetyl Fentanyl, Methamphetamine and Cocaine Intoxication</t>
  </si>
  <si>
    <t>5191 Pioneer Avenue</t>
  </si>
  <si>
    <t>2024-05117</t>
  </si>
  <si>
    <t>Torres, Fernando</t>
  </si>
  <si>
    <t>Fentanyl, Para-Fluorofentanyl and Methamphetamine Toxicity</t>
  </si>
  <si>
    <t>2627 Van Patten Street</t>
  </si>
  <si>
    <t>2024-05267</t>
  </si>
  <si>
    <t>Elliott, Shirley D.</t>
  </si>
  <si>
    <t>6216 Brandywine Way</t>
  </si>
  <si>
    <t>2024-04752</t>
  </si>
  <si>
    <t>890 Las Vegas Boulevard North</t>
  </si>
  <si>
    <t>2024-04755</t>
  </si>
  <si>
    <t>Shaik, Mohammad A.</t>
  </si>
  <si>
    <t>2024-04781</t>
  </si>
  <si>
    <t>Navarro, Edward L.</t>
  </si>
  <si>
    <t>Hypertension and Diabetes Mellitus</t>
  </si>
  <si>
    <t>2024-04786</t>
  </si>
  <si>
    <t>Robb, Alexander B.</t>
  </si>
  <si>
    <t>2024-04822</t>
  </si>
  <si>
    <t>Juarez Mireles, Luis F.</t>
  </si>
  <si>
    <t>Charleston Boulevard &amp; Fremont Street</t>
  </si>
  <si>
    <t>2024-04993</t>
  </si>
  <si>
    <t>Wright, Thomas T.</t>
  </si>
  <si>
    <t>2024-05192</t>
  </si>
  <si>
    <t>Macias, Rolando</t>
  </si>
  <si>
    <t>North Lamb Boulevard &amp; East Lake Mead Boulevard</t>
  </si>
  <si>
    <t>2024-05227</t>
  </si>
  <si>
    <t>Cardillo, Anthony</t>
  </si>
  <si>
    <t>Subarachnoid Hemorrhage of Undetermined Etiology</t>
  </si>
  <si>
    <t>1650 Community College Drive</t>
  </si>
  <si>
    <t>2024-05269</t>
  </si>
  <si>
    <t>Munerlyn, Terrence J.</t>
  </si>
  <si>
    <t>6515 South Jones Boulevard</t>
  </si>
  <si>
    <t>2024-05280</t>
  </si>
  <si>
    <t>Fraleigh, Jamie T.</t>
  </si>
  <si>
    <t>2800 Betty Lane</t>
  </si>
  <si>
    <t>2024-05283</t>
  </si>
  <si>
    <t>Bridgewater, Corey M.</t>
  </si>
  <si>
    <t>Underpass of US 95 near 16th Street &amp; Marlin Avenue</t>
  </si>
  <si>
    <t>2024-05700</t>
  </si>
  <si>
    <t>Hunter, Raymond L.</t>
  </si>
  <si>
    <t>2024-06230</t>
  </si>
  <si>
    <t>Johnson, Brackin</t>
  </si>
  <si>
    <t>Hemorrhagic Cerebrovascular Event</t>
  </si>
  <si>
    <t>Combined Fentanyl, Methamphetamine, and Para-Fluorofentanyl Toxicity; Hyperthermia; Human Immunodeficiency Virus</t>
  </si>
  <si>
    <t>6900 North Pecos Road</t>
  </si>
  <si>
    <t>2024-03774</t>
  </si>
  <si>
    <t>Jim, Jesse A.</t>
  </si>
  <si>
    <t>547 East Sahara Avenue</t>
  </si>
  <si>
    <t>2024-04436</t>
  </si>
  <si>
    <t>Webb, Leon</t>
  </si>
  <si>
    <t>Methamphetamine and Cocaine Use; Chronic Obstructive Pulmonary Disease</t>
  </si>
  <si>
    <t>221 West Wyoming Avenue</t>
  </si>
  <si>
    <t>2024-04497</t>
  </si>
  <si>
    <t>Joseph, Jordon D.</t>
  </si>
  <si>
    <t>204 East Tonopah Avenue</t>
  </si>
  <si>
    <t>Park recreation area</t>
  </si>
  <si>
    <t>2024-04724</t>
  </si>
  <si>
    <t>Lawrence, James E. Sr.</t>
  </si>
  <si>
    <t>Environmental Heat Exposure; Arteriosclerotic Cardiovascular Disease</t>
  </si>
  <si>
    <t>2024-04949</t>
  </si>
  <si>
    <t>Blakely, Marsha D.</t>
  </si>
  <si>
    <t>3329 Flinthead Drive</t>
  </si>
  <si>
    <t>2024-04022</t>
  </si>
  <si>
    <t>Parker, Brenda</t>
  </si>
  <si>
    <t>Diabetes; Asthma; Environmental Heat Stress; Anorectal Carcinoma</t>
  </si>
  <si>
    <t>2200 Palm Street, Spc #58</t>
  </si>
  <si>
    <t>2024-04174</t>
  </si>
  <si>
    <t>Kelly, William E.</t>
  </si>
  <si>
    <t>3851 Casa Colorado Avenue</t>
  </si>
  <si>
    <t>2024-04472</t>
  </si>
  <si>
    <t>Madden, Russell L.</t>
  </si>
  <si>
    <t>1316 Sunblossom Street, #3</t>
  </si>
  <si>
    <t>2024-04595</t>
  </si>
  <si>
    <t>Tick, Jack</t>
  </si>
  <si>
    <t>2030 Roan Avenue</t>
  </si>
  <si>
    <t>2024-04753</t>
  </si>
  <si>
    <t>Lehman-Taylor, Diana</t>
  </si>
  <si>
    <t>Dehydration; Environmental Heat Stress</t>
  </si>
  <si>
    <t>2024-04986</t>
  </si>
  <si>
    <t>King, Karen L.</t>
  </si>
  <si>
    <t xml:space="preserve">Environmental Heat Stress with Dehydration </t>
  </si>
  <si>
    <t>5303 East Twain Avenue #138</t>
  </si>
  <si>
    <t>2024-05004</t>
  </si>
  <si>
    <t>Alexander, Stephen</t>
  </si>
  <si>
    <t>3665 East Garfield Drive</t>
  </si>
  <si>
    <t>2024-05039</t>
  </si>
  <si>
    <t>Crampton, Steven J.</t>
  </si>
  <si>
    <t>2024-05395</t>
  </si>
  <si>
    <t>Hildebrand, Christopher F.</t>
  </si>
  <si>
    <t>Methamphetamine Toxicity, Environmental Heat Stress</t>
  </si>
  <si>
    <t>2024-05416</t>
  </si>
  <si>
    <t>Casalan, Rose T.</t>
  </si>
  <si>
    <t>1213 Buehler Drive</t>
  </si>
  <si>
    <t>2024-05417</t>
  </si>
  <si>
    <t>Petersson, John G.</t>
  </si>
  <si>
    <t>Chronic Ethanolism, Tobacco Use, Environmental Heat Stress</t>
  </si>
  <si>
    <t>2425 Paradise Village Way</t>
  </si>
  <si>
    <t>2024-05725</t>
  </si>
  <si>
    <t>Beyer, Ralph</t>
  </si>
  <si>
    <t>2024-05835</t>
  </si>
  <si>
    <t>Mancini, Kathleen M.</t>
  </si>
  <si>
    <t>129 Bloomsbury Avenue</t>
  </si>
  <si>
    <t>2024-05974</t>
  </si>
  <si>
    <t>Ortiz, Maria E.</t>
  </si>
  <si>
    <t>Diabetes mellitus, environmental heat exposure</t>
  </si>
  <si>
    <t>5612 Open Court</t>
  </si>
  <si>
    <t>2024-06151</t>
  </si>
  <si>
    <t>Cobb, Waymond</t>
  </si>
  <si>
    <t>8505 Eddy Stone Avenue</t>
  </si>
  <si>
    <t>2024-06265</t>
  </si>
  <si>
    <t>Conrad, Neal</t>
  </si>
  <si>
    <t>Acute Methamphetamine Toxicity; Environmental Heat Stress; Recent SARS-CoV-2 Infection</t>
  </si>
  <si>
    <t>383 East Ford Avenue</t>
  </si>
  <si>
    <t>2024-06471</t>
  </si>
  <si>
    <t>Rothhaar, Roger</t>
  </si>
  <si>
    <t>E. Deer Springs Way &amp; N. Palmer Street</t>
  </si>
  <si>
    <t>2024-03942</t>
  </si>
  <si>
    <t>Etter, Yvonne</t>
  </si>
  <si>
    <t>Chronic Obstructive Pulmonary Disease; Valvular Heart Disease; Tobacco Use; Environmental Heat  Stress</t>
  </si>
  <si>
    <t>2655 West Lake Mead Boulevard</t>
  </si>
  <si>
    <t>2024-03985</t>
  </si>
  <si>
    <t>Bolton, Lawrence</t>
  </si>
  <si>
    <t>502 Fragrant Orchard Street</t>
  </si>
  <si>
    <t>2024-04543</t>
  </si>
  <si>
    <t>Degering, Steven</t>
  </si>
  <si>
    <t>Parkinson's Disease, Chronic Obstructive Pulmonary Disease, Environmental Heat Stress</t>
  </si>
  <si>
    <t>5155 West Tropicana Avenue #2121</t>
  </si>
  <si>
    <t>2024-04560</t>
  </si>
  <si>
    <t>Mueller, Roy J. Jr.</t>
  </si>
  <si>
    <t>West Desert Inn Road, Fashion Show Drive &amp; Sammy Davis Junior Drive</t>
  </si>
  <si>
    <t>2024-05309</t>
  </si>
  <si>
    <t>Cochran, Stephen</t>
  </si>
  <si>
    <t>2490 East Desert Inn Road</t>
  </si>
  <si>
    <t>2024-06340</t>
  </si>
  <si>
    <t>Armenta, Christopher D.</t>
  </si>
  <si>
    <t>Environmental Heat Stress, Invasive Squamous Cell Carcinoma of the Esophagus</t>
  </si>
  <si>
    <t>2200 Palm Street Spc 7</t>
  </si>
  <si>
    <t>RV</t>
  </si>
  <si>
    <t>2024-03845</t>
  </si>
  <si>
    <t>Bryant, Patsy S.</t>
  </si>
  <si>
    <t>3351 Palmdesert Way</t>
  </si>
  <si>
    <t>2024-03881</t>
  </si>
  <si>
    <t>Carter, Dan</t>
  </si>
  <si>
    <t>Environmental Heat Stress; Acquired Immunodeficiency Syndrome</t>
  </si>
  <si>
    <t>5300 East Desert Inn Road Space #186</t>
  </si>
  <si>
    <t>2024-03936</t>
  </si>
  <si>
    <t>Broyles, Ernest S.</t>
  </si>
  <si>
    <t>Environmental Heat Stress; Chronic Obstructive Pulmonary Disease</t>
  </si>
  <si>
    <t>700 Elm Street</t>
  </si>
  <si>
    <t>2024-03986</t>
  </si>
  <si>
    <t>Garcia, Lydia</t>
  </si>
  <si>
    <t>6247 Carson Hills Avenue</t>
  </si>
  <si>
    <t>2024-04682</t>
  </si>
  <si>
    <t>Conley, David</t>
  </si>
  <si>
    <t>1380 East Silverado Ranch Boulevard</t>
  </si>
  <si>
    <t>Group Home</t>
  </si>
  <si>
    <t>2024-04685</t>
  </si>
  <si>
    <t>Schoenwetter, Alvin D.</t>
  </si>
  <si>
    <t>1624 Palm Street, Spc. 305</t>
  </si>
  <si>
    <t>2024-05040</t>
  </si>
  <si>
    <t>Elliot, Helen</t>
  </si>
  <si>
    <t>3900 Perry Street B-216</t>
  </si>
  <si>
    <t>2024-05061</t>
  </si>
  <si>
    <t>Newman, Kirk</t>
  </si>
  <si>
    <t>Environmental Heat Stress and History of COVID-19 Infection</t>
  </si>
  <si>
    <t>1400 South Valley View Boulevard #2006</t>
  </si>
  <si>
    <t>2024-05169</t>
  </si>
  <si>
    <t>Kuykendall, Mew Chen</t>
  </si>
  <si>
    <t>9935 Swimming Hole Street</t>
  </si>
  <si>
    <t>2024-05365</t>
  </si>
  <si>
    <t>George, Laprele B.</t>
  </si>
  <si>
    <t>208 Stonewood Court</t>
  </si>
  <si>
    <t>2024-05655</t>
  </si>
  <si>
    <t>Cheung, James D.</t>
  </si>
  <si>
    <t>Environmental Heat Stress;  Diabetes Mellitus with Chronic Kidney Disease</t>
  </si>
  <si>
    <t>5335 Rod Court #202</t>
  </si>
  <si>
    <t>2024-06825</t>
  </si>
  <si>
    <t>Sanchez, Omar</t>
  </si>
  <si>
    <t>Complications of Chronic Ethanol Use; Environmental Heat Stress</t>
  </si>
  <si>
    <t>North Kenneth Road &amp; East Carey Avenue</t>
  </si>
  <si>
    <t>2024-04935</t>
  </si>
  <si>
    <t>Cruz, Irene P.</t>
  </si>
  <si>
    <t>Hispanic","Pacific Islander</t>
  </si>
  <si>
    <t xml:space="preserve">Hypertensive Cardiovascular Disease </t>
  </si>
  <si>
    <t xml:space="preserve">Environmental heat exposure </t>
  </si>
  <si>
    <t>2225 Merano Court</t>
  </si>
  <si>
    <t>2024-03806</t>
  </si>
  <si>
    <t>Morgan, Phyllis M.</t>
  </si>
  <si>
    <t>Hypertensive Emergency</t>
  </si>
  <si>
    <t>Environmental Heat Stress; Diabetes Mellitus; Hypothyroidism</t>
  </si>
  <si>
    <t>1144 Kabuki Avenue</t>
  </si>
  <si>
    <t>2024-05565</t>
  </si>
  <si>
    <t>Rhodes, James S.</t>
  </si>
  <si>
    <t>2968 Mount Hope Drive</t>
  </si>
  <si>
    <t>2024-06178</t>
  </si>
  <si>
    <t>Davis, Ellen M.</t>
  </si>
  <si>
    <t>1652 Cloister Avenue</t>
  </si>
  <si>
    <t>2024-03925</t>
  </si>
  <si>
    <t>Pesce, Cecilia</t>
  </si>
  <si>
    <t>2024-03950</t>
  </si>
  <si>
    <t>Herrera, Ronnie J.</t>
  </si>
  <si>
    <t>1101 East Bonanza Road</t>
  </si>
  <si>
    <t>2024-04274</t>
  </si>
  <si>
    <t>Mall, Sandra M.</t>
  </si>
  <si>
    <t>Metastatic Breast Cancer (Not Otherwise Specified)</t>
  </si>
  <si>
    <t>2001 East Tonopah Avenue</t>
  </si>
  <si>
    <t>2024-04432</t>
  </si>
  <si>
    <t>Marquez, Lisa D.</t>
  </si>
  <si>
    <t>2024-04526</t>
  </si>
  <si>
    <t>Baker, Brandon L.</t>
  </si>
  <si>
    <t>2024-04990</t>
  </si>
  <si>
    <t>Swanson, Michael D.</t>
  </si>
  <si>
    <t>East Charleston Boulevard, Nevada State Route 159, Nevada 159, State Route 159 &amp; South Maryland Parkway</t>
  </si>
  <si>
    <t>2024-05020</t>
  </si>
  <si>
    <t>Cortez-Leiva, Israel</t>
  </si>
  <si>
    <t>2024-05145</t>
  </si>
  <si>
    <t>McKinney, James W.</t>
  </si>
  <si>
    <t>Elevated Environmental Temperatures, Probable Chronic Obstructive Pulmonary Disease, Tobacco Use</t>
  </si>
  <si>
    <t>7729 Boswell Court</t>
  </si>
  <si>
    <t>2024-05185</t>
  </si>
  <si>
    <t>Talamantes, Louie A.</t>
  </si>
  <si>
    <t>Martin Luther King Boulevard &amp; US 95</t>
  </si>
  <si>
    <t>2024-05270</t>
  </si>
  <si>
    <t>Davidson, Richard</t>
  </si>
  <si>
    <t>Acute Duloxetine Toxicity</t>
  </si>
  <si>
    <t>2024-05355</t>
  </si>
  <si>
    <t>Stefanoff, Timothy J.</t>
  </si>
  <si>
    <t>History of Drug Use</t>
  </si>
  <si>
    <t>4550 West Sahara Avenue, #2151</t>
  </si>
  <si>
    <t>2024-05627</t>
  </si>
  <si>
    <t>Speth, Peter E.</t>
  </si>
  <si>
    <t>2001 Las Vegas Boulevard North</t>
  </si>
  <si>
    <t>2024-05675</t>
  </si>
  <si>
    <t>Gentry, Gerald L.</t>
  </si>
  <si>
    <t>2100 East Saint Louis Avenue</t>
  </si>
  <si>
    <t>amusement park</t>
  </si>
  <si>
    <t>2024-05772</t>
  </si>
  <si>
    <t>Carter, Alex J.</t>
  </si>
  <si>
    <t>3084 South Pecos Road</t>
  </si>
  <si>
    <t>2024-05783</t>
  </si>
  <si>
    <t>Benjamin, Robin</t>
  </si>
  <si>
    <t>1701 Fremont Street</t>
  </si>
  <si>
    <t>Hospice Facility</t>
  </si>
  <si>
    <t>2024-06582</t>
  </si>
  <si>
    <t>Humphrey, Brent A.</t>
  </si>
  <si>
    <t>Texas</t>
  </si>
  <si>
    <t>Ice Box Canyon Court</t>
  </si>
  <si>
    <t>657 North Town Center Drive</t>
  </si>
  <si>
    <t>2024-07044</t>
  </si>
  <si>
    <t>Davis, Fletcher</t>
  </si>
  <si>
    <t>2930 Las Vegas Boulevard South</t>
  </si>
  <si>
    <t>Public building</t>
  </si>
  <si>
    <t>2024-05915</t>
  </si>
  <si>
    <t>Von Wolffradt, Gustav S.</t>
  </si>
  <si>
    <t>Hyperthermia with Heat Stroke</t>
  </si>
  <si>
    <t>Advanced Age</t>
  </si>
  <si>
    <t>2024-04471</t>
  </si>
  <si>
    <t>Anderson, Nancy L.</t>
  </si>
  <si>
    <t>Hyperthermia with Thermal Inijuries</t>
  </si>
  <si>
    <t xml:space="preserve">Upper Gastrointestinal Hemorrhage, Acute Methamphetamine Toxicity </t>
  </si>
  <si>
    <t>1912 Civic Center Drive</t>
  </si>
  <si>
    <t>2024-04533</t>
  </si>
  <si>
    <t>Dirksen, Eldon R.</t>
  </si>
  <si>
    <t>Hyperthermia/Heat Stroke</t>
  </si>
  <si>
    <t>Complications of Sigmoid Volvulus with Obstruction</t>
  </si>
  <si>
    <t>Aztec Road</t>
  </si>
  <si>
    <t>2024-05253</t>
  </si>
  <si>
    <t>Coram, Linc H.</t>
  </si>
  <si>
    <t>Environmental Heat Stress; Complications of Chronic Alcohol and Tobacco Use</t>
  </si>
  <si>
    <t>Shelter</t>
  </si>
  <si>
    <t>2024-04075</t>
  </si>
  <si>
    <t>Swogger, Anita</t>
  </si>
  <si>
    <t>Implantable Cardioverter-Defibrillator (ICD) Dependent Cardiomyopathy</t>
  </si>
  <si>
    <t>Environmental Heat Stress, Diabetes Mellitus and Obesity</t>
  </si>
  <si>
    <t>1111 North Lamb Boulevard Space #148</t>
  </si>
  <si>
    <t>2024-06246</t>
  </si>
  <si>
    <t>Joines, David M.</t>
  </si>
  <si>
    <t>Intoxication by the Combined Effects of Fentanyl and Methamphetamine</t>
  </si>
  <si>
    <t>Environmental Heat Exposure, Atherosclerotic Cardiovascular Disease</t>
  </si>
  <si>
    <t>2000 Wellness Way</t>
  </si>
  <si>
    <t>2024-04121</t>
  </si>
  <si>
    <t>Abram, Ronald D.</t>
  </si>
  <si>
    <t>Intracranial Hemorrhage</t>
  </si>
  <si>
    <t>2024-05409</t>
  </si>
  <si>
    <t>Goldberg, Robert H.</t>
  </si>
  <si>
    <t>Lower Gastrointestinal Hemorrhage</t>
  </si>
  <si>
    <t>Chronic Constipation with Colitis and Rectal Ulcers</t>
  </si>
  <si>
    <t>2110 Los Feliz Street #2046</t>
  </si>
  <si>
    <t>2024-04460</t>
  </si>
  <si>
    <t>Castanier, Eric A.</t>
  </si>
  <si>
    <t xml:space="preserve">Methamphetamine and Buprenorphine Intoxication </t>
  </si>
  <si>
    <t>3400 Boulder Highway</t>
  </si>
  <si>
    <t>2024-04858</t>
  </si>
  <si>
    <t>Lechner, Samuel</t>
  </si>
  <si>
    <t>Methamphetamine and Cocaine Intoxication</t>
  </si>
  <si>
    <t>Environmental Heat Stress, Atherosclerotic Aortic and Coronary Artery Disease</t>
  </si>
  <si>
    <t>Outside of 6100 Sonoma Circle</t>
  </si>
  <si>
    <t>2024-04865</t>
  </si>
  <si>
    <t>Hemsley, Mildred M.</t>
  </si>
  <si>
    <t>Blunt Force Trauma of the Head; Environmental Heat Stress</t>
  </si>
  <si>
    <t>2024-05202</t>
  </si>
  <si>
    <t>Davies, Jerry M.</t>
  </si>
  <si>
    <t>1301 Western Avenue</t>
  </si>
  <si>
    <t>2024-05343</t>
  </si>
  <si>
    <t>Lay, Zachariah C.</t>
  </si>
  <si>
    <t>2024-04008</t>
  </si>
  <si>
    <t>Billings, Kevin W.</t>
  </si>
  <si>
    <t>2024-05107</t>
  </si>
  <si>
    <t>Becker, Nicholas J.</t>
  </si>
  <si>
    <t>2900 block of Sammy Davis Junior Drive</t>
  </si>
  <si>
    <t>2024-05142</t>
  </si>
  <si>
    <t>Speakman, Shawn W.</t>
  </si>
  <si>
    <t>East Lake Mead &amp; N. Meikle Lane</t>
  </si>
  <si>
    <t>2024-03974</t>
  </si>
  <si>
    <t>Soto Delgado, Medel</t>
  </si>
  <si>
    <t>2655 South Maryland Parkway</t>
  </si>
  <si>
    <t>2024-03987</t>
  </si>
  <si>
    <t>Tucker, Clara</t>
  </si>
  <si>
    <t>2024-04204</t>
  </si>
  <si>
    <t>Caguioa, Rafael B.</t>
  </si>
  <si>
    <t>Cardiomegaly, Environmental Heat Exposure</t>
  </si>
  <si>
    <t>2024-04241</t>
  </si>
  <si>
    <t>Allen, Clay B.</t>
  </si>
  <si>
    <t>409 Daffodil Drive</t>
  </si>
  <si>
    <t>2024-04342</t>
  </si>
  <si>
    <t>Easterwood, Paul R.</t>
  </si>
  <si>
    <t>2024-04350</t>
  </si>
  <si>
    <t>Hinkle, Deborah J.</t>
  </si>
  <si>
    <t>33 North 21st Street</t>
  </si>
  <si>
    <t>2024-04395</t>
  </si>
  <si>
    <t>Baxter, Linda J.</t>
  </si>
  <si>
    <t>520 South Boulder Highway</t>
  </si>
  <si>
    <t>2024-04841</t>
  </si>
  <si>
    <t>Tupponce, Trevor</t>
  </si>
  <si>
    <t>A Street &amp; West Washington Avenue</t>
  </si>
  <si>
    <t>2024-04844</t>
  </si>
  <si>
    <t>Downs, Jimmie</t>
  </si>
  <si>
    <t>1724 Ingraham Street</t>
  </si>
  <si>
    <t>2024-04863</t>
  </si>
  <si>
    <t>Hannah, Nycole Y.</t>
  </si>
  <si>
    <t>26 North 28th Street</t>
  </si>
  <si>
    <t>2024-04874</t>
  </si>
  <si>
    <t>White, Perry L.</t>
  </si>
  <si>
    <t>2024-04876</t>
  </si>
  <si>
    <t>Ford, Mychal L.</t>
  </si>
  <si>
    <t>220 block of West Bonanza Road</t>
  </si>
  <si>
    <t>2024-04926</t>
  </si>
  <si>
    <t>Carsten, Randal W.</t>
  </si>
  <si>
    <t>5001 North Rainbow Boulevard</t>
  </si>
  <si>
    <t>2024-05346</t>
  </si>
  <si>
    <t>Suarez, Jason M.</t>
  </si>
  <si>
    <t>2024-05578</t>
  </si>
  <si>
    <t>Larrabee, Ivan A.</t>
  </si>
  <si>
    <t>East Carson Avenue &amp; South Las Vegas Boulevard</t>
  </si>
  <si>
    <t>2024-05594</t>
  </si>
  <si>
    <t>Strube Wettengale, William O.</t>
  </si>
  <si>
    <t>N. A Street &amp; W. Washinton Avenue</t>
  </si>
  <si>
    <t>Tent</t>
  </si>
  <si>
    <t>2024-05604</t>
  </si>
  <si>
    <t>White, Nicholas R.</t>
  </si>
  <si>
    <t>4520 Arville Street</t>
  </si>
  <si>
    <t>2024-05795</t>
  </si>
  <si>
    <t>Robinson, Myles R.</t>
  </si>
  <si>
    <t>Boulder Highway &amp; US 95</t>
  </si>
  <si>
    <t>2024-05810</t>
  </si>
  <si>
    <t>Banks, Stephan D.</t>
  </si>
  <si>
    <t>2033 Fremont Street</t>
  </si>
  <si>
    <t>2024-06407</t>
  </si>
  <si>
    <t>Jones, Denon M.</t>
  </si>
  <si>
    <t>2221 West Bonanza Road #D108</t>
  </si>
  <si>
    <t>2024-06914</t>
  </si>
  <si>
    <t>Marshall, Reginald</t>
  </si>
  <si>
    <t>Environmental Heat Exposure; Hypertensive and Arteriosclerotic Cardiovascular Disease</t>
  </si>
  <si>
    <t>2024-04859</t>
  </si>
  <si>
    <t>Chase, Troy D.</t>
  </si>
  <si>
    <t>2024-04941</t>
  </si>
  <si>
    <t>Bissell, Michael W.</t>
  </si>
  <si>
    <t>200 North Main Street</t>
  </si>
  <si>
    <t>2024-04944</t>
  </si>
  <si>
    <t>Mayeda, Nicholas J.</t>
  </si>
  <si>
    <t>2024-04951</t>
  </si>
  <si>
    <t>Russell, Rick V.</t>
  </si>
  <si>
    <t>2024-05319</t>
  </si>
  <si>
    <t>Bragg, Jeremy D.</t>
  </si>
  <si>
    <t>6710 East North Belt Road</t>
  </si>
  <si>
    <t>2024-05794</t>
  </si>
  <si>
    <t>Luva, Jose L.</t>
  </si>
  <si>
    <t>2421 Stewart Avenue</t>
  </si>
  <si>
    <t>2024-03729</t>
  </si>
  <si>
    <t>Gareffa, Nicholas J.</t>
  </si>
  <si>
    <t>HIV Infection; Environmental Hyperthermia</t>
  </si>
  <si>
    <t>Bike path south of Glen Avenue and Sandhill Road</t>
  </si>
  <si>
    <t>2024-03908</t>
  </si>
  <si>
    <t>Aldridge, Donna M.</t>
  </si>
  <si>
    <t>Hyperthermia, Elevated Environmental Temperatures</t>
  </si>
  <si>
    <t>2300 Flaming Gorge Street</t>
  </si>
  <si>
    <t>2024-03920</t>
  </si>
  <si>
    <t>Vowell, Lee C.</t>
  </si>
  <si>
    <t>Hypertensive Cardiovascular Disease; Environmental Heat Stress</t>
  </si>
  <si>
    <t>north of 3186 South Maryland Parkway</t>
  </si>
  <si>
    <t>2024-03930</t>
  </si>
  <si>
    <t>Urena, Leopoldo D.</t>
  </si>
  <si>
    <t>6800 Bermuda Road</t>
  </si>
  <si>
    <t>2024-03943</t>
  </si>
  <si>
    <t>Jackson, Rashan</t>
  </si>
  <si>
    <t>2024-03945</t>
  </si>
  <si>
    <t>Brown, Michael A.</t>
  </si>
  <si>
    <t>East Flamingo Road &amp; Koval Lane</t>
  </si>
  <si>
    <t>2024-03968</t>
  </si>
  <si>
    <t>Borowski, Lisa J.</t>
  </si>
  <si>
    <t>1714 Santa Paula Drive</t>
  </si>
  <si>
    <t>Residential Care/Group Home</t>
  </si>
  <si>
    <t>2024-04346</t>
  </si>
  <si>
    <t>Rondan Barbosa, Francisco J.</t>
  </si>
  <si>
    <t>2024-04597</t>
  </si>
  <si>
    <t>Frischmann, Jason T.</t>
  </si>
  <si>
    <t>5990 West Patrick Lane</t>
  </si>
  <si>
    <t>2024-04651</t>
  </si>
  <si>
    <t>Ruward, Marsha L.</t>
  </si>
  <si>
    <t>2024-05081</t>
  </si>
  <si>
    <t>Rivera, Milton</t>
  </si>
  <si>
    <t>6043 Carlsbad Avenue</t>
  </si>
  <si>
    <t>2024-05113</t>
  </si>
  <si>
    <t>Roeker, Wade H.</t>
  </si>
  <si>
    <t>2024-05364</t>
  </si>
  <si>
    <t>Vasquez, Kyle</t>
  </si>
  <si>
    <t>Emergency Department</t>
  </si>
  <si>
    <t>2024-05368</t>
  </si>
  <si>
    <t>Gayles, Davion Q.</t>
  </si>
  <si>
    <t>2465 Kiel Way</t>
  </si>
  <si>
    <t>2024-05426</t>
  </si>
  <si>
    <t>Crise, Amber</t>
  </si>
  <si>
    <t>Roy Horn Way, Frontage Road &amp; South Buffalo Drive</t>
  </si>
  <si>
    <t>2024-05453</t>
  </si>
  <si>
    <t>Cox, Larry G.</t>
  </si>
  <si>
    <t>Hypertensive and Atherosclerotic Cardiovascular Disease, Pulmonary Emphysema, Environmental Heat Stress</t>
  </si>
  <si>
    <t>North Ferrell Street &amp; West Red Coach Avenue</t>
  </si>
  <si>
    <t>2024-05468</t>
  </si>
  <si>
    <t>Bronson, Tristan</t>
  </si>
  <si>
    <t>Environmental Heat Exposure: Thermal Injuries</t>
  </si>
  <si>
    <t>2024-05702</t>
  </si>
  <si>
    <t>Manwill, Matthew T.</t>
  </si>
  <si>
    <t>2608 Matogroso Lane</t>
  </si>
  <si>
    <t>2024-05924</t>
  </si>
  <si>
    <t>Montanez, Robert</t>
  </si>
  <si>
    <t>600 Reverend Wilson Avenue</t>
  </si>
  <si>
    <t>2024-05961</t>
  </si>
  <si>
    <t>Regan, Russell</t>
  </si>
  <si>
    <t>6787 W. Tropicana Avenue</t>
  </si>
  <si>
    <t>Wash</t>
  </si>
  <si>
    <t>2024-06080</t>
  </si>
  <si>
    <t>Hamilton, Jewett</t>
  </si>
  <si>
    <t>5101 East Twain Avenue #134</t>
  </si>
  <si>
    <t>2024-06281</t>
  </si>
  <si>
    <t>Hines, Tyrone</t>
  </si>
  <si>
    <t>Tropicana Avenue &amp; Nellis Boulevard</t>
  </si>
  <si>
    <t>2024-06283</t>
  </si>
  <si>
    <t>Blackshear, Mark R.</t>
  </si>
  <si>
    <t>Environmental Heat Exposure, Dehydration, Hypertensive Cardiovascular Disease</t>
  </si>
  <si>
    <t>2420 Losee Road</t>
  </si>
  <si>
    <t>2024-06300</t>
  </si>
  <si>
    <t>Griffith, Lucious B.</t>
  </si>
  <si>
    <t>2531 East Lake Mead Boulevard</t>
  </si>
  <si>
    <t>2024-06312</t>
  </si>
  <si>
    <t>McCoy, Jayme L.</t>
  </si>
  <si>
    <t>near 914 West McWilliams Avenue</t>
  </si>
  <si>
    <t>2024-06326</t>
  </si>
  <si>
    <t>Campbell, Howard L.</t>
  </si>
  <si>
    <t>Recent Cocaine Use, Environmental Heat Stress</t>
  </si>
  <si>
    <t>Storm Drain</t>
  </si>
  <si>
    <t>2024-06741</t>
  </si>
  <si>
    <t>Hall, David R.</t>
  </si>
  <si>
    <t>5700 block of South Rancho Drive</t>
  </si>
  <si>
    <t>2024-08084</t>
  </si>
  <si>
    <t>Aviles, Irving Jr.</t>
  </si>
  <si>
    <t>2024-03827</t>
  </si>
  <si>
    <t>Brown, Ryan E.</t>
  </si>
  <si>
    <t>Pepper Tree Circle &amp; West Sunset Road, State Route 152, Nevada 152, Nevada State Route 152</t>
  </si>
  <si>
    <t>2024-04677</t>
  </si>
  <si>
    <t>Densmore, Terry</t>
  </si>
  <si>
    <t>2575 East Lake Mead Boulevard</t>
  </si>
  <si>
    <t>2024-06088</t>
  </si>
  <si>
    <t>Garrison, Jess C.</t>
  </si>
  <si>
    <t>Methamphetamine Toxicity in the Setting of Environmental Heat Stress</t>
  </si>
  <si>
    <t>Las Vegas Boulevard / Washington Avenue</t>
  </si>
  <si>
    <t>2024-05361</t>
  </si>
  <si>
    <t>Blanchard, Dawn J.</t>
  </si>
  <si>
    <t>Methamphetamine Toxicity in the Setting of Recent Fentanyl Use</t>
  </si>
  <si>
    <t>Environmental Heat Exposure; Dehydration</t>
  </si>
  <si>
    <t>2500 block of Searles Avenue</t>
  </si>
  <si>
    <t>2024-05284</t>
  </si>
  <si>
    <t>Traylor, Myron D.</t>
  </si>
  <si>
    <t>Methamphetamine, Fentanyl and Para-Fluorofentanyl Toxicity</t>
  </si>
  <si>
    <t>Alley behind 3892 Palos Verdes Street</t>
  </si>
  <si>
    <t>2024-04846</t>
  </si>
  <si>
    <t>Zimatore, Joseph</t>
  </si>
  <si>
    <t>Methamphetamine, Fentanyl, Heroin and Cocaine Intoxication</t>
  </si>
  <si>
    <t>6255 West Tropicana Avenue #42-506</t>
  </si>
  <si>
    <t>2024-04895</t>
  </si>
  <si>
    <t>Williams, Andrew L.</t>
  </si>
  <si>
    <t>Mixed drug (Cocaine, Ethanol) Intoxication</t>
  </si>
  <si>
    <t>Southeast corner of Harmon Avenue &amp; Euclid Street</t>
  </si>
  <si>
    <t>2024-06516</t>
  </si>
  <si>
    <t>Gulliford, Ronald E.</t>
  </si>
  <si>
    <t>Mixed Drug (Cocaine, Hydrocodone) Intoxication</t>
  </si>
  <si>
    <t>Environmental Heat Exposure; Acute Bronchopneumonia</t>
  </si>
  <si>
    <t>14th Street &amp; Lewis Avenue</t>
  </si>
  <si>
    <t>2024-04942</t>
  </si>
  <si>
    <t>Cochran, Calvin R.</t>
  </si>
  <si>
    <t>Mixed Drug (Ethanol, Mitragynine) Intoxication</t>
  </si>
  <si>
    <t>Environmental Heat Exposure; Hypertensive Cardiovascular Disease</t>
  </si>
  <si>
    <t>5035 East Russell Road</t>
  </si>
  <si>
    <t>Stairwell</t>
  </si>
  <si>
    <t>2024-03970</t>
  </si>
  <si>
    <t>Paprotny, Stephen J.</t>
  </si>
  <si>
    <t>Mixed Drug (Fentanyl, Cocaine) Intoxication</t>
  </si>
  <si>
    <t>2024-04852</t>
  </si>
  <si>
    <t>Dagostino, Jason D.</t>
  </si>
  <si>
    <t>4200 block of Zavala Street</t>
  </si>
  <si>
    <t>2024-04918</t>
  </si>
  <si>
    <t>Vega Silva, Jose D.</t>
  </si>
  <si>
    <t>Encina Drive</t>
  </si>
  <si>
    <t>2024-06913</t>
  </si>
  <si>
    <t>Knowles, Michael A.</t>
  </si>
  <si>
    <t>Environmental Heat Exposure; Diabetes Mellitus</t>
  </si>
  <si>
    <t>2851 West Washington Avenue</t>
  </si>
  <si>
    <t>2024-06934</t>
  </si>
  <si>
    <t>Young, Edward L.</t>
  </si>
  <si>
    <t>4305 East Sahara Avenue</t>
  </si>
  <si>
    <t>2024-05612</t>
  </si>
  <si>
    <t>Oelschlager, Nichole R.</t>
  </si>
  <si>
    <t>Mixed Drug (Methamphetamine, Alprazolam) Intoxication</t>
  </si>
  <si>
    <t>Environmental Heat Exposure; Valvular Heart Disease</t>
  </si>
  <si>
    <t>Lamb Blvd / Lake Mead Blvd</t>
  </si>
  <si>
    <t>2024-04913</t>
  </si>
  <si>
    <t>Murphy, Stephen M.</t>
  </si>
  <si>
    <t>Mixed Drug (Morphine, Gabapentin) Intoxication</t>
  </si>
  <si>
    <t>Environmental Heat Exposure; Arteriosclerotic  Cardiovascular Disease</t>
  </si>
  <si>
    <t>I-11 South</t>
  </si>
  <si>
    <t>2024-06247</t>
  </si>
  <si>
    <t>Harris, Shawn E.</t>
  </si>
  <si>
    <t>Mixed Drug Intoxication (Ethanol, Chlordiazepoxide, Fentanyl, Lorazepam)</t>
  </si>
  <si>
    <t>2024-05462</t>
  </si>
  <si>
    <t>Cook, Cory A.</t>
  </si>
  <si>
    <t>Mixed Drug Intoxication (Fentanyl, Methamphetamine, Para-Fluorofentanyl)</t>
  </si>
  <si>
    <t>2024-05397</t>
  </si>
  <si>
    <t>Chavez, Carlos C.</t>
  </si>
  <si>
    <t>Mixed Drug Intoxication (Fentanyl, Para-Fluorofentanyl, Methamphetamine)</t>
  </si>
  <si>
    <t>1700 South Main Street</t>
  </si>
  <si>
    <t>2024-04831</t>
  </si>
  <si>
    <t>Herrera, Mario</t>
  </si>
  <si>
    <t>Mixed Ethanol and Fentanyl Toxicity</t>
  </si>
  <si>
    <t>Near Jones Boulevard &amp; Tropicana Avenue</t>
  </si>
  <si>
    <t>2024-05306</t>
  </si>
  <si>
    <t>Rishmawy, Jeanette</t>
  </si>
  <si>
    <t>Myotonic Dystrophy and Sequelae thereof</t>
  </si>
  <si>
    <t>4416 Inez Drive</t>
  </si>
  <si>
    <t>2024-04835</t>
  </si>
  <si>
    <t>Bryan II, Donald E.</t>
  </si>
  <si>
    <t>Probable arteriosclerotic cardiovascular disease</t>
  </si>
  <si>
    <t>1650 South Casino Drive Spc #270</t>
  </si>
  <si>
    <t>2024-05273</t>
  </si>
  <si>
    <t>Smith, Oscar</t>
  </si>
  <si>
    <t>1808 Fremont Street #15</t>
  </si>
  <si>
    <t>2024-05374</t>
  </si>
  <si>
    <t>Maldonado, Joe L.</t>
  </si>
  <si>
    <t>Probable atherosclerotic cardiovascular disease</t>
  </si>
  <si>
    <t>4637 Royal Ridge Lane #41</t>
  </si>
  <si>
    <t>2024-04645</t>
  </si>
  <si>
    <t>Murry, Steven D.</t>
  </si>
  <si>
    <t>Seizure Disorder</t>
  </si>
  <si>
    <t>6500 West Charleston Boulevard #11-95</t>
  </si>
  <si>
    <t>2024-04967</t>
  </si>
  <si>
    <t>Berkey, Jerry</t>
  </si>
  <si>
    <t>Sequelae of Chronic Ethanol Use</t>
  </si>
  <si>
    <t>1210 South 10th Street</t>
  </si>
  <si>
    <t>2024-05248</t>
  </si>
  <si>
    <t>Potter, Becky J.</t>
  </si>
  <si>
    <t>2024-04778</t>
  </si>
  <si>
    <t>Hardin, Larry S. Jr.</t>
  </si>
  <si>
    <t>Sequelae of Chronic Ethanolism</t>
  </si>
  <si>
    <t>Arizona</t>
  </si>
  <si>
    <t>10000 Cottonwood Cove Road</t>
  </si>
  <si>
    <t>2024-05786</t>
  </si>
  <si>
    <t>Allemang, William</t>
  </si>
  <si>
    <t>Sequelae of Environmental Heat Stress and Thermocutaneous Injuries</t>
  </si>
  <si>
    <t>2024-06049</t>
  </si>
  <si>
    <t>Sirhall, Phyllis M.</t>
  </si>
  <si>
    <t xml:space="preserve">Sequelae of Remote Hemorrhagic Stroke </t>
  </si>
  <si>
    <t>Preeclampsia</t>
  </si>
  <si>
    <t>Environmental Heat Stress and Obesity</t>
  </si>
  <si>
    <t>1204 Mews Lane</t>
  </si>
  <si>
    <t>2024-06792</t>
  </si>
  <si>
    <t>Carlson, Leann Marie</t>
  </si>
  <si>
    <t>Streptococcus Pneumoniae Pericarditis and Necrotizing Pneumonia</t>
  </si>
  <si>
    <t>2024-05844</t>
  </si>
  <si>
    <t>Foster, Anthony R.</t>
  </si>
  <si>
    <t>Environmental Heat Stress, Chronic Ethanol Use, Asthma</t>
  </si>
  <si>
    <t>2836 Yukon Trail Drive</t>
  </si>
  <si>
    <t>2024-04033</t>
  </si>
  <si>
    <t>Elkins, Lawson C.</t>
  </si>
  <si>
    <t>2024-04414</t>
  </si>
  <si>
    <t>Hatcher, John S.</t>
  </si>
  <si>
    <t>Environmental Heat Stress, Hypertensive and Atherosclerotic Cardiovascular Disease</t>
  </si>
  <si>
    <t>480 West Bonanza Road</t>
  </si>
  <si>
    <t>2024-04421</t>
  </si>
  <si>
    <t>Bryant, Leland J.</t>
  </si>
  <si>
    <t>Coronary Artery Disease; Environmental Heat Stress</t>
  </si>
  <si>
    <t>Las Vegas Boulevard North</t>
  </si>
  <si>
    <t>Cemetery</t>
  </si>
  <si>
    <t>2024-04517</t>
  </si>
  <si>
    <t>Wilson, Hammoribi B.</t>
  </si>
  <si>
    <t>2586 Van Patten Street</t>
  </si>
  <si>
    <t>2024-04820</t>
  </si>
  <si>
    <t>Landry, Thomas D.</t>
  </si>
  <si>
    <t>Veterans Memorial Drive &amp; Washington Avenue</t>
  </si>
  <si>
    <t>2024-04966</t>
  </si>
  <si>
    <t>Handy, Karl W.</t>
  </si>
  <si>
    <t>Hypertensive Cardiovascular Disease; Diabetes Mellitus; Environmental Heat Stress</t>
  </si>
  <si>
    <t>1912 H. Street</t>
  </si>
  <si>
    <t>2024-05178</t>
  </si>
  <si>
    <t>Degan, Thomas E.</t>
  </si>
  <si>
    <t>3896 University Center Drive</t>
  </si>
  <si>
    <t>2024-05213</t>
  </si>
  <si>
    <t>Jackson, Vincent K.</t>
  </si>
  <si>
    <t>1960 N. Nellis Boulevard</t>
  </si>
  <si>
    <t>2024-05626</t>
  </si>
  <si>
    <t>Minkler, Nicholas J.</t>
  </si>
  <si>
    <t>3508 Las Vegas Boulevard South</t>
  </si>
  <si>
    <t>open parking area</t>
  </si>
  <si>
    <t>2024-05637</t>
  </si>
  <si>
    <t>Martinez De Jesus, Santos</t>
  </si>
  <si>
    <t>4800 West Tropicana Avenue</t>
  </si>
  <si>
    <t>2024-05851</t>
  </si>
  <si>
    <t>Connors, Anthony P.</t>
  </si>
  <si>
    <t>Bridger Avenue, East Bridger Avenue &amp; South Casino Center Boulevard</t>
  </si>
  <si>
    <t>2024-05826</t>
  </si>
  <si>
    <t>Whitmarsh, David E.</t>
  </si>
  <si>
    <t>Toxic Effects of Oxycodone</t>
  </si>
  <si>
    <t>Road</t>
  </si>
  <si>
    <t>Temperature</t>
  </si>
  <si>
    <t>Age Bin</t>
  </si>
  <si>
    <t>Death Location Zip Code</t>
  </si>
  <si>
    <t>Complications Of Thermal Cutaneous Injuries</t>
  </si>
  <si>
    <t>Acute Methamphetamine Toxicity And Environmental Heat Stress</t>
  </si>
  <si>
    <t>Acute Toxic Effects Of Methamphetamine And Environmental Heat Stress</t>
  </si>
  <si>
    <t>Streptococcus Pneumoniae Pericarditis And Necrotizing Pneumonia</t>
  </si>
  <si>
    <t>Acute Combined Methamphetamine And Amphetamine Toxicity</t>
  </si>
  <si>
    <t>Hypertensive And Atherosclerotic Cardiovascular Disease</t>
  </si>
  <si>
    <t>Cardiomegaly Of Unclear Origin</t>
  </si>
  <si>
    <t>Combined Cocaine, Methamphetamine, And Phenylpropanolamine Toxicity</t>
  </si>
  <si>
    <t>Combined Fentanyl, Methamphetamine, Para-Fluorofentanyl And Xylazine Toxicity</t>
  </si>
  <si>
    <t>Acute Toxic Effects Of Methamphetamine</t>
  </si>
  <si>
    <t>Complications Of Third Degree Burns</t>
  </si>
  <si>
    <t>Intoxication By The Combined Effects Of Fentanyl And Methamphetamine</t>
  </si>
  <si>
    <t>Environmental Hyperthermia And Sequelae Thereof</t>
  </si>
  <si>
    <t>Complications Of Dehydration</t>
  </si>
  <si>
    <t xml:space="preserve">Sequelae Of Remote Hemorrhagic Stroke </t>
  </si>
  <si>
    <t>Complications Of Heat Stroke</t>
  </si>
  <si>
    <t>Chronic Ethanol Use And Sequelae Thereof</t>
  </si>
  <si>
    <t>Toxic Effects Of Cocaine</t>
  </si>
  <si>
    <t>Toxic Effects Of Methamphetamine</t>
  </si>
  <si>
    <t>Acute Combined Drug Overdose (Cocaine And Methamphetamine)</t>
  </si>
  <si>
    <t>Complications Of Hyperthermia</t>
  </si>
  <si>
    <t>Toxic Effects Of Oxycodone</t>
  </si>
  <si>
    <t>Acute Combined Drug Overdose (Para-Fluorofentanyl And Methamphetamine)</t>
  </si>
  <si>
    <t>Sequelae Of Environmental Heat Stress And Thermocutaneous Injuries</t>
  </si>
  <si>
    <t>Diabetes Mellitus And Sequelae Thereof</t>
  </si>
  <si>
    <t>Chronic Ethanolism And Sequelae Thereof</t>
  </si>
  <si>
    <t>Acute Para-Fluorofentanyl And Methamphetamine Toxicity</t>
  </si>
  <si>
    <t>Acute Toxic Effects Of Methamphetamine And Cocaine</t>
  </si>
  <si>
    <t>Acute Toxic Effects Of Methamphetamine And Fentanyl</t>
  </si>
  <si>
    <t>Combined Effects Of Fentanyl And Methamphetamine</t>
  </si>
  <si>
    <t>Hyperthermia With Heat Stroke</t>
  </si>
  <si>
    <t>Combined Toxic Effects Of Methadone, Cyclobenzaprine And Methamphetamine</t>
  </si>
  <si>
    <t>Combined Toxic Effects Of Para-Fluorofentanyl And Methamphetamine</t>
  </si>
  <si>
    <t>Acute Methamphetamine And Amphetamine Toxicity</t>
  </si>
  <si>
    <t>Complications Of Environmental Heat Exposure</t>
  </si>
  <si>
    <t>Environmental Heat Exposure With Dehydration</t>
  </si>
  <si>
    <t>Environmental Heat Stress With Hyperthermia</t>
  </si>
  <si>
    <t>Methamphetamine Toxicity In The Setting Of Recent Fentanyl Use</t>
  </si>
  <si>
    <t>Methamphetamine And Fentanyl Intoxication</t>
  </si>
  <si>
    <t>Myotonic Dystrophy And Sequelae Thereof</t>
  </si>
  <si>
    <t>Fentanyl, Acetyl Fentanyl, Methamphetamine And Cocaine Intoxication</t>
  </si>
  <si>
    <t>Methamphetamine, Fentanyl And Para-Fluorofentanyl Toxicity</t>
  </si>
  <si>
    <t>Sequelae Of Chronic Ethanol Use</t>
  </si>
  <si>
    <t>Environmental Heat Stress With Cutaneous Burns</t>
  </si>
  <si>
    <t>Atherosclerotic And Hypertensive Heart Disease</t>
  </si>
  <si>
    <t>Fentanyl And Methamphetamine Intoxication</t>
  </si>
  <si>
    <t>Methamphetamine And Fentanyl Toxicity</t>
  </si>
  <si>
    <t>Acute Combined Drug Toxicity (Fentanyl, Methamphetamine, And Ethanol)</t>
  </si>
  <si>
    <t>Acute Fentanyl And Methamphetamine Toxicity</t>
  </si>
  <si>
    <t>Fentanyl, Para-Fluorofentanyl And Methamphetamine Toxicity</t>
  </si>
  <si>
    <t>Ethanol And Methamphetamine Intoxication</t>
  </si>
  <si>
    <t>Acute Combined Drug Overdose (Fentanyl And Methamphetamine)</t>
  </si>
  <si>
    <t xml:space="preserve">Arteriosclerotic And Hypertensive Cardiovascular Disease </t>
  </si>
  <si>
    <t>Mixed Drug (Cocaine, Ethanol) Intoxication</t>
  </si>
  <si>
    <t>Methamphetamine And Cocaine Intoxication</t>
  </si>
  <si>
    <t>Methamphetamine, Fentanyl, Heroin And Cocaine Intoxication</t>
  </si>
  <si>
    <t>Probable Arteriosclerotic Cardiovascular Disease</t>
  </si>
  <si>
    <t>Mixed Ethanol And Fentanyl Toxicity</t>
  </si>
  <si>
    <t>Sequelae Of Chronic Ethanolism</t>
  </si>
  <si>
    <t>Acute Methamphetamine And Fentanyl Toxicity</t>
  </si>
  <si>
    <t>Acute Toxic Effects Of Methamphetamine, Heroin And Fentanyl</t>
  </si>
  <si>
    <t>Combined Cocaine And Ethanol Toxicity</t>
  </si>
  <si>
    <t>Combined Methamphetamine And Phencyclidine Toxicity</t>
  </si>
  <si>
    <t>Combined Toxic Effects Of Fentanyl, Mitragynine, Hydrocodone And Gabapentin</t>
  </si>
  <si>
    <t>Hyperthermia With Thermal Inijuries</t>
  </si>
  <si>
    <t xml:space="preserve">Methamphetamine And Buprenorphine Intoxication </t>
  </si>
  <si>
    <t>Acute Combined Methadone, Methamphetamine, Amphetamine, Olanzapine, And Alprazolam Toxicity</t>
  </si>
  <si>
    <t>Environmental Heat Exposure With Hyperthermia</t>
  </si>
  <si>
    <t>Implantable Cardioverter-Defibrillator (Icd) Dependent Cardiomyopathy</t>
  </si>
  <si>
    <t>Cocaine And Methamphetamine Toxicity</t>
  </si>
  <si>
    <t>Combined Toxic Effects Of Fentanyl, Mitragynine And Methamphetamine</t>
  </si>
  <si>
    <t>Combined Effects Of Methamphetamine And Ethanol</t>
  </si>
  <si>
    <t xml:space="preserve">Sequelae Of Heat Stroke And Thermocutaneous Injury </t>
  </si>
  <si>
    <t>Cardiomyopathy (Implant Dependent)</t>
  </si>
  <si>
    <t>Mixed Drugs (Cocaine, Opiate, And Probable Methamphetamine) Toxicity</t>
  </si>
  <si>
    <t>Hyperthermia With Thermocutaneous Injury</t>
  </si>
  <si>
    <t xml:space="preserve">Probable Acute On Chronic Myocardial Infarction </t>
  </si>
  <si>
    <t>Atherosclerotic And Hypertensive Cardiovascular Disease</t>
  </si>
  <si>
    <t>Choking On Food Bolus</t>
  </si>
  <si>
    <t>Morbid Obesity And Sequelae Thereof</t>
  </si>
  <si>
    <t>Methamphetamine And Methadone Toxicity</t>
  </si>
  <si>
    <t>Acute Combined Ethanol And Drug Toxicity (Methamphetamine, Amphetamine)</t>
  </si>
  <si>
    <t>Obesity And Sequelae Thereof</t>
  </si>
  <si>
    <t>Combined Toxic Effects Of Fentanyl And Methamphetamine</t>
  </si>
  <si>
    <t>Acute Methamphetamine And Phencyclidine Toxicity</t>
  </si>
  <si>
    <t>Environmental Heat Stress With Blunt Force Trauma Of Torso</t>
  </si>
  <si>
    <t>Chronic Alcohol Abuse And Sequelae Thereof</t>
  </si>
  <si>
    <t>Alcohol, Methamphetamine, And Fentanyl Intoxication</t>
  </si>
  <si>
    <t>Sequelae Of Insulin-Dependent Diabetes Mellitus</t>
  </si>
  <si>
    <t>Environmental Exposure With Dehydration</t>
  </si>
  <si>
    <t>Complications Of Hyperthermia And Thermal Injuries</t>
  </si>
  <si>
    <t>Combined Effects Of Cocaine And Ethanol</t>
  </si>
  <si>
    <t>Methamphetamine And Ethanol Use And Sequelae Thereof</t>
  </si>
  <si>
    <t>Sequelae Of Thermal Injuries And Enviornmental Heat Stress</t>
  </si>
  <si>
    <t>Environmental Heat Stress And Sequelae Thereof</t>
  </si>
  <si>
    <t>Probable Environmental Heat Exposure</t>
  </si>
  <si>
    <t>Acute Methamphetamine And Heroin Toxicity</t>
  </si>
  <si>
    <t>Toxic Effects Of Methamphetamine And Heroin Use</t>
  </si>
  <si>
    <t>Environmental Heat Stress Associated With Methamphetamine Use</t>
  </si>
  <si>
    <t>Methamphetamine Toxicity And Environmental Heat Stress</t>
  </si>
  <si>
    <t>Acute Fentanyl And Oxycodone Toxicity</t>
  </si>
  <si>
    <t>Combined Effects Of Methamphetamine, Fentanyl, Morphine And Ethanol</t>
  </si>
  <si>
    <t>Combined Effects Of Methamphetamine And Phencyclidine</t>
  </si>
  <si>
    <t>Hyperthermia And Sequelae Thereof</t>
  </si>
  <si>
    <t>Environmental Heat Stress With Cutaneous Thermal Injuries</t>
  </si>
  <si>
    <t>Complications Of Probable Methamphetamine Toxicity</t>
  </si>
  <si>
    <t>Covid-19 (Sars-Cov-2) Infection</t>
  </si>
  <si>
    <t>Acute Intoxication By The Combined Effects Of Methamphetamine And Methadone</t>
  </si>
  <si>
    <t>Environmental Heat Stress With Dehydration</t>
  </si>
  <si>
    <t>Pneumonia And Sequelae Thereof</t>
  </si>
  <si>
    <t>Acute Intoxication By Methamphetamine</t>
  </si>
  <si>
    <t>Fentanyl And Ethanol Toxicity</t>
  </si>
  <si>
    <t>Methamphetamine And Ethanol Toxicity</t>
  </si>
  <si>
    <t>Acute Intoxication By The Combined Effects Of Methamphetamine And Heroin</t>
  </si>
  <si>
    <t>Congestive Heart Failure Of Unknown Etiology</t>
  </si>
  <si>
    <t>Hyperthermia With Dehydration</t>
  </si>
  <si>
    <t>Chronic Renal Insufficiency</t>
  </si>
  <si>
    <t>Hyperthermia And Thermal Injuries</t>
  </si>
  <si>
    <t>Combined Effects Of Phenibut, Amphetamine, Gabapentin And Oxymorphone</t>
  </si>
  <si>
    <t>Hypoxic-Ischemic Encephalopathy</t>
  </si>
  <si>
    <t>Hyperthermia In The Setting Of Acute Intoxication By Methamphetamine</t>
  </si>
  <si>
    <t>Methamphetamine Toxicity In The Setting Of Environmental Heat Stress</t>
  </si>
  <si>
    <t>Blunt Force Trauma Of The Head</t>
  </si>
  <si>
    <t>Methamphetamine And Heroin Toxicity</t>
  </si>
  <si>
    <t>Methamphetamine And Phencyclidine Toxicity</t>
  </si>
  <si>
    <t>Complications Of Chronic Ethanol Use</t>
  </si>
  <si>
    <t>Sequelae Of Subdural Heatoma Due To Fall</t>
  </si>
  <si>
    <t>Methamphetamine And Cocaine Toxicity</t>
  </si>
  <si>
    <t>Community-Acquired Pneumonia With Sepsis</t>
  </si>
  <si>
    <t>Remote Environmental Hyperthermia And Sequelae Thereof, Diabetes Mellitus</t>
  </si>
  <si>
    <t>Environmental Heat Exposure; Hypertensive And Arteriosclerotic Cardiovascular Disease</t>
  </si>
  <si>
    <t>Complications Of Chronic Ethanol Use; Environmental Heat Stress</t>
  </si>
  <si>
    <t>Hyperthermia In The Setting Of Environmental Heat Stress And Methamphetamine Toxicity</t>
  </si>
  <si>
    <t>Cirrhosis Of The Liver Due To Chronic Alcoholism</t>
  </si>
  <si>
    <t>Hypertension; Environmental Heat Stress; Pulmonary Adhesions With Pulmonary Hyperinflation</t>
  </si>
  <si>
    <t>Environmental Heat Exposure, Emphysema</t>
  </si>
  <si>
    <t>History Of Cardiac Arrhythmia And Remote Stroke; Chronic Kidney Disease; Environmental Heat Stress</t>
  </si>
  <si>
    <t>Recent Fentanyl And Buprenorphine Intoxication</t>
  </si>
  <si>
    <t>Environmental Heat Stress, Invasive Squamous Cell Carcinoma Of The Esophagus</t>
  </si>
  <si>
    <t>Dehydration, Hypertensive And Atherosclerotic Cardiovascular Disease, Pulmonary Emphysema</t>
  </si>
  <si>
    <t>Acute Methamphetamine Toxicity; Environmental Heat Stress; Recent Sars-Cov-2 Infection</t>
  </si>
  <si>
    <t>Complications Of Right Femur Fracture; Hypertension; Atherosclerosis' Prosthetic Aortic Valve; Atrial Fibrillation; Diabetes</t>
  </si>
  <si>
    <t>Combined Fentanyl, Methamphetamine, And Para-Fluorofentanyl Toxicity; Hyperthermia; Human Immunodeficiency Virus</t>
  </si>
  <si>
    <t>Environmental Heat Stress And Obesity</t>
  </si>
  <si>
    <t>Diabetes Mellitus, Environmental Heat Exposure</t>
  </si>
  <si>
    <t>Chronic Ethanolism And Acute And Chronic Rib Fractures</t>
  </si>
  <si>
    <t>Probable Ruptured Cerebral Artery At The Base Of The Brain; Environmental Heat Stress</t>
  </si>
  <si>
    <t>Parkinson'S Disease</t>
  </si>
  <si>
    <t>Atherosclerotic Heart Disease And Methamphetamine Use</t>
  </si>
  <si>
    <t>Hypertension And Dementia</t>
  </si>
  <si>
    <t>Environmental Heat Stress;  Diabetes Mellitus With Chronic Kidney Disease</t>
  </si>
  <si>
    <t>Hypertensive And Atherosclerotic Cardiovascular Disease; Environmental Heat Stress</t>
  </si>
  <si>
    <t>Acute Combined Methamphetamine And Amphetamine Toxicity; Recent Cocaine Use; Adenovirus Respiratory Infection</t>
  </si>
  <si>
    <t>Hypertensive And Atherosclerotic Cardiovascular Disease, Pulmonary Emphysema, Environmental Heat Stress</t>
  </si>
  <si>
    <t>Environmental Heat Stress; Hypertensive And Atherosclerotic Cardiovascular Disease; Diabetes Mellitus</t>
  </si>
  <si>
    <t>Hypertensive And Atherosclerotic Cardiovascular Disease; Tobacco Use</t>
  </si>
  <si>
    <t>Atherosclerotic Cardiovascular Disease And Debility</t>
  </si>
  <si>
    <t>Methamphetamine And Methadone Use</t>
  </si>
  <si>
    <t>History Of Drug Use</t>
  </si>
  <si>
    <t>Dehydration And Environmental Heat Stress</t>
  </si>
  <si>
    <t>Acute Combined Methamphetamine And Amphetamine Toxicity; Hyperthermia</t>
  </si>
  <si>
    <t>Covid-19 Infection, Thermal Cutaneous Injuries</t>
  </si>
  <si>
    <t>Environmental Heat Stress; Complications Of Chronic Alcohol And Tobacco Use</t>
  </si>
  <si>
    <t>Methamphetamine And Fentanyl Use</t>
  </si>
  <si>
    <t>Subarachnoid Hemorrhage Of Undetermined Etiology</t>
  </si>
  <si>
    <t>Peripheral Artery Disease With Probable Coronary Artery Disease</t>
  </si>
  <si>
    <t>Diabetes Mellitus And Environmental Heat Stress</t>
  </si>
  <si>
    <t>Hypertensive Cardiovascular Disease And Environmental Heat Stress</t>
  </si>
  <si>
    <t>Atherosclerotic And Valvular Heart Disease</t>
  </si>
  <si>
    <t>Environmental Heat Stress And History Of Covid-19 Infection</t>
  </si>
  <si>
    <t>Recent Fentanyl And Methamphetamine Use</t>
  </si>
  <si>
    <t>Methamphetamine Use And Atherosclerotic Heart Disease</t>
  </si>
  <si>
    <t xml:space="preserve">Environmental Heat Stress With Dehydration </t>
  </si>
  <si>
    <t>Hyperthermia And Thermal Burns</t>
  </si>
  <si>
    <t>Methamphetamine And Ethanol Use</t>
  </si>
  <si>
    <t>Blunt Force Trauma Of The Head; Environmental Heat Stress</t>
  </si>
  <si>
    <t>Environmental Heat Stress, Atherosclerotic Aortic And Coronary Artery Disease</t>
  </si>
  <si>
    <t>Hypertension And Diabetes Mellitus</t>
  </si>
  <si>
    <t>Acute And Chronic Ethanol Toxicity</t>
  </si>
  <si>
    <t>Hypertensive And Atherosclerotic Cardiovascular Disease; Recent Blunt Force Injuries</t>
  </si>
  <si>
    <t>Parkinson'S Disease, Chronic Obstructive Pulmonary Disease, Environmental Heat Stress</t>
  </si>
  <si>
    <t>Methamphetamine And Cocaine Use; Chronic Obstructive Pulmonary Disease</t>
  </si>
  <si>
    <t>Complications Of Sigmoid Volvulus With Obstruction</t>
  </si>
  <si>
    <t>Fentanyl And Methamphetamine Use: Chronic Obstructive Pulmonary Disease</t>
  </si>
  <si>
    <t>Hypertensive And Atherosclerotic Cardiovascular Disease; Chronic Obstructive Pulmonary Disease</t>
  </si>
  <si>
    <t>Environmental Heat Stress, Hypertensive And Atherosclerotic Cardiovascular Disease</t>
  </si>
  <si>
    <t>Diabetes; Hypertension; Acute Angle Take-Off Of The Left Main Coronary Artery (Left Dominant Heart)</t>
  </si>
  <si>
    <t>Environmental Heat Stress; Recent Blunt Impact Injury Of Head</t>
  </si>
  <si>
    <t>Environmental Heat Stress And Cardiomegaly</t>
  </si>
  <si>
    <t>Methamphetamine Use And Environmental Heat Stress</t>
  </si>
  <si>
    <t>Environmental Heat Stress, Diabetes Mellitus And Obesity</t>
  </si>
  <si>
    <t>Hiv Infection; Environmental Hyperthermia</t>
  </si>
  <si>
    <t>Hiv/Aids, Hepatitis C, Hypertensive Cardiovascular Disease</t>
  </si>
  <si>
    <t>Dehydration With Hyperglycemia, Exposure To Elevated Ambient Temperatures And Exhaust Fumes</t>
  </si>
  <si>
    <t xml:space="preserve">Chronic Obstructive Pulmonary Disease, Silicosis Exposure, Obesity And Chronic Ethanol Use. </t>
  </si>
  <si>
    <t>Cocaine Use, Hypertensive Cardiovascular Disease, Diabetes Mellitus And Thermal Injuries</t>
  </si>
  <si>
    <t>Second Degree Thermal Injuries; Acute And Chronic Ethanol Abuse; Hypertensive Atherosclerotic Cardiovascular Disease; Diabetes Mellitus</t>
  </si>
  <si>
    <t>Right Inguinal Hernia With Incarcerated Ischemic Bowel, Environmental Heat Stress</t>
  </si>
  <si>
    <t>Drug Intoxication: Methamphetamine; Chronic Obstructive Pulmonary Disease; Atherosclerotic And Hypertensive-Type Cardiovascular Disease</t>
  </si>
  <si>
    <t>Environmental Heat Stress And Hypertensive Cardiovascular Disease</t>
  </si>
  <si>
    <t>Clinical History Of Schizophrenia (Per History)</t>
  </si>
  <si>
    <t>Acute Angle Takeoff Of The Left And Right Coronary Arteries</t>
  </si>
  <si>
    <t>Burns Due To Environmental Heat</t>
  </si>
  <si>
    <t>Alzheimer'S Dementia; Environmental Heat Stress</t>
  </si>
  <si>
    <t>Hypertensive And Atherosclerotic Cardiovascular Disease, Diabetes Mellitus</t>
  </si>
  <si>
    <t>Acute And Chronic Ethanol Use</t>
  </si>
  <si>
    <t>Valvular, Atherosclerotic And Hypertensive Cardiovascular Disease; Pulmonary Fibrosis; Dementia</t>
  </si>
  <si>
    <t>Fentanyl And Methamphetamine Use</t>
  </si>
  <si>
    <t xml:space="preserve">Toxic Effects Of Olanzapine </t>
  </si>
  <si>
    <t>Chronic Obstructive Pulmonary Disease And Environmental Heat Stress</t>
  </si>
  <si>
    <t>Combined Effects Of Recent Methamphetamine And Fentanyl Use</t>
  </si>
  <si>
    <t>Sepsis Secondary To Pneumonia (Not Otherwise Specified)</t>
  </si>
  <si>
    <t>Toxic Effects Of Methamphetamine Use</t>
  </si>
  <si>
    <t xml:space="preserve">Chronic Ethanolism, Atherosclerotic Cardiovascular Disease And Cardiac Valvular Disease </t>
  </si>
  <si>
    <t>Environmental Heat Stress; Moderate Coronary Artery Disease; Acute Angle Takeoff Of Left And Right Coronary Arteries</t>
  </si>
  <si>
    <t xml:space="preserve">Obesity; Hypertensive And Atherosclerotic Cardiovascular Disease </t>
  </si>
  <si>
    <t>Pacemaker-Dependent Hypertensive And Atherosclerotic Cardiovascular Disease; Global Geriatric Decline</t>
  </si>
  <si>
    <t>Parkinson'S Disease, Environmental Heat Stress</t>
  </si>
  <si>
    <t>Methamphetamine Use And Chronic Ethanol Use</t>
  </si>
  <si>
    <t>Environmental Heat Stress And Sequelae Of Diabetes Mellitus</t>
  </si>
  <si>
    <t>Hypertensive Cardiomyopathy And Methamphetamine Use</t>
  </si>
  <si>
    <t>Methamphetamine Use And Chronic Ethanolism</t>
  </si>
  <si>
    <t>Chronic Renal Failure (Dialysis Dependent), Reported History Of Agent Orange Exposure</t>
  </si>
  <si>
    <t>Acute Toxic Effects Of Methamphetamine And Diphenhydramine</t>
  </si>
  <si>
    <t xml:space="preserve">Chronic Ethanolism With Cirrhosis Of Liver </t>
  </si>
  <si>
    <t>Cocaine And Phencyclidine Use</t>
  </si>
  <si>
    <t>Blunt Force Injury Of The Lower Cervical Spine</t>
  </si>
  <si>
    <t>Atherosclerotic Cardiovascular Disease; Renal Hypertension; Stage Iii Chronic Kidney Disease; Secondary Hyperparathyroidism; Hypothyroidism</t>
  </si>
  <si>
    <t>Environmental Heat Stress And Methamphetamine Use</t>
  </si>
  <si>
    <t>Environmental Heat Stress; Cardiomegaly Of The  Hypertensive Type; Obesity</t>
  </si>
  <si>
    <t>Environmental Heat Stress, Blunt Force Injuries Of Chest</t>
  </si>
  <si>
    <t>Recent Methamphetamine And Morphine, Probably Heroin, Use</t>
  </si>
  <si>
    <t>Atherosclerotic Cardiovascular Disease And Environmental Heat Stress</t>
  </si>
  <si>
    <t>Chronic Obstructive Pulmonary Disease And Atherosclerotic Cardiovascular Disease</t>
  </si>
  <si>
    <t>Environmental Heat Stress; Atherosclerotic And Hypertensive Cardiovascular Disease</t>
  </si>
  <si>
    <t>Hypertensive Cardiovascular Disease, Peripheral Neuropathy, Obesity</t>
  </si>
  <si>
    <t>Environmental Heat Stress With Thermal Injuries</t>
  </si>
  <si>
    <t>Phencyclidine Intoxication And Environmental Heat Stress And Metastatic Prostate Carcinoma</t>
  </si>
  <si>
    <t xml:space="preserve">Chronic Ethanolism And Fentanyl Toxicity </t>
  </si>
  <si>
    <t xml:space="preserve">Environmental Heat Stress; History Of Covid-19 Viral Infection </t>
  </si>
  <si>
    <t xml:space="preserve"> Diabetes Mellitus, Hypertensive Cardiovascular Disease</t>
  </si>
  <si>
    <t>Hypertensive Cardiovascular Disease, Diabetes Mellitus</t>
  </si>
  <si>
    <t>Recent Cocaine Use And Coronary Artery Thrombus</t>
  </si>
  <si>
    <t>Toxic Effects Of Methamphetamine And Cocaine</t>
  </si>
  <si>
    <t>Recent Methamphetamine And Probable Heroin Use, Environmental Heat Stress</t>
  </si>
  <si>
    <t>Environmental Heat Stress, Atherosclerotic And Hypertensive Cardiovascular Disease</t>
  </si>
  <si>
    <t>Methamphetamine Intoxication And Blunt Force Trauma</t>
  </si>
  <si>
    <t>Cerebrovascular Atherosclerosis And Seizure Disorder</t>
  </si>
  <si>
    <t>Methamphetamine Toxicity; Atherosclerotic And Hypertensive Cardiovascular Disease</t>
  </si>
  <si>
    <t>Environmental Heat Stress, Chronic Obstructive Pulmonary Disease, And Covid-19</t>
  </si>
  <si>
    <t xml:space="preserve">Acute Intoxication By Methamphetamine </t>
  </si>
  <si>
    <t xml:space="preserve">Environmental Heat Stress; Alzheimer'S Disease </t>
  </si>
  <si>
    <t>Chronic Obstructive Pulmonary Disease, Diabetes Mellitus, And Environmental Heat Stress</t>
  </si>
  <si>
    <t xml:space="preserve">Environmental Heat Stress And Methamphetamine Intoxication </t>
  </si>
  <si>
    <t>Chronic Obstructive Pulmomary Disease And Cirrhosis</t>
  </si>
  <si>
    <t>Methamphetamine Toxicity, Hypertensive And Atherosclerotic Cardiovascular Disease</t>
  </si>
  <si>
    <t>Atherosclerotic And Hypertensive Cardiovascular Disease, Dementia</t>
  </si>
  <si>
    <t>Environmental Heat Stress And Heavy Metal Poisoning Due To Pica</t>
  </si>
  <si>
    <t>Recent Use Of Methamphetamine</t>
  </si>
  <si>
    <t>Hypertensive Cardiovascular Disease, Obesity And Borderline Diabetes Mellitus</t>
  </si>
  <si>
    <t>Coronary Artery Atherosclerosis And Environmental Heat Stress</t>
  </si>
  <si>
    <t>Codeine And Morphine Toxicity And Environmental Heat Stress</t>
  </si>
  <si>
    <t>Alzheimer'S Disease, Lung Disease (Agent Orange Exposure Per Family)</t>
  </si>
  <si>
    <t>Acute Ethanol Intoxication And Environmental Heat Stress</t>
  </si>
  <si>
    <t>Substance Abuse And Lobar Pneumonia</t>
  </si>
  <si>
    <t>History Of Mental Illness</t>
  </si>
  <si>
    <t>Cardiomegaly, Exposure To Gamma-Hydroxybutyric Acid</t>
  </si>
  <si>
    <t>Chronic Obstructive Pulmonary Disease And Tobacco Use</t>
  </si>
  <si>
    <t xml:space="preserve">Hypertensive Cardiovascular Disease And Chronic Obstructive Pulmonary Disease </t>
  </si>
  <si>
    <t xml:space="preserve">Cocaine And Ethanol Toxicity </t>
  </si>
  <si>
    <t xml:space="preserve">Methamphetamine Toxicity And Hypertensive Cardiovascular Disease </t>
  </si>
  <si>
    <t>Probable Methamphetamine And Ethanol Use</t>
  </si>
  <si>
    <t>Combined Drug Toxicities (Methamphetamine And Morphine)</t>
  </si>
  <si>
    <t>Atherosclerotic And Hypertensive Cardiovascular Disease, Methamphetamine Use</t>
  </si>
  <si>
    <t xml:space="preserve">Methamphetamine And Morphine Toxicity </t>
  </si>
  <si>
    <t>Cardiac Valvular Disease And Environmental Heat Stress</t>
  </si>
  <si>
    <t xml:space="preserve">Chronic Obstructive Pulmonary Disease And Hypertensive Cardiovascular Disease </t>
  </si>
  <si>
    <t>Cardiomyopathy, Chronic Obstructive Pulmonary Disease And Obesity</t>
  </si>
  <si>
    <t>History Of Osteomyelitis, Cellulitis And Neurogenic Bladder With Recurrent Urinary Tract Infections</t>
  </si>
  <si>
    <t xml:space="preserve">Topiramate And Hydroxyzine Toxicity </t>
  </si>
  <si>
    <t>Diabetes Mellitus, Debility And Environmental Heat Stress</t>
  </si>
  <si>
    <t>Chronic Obstructive Pulmonary Disease Due To Tobacco Use</t>
  </si>
  <si>
    <t>Hypertensive Cardiovascular Disease And Diabetes Mellitus</t>
  </si>
  <si>
    <t>Diabetes Mellitus And Hypertensive Cardiovascular Disease</t>
  </si>
  <si>
    <t>Environmental Heat Exposure, Dementia</t>
  </si>
  <si>
    <t>Human Immunodeficiency Virus (Hiv) Infection, Complications Of Hyperthermia</t>
  </si>
  <si>
    <t>Chronic Ethanolism, Atherosclerotic Cardiovascular Disease And Small Caliber Right Coronary Artery</t>
  </si>
  <si>
    <t>Minnesota</t>
  </si>
  <si>
    <t>Amusement Park</t>
  </si>
  <si>
    <t>Drainage Tunnel Entrance</t>
  </si>
  <si>
    <t>Furniture/Home Furnishings</t>
  </si>
  <si>
    <t>General</t>
  </si>
  <si>
    <t>General Car Repair Servicing</t>
  </si>
  <si>
    <t>Homeless Shelter</t>
  </si>
  <si>
    <t>Hospital Er</t>
  </si>
  <si>
    <t>Public Building</t>
  </si>
  <si>
    <t>Rv</t>
  </si>
  <si>
    <t>Health Care Service</t>
  </si>
  <si>
    <t>Hospital Icu</t>
  </si>
  <si>
    <t>Intensive Care Unit (Icu)</t>
  </si>
  <si>
    <t>Micu</t>
  </si>
  <si>
    <t>Open Parking Area</t>
  </si>
  <si>
    <t>Asian/Pacific Islander</t>
  </si>
  <si>
    <t>Multi/Other</t>
  </si>
  <si>
    <t>Fentanyl Intoxication</t>
  </si>
  <si>
    <t>Cause of Death A Category</t>
  </si>
  <si>
    <t>Incident Place Type Category</t>
  </si>
  <si>
    <t>Death Place Type Category</t>
  </si>
  <si>
    <t>3985 S Pearl St, Las Vegas, NV 89121</t>
  </si>
  <si>
    <t>7339 Cisco Ln, Las Vegas, NV 89123</t>
  </si>
  <si>
    <t>North Las Vegas, NV 89030</t>
  </si>
  <si>
    <t>4840 S Jones Blvd, Las Vegas, NV 89103</t>
  </si>
  <si>
    <t>601 E Fremont St, Las Vegas, NV 89101</t>
  </si>
  <si>
    <t>1315 S Main St, Las Vegas, NV 89104</t>
  </si>
  <si>
    <t>1468 E Charleston Blvd, Las Vegas, NV 89104</t>
  </si>
  <si>
    <t>6401 W Charleston Blvd, Las Vegas, NV 89146</t>
  </si>
  <si>
    <t>2048 Las Vegas Blvd N, North Las Vegas, NV 89030</t>
  </si>
  <si>
    <t>6400 W Lake Mead Blvd, Las Vegas, NV 89108</t>
  </si>
  <si>
    <t>4543 Andrews St, North Las Vegas, NV 89081</t>
  </si>
  <si>
    <t>Las Vegas, NV 89104</t>
  </si>
  <si>
    <t>Henderson, NV 89014</t>
  </si>
  <si>
    <t>Las Vegas, NV 89122</t>
  </si>
  <si>
    <t>7600 S Las Vegas Blvd, Las Vegas, NV 89123</t>
  </si>
  <si>
    <t>7055 E Lake Mead Blvd, Las Vegas, NV 89156</t>
  </si>
  <si>
    <t>1 W Owens Ave, Las Vegas, NV 89101</t>
  </si>
  <si>
    <t>2757 Wild Cactus Ct, Las Vegas, NV 89156</t>
  </si>
  <si>
    <t>6515 S Jones Blvd, Las Vegas, NV 89118</t>
  </si>
  <si>
    <t>Spring Valley, NV 89103</t>
  </si>
  <si>
    <t>Paradise, NV 89121</t>
  </si>
  <si>
    <t>Las Vegas, NV 89101</t>
  </si>
  <si>
    <t>Las Vegas, NV 89106</t>
  </si>
  <si>
    <t>301 S M.L.K. Blvd, Las Vegas, NV 89106</t>
  </si>
  <si>
    <t>10284 TRESOR Ct, Las Vegas, NV 89135</t>
  </si>
  <si>
    <t>1912 Civic Center Dr, North Las Vegas, NV 89030</t>
  </si>
  <si>
    <t>1409 E Lake Mead Blvd, North Las Vegas, NV 89030</t>
  </si>
  <si>
    <t>314 Foremaster Ln, Las Vegas, NV 89101</t>
  </si>
  <si>
    <t>2001 E Tonopah Ave, North Las Vegas, NV 89030</t>
  </si>
  <si>
    <t>2237 W Charleston Blvd, Las Vegas, NV 89102</t>
  </si>
  <si>
    <t>2586 Meadows Ave, Las Vegas, NV 89101</t>
  </si>
  <si>
    <t>651 Eastgate Rd, Henderson, NV 89011</t>
  </si>
  <si>
    <t>4805 Osborn Ct, Las Vegas, NV 89110</t>
  </si>
  <si>
    <t>1636 Palmae Way, Las Vegas, NV 89128</t>
  </si>
  <si>
    <t>3660 Boulder Hwy #31f, Las Vegas, NV 89121</t>
  </si>
  <si>
    <t>1019 Via Calderia Pl, Henderson, NV 89011</t>
  </si>
  <si>
    <t>3257 Tularosa Ln, Las Vegas, NV 89122</t>
  </si>
  <si>
    <t>8112 Kinsella Way, Las Vegas, NV 89147</t>
  </si>
  <si>
    <t>1111 N Lamb Blvd, Las Vegas, NV 89110</t>
  </si>
  <si>
    <t>2581 Rafferty Creek Ln, Las Vegas, NV 89156</t>
  </si>
  <si>
    <t>1604 E St Louis Ave, Las Vegas, NV 89104</t>
  </si>
  <si>
    <t>370 E Harmon Ave q315, Las Vegas, NV 89119</t>
  </si>
  <si>
    <t>7400 W Pirates Cove Rd #209, Las Vegas, NV 89145</t>
  </si>
  <si>
    <t>1027 Laurel Ave, Las Vegas, NV 89104</t>
  </si>
  <si>
    <t>2038 Palm St, Las Vegas, NV 89104</t>
  </si>
  <si>
    <t>3669 Cottage Canyon St, Laughlin, NV 89029</t>
  </si>
  <si>
    <t>1303 Palmwood St, Boulder City, NV 89005</t>
  </si>
  <si>
    <t>1825 Goldfield St #6, North Las Vegas, NV 89030</t>
  </si>
  <si>
    <t>2800 S Lamb Blvd, Las Vegas, NV 89121</t>
  </si>
  <si>
    <t>1624 Palm St, Las Vegas, NV 89104</t>
  </si>
  <si>
    <t>5335 Silvermist Ct, Las Vegas, NV 89122</t>
  </si>
  <si>
    <t>7910 Firethorn Ln, Las Vegas, NV 89123</t>
  </si>
  <si>
    <t>Parking lot, 4505 Paradise Rd j1115, Las Vegas, NV 89119</t>
  </si>
  <si>
    <t>1171 W Dyer Rd b, Pahrump, NV 89048</t>
  </si>
  <si>
    <t>4323 Paramount St, Las Vegas, NV 89115</t>
  </si>
  <si>
    <t>3601 E Wyoming Ave, Las Vegas, NV 89104</t>
  </si>
  <si>
    <t>4600 Baxter Pl, Las Vegas, NV 89107</t>
  </si>
  <si>
    <t>9901 Trailwood Dr, Las Vegas, NV 89134</t>
  </si>
  <si>
    <t>9394 Roping Cowboy Ave, Las Vegas, NV 89178</t>
  </si>
  <si>
    <t>3210 S Sandhill Rd #336, Las Vegas, NV 89121</t>
  </si>
  <si>
    <t>335 E Harmon Ave #74, Las Vegas, NV 89169</t>
  </si>
  <si>
    <t>3508 Hudson Bay Ave, Las Vegas, NV 89110</t>
  </si>
  <si>
    <t>2405 N McCarran St c, North Las Vegas, NV 89030</t>
  </si>
  <si>
    <t>2405 N McCarran St, North Las Vegas, NV 89030</t>
  </si>
  <si>
    <t>3080 Garnet Ct, Las Vegas, NV 89121</t>
  </si>
  <si>
    <t>5600 Boulder Hwy k 2440, Las Vegas, NV 89122</t>
  </si>
  <si>
    <t>1818 Santa Paula Dr, Las Vegas, NV 89104</t>
  </si>
  <si>
    <t>3467 W Mardon Ave, Las Vegas, NV 89139</t>
  </si>
  <si>
    <t>1004 N 17th St, Las Vegas, NV 89101</t>
  </si>
  <si>
    <t>3850 Leonard St, Pahrump, NV 89060</t>
  </si>
  <si>
    <t>Pahrump, NV 89060</t>
  </si>
  <si>
    <t>1335 Lorilyn Ave, Las Vegas, NV 89119</t>
  </si>
  <si>
    <t>2655 W Lake Mead Blvd 18 1139, North Las Vegas, NV 89032</t>
  </si>
  <si>
    <t>2500 Karen Ave #171, Las Vegas, NV 89121</t>
  </si>
  <si>
    <t>3516 E Webb Ave, North Las Vegas, NV 89030</t>
  </si>
  <si>
    <t>916 Balzar Ave #2, Las Vegas, NV 89106</t>
  </si>
  <si>
    <t>608 Byrnes Ave, Las Vegas, NV 89106</t>
  </si>
  <si>
    <t>3376 Dragon Fly St, North Las Vegas, NV 89032</t>
  </si>
  <si>
    <t>3660 Boulder Hwy #42, Las Vegas, NV 89121</t>
  </si>
  <si>
    <t>1400 S Valley View Blvd #2153, Las Vegas, NV 89102</t>
  </si>
  <si>
    <t>5487 Morning Swim Ln, Las Vegas, NV 89113</t>
  </si>
  <si>
    <t>283 W Mesquite Blvd Space #2, Mesquite, NV 89027</t>
  </si>
  <si>
    <t>1648 J St, Las Vegas, NV 89106</t>
  </si>
  <si>
    <t>1001 E Carey Ave 2 206, North Las Vegas, NV 89030</t>
  </si>
  <si>
    <t>5866 Sassy Rose Dr, Las Vegas, NV 89122</t>
  </si>
  <si>
    <t>10181 Deerfield Beach Ave, Las Vegas, NV 89129</t>
  </si>
  <si>
    <t>5380 E Flamingo Rd, Las Vegas, NV 89122</t>
  </si>
  <si>
    <t>2825 Bluegrass Ln, Henderson, NV 89074</t>
  </si>
  <si>
    <t>3544 Mountain Valley Dr, Las Vegas, NV 89129</t>
  </si>
  <si>
    <t>5610 Ballinger Dr, Las Vegas, NV 89142</t>
  </si>
  <si>
    <t>4976 Stanley Ave #3, Las Vegas, NV 89115</t>
  </si>
  <si>
    <t>2651 Wyandotte St #225, Las Vegas, NV 89102</t>
  </si>
  <si>
    <t>10525 Autumn Pine Ave, Las Vegas, NV 89144</t>
  </si>
  <si>
    <t>2670 W Irene St, Pahrump, NV 89060</t>
  </si>
  <si>
    <t>1190 S Mojave Rd #211, Las Vegas, NV 89104</t>
  </si>
  <si>
    <t>3546 Huerta Dr, Las Vegas, NV 89121</t>
  </si>
  <si>
    <t>315 Reber Dr, Mesquite, NV 89027</t>
  </si>
  <si>
    <t>3330 Rio Grande St, Las Vegas, NV 89115</t>
  </si>
  <si>
    <t>5540 Bisset Ave, Las Vegas, NV 89118</t>
  </si>
  <si>
    <t>4541 E Owens Ave, Las Vegas, NV 89110</t>
  </si>
  <si>
    <t>479 S Moapa Valley Blvd, Overton, NV 89040</t>
  </si>
  <si>
    <t>629 Holly Bush Ct, Henderson, NV 89015</t>
  </si>
  <si>
    <t>2904 Avalon Ave, Las Vegas, NV 89107</t>
  </si>
  <si>
    <t>588 Beryl Ct, Henderson, NV 89015</t>
  </si>
  <si>
    <t>2984 Sun Lake Dr, Las Vegas, NV 89128</t>
  </si>
  <si>
    <t>155 Betty Ln, Las Vegas, NV 89110</t>
  </si>
  <si>
    <t>205 S 10th St, Las Vegas, NV 89101</t>
  </si>
  <si>
    <t>3428 Lute St, North Las Vegas, NV 89032</t>
  </si>
  <si>
    <t>3401 N Walnut Rd, Las Vegas, NV 89115</t>
  </si>
  <si>
    <t>2901 Schaffer Cir #3c, Las Vegas, NV 89121</t>
  </si>
  <si>
    <t>6076 Yellowstone Ave, Las Vegas, NV 89156</t>
  </si>
  <si>
    <t>455 Clark Ln, Indian Springs, NV 89018</t>
  </si>
  <si>
    <t>3411 Sockeye Ln, North Las Vegas, NV 89032</t>
  </si>
  <si>
    <t>463 Highland View Ct, Mesquite, NV 89027</t>
  </si>
  <si>
    <t>Nevada 89161</t>
  </si>
  <si>
    <t>1790 Puerto Way, Henderson, NV 89012</t>
  </si>
  <si>
    <t>4770 S Topaz St, Las Vegas, NV 89121</t>
  </si>
  <si>
    <t>3963 Visby Ln, Las Vegas, NV 89119</t>
  </si>
  <si>
    <t>2315 N St Joseph St, Moapa Valley, NV 89021</t>
  </si>
  <si>
    <t>1917 Crystal Glen Ct, Las Vegas, NV 89117</t>
  </si>
  <si>
    <t>168 Vance Ct, Henderson, NV 89074</t>
  </si>
  <si>
    <t>2217 S Beverly Way, Las Vegas, NV 89104</t>
  </si>
  <si>
    <t>579 Primrose Hill Ave, Las Vegas, NV 89178</t>
  </si>
  <si>
    <t>1869 Star Sapphire Ct, Las Vegas, NV 89106</t>
  </si>
  <si>
    <t>568 Pearberry Ave, Las Vegas, NV 89183</t>
  </si>
  <si>
    <t>2501 Wigwam Pkwy #418, Henderson, NV 89074</t>
  </si>
  <si>
    <t>900 Samoy St, Las Vegas, NV 89110</t>
  </si>
  <si>
    <t>9350 S Cimarron Rd #1030, Las Vegas, NV 89178</t>
  </si>
  <si>
    <t>3210 S Sandhill Rd 2 323, Las Vegas, NV 89121</t>
  </si>
  <si>
    <t>3907 Rose Canyon Dr, North Las Vegas, NV 89032</t>
  </si>
  <si>
    <t>5039 Merrill Ave, Las Vegas, NV 89120</t>
  </si>
  <si>
    <t>1323 Comstock Dr, Las Vegas, NV 89106</t>
  </si>
  <si>
    <t>3550 E Lake Mead Blvd a 336, Las Vegas, NV 89115</t>
  </si>
  <si>
    <t>3975 E Lake Mead Blvd, Las Vegas, NV 89115</t>
  </si>
  <si>
    <t>2067 Las Vegas Blvd N Space 33, North Las Vegas, NV 89030</t>
  </si>
  <si>
    <t>3700 E Bonanza Rd 5 2047, Las Vegas, NV 89110</t>
  </si>
  <si>
    <t>1601 S Sandhill Rd Space 236, Las Vegas, NV 89104</t>
  </si>
  <si>
    <t>4603 W Desert Inn Rd, Las Vegas, NV 89102</t>
  </si>
  <si>
    <t>682 Canfield Point Ave, Las Vegas, NV 89183</t>
  </si>
  <si>
    <t>4711 Boulder Hwy, Las Vegas, NV 89121</t>
  </si>
  <si>
    <t>335 E Harmon Ave b 57, Las Vegas, NV 89119</t>
  </si>
  <si>
    <t>6000 W Miracosta Ave, Las Vegas, NV 89108</t>
  </si>
  <si>
    <t>2320 Ione Rd #323, Las Vegas, NV 89183</t>
  </si>
  <si>
    <t>6011 College Park Ln, Las Vegas, NV 89110</t>
  </si>
  <si>
    <t>6605 Miners Hope Dr, Las Vegas, NV 89108</t>
  </si>
  <si>
    <t>3975 N Nellis Blvd #2004, Las Vegas, NV 89115</t>
  </si>
  <si>
    <t>5100 E Tropicana Ave #8b, Las Vegas, NV 89122</t>
  </si>
  <si>
    <t>4337 Threshold Ct, North Las Vegas, NV 89032</t>
  </si>
  <si>
    <t>2196 Laurel Ridge Way, Las Vegas, NV 89142</t>
  </si>
  <si>
    <t>2067 Las Vegas Blvd N #38, North Las Vegas, NV 89030</t>
  </si>
  <si>
    <t>103 Gooseberry Ln, Henderson, NV 89074</t>
  </si>
  <si>
    <t>1735 Athol Ave, Henderson, NV 89011</t>
  </si>
  <si>
    <t>2200 Palm St #116, Las Vegas, NV 89104</t>
  </si>
  <si>
    <t>700 N Main St #204, Las Vegas, NV 89101</t>
  </si>
  <si>
    <t>3890 S Nellis Blvd #117, Las Vegas, NV 89121</t>
  </si>
  <si>
    <t>4308 Bitterroot Dr, North Las Vegas, NV 89032</t>
  </si>
  <si>
    <t>3750 E Twinkle Star Dr, Las Vegas, NV 89115</t>
  </si>
  <si>
    <t>1421 N Tonopah Dr, Las Vegas, NV 89106</t>
  </si>
  <si>
    <t>3616 Perliter Ave, North Las Vegas, NV 89030</t>
  </si>
  <si>
    <t>817 N 22nd St, Las Vegas, NV 89101</t>
  </si>
  <si>
    <t>3839 E Charleston Blvd #10, Las Vegas, NV 89104</t>
  </si>
  <si>
    <t>2900 E Charleston Blvd 5 185, Las Vegas, NV 89104</t>
  </si>
  <si>
    <t>9100 W Flamingo Rd, Las Vegas, NV 89147</t>
  </si>
  <si>
    <t>3145 E Flamingo Rd, Las Vegas, NV 89121</t>
  </si>
  <si>
    <t>10281 Bentley Oaks Ave, Las Vegas, NV 89135</t>
  </si>
  <si>
    <t>5155 W Tropicana Ave, Las Vegas, NV 89103</t>
  </si>
  <si>
    <t>1964 Las Palmas Ln, Laughlin, NV 89029</t>
  </si>
  <si>
    <t>509 Recco Ave, North Las Vegas, NV 89030</t>
  </si>
  <si>
    <t>5959 Dodd St, Las Vegas, NV 89122</t>
  </si>
  <si>
    <t>8 W Owens Ave f, North Las Vegas, NV 89030</t>
  </si>
  <si>
    <t>800 N Eastern Ave #210, Las Vegas, NV 89101</t>
  </si>
  <si>
    <t>1116 E Owens Ave, North Las Vegas, NV 89030</t>
  </si>
  <si>
    <t>1322 S Mojave Rd Space #200, Las Vegas, NV 89104</t>
  </si>
  <si>
    <t>310 S Maryland Pkwy #8, Las Vegas, NV 89101</t>
  </si>
  <si>
    <t>5612 Wheatfield Dr, Las Vegas, NV 89120</t>
  </si>
  <si>
    <t>2836 Beaconfalls Way, Las Vegas, NV 89142</t>
  </si>
  <si>
    <t>435 E Van Wagenen St #402, Henderson, NV 89015</t>
  </si>
  <si>
    <t>928 Las Vegas Blvd S #145, Las Vegas, NV 89101</t>
  </si>
  <si>
    <t>6530 Annie Oakley Dr #3221, Henderson, NV 89014</t>
  </si>
  <si>
    <t>1967 Wagonwheel Ave, Las Vegas, NV 89119</t>
  </si>
  <si>
    <t>3468 Quadrel St, Las Vegas, NV 89129</t>
  </si>
  <si>
    <t>6436 Tanager Way, Las Vegas, NV 89103</t>
  </si>
  <si>
    <t>3842 Hayward Field Rd, Las Vegas, NV 89115</t>
  </si>
  <si>
    <t>3095 La Barca Ln, Las Vegas, NV 89122</t>
  </si>
  <si>
    <t>6201 E Lake Mead Blvd, Las Vegas, NV 89156</t>
  </si>
  <si>
    <t>3100 N Tenaya Wy, Las Vegas, NV 89128</t>
  </si>
  <si>
    <t>Sunrise Manor, NV 89110</t>
  </si>
  <si>
    <t>4417 De Forest St, Las Vegas, NV 89103</t>
  </si>
  <si>
    <t>6434 Mayfair Park St, Las Vegas, NV 89166</t>
  </si>
  <si>
    <t>1701 E Fremont St, Las Vegas, NV 89101</t>
  </si>
  <si>
    <t>35 W Owens Ave, North Las Vegas, NV 89030</t>
  </si>
  <si>
    <t>4121 Fortune Ave, Las Vegas, NV 89107</t>
  </si>
  <si>
    <t>3892 Palos Verdes St, Las Vegas, NV 89119</t>
  </si>
  <si>
    <t>200 N Main St, Las Vegas, NV 89101</t>
  </si>
  <si>
    <t>1101 E Bonanza Rd, Las Vegas, NV 89101</t>
  </si>
  <si>
    <t>Spring Valley, NV 89117</t>
  </si>
  <si>
    <t>2930 Las Vegas Blvd S, Las Vegas, NV 89109</t>
  </si>
  <si>
    <t>3255 Longford Way, Las Vegas, NV 89121</t>
  </si>
  <si>
    <t>23 Winley Chase Ave, North Las Vegas, NV 89032</t>
  </si>
  <si>
    <t>500 S Rancho Dr, Las Vegas, NV 89106</t>
  </si>
  <si>
    <t>2813 Belmont Dr, Henderson, NV 89074</t>
  </si>
  <si>
    <t>1740 E Fremont St, Las Vegas, NV 89101</t>
  </si>
  <si>
    <t>3300 E Flamingo Rd, Las Vegas, NV 89121</t>
  </si>
  <si>
    <t>4379 Las Vegas Blvd N, Las Vegas, NV 89115</t>
  </si>
  <si>
    <t>Parking lot, 2985 E Sahara Ave, Las Vegas, NV 89104</t>
  </si>
  <si>
    <t>3530 E Routt Way, Pahrump, NV 89061</t>
  </si>
  <si>
    <t>4476 Avondale Ave, Las Vegas, NV 89121</t>
  </si>
  <si>
    <t>5500 S Mountain Vista St #1028, Las Vegas, NV 89120</t>
  </si>
  <si>
    <t>3535 Cambridge St, Las Vegas, NV 89169</t>
  </si>
  <si>
    <t>1300 Dressen Ave, Las Vegas, NV 89123</t>
  </si>
  <si>
    <t>3921 Mary Lou St, Pahrump, NV 89061</t>
  </si>
  <si>
    <t>6509 Grand Oaks Dr, Las Vegas, NV 89156</t>
  </si>
  <si>
    <t>2800 Betty Ln, Las Vegas, NV 89156</t>
  </si>
  <si>
    <t>4121 E Ogden Ave, Las Vegas, NV 89110</t>
  </si>
  <si>
    <t>4355 San Cascina St, Las Vegas, NV 89135</t>
  </si>
  <si>
    <t>1040 Canosa Ave, Las Vegas, NV 89104</t>
  </si>
  <si>
    <t>2300 Flaming Gorge St, Las Vegas, NV 89156</t>
  </si>
  <si>
    <t>2421 Losee Rd, North Las Vegas, NV 89030</t>
  </si>
  <si>
    <t>4110 S Maryland Pkwy, Las Vegas, NV 89119</t>
  </si>
  <si>
    <t>2011 E Lake Mead Blvd, North Las Vegas, NV 89030</t>
  </si>
  <si>
    <t>2900 Stewart Ave, Las Vegas, NV 89101</t>
  </si>
  <si>
    <t>Martin Luther King Skatepark, 5439 E Carey Ave, Las Vegas, NV 89156</t>
  </si>
  <si>
    <t>2245 N Decatur Blvd, Las Vegas, NV 89108</t>
  </si>
  <si>
    <t>2104 Isabelle Ave, Las Vegas, NV 89101</t>
  </si>
  <si>
    <t>2319 Ellis St, North Las Vegas, NV 89030</t>
  </si>
  <si>
    <t>3750 E Bonanza Rd, Las Vegas, NV 89110</t>
  </si>
  <si>
    <t>3620 Lincoln Rd, Las Vegas, NV 89115</t>
  </si>
  <si>
    <t>Sunrise Manor, NV 89104</t>
  </si>
  <si>
    <t>4592 Laguna Vista St, Las Vegas, NV 89147</t>
  </si>
  <si>
    <t>220 Pacific Ave, Henderson, NV 89015</t>
  </si>
  <si>
    <t>4160 E Sahara Ave, Las Vegas, NV 89104</t>
  </si>
  <si>
    <t>400 S 1st St, Las Vegas, NV 89101</t>
  </si>
  <si>
    <t>4900 Linda Ave, Las Vegas, NV 89121</t>
  </si>
  <si>
    <t>Paradise, NV 89109</t>
  </si>
  <si>
    <t>1001 E Sunset Rd, Las Vegas, NV 89199</t>
  </si>
  <si>
    <t>6016 Boulder Hwy, Las Vegas, NV 89122</t>
  </si>
  <si>
    <t>10012 W Flamingo Rd, Las Vegas, NV 89147</t>
  </si>
  <si>
    <t>Summerlin South, NV 89135</t>
  </si>
  <si>
    <t>113 N 4th St, Las Vegas, NV 89101</t>
  </si>
  <si>
    <t>235 S Eastern Ave, Las Vegas, NV 89101</t>
  </si>
  <si>
    <t>1531 S Las Vegas Blvd, Las Vegas, NV 89104</t>
  </si>
  <si>
    <t>2585 E Flamingo Rd, Las Vegas, NV 89121</t>
  </si>
  <si>
    <t>1501 Las Vegas Blvd N, Las Vegas, NV 89101</t>
  </si>
  <si>
    <t>3642 Boulder Hwy, Las Vegas, NV 89121</t>
  </si>
  <si>
    <t>5111 Boulder Hwy, Las Vegas, NV 89122</t>
  </si>
  <si>
    <t>5701 Missouri Ave, Las Vegas, NV 89122</t>
  </si>
  <si>
    <t>3333 Al Davis Way, Las Vegas, NV 89118</t>
  </si>
  <si>
    <t>3191 N Nellis Blvd, Las Vegas, NV 89115</t>
  </si>
  <si>
    <t>3131 S Las Vegas Blvd, Las Vegas, NV 89109</t>
  </si>
  <si>
    <t>2200 Tam Dr, Las Vegas, NV 89102</t>
  </si>
  <si>
    <t>4900 E Lana Dr, Las Vegas, NV 89121</t>
  </si>
  <si>
    <t>6001 W Cheyenne Ave, Las Vegas, NV 89108</t>
  </si>
  <si>
    <t>3725 W Russell Rd, Las Vegas, NV 89118</t>
  </si>
  <si>
    <t>1270 Burnham Ave, Las Vegas, NV 89104</t>
  </si>
  <si>
    <t>Enterprise, NV 89178</t>
  </si>
  <si>
    <t>1613 Ardmore St, Las Vegas, NV 89104</t>
  </si>
  <si>
    <t>4910 S Mojave Rd, Las Vegas, NV 89121</t>
  </si>
  <si>
    <t>1502 N Main St, Las Vegas, NV 89101</t>
  </si>
  <si>
    <t>2650 Sherwood St #12, Las Vegas, NV 89109</t>
  </si>
  <si>
    <t>1921 Garnet Gable Ave, Las Vegas, NV 89106</t>
  </si>
  <si>
    <t>460 Rexford Dr, Henderson, NV 89011</t>
  </si>
  <si>
    <t>5400 S Rainbow Blvd, Las Vegas, NV 89118</t>
  </si>
  <si>
    <t>523 E Oakey Blvd, Las Vegas, NV 89104</t>
  </si>
  <si>
    <t>2020 N Rainbow Blvd, Las Vegas, NV 89108</t>
  </si>
  <si>
    <t>2504 Sunrise St, Las Vegas, NV 89101</t>
  </si>
  <si>
    <t>1013 S 3rd St, Las Vegas, NV 89101</t>
  </si>
  <si>
    <t>1077 E Sahara Ave, Las Vegas, NV 89104</t>
  </si>
  <si>
    <t>1310 W Owens Ave, Las Vegas, NV 89106</t>
  </si>
  <si>
    <t>480 W Bonanza Rd, Las Vegas, NV 89106</t>
  </si>
  <si>
    <t>1650 S Casino Dr, Laughlin, NV 89029</t>
  </si>
  <si>
    <t>3084 S Pecos Rd, Las Vegas, NV 89121</t>
  </si>
  <si>
    <t>Paradise, NV 89119</t>
  </si>
  <si>
    <t>7180 Dean Martin Dr, Las Vegas, NV 89118</t>
  </si>
  <si>
    <t>1420 Tree Line Dr, Las Vegas, NV 89142</t>
  </si>
  <si>
    <t>121 Wildshire Way, Las Vegas, NV 89107</t>
  </si>
  <si>
    <t>8600 W Charleston Blvd, Las Vegas, NV 89117</t>
  </si>
  <si>
    <t>2112 Tam Dr, Las Vegas, NV 89102</t>
  </si>
  <si>
    <t>2100 E St Louis Ave, Las Vegas, NV 89104</t>
  </si>
  <si>
    <t>Las Vegas, NV 89128</t>
  </si>
  <si>
    <t>2001 Las Vegas Blvd N, North Las Vegas, NV 89030</t>
  </si>
  <si>
    <t>6900 N Pecos Rd, North Las Vegas, NV 89086</t>
  </si>
  <si>
    <t>3540 E Lake Mead Blvd, North Las Vegas, NV 89030</t>
  </si>
  <si>
    <t>2421 Stewart Ave, Las Vegas, NV 89101</t>
  </si>
  <si>
    <t>Sunrise Manor, NV 89115</t>
  </si>
  <si>
    <t>Las Vegas, NV 89134</t>
  </si>
  <si>
    <t>165 E Tropicana Ave, Las Vegas, NV 89109</t>
  </si>
  <si>
    <t>4550 W Sahara Ave, Las Vegas, NV 89102</t>
  </si>
  <si>
    <t>502 Fragrant Orchard St, Henderson, NV 89015</t>
  </si>
  <si>
    <t>2033 E Fremont St, Las Vegas, NV 89101</t>
  </si>
  <si>
    <t>1808 E Fremont St #15, Las Vegas, NV 89101</t>
  </si>
  <si>
    <t>1873 Las Vegas Blvd N #109, North Las Vegas, NV 89030</t>
  </si>
  <si>
    <t>2332 Las Vegas Blvd N, North Las Vegas, NV 89030</t>
  </si>
  <si>
    <t>3254 Andrea St, Las Vegas, NV 89102</t>
  </si>
  <si>
    <t>5504 Berchmans Ave, Las Vegas, NV 89122</t>
  </si>
  <si>
    <t>3178 Paintedhills Ave, Las Vegas, NV 89120</t>
  </si>
  <si>
    <t>1936 Lawry Ave, North Las Vegas, NV 89032</t>
  </si>
  <si>
    <t>1904 Holmes St, Las Vegas, NV 89106</t>
  </si>
  <si>
    <t>6043 Carlsbad Ave, Las Vegas, NV 89156</t>
  </si>
  <si>
    <t>Parking lot, 5001 N Rainbow Blvd, Las Vegas, NV 89130</t>
  </si>
  <si>
    <t>6255 W Tropicana Ave 42 506, Las Vegas, NV 89103</t>
  </si>
  <si>
    <t>2125 Elm Ave, Las Vegas, NV 89101</t>
  </si>
  <si>
    <t>6811 Fallona Ave, Las Vegas, NV 89156</t>
  </si>
  <si>
    <t>4733 Amazing View St, Las Vegas, NV 89129</t>
  </si>
  <si>
    <t>219 N 14th St, Las Vegas, NV 89101</t>
  </si>
  <si>
    <t>3447 Marion Dr, Las Vegas, NV 89115</t>
  </si>
  <si>
    <t>Las Vegas, NV 89110</t>
  </si>
  <si>
    <t>3121 Karen Ave, Las Vegas, NV 89121</t>
  </si>
  <si>
    <t>Henderson, NV 89011</t>
  </si>
  <si>
    <t>1380 E Silverado Ranch Blvd, Las Vegas, NV 89123</t>
  </si>
  <si>
    <t>3674 Hauck St, Las Vegas, NV 89103</t>
  </si>
  <si>
    <t>1804 W Bonanza Rd, Las Vegas, NV 89106</t>
  </si>
  <si>
    <t>5709 Whale Rock St, Las Vegas, NV 89149</t>
  </si>
  <si>
    <t>4283 Sunrise Flats St, Las Vegas, NV 89135</t>
  </si>
  <si>
    <t>122 E Clark Ave, Las Vegas, NV 89101</t>
  </si>
  <si>
    <t>2850 Desert Hills Cir, Pahrump, NV 89048</t>
  </si>
  <si>
    <t>1355 S Mojave Rd, Las Vegas, NV 89104</t>
  </si>
  <si>
    <t>North Las Vegas, NV 89031</t>
  </si>
  <si>
    <t>1301 Western Ave, Las Vegas, NV 89102</t>
  </si>
  <si>
    <t>7729 Boswell Ct, Las Vegas, NV 89139</t>
  </si>
  <si>
    <t>26 N 28th St, Las Vegas, NV 89101</t>
  </si>
  <si>
    <t>650 E Owens Ave, North Las Vegas, NV 89030</t>
  </si>
  <si>
    <t>1700 Poplar Ave, Las Vegas, NV 89101</t>
  </si>
  <si>
    <t>4800 Kisha Ave, Pahrump, NV 89061</t>
  </si>
  <si>
    <t>750 E Colton Ave, North Las Vegas, NV 89030</t>
  </si>
  <si>
    <t>3094 Diamond Ave, Sandy Valley, NV 89019</t>
  </si>
  <si>
    <t>2208 Santa Rita Dr, Las Vegas, NV 89104</t>
  </si>
  <si>
    <t>2530 E Heather Ct, North Las Vegas, NV 89030</t>
  </si>
  <si>
    <t>2545 Swan Ln, Las Vegas, NV 89121</t>
  </si>
  <si>
    <t>1525 N Gateway Rd, Las Vegas, NV 89110</t>
  </si>
  <si>
    <t>1021 E Paradise Hills Dr, Henderson, NV 89002</t>
  </si>
  <si>
    <t>2975 S Nellis Blvd, Las Vegas, NV 89121</t>
  </si>
  <si>
    <t>120 Pico Way, Las Vegas, NV 89101</t>
  </si>
  <si>
    <t>3995 E Charleston Blvd, Las Vegas, NV 89104</t>
  </si>
  <si>
    <t>401 Sunburst Dr, Henderson, NV 89002</t>
  </si>
  <si>
    <t>4712 Red Rose Ln, Las Vegas, NV 89130</t>
  </si>
  <si>
    <t>8123 Fairfield Cres Ct, Las Vegas, NV 89113</t>
  </si>
  <si>
    <t>3640 Las Vegas Blvd N #29, Las Vegas, NV 89115</t>
  </si>
  <si>
    <t>579 Lake Huron Ln, Boulder City, NV 89005</t>
  </si>
  <si>
    <t>1780 Clearwater Canyon Dr, Henderson, NV 89012</t>
  </si>
  <si>
    <t>2017 Pelican Sky Beach Ave, North Las Vegas, NV 89081</t>
  </si>
  <si>
    <t>1006 Ripplestone Ave, North Las Vegas, NV 89081</t>
  </si>
  <si>
    <t>770 E Sahara Ave, Las Vegas, NV 89104</t>
  </si>
  <si>
    <t>2121 Peyton Dr, Las Vegas, NV 89104</t>
  </si>
  <si>
    <t>1903 Stevens St, Las Vegas, NV 89115</t>
  </si>
  <si>
    <t>4305 E Sahara Ave, Las Vegas, NV 89104</t>
  </si>
  <si>
    <t>Parking lot, 2851 W Washington Ave, Las Vegas, NV 89107</t>
  </si>
  <si>
    <t>Las Vegas, NV 89149</t>
  </si>
  <si>
    <t>914 W McWilliams Ave, Las Vegas, NV 89106</t>
  </si>
  <si>
    <t>2000 Wellness Wy, Las Vegas, NV 89106</t>
  </si>
  <si>
    <t>1204 Mews Ln, Las Vegas, NV 89101</t>
  </si>
  <si>
    <t>3555 S Stober Blvd, Las Vegas, NV 89103</t>
  </si>
  <si>
    <t>60 N 25th St, Las Vegas, NV 89101</t>
  </si>
  <si>
    <t>1786 Autumn Rust Dr, Las Vegas, NV 89119</t>
  </si>
  <si>
    <t>175 E Tropicana Ave, Las Vegas, NV 89109</t>
  </si>
  <si>
    <t>486 Calcaterra Cir, Las Vegas, NV 89119</t>
  </si>
  <si>
    <t>1600 E Rochelle Ave, Las Vegas, NV 89119</t>
  </si>
  <si>
    <t>955 White Dr, Las Vegas, NV 89119</t>
  </si>
  <si>
    <t>1911 E Desert Inn Rd, Las Vegas, NV 89169</t>
  </si>
  <si>
    <t>5238 Vegas Dr, Las Vegas, NV 89108</t>
  </si>
  <si>
    <t>6671 S Las Vegas Blvd #320, Las Vegas, NV 89119</t>
  </si>
  <si>
    <t>8635 W Sahara Ave # 440, Las Vegas, NV 89117</t>
  </si>
  <si>
    <t>531 E Sahara Ave, Las Vegas, NV 89104</t>
  </si>
  <si>
    <t>2465 Kiel Way, North Las Vegas, NV 89030</t>
  </si>
  <si>
    <t>1429 S Commerce St, Las Vegas, NV 89102</t>
  </si>
  <si>
    <t>460 N Sandhill Rd, Las Vegas, NV 89110</t>
  </si>
  <si>
    <t>2512 E Fremont St, Las Vegas, NV 89104</t>
  </si>
  <si>
    <t>Parking lot, 2490 E Desert Inn Rd, Las Vegas, NV 89121</t>
  </si>
  <si>
    <t>Nevada 89124</t>
  </si>
  <si>
    <t>300 Las Vegas Blvd N, Las Vegas, NV 89101</t>
  </si>
  <si>
    <t>1650 Community College Dr, Las Vegas, NV 89146</t>
  </si>
  <si>
    <t>3896 S University Center Dr, Las Vegas, NV 89119</t>
  </si>
  <si>
    <t>2627 S Van Patten St, Las Vegas, NV 89109</t>
  </si>
  <si>
    <t>1531 Western Ave, Las Vegas, NV 89102</t>
  </si>
  <si>
    <t>3048 E Sunset Rd, Las Vegas, NV 89120</t>
  </si>
  <si>
    <t>300 Las Vegas Blvd S, Las Vegas, NV 89101</t>
  </si>
  <si>
    <t>131 N 9th St, Las Vegas, NV 89101</t>
  </si>
  <si>
    <t>4601 E Cheyenne Ave #109, Las Vegas, NV 89115</t>
  </si>
  <si>
    <t>620 E Twain Ave, Las Vegas, NV 89169</t>
  </si>
  <si>
    <t>6100 Sonoma Cir, Las Vegas, NV 89107</t>
  </si>
  <si>
    <t>4111 Boulder Hwy, Las Vegas, NV 89121</t>
  </si>
  <si>
    <t>3865 E Charleston Blvd, Las Vegas, NV 89104</t>
  </si>
  <si>
    <t>4711 Boulder Hwy d 4, Las Vegas, NV 89121</t>
  </si>
  <si>
    <t>890 Las Vegas Blvd N, Las Vegas, NV 89101</t>
  </si>
  <si>
    <t>2575 E Lake Mead Blvd, North Las Vegas, NV 89030</t>
  </si>
  <si>
    <t>1640 Alta Dr, Las Vegas, NV 89106</t>
  </si>
  <si>
    <t>2882 S Maryland Pkwy, Las Vegas, NV 89109</t>
  </si>
  <si>
    <t>5990 W Patrick Ln, Las Vegas, NV 89118</t>
  </si>
  <si>
    <t>221 W Wyoming Ave, Las Vegas, NV 89102</t>
  </si>
  <si>
    <t>3400 Boulder Hwy, Las Vegas, NV 89121</t>
  </si>
  <si>
    <t>937 N Highside Ct, Las Vegas, NV 89110</t>
  </si>
  <si>
    <t>520 S Boulder Hwy, Henderson, NV 89015</t>
  </si>
  <si>
    <t>5576 Boulder Hwy, Las Vegas, NV 89122</t>
  </si>
  <si>
    <t>33 N 21st St, Las Vegas, NV 89101</t>
  </si>
  <si>
    <t>4055 S Fort Apache Rd, Las Vegas, NV 89147</t>
  </si>
  <si>
    <t>5428 Funks Grove Ln, Las Vegas, NV 89122</t>
  </si>
  <si>
    <t>4340 W Warm Springs Rd, Las Vegas, NV 89118</t>
  </si>
  <si>
    <t>2655 S Maryland Pkwy, Las Vegas, NV 89109</t>
  </si>
  <si>
    <t>2655 W Lake Mead Blvd, North Las Vegas, NV 89032</t>
  </si>
  <si>
    <t>3186 S Maryland Pkwy, Las Vegas, NV 89169</t>
  </si>
  <si>
    <t>4623 Madreperla St, Las Vegas, NV 89121</t>
  </si>
  <si>
    <t>2160 Pueblo Cir, Las Vegas, NV 89169</t>
  </si>
  <si>
    <t>4445 E Charleston Blvd, Las Vegas, NV 89104</t>
  </si>
  <si>
    <t>1600 N Jones Blvd, Las Vegas, NV 89108</t>
  </si>
  <si>
    <t>4786 Powell Ave, Las Vegas, NV 89121</t>
  </si>
  <si>
    <t>31700 S Las Vegas Blvd, Primm, NV 89019</t>
  </si>
  <si>
    <t>3815 E Craig Rd, North Las Vegas, NV 89030</t>
  </si>
  <si>
    <t>2601 E Sunset Rd, Las Vegas, NV 89120</t>
  </si>
  <si>
    <t>2880 S Las Vegas Blvd, Las Vegas, NV 89109</t>
  </si>
  <si>
    <t>4611 Mitchell St, North Las Vegas, NV 89081</t>
  </si>
  <si>
    <t>721 S Casino Center Blvd, Las Vegas, NV 89101</t>
  </si>
  <si>
    <t>Sunrise Manor, NV 89142</t>
  </si>
  <si>
    <t>West Cheyenne Plaza, 7350 W Cheyenne Ave, Las Vegas, NV 89129</t>
  </si>
  <si>
    <t>2320 Western Ave, Las Vegas, NV 89102</t>
  </si>
  <si>
    <t>2401 North St, North Las Vegas, NV 89030</t>
  </si>
  <si>
    <t>400 S M.L.K. Blvd, Las Vegas, NV 89106</t>
  </si>
  <si>
    <t>715 Harrison Ave, Las Vegas, NV 89106</t>
  </si>
  <si>
    <t>Paradise, NV 89120</t>
  </si>
  <si>
    <t>3201 S Mojave Rd, Las Vegas, NV 89121</t>
  </si>
  <si>
    <t>1208 S Las Vegas Blvd, Las Vegas, NV 89104</t>
  </si>
  <si>
    <t>107 S Las Vegas Blvd, Las Vegas, NV 89101</t>
  </si>
  <si>
    <t>4441 W Charleston Blvd, Las Vegas, NV 89102</t>
  </si>
  <si>
    <t>Las Vegas, NV 89102</t>
  </si>
  <si>
    <t>1521 Franklin Ave, Las Vegas, NV 89104</t>
  </si>
  <si>
    <t>2460 W Warm Springs Rd, Las Vegas, NV 89119</t>
  </si>
  <si>
    <t>8597 W Sahara Ave, Las Vegas, NV 89117</t>
  </si>
  <si>
    <t>5045 Harrison Dr, Las Vegas, NV 89120</t>
  </si>
  <si>
    <t>3290 S Nellis Blvd, Las Vegas, NV 89121</t>
  </si>
  <si>
    <t>3915 E Charleston Blvd, Las Vegas, NV 89104</t>
  </si>
  <si>
    <t>2112 Western Ave, Las Vegas, NV 89102</t>
  </si>
  <si>
    <t>5681 Boulder Hwy, Las Vegas, NV 89122</t>
  </si>
  <si>
    <t>Las Vegas, NV 89115</t>
  </si>
  <si>
    <t>2613 E Tonopah Ave, North Las Vegas, NV 89030</t>
  </si>
  <si>
    <t>6350 Boulder Hwy, Las Vegas, NV 89122</t>
  </si>
  <si>
    <t>1723 E Charleston Blvd, Las Vegas, NV 89104</t>
  </si>
  <si>
    <t>2400 N Webster St, North Las Vegas, NV 89030</t>
  </si>
  <si>
    <t>3215 S Lamb Blvd, Las Vegas, NV 89121</t>
  </si>
  <si>
    <t>5881 E Charleston Blvd, Las Vegas, NV 89142</t>
  </si>
  <si>
    <t>4380 Donovan Way, North Las Vegas, NV 89030</t>
  </si>
  <si>
    <t>2437 Las Vegas Blvd N, North Las Vegas, NV 89030</t>
  </si>
  <si>
    <t>5140 S Maryland Pkwy, Las Vegas, NV 89119</t>
  </si>
  <si>
    <t>25 E Horizon Ridge Pkwy, Henderson, NV 89002</t>
  </si>
  <si>
    <t>2810 W Charleston Blvd, Las Vegas, NV 89102</t>
  </si>
  <si>
    <t>5160 Escondido St, Las Vegas, NV 89119</t>
  </si>
  <si>
    <t>555 Maryland Pkwy, Las Vegas, NV 89101</t>
  </si>
  <si>
    <t>10500 Clark R. Petersen Blvd, Nellis AFB, NV 89191</t>
  </si>
  <si>
    <t>3489 E Owens Ave, North Las Vegas, NV 89030</t>
  </si>
  <si>
    <t>4700 E Harris Ave, Las Vegas, NV 89110</t>
  </si>
  <si>
    <t>5130 E Charleston Blvd, Las Vegas, NV 89142</t>
  </si>
  <si>
    <t>4800 Spring Mountain Rd, Las Vegas, NV 89102</t>
  </si>
  <si>
    <t>69 N 30th St, Las Vegas, NV 89101</t>
  </si>
  <si>
    <t>1500 Las Vegas Blvd N, Las Vegas, NV 89101</t>
  </si>
  <si>
    <t>1021 E Charleston Blvd, Las Vegas, NV 89104</t>
  </si>
  <si>
    <t>315 S Casino Center Blvd, Las Vegas, NV 89101</t>
  </si>
  <si>
    <t>1892 N Gateway Rd, Las Vegas, NV 89115</t>
  </si>
  <si>
    <t>5007 Tamarus St, Las Vegas, NV 89119</t>
  </si>
  <si>
    <t>6855 Bermuda Rd, Las Vegas, NV 89119</t>
  </si>
  <si>
    <t>2876 Playa Del Rey St, Las Vegas, NV 89169</t>
  </si>
  <si>
    <t>Paradise, NV 89103</t>
  </si>
  <si>
    <t>Henderson, NV 89015</t>
  </si>
  <si>
    <t>3130 McLeod Dr, Las Vegas, NV 89121</t>
  </si>
  <si>
    <t>1675 S Industrial Rd, Las Vegas, NV 89102</t>
  </si>
  <si>
    <t>1900 S Casino Dr, Laughlin, NV 89029</t>
  </si>
  <si>
    <t>3930 S University Center Dr, Las Vegas, NV 89119</t>
  </si>
  <si>
    <t>500 E Mesquite Ave, Las Vegas, NV 89101</t>
  </si>
  <si>
    <t>2029 E Charleston Blvd, Las Vegas, NV 89104</t>
  </si>
  <si>
    <t>1343 E Silverado Ranch Blvd, Las Vegas, NV 89123</t>
  </si>
  <si>
    <t>300 W Bonanza Rd, Las Vegas, NV 89106</t>
  </si>
  <si>
    <t>4450 Spring Mountain Rd, Las Vegas, NV 89102</t>
  </si>
  <si>
    <t>217 W Chicago Ave, Las Vegas, NV 89102</t>
  </si>
  <si>
    <t>3820 W Lake Mead Blvd, North Las Vegas, NV 89032</t>
  </si>
  <si>
    <t>7589-7599, NV-147, Las Vegas, NV 89156</t>
  </si>
  <si>
    <t>Smith’s #305, 3602 E Bonanza Rd, Las Vegas, NV 89110</t>
  </si>
  <si>
    <t>500 N 15th St, Las Vegas, NV 89101</t>
  </si>
  <si>
    <t>1660 Duneville St, Las Vegas, NV 89146</t>
  </si>
  <si>
    <t>2424 Western Ave, Las Vegas, NV 89102</t>
  </si>
  <si>
    <t>1309 S Commerce St, Las Vegas, NV 89102</t>
  </si>
  <si>
    <t>10777 W Twain Ave, Las Vegas, NV 89135</t>
  </si>
  <si>
    <t>North Las Vegas, NV 89032</t>
  </si>
  <si>
    <t>2301 Sunrise Ave, Las Vegas, NV 89101</t>
  </si>
  <si>
    <t>9300 W Sunset Rd, Las Vegas, NV 89148</t>
  </si>
  <si>
    <t>4505 W Charleston Blvd, Las Vegas, NV 89102</t>
  </si>
  <si>
    <t>1023 E Fremont St, Las Vegas, NV 89101</t>
  </si>
  <si>
    <t>5269 S Eastern Ave, Las Vegas, NV 89119</t>
  </si>
  <si>
    <t>200 E Flamingo Rd, Las Vegas, NV 89169</t>
  </si>
  <si>
    <t>Mesquite, NV 89027</t>
  </si>
  <si>
    <t>3100 E Sunset Rd, Las Vegas, NV 89120</t>
  </si>
  <si>
    <t>1930 E Charleston Blvd, Las Vegas, NV 89104</t>
  </si>
  <si>
    <t>4700 Paradise Rd, Las Vegas, NV 89169</t>
  </si>
  <si>
    <t>190 E Flamingo Rd, Las Vegas, NV 89109</t>
  </si>
  <si>
    <t>1455 N Main St, Las Vegas, NV 89101</t>
  </si>
  <si>
    <t>4290 Boulder Hwy, Las Vegas, NV 89121</t>
  </si>
  <si>
    <t>Whitney, NV 89122</t>
  </si>
  <si>
    <t>212 E Owens Ave, North Las Vegas, NV 89030</t>
  </si>
  <si>
    <t>2213 Paradise Rd, Las Vegas, NV 89104</t>
  </si>
  <si>
    <t>12501 Apex Great Basin Way, Las Vegas, NV 89165</t>
  </si>
  <si>
    <t>1720 W Craig Rd, North Las Vegas, NV 89031</t>
  </si>
  <si>
    <t>1397 W Galleria Dr, Henderson, NV 89014</t>
  </si>
  <si>
    <t>100 S Boulder Hwy, Henderson, NV 89015</t>
  </si>
  <si>
    <t>3230 E Charleston Blvd, Las Vegas, NV 89101</t>
  </si>
  <si>
    <t>2500 E Lake Mead Blvd, North Las Vegas, NV 89030</t>
  </si>
  <si>
    <t>329 Las Vegas Blvd N, Las Vegas, NV 89101</t>
  </si>
  <si>
    <t>9081 S Maryland Pkwy, Las Vegas, NV 89123</t>
  </si>
  <si>
    <t>Paradise, NV 89123</t>
  </si>
  <si>
    <t>3646 Las Vegas Blvd N, Las Vegas, NV 89115</t>
  </si>
  <si>
    <t>1400 N Decatur Blvd, Las Vegas, NV 89108</t>
  </si>
  <si>
    <t>936 N Main St, Las Vegas, NV 89101</t>
  </si>
  <si>
    <t>921 S Las Vegas Blvd, Las Vegas, NV 89101</t>
  </si>
  <si>
    <t>2909 W Washington Ave, Las Vegas, NV 89107</t>
  </si>
  <si>
    <t>Las Vegas, NV 89107</t>
  </si>
  <si>
    <t>Boulder City, NV 89005</t>
  </si>
  <si>
    <t>10000 S Eastern Ave, Henderson, NV 89052</t>
  </si>
  <si>
    <t>4080 Paradise Rd, Las Vegas, NV 89119</t>
  </si>
  <si>
    <t>1900 E Flamingo Rd, Las Vegas, NV 89119</t>
  </si>
  <si>
    <t>2935 Coleman St, North Las Vegas, NV 89032</t>
  </si>
  <si>
    <t>1485 E Flamingo Rd, Las Vegas, NV 89119</t>
  </si>
  <si>
    <t>4600 W Charleston Blvd, Las Vegas, NV 89102</t>
  </si>
  <si>
    <t>2885 E Charleston Blvd, Las Vegas, NV 89104</t>
  </si>
  <si>
    <t>1180 N Town Center Dr, Las Vegas, NV 89144</t>
  </si>
  <si>
    <t>1325 E Flamingo Rd, Las Vegas, NV 89119</t>
  </si>
  <si>
    <t>5483 Club House Dr, Las Vegas, NV 89142</t>
  </si>
  <si>
    <t>400 N Major Ave, Henderson, NV 89015</t>
  </si>
  <si>
    <t>1140 E Charleston Blvd, Las Vegas, NV 89104</t>
  </si>
  <si>
    <t>Laughlin, NV 89029</t>
  </si>
  <si>
    <t>2780 S Las Vegas Blvd, Las Vegas, NV 89109</t>
  </si>
  <si>
    <t>3820 N Rainbow Blvd, Las Vegas, NV 89108</t>
  </si>
  <si>
    <t>1257 Paiute Cir, Las Vegas, NV 89106</t>
  </si>
  <si>
    <t>1131 E Tropicana Ave, Las Vegas, NV 89119</t>
  </si>
  <si>
    <t>4769 E Flamingo Rd, Las Vegas, NV 89121</t>
  </si>
  <si>
    <t>1710 E Charleston Blvd, Las Vegas, NV 89104</t>
  </si>
  <si>
    <t>5CXH+P6J, Laughlin, NV 89029</t>
  </si>
  <si>
    <t>5482 E Lake Mead Blvd, Las Vegas, NV 89156</t>
  </si>
  <si>
    <t>4240 E Craig Rd, North Las Vegas, NV 89081</t>
  </si>
  <si>
    <t>300 N Casino Center Blvd, Las Vegas, NV 89101</t>
  </si>
  <si>
    <t>7205 S Eastern Ave, Las Vegas, NV 89119</t>
  </si>
  <si>
    <t>2595 S Maryland Pkwy, Las Vegas, NV 89109</t>
  </si>
  <si>
    <t>261 Las Vegas Blvd N, Las Vegas, NV 89101</t>
  </si>
  <si>
    <t>4225 E Sahara Ave, Las Vegas, NV 89104</t>
  </si>
  <si>
    <t>2848 E Lake Mead Blvd, North Las Vegas, NV 89030</t>
  </si>
  <si>
    <t>1234 E Hacienda Ave, Las Vegas, NV 89119</t>
  </si>
  <si>
    <t>3848 Koval Ln, Las Vegas, NV 89169</t>
  </si>
  <si>
    <t>1300 S 3rd St, Las Vegas, NV 89104</t>
  </si>
  <si>
    <t>4350 N Nellis Blvd, Las Vegas, NV 89115</t>
  </si>
  <si>
    <t>1214 S 3rd St, Las Vegas, NV 89104</t>
  </si>
  <si>
    <t>3865 Las Vegas Blvd N, Las Vegas, NV 89115</t>
  </si>
  <si>
    <t>200 S Las Vegas Blvd, Las Vegas, NV 89101</t>
  </si>
  <si>
    <t>160 E Flamingo Rd, Las Vegas, NV 89109</t>
  </si>
  <si>
    <t>710 W Monroe Ave, Las Vegas, NV 89106</t>
  </si>
  <si>
    <t>5360 E El Campo Grande Ave, Las Vegas, NV 89115</t>
  </si>
  <si>
    <t>1315 S Maryland Pkwy, Las Vegas, NV 89104</t>
  </si>
  <si>
    <t>95 W Charleston Blvd, Las Vegas, NV 89102</t>
  </si>
  <si>
    <t>1200 A St, Las Vegas, NV 89106</t>
  </si>
  <si>
    <t>4640 E Flamingo Rd, Las Vegas, NV 89121</t>
  </si>
  <si>
    <t>815 E Twain Ave, Las Vegas, NV 89169</t>
  </si>
  <si>
    <t>2075 E Flamingo Rd, Las Vegas, NV 89119</t>
  </si>
  <si>
    <t>5400 Haven St, Las Vegas, NV 89119</t>
  </si>
  <si>
    <t>204 E Tonopah Ave, North Las Vegas, NV 89030</t>
  </si>
  <si>
    <t>2531 E Lake Mead Blvd, North Las Vegas, NV 89030</t>
  </si>
  <si>
    <t>4542 E Charleston Blvd, Las Vegas, NV 89104</t>
  </si>
  <si>
    <t>2545 S Eastern Ave, Las Vegas, NV 89169</t>
  </si>
  <si>
    <t>5750 N Cimarron Rd, Las Vegas, NV 89149</t>
  </si>
  <si>
    <t>Parking lot, 5048 Boulder Hwy, Las Vegas, NV 89122</t>
  </si>
  <si>
    <t>2200 S Las Vegas Blvd, Las Vegas, NV 89102</t>
  </si>
  <si>
    <t>1003 E Lake Mead Blvd, North Las Vegas, NV 89030</t>
  </si>
  <si>
    <t>5712 Missouri Ave, Las Vegas, NV 89122</t>
  </si>
  <si>
    <t>2621 E Sahara Ave, Las Vegas, NV 89104</t>
  </si>
  <si>
    <t>2260 Village Walk Dr, Henderson, NV 89052</t>
  </si>
  <si>
    <t>820 S Rancho Ln, Las Vegas, NV 89106</t>
  </si>
  <si>
    <t>1825 Lewis Ave, Las Vegas, NV 89101</t>
  </si>
  <si>
    <t>8576 W Lake Mead Blvd, Las Vegas, NV 89128</t>
  </si>
  <si>
    <t>522 E St Louis Ave, Las Vegas, NV 89104</t>
  </si>
  <si>
    <t>2655 E Deer Springs Way, North Las Vegas, NV 89086</t>
  </si>
  <si>
    <t>4910 S Maryland Pkwy, Las Vegas, NV 89119</t>
  </si>
  <si>
    <t>916 N Main St, Las Vegas, NV 89101</t>
  </si>
  <si>
    <t>2316 Valley Dr, Las Vegas, NV 89108</t>
  </si>
  <si>
    <t>2221 W Bonanza Rd d108, Las Vegas, NV 89106</t>
  </si>
  <si>
    <t>3920 Las Vegas Blvd N #121b, Las Vegas, NV 89115</t>
  </si>
  <si>
    <t>4525 Fulton Pl, Las Vegas, NV 89107</t>
  </si>
  <si>
    <t>1652 Cloister Ave, Henderson, NV 89014</t>
  </si>
  <si>
    <t>4269 Roanridge Ave, Las Vegas, NV 89120</t>
  </si>
  <si>
    <t>8505 Eddy Stone Ave, Las Vegas, NV 89117</t>
  </si>
  <si>
    <t>5101 E Twain Ave #134, Las Vegas, NV 89122</t>
  </si>
  <si>
    <t>3619 New Horizon Dr, Las Vegas, NV 89115</t>
  </si>
  <si>
    <t>538 Sparrow Gull Ct, North Las Vegas, NV 89032</t>
  </si>
  <si>
    <t>5612 Open Ct, Las Vegas, NV 89118</t>
  </si>
  <si>
    <t>2485 W Wigwam Ave, Las Vegas, NV 89123</t>
  </si>
  <si>
    <t>1744 La Cruz Dr, Henderson, NV 89014</t>
  </si>
  <si>
    <t>2836 Yukon Trail Dr, Henderson, NV 89074</t>
  </si>
  <si>
    <t>5555 Everglade St, Las Vegas, NV 89142</t>
  </si>
  <si>
    <t>129 Bloomsbury Ave, Las Vegas, NV 89123</t>
  </si>
  <si>
    <t>1712 Comstock Dr, Henderson, NV 89014</t>
  </si>
  <si>
    <t>1655 E Sahara Ave 5 2002, Las Vegas, NV 89104</t>
  </si>
  <si>
    <t>2608 Matogroso Ln, Las Vegas, NV 89121</t>
  </si>
  <si>
    <t>5335 Rod Ct, Las Vegas, NV 89122</t>
  </si>
  <si>
    <t>5166 W Desert Inn Rd, Las Vegas, NV 89146</t>
  </si>
  <si>
    <t>3660 Boulder Hwy Spc. #188, Las Vegas, NV 89121</t>
  </si>
  <si>
    <t>1213 Buehler Dr, Las Vegas, NV 89102</t>
  </si>
  <si>
    <t>2110 Los Feliz St, Las Vegas, NV 89156</t>
  </si>
  <si>
    <t>4594 Cabo Ln, Las Vegas, NV 89121</t>
  </si>
  <si>
    <t>208 Stonewood Ct, Las Vegas, NV 89107</t>
  </si>
  <si>
    <t>4637 Royal Ridge Ln #41, Las Vegas, NV 89103</t>
  </si>
  <si>
    <t>3055 Santa Margarita St, Las Vegas, NV 89146</t>
  </si>
  <si>
    <t>270 E Flamingo Rd 7 113, Las Vegas, NV 89169</t>
  </si>
  <si>
    <t>4416 Inez Dr, Las Vegas, NV 89130</t>
  </si>
  <si>
    <t>8350 W Desert Inn Rd #2043, Las Vegas, NV 89117</t>
  </si>
  <si>
    <t>1600 Ferrell St b, Las Vegas, NV 89106</t>
  </si>
  <si>
    <t>11086 Mt George St, Las Vegas, NV 89179</t>
  </si>
  <si>
    <t>1890 W Anns Rd, Pahrump, NV 89048</t>
  </si>
  <si>
    <t>1481 Palm St, Las Vegas, NV 89104</t>
  </si>
  <si>
    <t>3011 Liberty Cir S, Las Vegas, NV 89121</t>
  </si>
  <si>
    <t>3076 Gavilan Ln, Las Vegas, NV 89122</t>
  </si>
  <si>
    <t>212 Hinkle St, Las Vegas, NV 89107</t>
  </si>
  <si>
    <t>6930 Paradise Rd #2050, Las Vegas, NV 89119</t>
  </si>
  <si>
    <t>3900 Perry St b 216, Las Vegas, NV 89122</t>
  </si>
  <si>
    <t>1400 S Valley View Blvd #2006, Las Vegas, NV 89102</t>
  </si>
  <si>
    <t>2815 Sorrel St, Las Vegas, NV 89146</t>
  </si>
  <si>
    <t>5303 E Twain Ave, Las Vegas, NV 89122</t>
  </si>
  <si>
    <t>2050 S Magic Way Spc. 123, Henderson, NV 89002</t>
  </si>
  <si>
    <t>3329 Flinthead Dr, North Las Vegas, NV 89084</t>
  </si>
  <si>
    <t>1210 S 10th St, Las Vegas, NV 89104</t>
  </si>
  <si>
    <t>812 E Mesquite Ave, Las Vegas, NV 89101</t>
  </si>
  <si>
    <t>2225 Merano Ct, Las Vegas, NV 89123</t>
  </si>
  <si>
    <t>6741 Solaron Ave, Las Vegas, NV 89156</t>
  </si>
  <si>
    <t>1650 S Casino Dr Spc #270, Laughlin, NV 89029</t>
  </si>
  <si>
    <t>3005 Treasure Island Rd, Las Vegas, NV 89128</t>
  </si>
  <si>
    <t>45 Maleena Mesa St 9 924, Henderson, NV 89074</t>
  </si>
  <si>
    <t>1438 E Auburn Valley Ave, Las Vegas, NV 89123</t>
  </si>
  <si>
    <t>6500 W Charleston Blvd 11 95, Las Vegas, NV 89146</t>
  </si>
  <si>
    <t>530 Osprey St, Mesquite, NV 89027</t>
  </si>
  <si>
    <t>328 N 11th St, Las Vegas, NV 89101</t>
  </si>
  <si>
    <t>3957 S Torrey Pines Dr, Las Vegas, NV 89103</t>
  </si>
  <si>
    <t>398 Viewmont Dr, Henderson, NV 89015</t>
  </si>
  <si>
    <t>2240 Village Walk Dr, Henderson, NV 89052</t>
  </si>
  <si>
    <t>1180 Lava Ave, Sandy Valley, NV 89019</t>
  </si>
  <si>
    <t>291 Lido Dr, Henderson, NV 89015</t>
  </si>
  <si>
    <t>3751 S Nellis Blvd, Las Vegas, NV 89121</t>
  </si>
  <si>
    <t>1144 Kabuki Ave, Henderson, NV 89074</t>
  </si>
  <si>
    <t>5300 E Craig Rd 1 412, Las Vegas, NV 89115</t>
  </si>
  <si>
    <t>4316 Veranda Hill Ct, North Las Vegas, NV 89031</t>
  </si>
  <si>
    <t>13568 Racel St, Las Vegas, NV 89131</t>
  </si>
  <si>
    <t>2240 Highpointe Dr, Laughlin, NV 89029</t>
  </si>
  <si>
    <t>1714 Santa Paula Dr, Las Vegas, NV 89104</t>
  </si>
  <si>
    <t>2586 S Van Patten St, Las Vegas, NV 89109</t>
  </si>
  <si>
    <t>2200 Palm St Spc 7, Las Vegas, NV 89104</t>
  </si>
  <si>
    <t>4250 Karen Ave, Las Vegas, NV 89121</t>
  </si>
  <si>
    <t>200 N 28th St, Las Vegas, NV 89101</t>
  </si>
  <si>
    <t>300 W Sahara Ave, Las Vegas, NV 89102</t>
  </si>
  <si>
    <t>547 E Sahara Ave, Las Vegas, NV 89104</t>
  </si>
  <si>
    <t>5035 E Russell Rd, Las Vegas, NV 89122</t>
  </si>
  <si>
    <t>2000 Las Vegas Blvd S, Las Vegas, NV 89104</t>
  </si>
  <si>
    <t>4520 Arville St, Las Vegas, NV 89103</t>
  </si>
  <si>
    <t>Henderson, NV 89002</t>
  </si>
  <si>
    <t>2920 Losee Rd, North Las Vegas, NV 89030</t>
  </si>
  <si>
    <t>Paradise, NV 89074</t>
  </si>
  <si>
    <t>6025 S Pecos Rd, Las Vegas, NV 89120</t>
  </si>
  <si>
    <t>6710 E N Belt Rd, Las Vegas, NV 89165</t>
  </si>
  <si>
    <t>3616 Las Vegas Blvd N, Las Vegas, NV 89115</t>
  </si>
  <si>
    <t>5191 W Pioneer Ave, Las Vegas, NV 89146</t>
  </si>
  <si>
    <t>1251 S Decatur Blvd, Las Vegas, NV 89102</t>
  </si>
  <si>
    <t>2813 Cacto Ct, Henderson, NV 89074</t>
  </si>
  <si>
    <t>8975 Topaz St, Henderson, NV 89074</t>
  </si>
  <si>
    <t>826 Hart Ave, Las Vegas, NV 89106</t>
  </si>
  <si>
    <t>4055 S University Center Dr #210, Las Vegas, NV 89119</t>
  </si>
  <si>
    <t>2901 E Sunset Rd, Las Vegas, NV 89120</t>
  </si>
  <si>
    <t>3333 Losee Rd, North Las Vegas, NV 89030</t>
  </si>
  <si>
    <t>238 W Cleveland Ave, Las Vegas, NV 89102</t>
  </si>
  <si>
    <t>6420 E Tropicana Ave, Las Vegas, NV 89122</t>
  </si>
  <si>
    <t>5300 E Craig Rd #509, Las Vegas, NV 89115</t>
  </si>
  <si>
    <t>3781 Meade Ave, Las Vegas, NV 89102</t>
  </si>
  <si>
    <t>816 Carter St, Las Vegas, NV 89106</t>
  </si>
  <si>
    <t>5600 Boulder Hwy, Las Vegas, NV 89122</t>
  </si>
  <si>
    <t>3130 N Basswood Cir, North Las Vegas, NV 89030</t>
  </si>
  <si>
    <t>2125 Las Vegas Blvd N, North Las Vegas, NV 89030</t>
  </si>
  <si>
    <t>4830 E Cincinnati Ave, Las Vegas, NV 89104</t>
  </si>
  <si>
    <t>3168 Devry Ln, Las Vegas, NV 89156</t>
  </si>
  <si>
    <t>10000 Aha Macav Pkwy, Laughlin, NV 89029</t>
  </si>
  <si>
    <t>6009 Jubilee Gardens Ave, Las Vegas, NV 89131</t>
  </si>
  <si>
    <t>5125 W Reno Ave, Las Vegas, NV 89118</t>
  </si>
  <si>
    <t>6787 W Tropicana Ave, Las Vegas, NV 89103</t>
  </si>
  <si>
    <t>2016 Poplar Ave, Las Vegas, NV 89101</t>
  </si>
  <si>
    <t>6244 E Great Smoky Ave, Las Vegas, NV 89156</t>
  </si>
  <si>
    <t>S Las Vegas Blvd, Las Vegas, NV 89109</t>
  </si>
  <si>
    <t>4800 W Tropicana Ave, Las Vegas, NV 89103</t>
  </si>
  <si>
    <t>15 Stewart Ave, Las Vegas, NV 89101</t>
  </si>
  <si>
    <t>129 E Fremont St, Las Vegas, NV 89101</t>
  </si>
  <si>
    <t>150 Las Vegas Blvd N, Las Vegas, NV 89101</t>
  </si>
  <si>
    <t>2420 Losee Rd, North Las Vegas, NV 89030</t>
  </si>
  <si>
    <t>383 E Ford Ave, Las Vegas, NV 89123</t>
  </si>
  <si>
    <t>600 Reverend Wilson Ave, North Las Vegas, NV 89030</t>
  </si>
  <si>
    <t>2007 Pin Oak Ave, Las Vegas, NV 89101</t>
  </si>
  <si>
    <t>Central Valley Shopping Center, 4954 Boulder Hwy, Las Vegas, NV 89121</t>
  </si>
  <si>
    <t>97 Sir George Dr, Las Vegas, NV 89110</t>
  </si>
  <si>
    <t>2300 Holly Ave., Las Vegas, NV 89106</t>
  </si>
  <si>
    <t>7707 Duran Hbr Ln, North Las Vegas, NV 89084</t>
  </si>
  <si>
    <t>3500 E Charleston Blvd, Las Vegas, NV 89104</t>
  </si>
  <si>
    <t>4505 E Desert Inn Rd, Las Vegas, NV 89121</t>
  </si>
  <si>
    <t>2221 W Cordova Pl, Pahrump, NV 89060</t>
  </si>
  <si>
    <t>2754 El Toreador St, Las Vegas, NV 89169</t>
  </si>
  <si>
    <t>929 Sulphur Springs Ln, Las Vegas, NV 89128</t>
  </si>
  <si>
    <t>2968 Mt Hope Dr, Las Vegas, NV 89156</t>
  </si>
  <si>
    <t>2425 Paradise Village Way, Las Vegas, NV 89120</t>
  </si>
  <si>
    <t>1700 S Main St, Las Vegas, NV 89104</t>
  </si>
  <si>
    <t>6920 Arroyo Crossing Pkwy, Las Vegas, NV 89113</t>
  </si>
  <si>
    <t>3601 Folage Dr, Las Vegas, NV 89110</t>
  </si>
  <si>
    <t>6216 Brandywine Way, Las Vegas, NV 89107</t>
  </si>
  <si>
    <t>720 Kasper Ave, Las Vegas, NV 89106</t>
  </si>
  <si>
    <t>1960 N Nellis Blvd, Las Vegas, NV 89115</t>
  </si>
  <si>
    <t>2835 China Cove St, Laughlin, NV 89029</t>
  </si>
  <si>
    <t>2450 Las Vegas Blvd N, North Las Vegas, NV 89030</t>
  </si>
  <si>
    <t>1220 Atlantic St, Las Vegas, NV 89116</t>
  </si>
  <si>
    <t>5820 Meikle Ln, Las Vegas, NV 89156</t>
  </si>
  <si>
    <t>2900 Sammy Davis Jr Dr, Las Vegas, NV 89109</t>
  </si>
  <si>
    <t>6504 Sundown Heights Ave, Las Vegas, NV 89130</t>
  </si>
  <si>
    <t>1912 H St, Las Vegas, NV 89106</t>
  </si>
  <si>
    <t>1238 Las Vegas Blvd S, Las Vegas, NV 89104</t>
  </si>
  <si>
    <t>4805 Jay Ave, Las Vegas, NV 89130</t>
  </si>
  <si>
    <t>406 E Naples Dr, Las Vegas, NV 89119</t>
  </si>
  <si>
    <t>220 W Bonanza Rd, Las Vegas, NV 89106</t>
  </si>
  <si>
    <t>1724 Ingraham St, North Las Vegas, NV 89030</t>
  </si>
  <si>
    <t>4200 Zavala St, Las Vegas, NV 89103</t>
  </si>
  <si>
    <t>2310 S Industrial Rd, Las Vegas, NV 89102</t>
  </si>
  <si>
    <t>5892 Whispering Pines Ave, Las Vegas, NV 89142</t>
  </si>
  <si>
    <t>4952 Larkspur St, Las Vegas, NV 89120</t>
  </si>
  <si>
    <t>3790 Royal Crest St #51, Las Vegas, NV 89119</t>
  </si>
  <si>
    <t>2200 Palm St, Las Vegas, NV 89104</t>
  </si>
  <si>
    <t>1208 Marion Dr, Las Vegas, NV 89110</t>
  </si>
  <si>
    <t>6800 Bermuda Rd, Las Vegas, NV 89119</t>
  </si>
  <si>
    <t>5300 E Desert Inn Rd, Las Vegas, NV 89122</t>
  </si>
  <si>
    <t>2426 Cash Ct, Las Vegas, NV 89156</t>
  </si>
  <si>
    <t>2050 Bonnie Ln, Las Vegas, NV 89156</t>
  </si>
  <si>
    <t>5600 E Russell Rd #924, Las Vegas, NV 89122</t>
  </si>
  <si>
    <t>500 Harris St, Henderson, NV 89015</t>
  </si>
  <si>
    <t>3131 Cottonwood Dr, Laughlin, NV 89029</t>
  </si>
  <si>
    <t>560 Elm St, Boulder City, NV 89005</t>
  </si>
  <si>
    <t>5475 Wynn Rd, Las Vegas, NV 89118</t>
  </si>
  <si>
    <t>2250 E Flamingo Rd, Las Vegas, NV 89119</t>
  </si>
  <si>
    <t>Sparks, NV 89431</t>
  </si>
  <si>
    <t>360 S Lola Ln, Pahrump, NV 89048</t>
  </si>
  <si>
    <t>8280 W Warm Springs Rd, Las Vegas, NV 89113</t>
  </si>
  <si>
    <t>1050 Galleria Dr, Henderson, NV 89011</t>
  </si>
  <si>
    <t>620 Shadow Ln, Las Vegas, NV 89106</t>
  </si>
  <si>
    <t>1800 W Charleston Blvd, Las Vegas, NV 89102</t>
  </si>
  <si>
    <t>5110 W Sahara Ave, Las Vegas, NV 89146</t>
  </si>
  <si>
    <t>3150 N Tenaya Wy, Las Vegas, NV 89128</t>
  </si>
  <si>
    <t>4141 S University Center Dr, Las Vegas, NV 89119</t>
  </si>
  <si>
    <t>8025 Amigo St, Las Vegas, NV 89123</t>
  </si>
  <si>
    <t>3 Mine, Winnemucca, NV 89445</t>
  </si>
  <si>
    <t>1705 North Yale St #219, North Las Vegas, NV 89030</t>
  </si>
  <si>
    <t>6340 S Jones Blvd, Las Vegas, NV 89118</t>
  </si>
  <si>
    <t>1500 W Warm Springs Rd, Henderson, NV 89014</t>
  </si>
  <si>
    <t>657 N Town Center Dr, Las Vegas, NV 89144</t>
  </si>
  <si>
    <t>3001 St Rose Pkwy, Henderson, NV 89052</t>
  </si>
  <si>
    <t>3001 St Rose Pkwy Trail, Henderson, NV 89052</t>
  </si>
  <si>
    <t>6900 N Durango Dr, Las Vegas, NV 89149</t>
  </si>
  <si>
    <t>3508 Las Vegas Blvd S, Las Vegas, NV 89109</t>
  </si>
  <si>
    <t>2121 E Fremont St, Las Vegas, NV 89101</t>
  </si>
  <si>
    <t>6059 W Oakey Blvd, Las Vegas, NV 89146</t>
  </si>
  <si>
    <t>11765 Discovery Dr, Las Vegas, NV 89135</t>
  </si>
  <si>
    <t>5836 Corazon Dr, Las Vegas, NV 89103</t>
  </si>
  <si>
    <t>4124 Glass Lantern Dr, North Las Vegas, NV 89032</t>
  </si>
  <si>
    <t>5237 Varsity Ave, Las Vegas, NV 89146</t>
  </si>
  <si>
    <t>5805 W Harmon Ave, Las Vegas, NV 89103</t>
  </si>
  <si>
    <t>3665 E Garfield Dr, Pahrump, NV 89061</t>
  </si>
  <si>
    <t>2030 Roan Ave, Las Vegas, NV 89119</t>
  </si>
  <si>
    <t>853 Mesa Blvd, Mesquite, NV 89027</t>
  </si>
  <si>
    <t>4976 Stanley Ave, Las Vegas, NV 89115</t>
  </si>
  <si>
    <t>409 Daffodil Dr, Henderson, NV 89015</t>
  </si>
  <si>
    <t>1205 Mews Ln, Las Vegas, NV 89101</t>
  </si>
  <si>
    <t>3351 Palmdesert Way, Las Vegas, NV 89120</t>
  </si>
  <si>
    <t>5700 S Rancho Dr, Las Vegas, NV 89102</t>
  </si>
  <si>
    <t>95 Urbana Dr, Henderson, NV 89074</t>
  </si>
  <si>
    <t>3492 Pinon Peak Dr, Las Vegas, NV 89115</t>
  </si>
  <si>
    <t>2500 Searles Ave, Las Vegas, NV 89101</t>
  </si>
  <si>
    <t>9935 Swimming Hole St, Las Vegas, NV 89183</t>
  </si>
  <si>
    <t>4445 Boulder Hwy Space #7031, Las Vegas, NV 89121</t>
  </si>
  <si>
    <t>1316 Sunblossom St #3, Las Vegas, NV 89128</t>
  </si>
  <si>
    <t>715 Clarkway Dr, Las Vegas, NV 89106</t>
  </si>
  <si>
    <t>3851 Casa Colorado Ave, Las Vegas, NV 89121</t>
  </si>
  <si>
    <t>3500 S Maryland Pkwy, Las Vegas, NV 89169</t>
  </si>
  <si>
    <t>Incident Location Zip Code</t>
  </si>
  <si>
    <t>Incident Location Region</t>
  </si>
  <si>
    <t>NULL</t>
  </si>
  <si>
    <t>89109</t>
  </si>
  <si>
    <t>89106</t>
  </si>
  <si>
    <t>89104</t>
  </si>
  <si>
    <t>89107</t>
  </si>
  <si>
    <t>89030</t>
  </si>
  <si>
    <t>89101</t>
  </si>
  <si>
    <t>89108</t>
  </si>
  <si>
    <t>89149</t>
  </si>
  <si>
    <t>89135</t>
  </si>
  <si>
    <t>89122</t>
  </si>
  <si>
    <t>89115</t>
  </si>
  <si>
    <t>89103</t>
  </si>
  <si>
    <t>89121</t>
  </si>
  <si>
    <t>89123</t>
  </si>
  <si>
    <t>89011</t>
  </si>
  <si>
    <t>89117</t>
  </si>
  <si>
    <t>89086</t>
  </si>
  <si>
    <t>89014</t>
  </si>
  <si>
    <t>89048</t>
  </si>
  <si>
    <t>89120</t>
  </si>
  <si>
    <t>89128</t>
  </si>
  <si>
    <t>89032</t>
  </si>
  <si>
    <t>89118</t>
  </si>
  <si>
    <t>89102</t>
  </si>
  <si>
    <t>89074</t>
  </si>
  <si>
    <t>89142</t>
  </si>
  <si>
    <t>89110</t>
  </si>
  <si>
    <t>89119</t>
  </si>
  <si>
    <t>89084</t>
  </si>
  <si>
    <t>89169</t>
  </si>
  <si>
    <t>89060</t>
  </si>
  <si>
    <t>89146</t>
  </si>
  <si>
    <t>89156</t>
  </si>
  <si>
    <t>89031</t>
  </si>
  <si>
    <t>89113</t>
  </si>
  <si>
    <t>89165</t>
  </si>
  <si>
    <t>89130</t>
  </si>
  <si>
    <t>89124</t>
  </si>
  <si>
    <t>89029</t>
  </si>
  <si>
    <t>89179</t>
  </si>
  <si>
    <t>89019</t>
  </si>
  <si>
    <t>89116</t>
  </si>
  <si>
    <t>89139</t>
  </si>
  <si>
    <t>89002</t>
  </si>
  <si>
    <t>89134</t>
  </si>
  <si>
    <t>89027</t>
  </si>
  <si>
    <t>89015</t>
  </si>
  <si>
    <t>89147</t>
  </si>
  <si>
    <t>89052</t>
  </si>
  <si>
    <t>89131</t>
  </si>
  <si>
    <t>89081</t>
  </si>
  <si>
    <t>89129</t>
  </si>
  <si>
    <t>89145</t>
  </si>
  <si>
    <t>89061</t>
  </si>
  <si>
    <t>89005</t>
  </si>
  <si>
    <t>89178</t>
  </si>
  <si>
    <t>89431</t>
  </si>
  <si>
    <t>89191</t>
  </si>
  <si>
    <t>89144</t>
  </si>
  <si>
    <t>89040</t>
  </si>
  <si>
    <t>89166</t>
  </si>
  <si>
    <t>89018</t>
  </si>
  <si>
    <t>89161</t>
  </si>
  <si>
    <t>89012</t>
  </si>
  <si>
    <t>89021</t>
  </si>
  <si>
    <t>89183</t>
  </si>
  <si>
    <t>89199</t>
  </si>
  <si>
    <t>89148</t>
  </si>
  <si>
    <t>89445</t>
  </si>
  <si>
    <t>Death Location Region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</si>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</sst>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1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DCAB6-103B-4DA0-8D65-9C3521200B55}">
  <dimension ref="A1:V1166"/>
  <sheetViews>
    <sheetView tabSelected="1" workbookViewId="0">
      <pane ySplit="1" topLeftCell="A13" activePane="bottomLeft" state="frozen"/>
      <selection pane="bottomLeft" activeCell="G1" sqref="G1"/>
    </sheetView>
  </sheetViews>
  <sheetFormatPr defaultColWidth="10.796875" defaultRowHeight="13.8"/>
  <cols>
    <col min="1" max="1" width="10.5" bestFit="1" customWidth="1"/>
    <col min="2" max="2" width="25.5" bestFit="1" customWidth="1"/>
    <col min="3" max="3" width="14.69921875" bestFit="1" customWidth="1"/>
    <col min="4" max="4" width="14.19921875" style="4" bestFit="1" customWidth="1"/>
    <col min="5" max="5" width="6.3984375" bestFit="1" customWidth="1"/>
    <col min="6" max="6" width="9.796875" bestFit="1" customWidth="1"/>
    <col min="7" max="7" width="15" bestFit="1" customWidth="1"/>
    <col min="8" max="8" width="18.09765625" bestFit="1" customWidth="1"/>
    <col min="9" max="9" width="82.69921875" bestFit="1" customWidth="1"/>
    <col min="10" max="10" width="26.796875" bestFit="1" customWidth="1"/>
    <col min="11" max="11" width="118.59765625" bestFit="1" customWidth="1"/>
    <col min="12" max="12" width="19.59765625" bestFit="1" customWidth="1"/>
    <col min="13" max="13" width="61.19921875" bestFit="1" customWidth="1"/>
    <col min="14" max="14" width="25.796875" bestFit="1" customWidth="1"/>
    <col min="15" max="15" width="25.796875" customWidth="1"/>
    <col min="16" max="16" width="25.296875" customWidth="1"/>
    <col min="17" max="17" width="29" bestFit="1" customWidth="1"/>
    <col min="18" max="18" width="61.19921875" bestFit="1" customWidth="1"/>
    <col min="19" max="19" width="24.5" bestFit="1" customWidth="1"/>
    <col min="20" max="20" width="24.5" customWidth="1"/>
    <col min="21" max="21" width="25.296875" bestFit="1" customWidth="1"/>
    <col min="22" max="22" width="27" bestFit="1" customWidth="1"/>
  </cols>
  <sheetData>
    <row r="1" spans="1:22">
      <c r="A1" s="2" t="s">
        <v>0</v>
      </c>
      <c r="B1" s="2" t="s">
        <v>1</v>
      </c>
      <c r="C1" s="2" t="s">
        <v>2</v>
      </c>
      <c r="D1" s="3" t="s">
        <v>4004</v>
      </c>
      <c r="E1" s="2" t="s">
        <v>3</v>
      </c>
      <c r="F1" s="6" t="s">
        <v>4005</v>
      </c>
      <c r="G1" s="5" t="s">
        <v>5166</v>
      </c>
      <c r="H1" s="5" t="s">
        <v>4</v>
      </c>
      <c r="I1" s="2" t="s">
        <v>5</v>
      </c>
      <c r="J1" s="5" t="s">
        <v>4312</v>
      </c>
      <c r="K1" s="2" t="s">
        <v>9</v>
      </c>
      <c r="L1" s="2" t="s">
        <v>11</v>
      </c>
      <c r="M1" s="2" t="s">
        <v>12</v>
      </c>
      <c r="N1" s="2" t="s">
        <v>5093</v>
      </c>
      <c r="O1" s="5" t="s">
        <v>5094</v>
      </c>
      <c r="P1" s="2" t="s">
        <v>13</v>
      </c>
      <c r="Q1" s="5" t="s">
        <v>4313</v>
      </c>
      <c r="R1" s="2" t="s">
        <v>14</v>
      </c>
      <c r="S1" s="2" t="s">
        <v>4006</v>
      </c>
      <c r="T1" s="5" t="s">
        <v>5165</v>
      </c>
      <c r="U1" s="2" t="s">
        <v>15</v>
      </c>
      <c r="V1" s="5" t="s">
        <v>4314</v>
      </c>
    </row>
    <row r="2" spans="1:22">
      <c r="A2" t="s">
        <v>3837</v>
      </c>
      <c r="B2" t="s">
        <v>3838</v>
      </c>
      <c r="C2" s="1">
        <v>45621</v>
      </c>
      <c r="D2" s="4">
        <v>57.92</v>
      </c>
      <c r="E2">
        <v>40</v>
      </c>
      <c r="F2" t="str">
        <f t="shared" ref="F2:F65" si="0">_xlfn.CONCAT(INT(E2/10)*10, "'s")</f>
        <v>40's</v>
      </c>
      <c r="G2" t="str" cm="1">
        <f t="array" ref="G2">_xlfn.IFS(
  F2="10's", "Child (5–12)",
  OR(F2="20's", F2="30's"), "Young Adult (20–39)",
  OR(F2="40's", F2="50's"), "Adult (40–59)",
  OR(F2="60's", F2="70's", F2="80's", F2="90's"), "Senior (60+)",
  TRUE, "Unknown"
)</f>
        <v>Adult (40–59)</v>
      </c>
      <c r="H2" t="s">
        <v>778</v>
      </c>
      <c r="I2" t="s">
        <v>172</v>
      </c>
      <c r="J2" t="str">
        <f t="shared" ref="J2:J65" si="1">IF(ISNUMBER(SEARCH("heat", I2)) + ISNUMBER(SEARCH("hyperthermia", I2)) + ISNUMBER(SEARCH("heat stroke", I2)) + ISNUMBER(SEARCH("environmental", I2)), "Environmental Heat",
IF(ISNUMBER(SEARCH("meth", I2)), "Methamphetamine-related",
IF(ISNUMBER(SEARCH("fentanyl", I2)), "Fentanyl-related",
IF(ISNUMBER(SEARCH("cardio", I2)) + ISNUMBER(SEARCH("heart", I2)) + ISNUMBER(SEARCH("atherosclerotic", I2)) + ISNUMBER(SEARCH("hypertensive", I2)) + ISNUMBER(SEARCH("myocardial", I2)) + ISNUMBER(SEARCH("infarction", I2)), "Cardiovascular Disease",
IF(ISNUMBER(SEARCH("ethanol", I2)) + ISNUMBER(SEARCH("alcohol", I2)), "Ethanol-related",
IF(ISNUMBER(SEARCH("dehydration", I2)) + ISNUMBER(SEARCH("hypernatrem", I2)) + ISNUMBER(SEARCH("hyponatrem", I2)), "Dehydration / Electrolyte",
IF(ISNUMBER(SEARCH("intoxication", I2)) + ISNUMBER(SEARCH("toxicity", I2)) + ISNUMBER(SEARCH("overdose", I2)), "Mixed Drug Toxicity",
"Other / Unknown")))))))</f>
        <v>Methamphetamine-related</v>
      </c>
      <c r="K2" t="s">
        <v>35</v>
      </c>
      <c r="L2" t="s">
        <v>250</v>
      </c>
      <c r="N2" t="s">
        <v>5095</v>
      </c>
      <c r="O2" t="str" cm="1">
        <f t="array" ref="O2">_xlfn.IFS(
  TEXT(TRIM(N2),"00000")="NULL", "Missing/Unknown",
  OR(TEXT(TRIM(N2),"00000")="89101", TEXT(TRIM(N2),"00000")="89104", TEXT(TRIM(N2),"00000")="89106", TEXT(TRIM(N2),"00000")="89102", TEXT(TRIM(N2),"00000")="89107", TEXT(TRIM(N2),"00000")="89108"), "Urban Core",
  OR(TEXT(TRIM(N2),"00000")="89110", TEXT(TRIM(N2),"00000")="89115", TEXT(TRIM(N2),"00000")="89121", TEXT(TRIM(N2),"00000")="89122", TEXT(TRIM(N2),"00000")="89142", TEXT(TRIM(N2),"00000")="89156"), "East Valley",
  OR(TEXT(TRIM(N2),"00000")="89030", TEXT(TRIM(N2),"00000")="89031", TEXT(TRIM(N2),"00000")="89032", TEXT(TRIM(N2),"00000")="89086", TEXT(TRIM(N2),"00000")="89084", TEXT(TRIM(N2),"00000")="89081"), "North LV",
  OR(TEXT(TRIM(N2),"00000")="89109", TEXT(TRIM(N2),"00000")="89103", TEXT(TRIM(N2),"00000")="89119", TEXT(TRIM(N2),"00000")="89123", TEXT(TRIM(N2),"00000")="89169", TEXT(TRIM(N2),"00000")="89118"), "South/Strip",
  OR(TEXT(TRIM(N2),"00000")="89074", TEXT(TRIM(N2),"00000")="89014", TEXT(TRIM(N2),"00000")="89015", TEXT(TRIM(N2),"00000")="89011", TEXT(TRIM(N2),"00000")="89012"), "Suburban SE",
  OR(TEXT(TRIM(N2),"00000")="89117", TEXT(TRIM(N2),"00000")="89128", TEXT(TRIM(N2),"00000")="89135", TEXT(TRIM(N2),"00000")="89144", TEXT(TRIM(N2),"00000")="89145", TEXT(TRIM(N2),"00000")="89147"), "West Valley",
  TRUE, "Other"
)</f>
        <v>Missing/Unknown</v>
      </c>
      <c r="P2" t="s">
        <v>3298</v>
      </c>
      <c r="Q2" t="str">
        <f t="shared" ref="Q2:Q65" si="2">IF(OR(ISNUMBER(SEARCH("outdoor", P2)), ISNUMBER(SEARCH("park", P2)), ISNUMBER(SEARCH("road", P2)), ISNUMBER(SEARCH("sidewalk", P2)), ISNUMBER(SEARCH("desert", P2)), ISNUMBER(SEARCH("tunnel", P2)), ISNUMBER(SEARCH("lot", P2)), ISNUMBER(SEARCH("lake", P2)), ISNUMBER(SEARCH("bus", P2)), ISNUMBER(SEARCH("shed", P2)), ISNUMBER(SEARCH("amusement", P2))), "Outdoors/Public",
IF(OR(ISNUMBER(SEARCH("home", P2)), ISNUMBER(SEARCH("residence", P2)), ISNUMBER(SEARCH("rv", P2)), ISNUMBER(SEARCH("tent", P2)), ISNUMBER(SEARCH("bedroom", P2)), ISNUMBER(SEARCH("garage", P2)), ISNUMBER(SEARCH("trailer", P2)), ISNUMBER(SEARCH("backyard", P2))), "Home/Residence",
IF(OR(ISNUMBER(SEARCH("vehicle", P2)), ISNUMBER(SEARCH("car", P2)), ISNUMBER(SEARCH("wash", P2))), "Vehicle-related",
IF(OR(ISNUMBER(SEARCH("business", P2)), ISNUMBER(SEARCH("school", P2)), ISNUMBER(SEARCH("hotel", P2)), ISNUMBER(SEARCH("construction", P2)), ISNUMBER(SEARCH("furniture", P2)), ISNUMBER(SEARCH("public", P2))), "Business/Commercial",
IF(OR(ISNUMBER(SEARCH("hospital", P2)), ISNUMBER(SEARCH("assisted", P2)), ISNUMBER(SEARCH("residential care", P2))), "Medical Facility",
IF(OR(ISNUMBER(SEARCH("shelter", P2)), ISNUMBER(SEARCH("jail", P2))), "Shelter/Temporary Housing",
"Other / Unknown"))))))</f>
        <v>Outdoors/Public</v>
      </c>
      <c r="S2" t="s">
        <v>5095</v>
      </c>
      <c r="T2" t="str" cm="1">
        <f t="array" ref="T2">_xlfn.IFS(
  TEXT(TRIM(S2),"00000")="NULL", "Missing/Unknown",
  OR(TEXT(TRIM(S2),"00000")="89101", TEXT(TRIM(S2),"00000")="89104", TEXT(TRIM(S2),"00000")="89106", TEXT(TRIM(S2),"00000")="89102", TEXT(TRIM(S2),"00000")="89107", TEXT(TRIM(S2),"00000")="89108"), "Urban Core",
  OR(TEXT(TRIM(S2),"00000")="89110", TEXT(TRIM(S2),"00000")="89115", TEXT(TRIM(S2),"00000")="89121", TEXT(TRIM(S2),"00000")="89122", TEXT(TRIM(S2),"00000")="89142", TEXT(TRIM(S2),"00000")="89156"), "East Valley",
  OR(TEXT(TRIM(S2),"00000")="89030", TEXT(TRIM(S2),"00000")="89031", TEXT(TRIM(S2),"00000")="89032", TEXT(TRIM(S2),"00000")="89086", TEXT(TRIM(S2),"00000")="89084", TEXT(TRIM(S2),"00000")="89081"), "North LV",
  OR(TEXT(TRIM(S2),"00000")="89109", TEXT(TRIM(S2),"00000")="89103", TEXT(TRIM(S2),"00000")="89119", TEXT(TRIM(S2),"00000")="89123", TEXT(TRIM(S2),"00000")="89169", TEXT(TRIM(S2),"00000")="89118"), "South/Strip",
  OR(TEXT(TRIM(S2),"00000")="89074", TEXT(TRIM(S2),"00000")="89014", TEXT(TRIM(S2),"00000")="89015", TEXT(TRIM(S2),"00000")="89011", TEXT(TRIM(S2),"00000")="89012"), "Suburban SE",
  OR(TEXT(TRIM(S2),"00000")="89117", TEXT(TRIM(S2),"00000")="89128", TEXT(TRIM(S2),"00000")="89135", TEXT(TRIM(S2),"00000")="89144", TEXT(TRIM(S2),"00000")="89145", TEXT(TRIM(S2),"00000")="89147"), "West Valley",
  TRUE, "Other"
)</f>
        <v>Missing/Unknown</v>
      </c>
      <c r="U2" t="s">
        <v>2666</v>
      </c>
      <c r="V2" t="str">
        <f t="shared" ref="V2:V65" si="3">IF(OR(ISNUMBER(SEARCH("outdoor", U2)), ISNUMBER(SEARCH("park", U2)), ISNUMBER(SEARCH("road", U2)), ISNUMBER(SEARCH("sidewalk", U2)), ISNUMBER(SEARCH("desert", U2)), ISNUMBER(SEARCH("tunnel", U2)), ISNUMBER(SEARCH("lot", U2)), ISNUMBER(SEARCH("lake", U2)), ISNUMBER(SEARCH("bus", U2)), ISNUMBER(SEARCH("shed", U2)), ISNUMBER(SEARCH("amusement", U2))), "Outdoors/Public",
IF(OR(ISNUMBER(SEARCH("home", U2)), ISNUMBER(SEARCH("residence", U2)), ISNUMBER(SEARCH("rv", U2)), ISNUMBER(SEARCH("tent", U2)), ISNUMBER(SEARCH("bedroom", U2)), ISNUMBER(SEARCH("garage", U2)), ISNUMBER(SEARCH("trailer", U2)), ISNUMBER(SEARCH("backyard", U2))), "Home/Residence",
IF(OR(ISNUMBER(SEARCH("vehicle", U2)), ISNUMBER(SEARCH("wash", U2))), "Vehicle-related",
IF(OR(ISNUMBER(SEARCH("business", U2)), ISNUMBER(SEARCH("school", U2)), ISNUMBER(SEARCH("hotel", U2)), ISNUMBER(SEARCH("construction", U2)), ISNUMBER(SEARCH("furniture", U2)), ISNUMBER(SEARCH("public", U2))), "Business/Commercial",
IF(OR(ISNUMBER(SEARCH("hospital", U2)), ISNUMBER(SEARCH("assisted", U2)), ISNUMBER(SEARCH("residential care", U2)), ISNUMBER(SEARCH("emergency room", U2)), ISNUMBER(SEARCH("emergency", U2)), ISNUMBER(SEARCH("intensive care unit", U2)), ISNUMBER(SEARCH("icu", U2))), "Medical Facility",
IF(OR(ISNUMBER(SEARCH("shelter", U2)), ISNUMBER(SEARCH("jail", U2))), "Shelter/Temporary Housing",
"Other / Unknown"))))))</f>
        <v>Outdoors/Public</v>
      </c>
    </row>
    <row r="3" spans="1:22">
      <c r="A3" t="s">
        <v>2795</v>
      </c>
      <c r="B3" t="s">
        <v>2796</v>
      </c>
      <c r="C3" s="1">
        <v>45611</v>
      </c>
      <c r="D3" s="4">
        <v>62.959999999999987</v>
      </c>
      <c r="E3">
        <v>71</v>
      </c>
      <c r="F3" t="str">
        <f t="shared" si="0"/>
        <v>70's</v>
      </c>
      <c r="G3" t="str" cm="1">
        <f t="array" ref="G3">_xlfn.IFS(
  F3="10's", "Child (5–12)",
  OR(F3="20's", F3="30's"), "Young Adult (20–39)",
  OR(F3="40's", F3="50's"), "Adult (40–59)",
  OR(F3="60's", F3="70's", F3="80's", F3="90's"), "Senior (60+)",
  TRUE, "Unknown"
)</f>
        <v>Senior (60+)</v>
      </c>
      <c r="H3" t="s">
        <v>4309</v>
      </c>
      <c r="I3" t="s">
        <v>4007</v>
      </c>
      <c r="J3" t="str">
        <f t="shared" si="1"/>
        <v>Other / Unknown</v>
      </c>
      <c r="K3" t="s">
        <v>4136</v>
      </c>
      <c r="L3" t="s">
        <v>250</v>
      </c>
      <c r="N3" t="s">
        <v>5095</v>
      </c>
      <c r="O3" t="str" cm="1">
        <f t="array" ref="O3">_xlfn.IFS(
  TEXT(TRIM(N3),"00000")="NULL", "Missing/Unknown",
  OR(TEXT(TRIM(N3),"00000")="89101", TEXT(TRIM(N3),"00000")="89104", TEXT(TRIM(N3),"00000")="89106", TEXT(TRIM(N3),"00000")="89102", TEXT(TRIM(N3),"00000")="89107", TEXT(TRIM(N3),"00000")="89108"), "Urban Core",
  OR(TEXT(TRIM(N3),"00000")="89110", TEXT(TRIM(N3),"00000")="89115", TEXT(TRIM(N3),"00000")="89121", TEXT(TRIM(N3),"00000")="89122", TEXT(TRIM(N3),"00000")="89142", TEXT(TRIM(N3),"00000")="89156"), "East Valley",
  OR(TEXT(TRIM(N3),"00000")="89030", TEXT(TRIM(N3),"00000")="89031", TEXT(TRIM(N3),"00000")="89032", TEXT(TRIM(N3),"00000")="89086", TEXT(TRIM(N3),"00000")="89084", TEXT(TRIM(N3),"00000")="89081"), "North LV",
  OR(TEXT(TRIM(N3),"00000")="89109", TEXT(TRIM(N3),"00000")="89103", TEXT(TRIM(N3),"00000")="89119", TEXT(TRIM(N3),"00000")="89123", TEXT(TRIM(N3),"00000")="89169", TEXT(TRIM(N3),"00000")="89118"), "South/Strip",
  OR(TEXT(TRIM(N3),"00000")="89074", TEXT(TRIM(N3),"00000")="89014", TEXT(TRIM(N3),"00000")="89015", TEXT(TRIM(N3),"00000")="89011", TEXT(TRIM(N3),"00000")="89012"), "Suburban SE",
  OR(TEXT(TRIM(N3),"00000")="89117", TEXT(TRIM(N3),"00000")="89128", TEXT(TRIM(N3),"00000")="89135", TEXT(TRIM(N3),"00000")="89144", TEXT(TRIM(N3),"00000")="89145", TEXT(TRIM(N3),"00000")="89147"), "West Valley",
  TRUE, "Other"
)</f>
        <v>Missing/Unknown</v>
      </c>
      <c r="P3" t="s">
        <v>3298</v>
      </c>
      <c r="Q3" t="str">
        <f t="shared" si="2"/>
        <v>Outdoors/Public</v>
      </c>
      <c r="R3" t="s">
        <v>5055</v>
      </c>
      <c r="S3" t="s">
        <v>5119</v>
      </c>
      <c r="T3" t="str" cm="1">
        <f t="array" ref="T3">_xlfn.IFS(
  TEXT(TRIM(S3),"00000")="NULL", "Missing/Unknown",
  OR(TEXT(TRIM(S3),"00000")="89101", TEXT(TRIM(S3),"00000")="89104", TEXT(TRIM(S3),"00000")="89106", TEXT(TRIM(S3),"00000")="89102", TEXT(TRIM(S3),"00000")="89107", TEXT(TRIM(S3),"00000")="89108"), "Urban Core",
  OR(TEXT(TRIM(S3),"00000")="89110", TEXT(TRIM(S3),"00000")="89115", TEXT(TRIM(S3),"00000")="89121", TEXT(TRIM(S3),"00000")="89122", TEXT(TRIM(S3),"00000")="89142", TEXT(TRIM(S3),"00000")="89156"), "East Valley",
  OR(TEXT(TRIM(S3),"00000")="89030", TEXT(TRIM(S3),"00000")="89031", TEXT(TRIM(S3),"00000")="89032", TEXT(TRIM(S3),"00000")="89086", TEXT(TRIM(S3),"00000")="89084", TEXT(TRIM(S3),"00000")="89081"), "North LV",
  OR(TEXT(TRIM(S3),"00000")="89109", TEXT(TRIM(S3),"00000")="89103", TEXT(TRIM(S3),"00000")="89119", TEXT(TRIM(S3),"00000")="89123", TEXT(TRIM(S3),"00000")="89169", TEXT(TRIM(S3),"00000")="89118"), "South/Strip",
  OR(TEXT(TRIM(S3),"00000")="89074", TEXT(TRIM(S3),"00000")="89014", TEXT(TRIM(S3),"00000")="89015", TEXT(TRIM(S3),"00000")="89011", TEXT(TRIM(S3),"00000")="89012"), "Suburban SE",
  OR(TEXT(TRIM(S3),"00000")="89117", TEXT(TRIM(S3),"00000")="89128", TEXT(TRIM(S3),"00000")="89135", TEXT(TRIM(S3),"00000")="89144", TEXT(TRIM(S3),"00000")="89145", TEXT(TRIM(S3),"00000")="89147"), "West Valley",
  TRUE, "Other"
)</f>
        <v>Urban Core</v>
      </c>
      <c r="U3" t="s">
        <v>2433</v>
      </c>
      <c r="V3" t="str">
        <f t="shared" si="3"/>
        <v>Medical Facility</v>
      </c>
    </row>
    <row r="4" spans="1:22">
      <c r="A4" t="s">
        <v>3326</v>
      </c>
      <c r="B4" t="s">
        <v>3327</v>
      </c>
      <c r="C4" s="1">
        <v>45610</v>
      </c>
      <c r="D4" s="4">
        <v>64.040000000000006</v>
      </c>
      <c r="E4">
        <v>69</v>
      </c>
      <c r="F4" t="str">
        <f t="shared" si="0"/>
        <v>60's</v>
      </c>
      <c r="G4" t="str" cm="1">
        <f t="array" ref="G4">_xlfn.IFS(
  F4="10's", "Child (5–12)",
  OR(F4="20's", F4="30's"), "Young Adult (20–39)",
  OR(F4="40's", F4="50's"), "Adult (40–59)",
  OR(F4="60's", F4="70's", F4="80's", F4="90's"), "Senior (60+)",
  TRUE, "Unknown"
)</f>
        <v>Senior (60+)</v>
      </c>
      <c r="H4" t="s">
        <v>778</v>
      </c>
      <c r="I4" t="s">
        <v>4019</v>
      </c>
      <c r="J4" t="str">
        <f t="shared" si="1"/>
        <v>Environmental Heat</v>
      </c>
      <c r="K4" t="s">
        <v>172</v>
      </c>
      <c r="L4" t="s">
        <v>1071</v>
      </c>
      <c r="N4" t="s">
        <v>5095</v>
      </c>
      <c r="O4" t="str" cm="1">
        <f t="array" ref="O4">_xlfn.IFS(
  TEXT(TRIM(N4),"00000")="NULL", "Missing/Unknown",
  OR(TEXT(TRIM(N4),"00000")="89101", TEXT(TRIM(N4),"00000")="89104", TEXT(TRIM(N4),"00000")="89106", TEXT(TRIM(N4),"00000")="89102", TEXT(TRIM(N4),"00000")="89107", TEXT(TRIM(N4),"00000")="89108"), "Urban Core",
  OR(TEXT(TRIM(N4),"00000")="89110", TEXT(TRIM(N4),"00000")="89115", TEXT(TRIM(N4),"00000")="89121", TEXT(TRIM(N4),"00000")="89122", TEXT(TRIM(N4),"00000")="89142", TEXT(TRIM(N4),"00000")="89156"), "East Valley",
  OR(TEXT(TRIM(N4),"00000")="89030", TEXT(TRIM(N4),"00000")="89031", TEXT(TRIM(N4),"00000")="89032", TEXT(TRIM(N4),"00000")="89086", TEXT(TRIM(N4),"00000")="89084", TEXT(TRIM(N4),"00000")="89081"), "North LV",
  OR(TEXT(TRIM(N4),"00000")="89109", TEXT(TRIM(N4),"00000")="89103", TEXT(TRIM(N4),"00000")="89119", TEXT(TRIM(N4),"00000")="89123", TEXT(TRIM(N4),"00000")="89169", TEXT(TRIM(N4),"00000")="89118"), "South/Strip",
  OR(TEXT(TRIM(N4),"00000")="89074", TEXT(TRIM(N4),"00000")="89014", TEXT(TRIM(N4),"00000")="89015", TEXT(TRIM(N4),"00000")="89011", TEXT(TRIM(N4),"00000")="89012"), "Suburban SE",
  OR(TEXT(TRIM(N4),"00000")="89117", TEXT(TRIM(N4),"00000")="89128", TEXT(TRIM(N4),"00000")="89135", TEXT(TRIM(N4),"00000")="89144", TEXT(TRIM(N4),"00000")="89145", TEXT(TRIM(N4),"00000")="89147"), "West Valley",
  TRUE, "Other"
)</f>
        <v>Missing/Unknown</v>
      </c>
      <c r="P4" t="s">
        <v>38</v>
      </c>
      <c r="Q4" t="str">
        <f t="shared" si="2"/>
        <v>Home/Residence</v>
      </c>
      <c r="R4" t="s">
        <v>5063</v>
      </c>
      <c r="S4" t="s">
        <v>5113</v>
      </c>
      <c r="T4" t="str" cm="1">
        <f t="array" ref="T4">_xlfn.IFS(
  TEXT(TRIM(S4),"00000")="NULL", "Missing/Unknown",
  OR(TEXT(TRIM(S4),"00000")="89101", TEXT(TRIM(S4),"00000")="89104", TEXT(TRIM(S4),"00000")="89106", TEXT(TRIM(S4),"00000")="89102", TEXT(TRIM(S4),"00000")="89107", TEXT(TRIM(S4),"00000")="89108"), "Urban Core",
  OR(TEXT(TRIM(S4),"00000")="89110", TEXT(TRIM(S4),"00000")="89115", TEXT(TRIM(S4),"00000")="89121", TEXT(TRIM(S4),"00000")="89122", TEXT(TRIM(S4),"00000")="89142", TEXT(TRIM(S4),"00000")="89156"), "East Valley",
  OR(TEXT(TRIM(S4),"00000")="89030", TEXT(TRIM(S4),"00000")="89031", TEXT(TRIM(S4),"00000")="89032", TEXT(TRIM(S4),"00000")="89086", TEXT(TRIM(S4),"00000")="89084", TEXT(TRIM(S4),"00000")="89081"), "North LV",
  OR(TEXT(TRIM(S4),"00000")="89109", TEXT(TRIM(S4),"00000")="89103", TEXT(TRIM(S4),"00000")="89119", TEXT(TRIM(S4),"00000")="89123", TEXT(TRIM(S4),"00000")="89169", TEXT(TRIM(S4),"00000")="89118"), "South/Strip",
  OR(TEXT(TRIM(S4),"00000")="89074", TEXT(TRIM(S4),"00000")="89014", TEXT(TRIM(S4),"00000")="89015", TEXT(TRIM(S4),"00000")="89011", TEXT(TRIM(S4),"00000")="89012"), "Suburban SE",
  OR(TEXT(TRIM(S4),"00000")="89117", TEXT(TRIM(S4),"00000")="89128", TEXT(TRIM(S4),"00000")="89135", TEXT(TRIM(S4),"00000")="89144", TEXT(TRIM(S4),"00000")="89145", TEXT(TRIM(S4),"00000")="89147"), "West Valley",
  TRUE, "Other"
)</f>
        <v>Suburban SE</v>
      </c>
      <c r="U4" t="s">
        <v>3329</v>
      </c>
      <c r="V4" t="str">
        <f t="shared" si="3"/>
        <v>Other / Unknown</v>
      </c>
    </row>
    <row r="5" spans="1:22">
      <c r="A5" t="s">
        <v>3612</v>
      </c>
      <c r="B5" t="s">
        <v>3613</v>
      </c>
      <c r="C5" s="1">
        <v>45574</v>
      </c>
      <c r="D5" s="4">
        <v>96.98</v>
      </c>
      <c r="E5">
        <v>40</v>
      </c>
      <c r="F5" t="str">
        <f t="shared" si="0"/>
        <v>40's</v>
      </c>
      <c r="G5" t="str" cm="1">
        <f t="array" ref="G5">_xlfn.IFS(
  F5="10's", "Child (5–12)",
  OR(F5="20's", F5="30's"), "Young Adult (20–39)",
  OR(F5="40's", F5="50's"), "Adult (40–59)",
  OR(F5="60's", F5="70's", F5="80's", F5="90's"), "Senior (60+)",
  TRUE, "Unknown"
)</f>
        <v>Adult (40–59)</v>
      </c>
      <c r="H5" t="s">
        <v>778</v>
      </c>
      <c r="I5" t="s">
        <v>97</v>
      </c>
      <c r="J5" t="str">
        <f t="shared" si="1"/>
        <v>Environmental Heat</v>
      </c>
      <c r="K5" t="s">
        <v>98</v>
      </c>
      <c r="L5" t="s">
        <v>250</v>
      </c>
      <c r="M5" t="s">
        <v>4511</v>
      </c>
      <c r="N5" t="s">
        <v>5096</v>
      </c>
      <c r="O5" t="str" cm="1">
        <f t="array" ref="O5">_xlfn.IFS(
  TEXT(TRIM(N5),"00000")="NULL", "Missing/Unknown",
  OR(TEXT(TRIM(N5),"00000")="89101", TEXT(TRIM(N5),"00000")="89104", TEXT(TRIM(N5),"00000")="89106", TEXT(TRIM(N5),"00000")="89102", TEXT(TRIM(N5),"00000")="89107", TEXT(TRIM(N5),"00000")="89108"), "Urban Core",
  OR(TEXT(TRIM(N5),"00000")="89110", TEXT(TRIM(N5),"00000")="89115", TEXT(TRIM(N5),"00000")="89121", TEXT(TRIM(N5),"00000")="89122", TEXT(TRIM(N5),"00000")="89142", TEXT(TRIM(N5),"00000")="89156"), "East Valley",
  OR(TEXT(TRIM(N5),"00000")="89030", TEXT(TRIM(N5),"00000")="89031", TEXT(TRIM(N5),"00000")="89032", TEXT(TRIM(N5),"00000")="89086", TEXT(TRIM(N5),"00000")="89084", TEXT(TRIM(N5),"00000")="89081"), "North LV",
  OR(TEXT(TRIM(N5),"00000")="89109", TEXT(TRIM(N5),"00000")="89103", TEXT(TRIM(N5),"00000")="89119", TEXT(TRIM(N5),"00000")="89123", TEXT(TRIM(N5),"00000")="89169", TEXT(TRIM(N5),"00000")="89118"), "South/Strip",
  OR(TEXT(TRIM(N5),"00000")="89074", TEXT(TRIM(N5),"00000")="89014", TEXT(TRIM(N5),"00000")="89015", TEXT(TRIM(N5),"00000")="89011", TEXT(TRIM(N5),"00000")="89012"), "Suburban SE",
  OR(TEXT(TRIM(N5),"00000")="89117", TEXT(TRIM(N5),"00000")="89128", TEXT(TRIM(N5),"00000")="89135", TEXT(TRIM(N5),"00000")="89144", TEXT(TRIM(N5),"00000")="89145", TEXT(TRIM(N5),"00000")="89147"), "West Valley",
  TRUE, "Other"
)</f>
        <v>South/Strip</v>
      </c>
      <c r="P5" t="s">
        <v>4302</v>
      </c>
      <c r="Q5" t="str">
        <f t="shared" si="2"/>
        <v>Business/Commercial</v>
      </c>
      <c r="R5" t="s">
        <v>4713</v>
      </c>
      <c r="S5" t="s">
        <v>5125</v>
      </c>
      <c r="T5" t="str" cm="1">
        <f t="array" ref="T5">_xlfn.IFS(
  TEXT(TRIM(S5),"00000")="NULL", "Missing/Unknown",
  OR(TEXT(TRIM(S5),"00000")="89101", TEXT(TRIM(S5),"00000")="89104", TEXT(TRIM(S5),"00000")="89106", TEXT(TRIM(S5),"00000")="89102", TEXT(TRIM(S5),"00000")="89107", TEXT(TRIM(S5),"00000")="89108"), "Urban Core",
  OR(TEXT(TRIM(S5),"00000")="89110", TEXT(TRIM(S5),"00000")="89115", TEXT(TRIM(S5),"00000")="89121", TEXT(TRIM(S5),"00000")="89122", TEXT(TRIM(S5),"00000")="89142", TEXT(TRIM(S5),"00000")="89156"), "East Valley",
  OR(TEXT(TRIM(S5),"00000")="89030", TEXT(TRIM(S5),"00000")="89031", TEXT(TRIM(S5),"00000")="89032", TEXT(TRIM(S5),"00000")="89086", TEXT(TRIM(S5),"00000")="89084", TEXT(TRIM(S5),"00000")="89081"), "North LV",
  OR(TEXT(TRIM(S5),"00000")="89109", TEXT(TRIM(S5),"00000")="89103", TEXT(TRIM(S5),"00000")="89119", TEXT(TRIM(S5),"00000")="89123", TEXT(TRIM(S5),"00000")="89169", TEXT(TRIM(S5),"00000")="89118"), "South/Strip",
  OR(TEXT(TRIM(S5),"00000")="89074", TEXT(TRIM(S5),"00000")="89014", TEXT(TRIM(S5),"00000")="89015", TEXT(TRIM(S5),"00000")="89011", TEXT(TRIM(S5),"00000")="89012"), "Suburban SE",
  OR(TEXT(TRIM(S5),"00000")="89117", TEXT(TRIM(S5),"00000")="89128", TEXT(TRIM(S5),"00000")="89135", TEXT(TRIM(S5),"00000")="89144", TEXT(TRIM(S5),"00000")="89145", TEXT(TRIM(S5),"00000")="89147"), "West Valley",
  TRUE, "Other"
)</f>
        <v>South/Strip</v>
      </c>
      <c r="U5" t="s">
        <v>2433</v>
      </c>
      <c r="V5" t="str">
        <f t="shared" si="3"/>
        <v>Medical Facility</v>
      </c>
    </row>
    <row r="6" spans="1:22">
      <c r="A6" t="s">
        <v>2914</v>
      </c>
      <c r="B6" t="s">
        <v>2915</v>
      </c>
      <c r="C6" s="1">
        <v>45571</v>
      </c>
      <c r="D6" s="4">
        <v>100.94</v>
      </c>
      <c r="E6">
        <v>69</v>
      </c>
      <c r="F6" t="str">
        <f t="shared" si="0"/>
        <v>60's</v>
      </c>
      <c r="G6" t="str" cm="1">
        <f t="array" ref="G6">_xlfn.IFS(
  F6="10's", "Child (5–12)",
  OR(F6="20's", F6="30's"), "Young Adult (20–39)",
  OR(F6="40's", F6="50's"), "Adult (40–59)",
  OR(F6="60's", F6="70's", F6="80's", F6="90's"), "Senior (60+)",
  TRUE, "Unknown"
)</f>
        <v>Senior (60+)</v>
      </c>
      <c r="H6" t="s">
        <v>27</v>
      </c>
      <c r="I6" t="s">
        <v>35</v>
      </c>
      <c r="J6" t="str">
        <f t="shared" si="1"/>
        <v>Environmental Heat</v>
      </c>
      <c r="K6" t="s">
        <v>28</v>
      </c>
      <c r="L6" t="s">
        <v>1071</v>
      </c>
      <c r="M6" t="s">
        <v>4919</v>
      </c>
      <c r="N6" t="s">
        <v>5097</v>
      </c>
      <c r="O6" t="str" cm="1">
        <f t="array" ref="O6">_xlfn.IFS(
  TEXT(TRIM(N6),"00000")="NULL", "Missing/Unknown",
  OR(TEXT(TRIM(N6),"00000")="89101", TEXT(TRIM(N6),"00000")="89104", TEXT(TRIM(N6),"00000")="89106", TEXT(TRIM(N6),"00000")="89102", TEXT(TRIM(N6),"00000")="89107", TEXT(TRIM(N6),"00000")="89108"), "Urban Core",
  OR(TEXT(TRIM(N6),"00000")="89110", TEXT(TRIM(N6),"00000")="89115", TEXT(TRIM(N6),"00000")="89121", TEXT(TRIM(N6),"00000")="89122", TEXT(TRIM(N6),"00000")="89142", TEXT(TRIM(N6),"00000")="89156"), "East Valley",
  OR(TEXT(TRIM(N6),"00000")="89030", TEXT(TRIM(N6),"00000")="89031", TEXT(TRIM(N6),"00000")="89032", TEXT(TRIM(N6),"00000")="89086", TEXT(TRIM(N6),"00000")="89084", TEXT(TRIM(N6),"00000")="89081"), "North LV",
  OR(TEXT(TRIM(N6),"00000")="89109", TEXT(TRIM(N6),"00000")="89103", TEXT(TRIM(N6),"00000")="89119", TEXT(TRIM(N6),"00000")="89123", TEXT(TRIM(N6),"00000")="89169", TEXT(TRIM(N6),"00000")="89118"), "South/Strip",
  OR(TEXT(TRIM(N6),"00000")="89074", TEXT(TRIM(N6),"00000")="89014", TEXT(TRIM(N6),"00000")="89015", TEXT(TRIM(N6),"00000")="89011", TEXT(TRIM(N6),"00000")="89012"), "Suburban SE",
  OR(TEXT(TRIM(N6),"00000")="89117", TEXT(TRIM(N6),"00000")="89128", TEXT(TRIM(N6),"00000")="89135", TEXT(TRIM(N6),"00000")="89144", TEXT(TRIM(N6),"00000")="89145", TEXT(TRIM(N6),"00000")="89147"), "West Valley",
  TRUE, "Other"
)</f>
        <v>Urban Core</v>
      </c>
      <c r="P6" t="s">
        <v>1073</v>
      </c>
      <c r="Q6" t="str">
        <f t="shared" si="2"/>
        <v>Home/Residence</v>
      </c>
      <c r="R6" t="s">
        <v>4919</v>
      </c>
      <c r="S6" t="s">
        <v>5097</v>
      </c>
      <c r="T6" t="str" cm="1">
        <f t="array" ref="T6">_xlfn.IFS(
  TEXT(TRIM(S6),"00000")="NULL", "Missing/Unknown",
  OR(TEXT(TRIM(S6),"00000")="89101", TEXT(TRIM(S6),"00000")="89104", TEXT(TRIM(S6),"00000")="89106", TEXT(TRIM(S6),"00000")="89102", TEXT(TRIM(S6),"00000")="89107", TEXT(TRIM(S6),"00000")="89108"), "Urban Core",
  OR(TEXT(TRIM(S6),"00000")="89110", TEXT(TRIM(S6),"00000")="89115", TEXT(TRIM(S6),"00000")="89121", TEXT(TRIM(S6),"00000")="89122", TEXT(TRIM(S6),"00000")="89142", TEXT(TRIM(S6),"00000")="89156"), "East Valley",
  OR(TEXT(TRIM(S6),"00000")="89030", TEXT(TRIM(S6),"00000")="89031", TEXT(TRIM(S6),"00000")="89032", TEXT(TRIM(S6),"00000")="89086", TEXT(TRIM(S6),"00000")="89084", TEXT(TRIM(S6),"00000")="89081"), "North LV",
  OR(TEXT(TRIM(S6),"00000")="89109", TEXT(TRIM(S6),"00000")="89103", TEXT(TRIM(S6),"00000")="89119", TEXT(TRIM(S6),"00000")="89123", TEXT(TRIM(S6),"00000")="89169", TEXT(TRIM(S6),"00000")="89118"), "South/Strip",
  OR(TEXT(TRIM(S6),"00000")="89074", TEXT(TRIM(S6),"00000")="89014", TEXT(TRIM(S6),"00000")="89015", TEXT(TRIM(S6),"00000")="89011", TEXT(TRIM(S6),"00000")="89012"), "Suburban SE",
  OR(TEXT(TRIM(S6),"00000")="89117", TEXT(TRIM(S6),"00000")="89128", TEXT(TRIM(S6),"00000")="89135", TEXT(TRIM(S6),"00000")="89144", TEXT(TRIM(S6),"00000")="89145", TEXT(TRIM(S6),"00000")="89147"), "West Valley",
  TRUE, "Other"
)</f>
        <v>Urban Core</v>
      </c>
      <c r="U6" t="s">
        <v>1073</v>
      </c>
      <c r="V6" t="str">
        <f t="shared" si="3"/>
        <v>Home/Residence</v>
      </c>
    </row>
    <row r="7" spans="1:22">
      <c r="A7" t="s">
        <v>2442</v>
      </c>
      <c r="B7" t="s">
        <v>2443</v>
      </c>
      <c r="C7" s="1">
        <v>45571</v>
      </c>
      <c r="D7" s="4">
        <v>100.94</v>
      </c>
      <c r="E7">
        <v>48</v>
      </c>
      <c r="F7" t="str">
        <f t="shared" si="0"/>
        <v>40's</v>
      </c>
      <c r="G7" t="str" cm="1">
        <f t="array" ref="G7">_xlfn.IFS(
  F7="10's", "Child (5–12)",
  OR(F7="20's", F7="30's"), "Young Adult (20–39)",
  OR(F7="40's", F7="50's"), "Adult (40–59)",
  OR(F7="60's", F7="70's", F7="80's", F7="90's"), "Senior (60+)",
  TRUE, "Unknown"
)</f>
        <v>Adult (40–59)</v>
      </c>
      <c r="H7" t="s">
        <v>841</v>
      </c>
      <c r="I7" t="s">
        <v>58</v>
      </c>
      <c r="J7" t="str">
        <f t="shared" si="1"/>
        <v>Ethanol-related</v>
      </c>
      <c r="K7" t="s">
        <v>2444</v>
      </c>
      <c r="L7" t="s">
        <v>250</v>
      </c>
      <c r="N7" t="s">
        <v>5095</v>
      </c>
      <c r="O7" t="str" cm="1">
        <f t="array" ref="O7">_xlfn.IFS(
  TEXT(TRIM(N7),"00000")="NULL", "Missing/Unknown",
  OR(TEXT(TRIM(N7),"00000")="89101", TEXT(TRIM(N7),"00000")="89104", TEXT(TRIM(N7),"00000")="89106", TEXT(TRIM(N7),"00000")="89102", TEXT(TRIM(N7),"00000")="89107", TEXT(TRIM(N7),"00000")="89108"), "Urban Core",
  OR(TEXT(TRIM(N7),"00000")="89110", TEXT(TRIM(N7),"00000")="89115", TEXT(TRIM(N7),"00000")="89121", TEXT(TRIM(N7),"00000")="89122", TEXT(TRIM(N7),"00000")="89142", TEXT(TRIM(N7),"00000")="89156"), "East Valley",
  OR(TEXT(TRIM(N7),"00000")="89030", TEXT(TRIM(N7),"00000")="89031", TEXT(TRIM(N7),"00000")="89032", TEXT(TRIM(N7),"00000")="89086", TEXT(TRIM(N7),"00000")="89084", TEXT(TRIM(N7),"00000")="89081"), "North LV",
  OR(TEXT(TRIM(N7),"00000")="89109", TEXT(TRIM(N7),"00000")="89103", TEXT(TRIM(N7),"00000")="89119", TEXT(TRIM(N7),"00000")="89123", TEXT(TRIM(N7),"00000")="89169", TEXT(TRIM(N7),"00000")="89118"), "South/Strip",
  OR(TEXT(TRIM(N7),"00000")="89074", TEXT(TRIM(N7),"00000")="89014", TEXT(TRIM(N7),"00000")="89015", TEXT(TRIM(N7),"00000")="89011", TEXT(TRIM(N7),"00000")="89012"), "Suburban SE",
  OR(TEXT(TRIM(N7),"00000")="89117", TEXT(TRIM(N7),"00000")="89128", TEXT(TRIM(N7),"00000")="89135", TEXT(TRIM(N7),"00000")="89144", TEXT(TRIM(N7),"00000")="89145", TEXT(TRIM(N7),"00000")="89147"), "West Valley",
  TRUE, "Other"
)</f>
        <v>Missing/Unknown</v>
      </c>
      <c r="P7" t="s">
        <v>3298</v>
      </c>
      <c r="Q7" t="str">
        <f t="shared" si="2"/>
        <v>Outdoors/Public</v>
      </c>
      <c r="S7" t="s">
        <v>5095</v>
      </c>
      <c r="T7" t="str" cm="1">
        <f t="array" ref="T7">_xlfn.IFS(
  TEXT(TRIM(S7),"00000")="NULL", "Missing/Unknown",
  OR(TEXT(TRIM(S7),"00000")="89101", TEXT(TRIM(S7),"00000")="89104", TEXT(TRIM(S7),"00000")="89106", TEXT(TRIM(S7),"00000")="89102", TEXT(TRIM(S7),"00000")="89107", TEXT(TRIM(S7),"00000")="89108"), "Urban Core",
  OR(TEXT(TRIM(S7),"00000")="89110", TEXT(TRIM(S7),"00000")="89115", TEXT(TRIM(S7),"00000")="89121", TEXT(TRIM(S7),"00000")="89122", TEXT(TRIM(S7),"00000")="89142", TEXT(TRIM(S7),"00000")="89156"), "East Valley",
  OR(TEXT(TRIM(S7),"00000")="89030", TEXT(TRIM(S7),"00000")="89031", TEXT(TRIM(S7),"00000")="89032", TEXT(TRIM(S7),"00000")="89086", TEXT(TRIM(S7),"00000")="89084", TEXT(TRIM(S7),"00000")="89081"), "North LV",
  OR(TEXT(TRIM(S7),"00000")="89109", TEXT(TRIM(S7),"00000")="89103", TEXT(TRIM(S7),"00000")="89119", TEXT(TRIM(S7),"00000")="89123", TEXT(TRIM(S7),"00000")="89169", TEXT(TRIM(S7),"00000")="89118"), "South/Strip",
  OR(TEXT(TRIM(S7),"00000")="89074", TEXT(TRIM(S7),"00000")="89014", TEXT(TRIM(S7),"00000")="89015", TEXT(TRIM(S7),"00000")="89011", TEXT(TRIM(S7),"00000")="89012"), "Suburban SE",
  OR(TEXT(TRIM(S7),"00000")="89117", TEXT(TRIM(S7),"00000")="89128", TEXT(TRIM(S7),"00000")="89135", TEXT(TRIM(S7),"00000")="89144", TEXT(TRIM(S7),"00000")="89145", TEXT(TRIM(S7),"00000")="89147"), "West Valley",
  TRUE, "Other"
)</f>
        <v>Missing/Unknown</v>
      </c>
      <c r="U7" t="s">
        <v>3298</v>
      </c>
      <c r="V7" t="str">
        <f t="shared" si="3"/>
        <v>Outdoors/Public</v>
      </c>
    </row>
    <row r="8" spans="1:22">
      <c r="A8" t="s">
        <v>3890</v>
      </c>
      <c r="B8" t="s">
        <v>3891</v>
      </c>
      <c r="C8" s="1">
        <v>45570</v>
      </c>
      <c r="D8" s="4">
        <v>102.02</v>
      </c>
      <c r="E8">
        <v>59</v>
      </c>
      <c r="F8" t="str">
        <f t="shared" si="0"/>
        <v>50's</v>
      </c>
      <c r="G8" t="str" cm="1">
        <f t="array" ref="G8">_xlfn.IFS(
  F8="10's", "Child (5–12)",
  OR(F8="20's", F8="30's"), "Young Adult (20–39)",
  OR(F8="40's", F8="50's"), "Adult (40–59)",
  OR(F8="60's", F8="70's", F8="80's", F8="90's"), "Senior (60+)",
  TRUE, "Unknown"
)</f>
        <v>Adult (40–59)</v>
      </c>
      <c r="H8" t="s">
        <v>841</v>
      </c>
      <c r="I8" t="s">
        <v>830</v>
      </c>
      <c r="J8" t="str">
        <f t="shared" si="1"/>
        <v>Methamphetamine-related</v>
      </c>
      <c r="K8" t="s">
        <v>35</v>
      </c>
      <c r="L8" t="s">
        <v>250</v>
      </c>
      <c r="M8" t="s">
        <v>4659</v>
      </c>
      <c r="N8" t="s">
        <v>5098</v>
      </c>
      <c r="O8" t="str" cm="1">
        <f t="array" ref="O8">_xlfn.IFS(
  TEXT(TRIM(N8),"00000")="NULL", "Missing/Unknown",
  OR(TEXT(TRIM(N8),"00000")="89101", TEXT(TRIM(N8),"00000")="89104", TEXT(TRIM(N8),"00000")="89106", TEXT(TRIM(N8),"00000")="89102", TEXT(TRIM(N8),"00000")="89107", TEXT(TRIM(N8),"00000")="89108"), "Urban Core",
  OR(TEXT(TRIM(N8),"00000")="89110", TEXT(TRIM(N8),"00000")="89115", TEXT(TRIM(N8),"00000")="89121", TEXT(TRIM(N8),"00000")="89122", TEXT(TRIM(N8),"00000")="89142", TEXT(TRIM(N8),"00000")="89156"), "East Valley",
  OR(TEXT(TRIM(N8),"00000")="89030", TEXT(TRIM(N8),"00000")="89031", TEXT(TRIM(N8),"00000")="89032", TEXT(TRIM(N8),"00000")="89086", TEXT(TRIM(N8),"00000")="89084", TEXT(TRIM(N8),"00000")="89081"), "North LV",
  OR(TEXT(TRIM(N8),"00000")="89109", TEXT(TRIM(N8),"00000")="89103", TEXT(TRIM(N8),"00000")="89119", TEXT(TRIM(N8),"00000")="89123", TEXT(TRIM(N8),"00000")="89169", TEXT(TRIM(N8),"00000")="89118"), "South/Strip",
  OR(TEXT(TRIM(N8),"00000")="89074", TEXT(TRIM(N8),"00000")="89014", TEXT(TRIM(N8),"00000")="89015", TEXT(TRIM(N8),"00000")="89011", TEXT(TRIM(N8),"00000")="89012"), "Suburban SE",
  OR(TEXT(TRIM(N8),"00000")="89117", TEXT(TRIM(N8),"00000")="89128", TEXT(TRIM(N8),"00000")="89135", TEXT(TRIM(N8),"00000")="89144", TEXT(TRIM(N8),"00000")="89145", TEXT(TRIM(N8),"00000")="89147"), "West Valley",
  TRUE, "Other"
)</f>
        <v>Urban Core</v>
      </c>
      <c r="P8" t="s">
        <v>3298</v>
      </c>
      <c r="Q8" t="str">
        <f t="shared" si="2"/>
        <v>Outdoors/Public</v>
      </c>
      <c r="R8" t="s">
        <v>4659</v>
      </c>
      <c r="S8" t="s">
        <v>5098</v>
      </c>
      <c r="T8" t="str" cm="1">
        <f t="array" ref="T8">_xlfn.IFS(
  TEXT(TRIM(S8),"00000")="NULL", "Missing/Unknown",
  OR(TEXT(TRIM(S8),"00000")="89101", TEXT(TRIM(S8),"00000")="89104", TEXT(TRIM(S8),"00000")="89106", TEXT(TRIM(S8),"00000")="89102", TEXT(TRIM(S8),"00000")="89107", TEXT(TRIM(S8),"00000")="89108"), "Urban Core",
  OR(TEXT(TRIM(S8),"00000")="89110", TEXT(TRIM(S8),"00000")="89115", TEXT(TRIM(S8),"00000")="89121", TEXT(TRIM(S8),"00000")="89122", TEXT(TRIM(S8),"00000")="89142", TEXT(TRIM(S8),"00000")="89156"), "East Valley",
  OR(TEXT(TRIM(S8),"00000")="89030", TEXT(TRIM(S8),"00000")="89031", TEXT(TRIM(S8),"00000")="89032", TEXT(TRIM(S8),"00000")="89086", TEXT(TRIM(S8),"00000")="89084", TEXT(TRIM(S8),"00000")="89081"), "North LV",
  OR(TEXT(TRIM(S8),"00000")="89109", TEXT(TRIM(S8),"00000")="89103", TEXT(TRIM(S8),"00000")="89119", TEXT(TRIM(S8),"00000")="89123", TEXT(TRIM(S8),"00000")="89169", TEXT(TRIM(S8),"00000")="89118"), "South/Strip",
  OR(TEXT(TRIM(S8),"00000")="89074", TEXT(TRIM(S8),"00000")="89014", TEXT(TRIM(S8),"00000")="89015", TEXT(TRIM(S8),"00000")="89011", TEXT(TRIM(S8),"00000")="89012"), "Suburban SE",
  OR(TEXT(TRIM(S8),"00000")="89117", TEXT(TRIM(S8),"00000")="89128", TEXT(TRIM(S8),"00000")="89135", TEXT(TRIM(S8),"00000")="89144", TEXT(TRIM(S8),"00000")="89145", TEXT(TRIM(S8),"00000")="89147"), "West Valley",
  TRUE, "Other"
)</f>
        <v>Urban Core</v>
      </c>
      <c r="U8" t="s">
        <v>3298</v>
      </c>
      <c r="V8" t="str">
        <f t="shared" si="3"/>
        <v>Outdoors/Public</v>
      </c>
    </row>
    <row r="9" spans="1:22">
      <c r="A9" t="s">
        <v>3734</v>
      </c>
      <c r="B9" t="s">
        <v>3735</v>
      </c>
      <c r="C9" s="1">
        <v>45569</v>
      </c>
      <c r="D9" s="4">
        <v>105.08</v>
      </c>
      <c r="E9">
        <v>65</v>
      </c>
      <c r="F9" t="str">
        <f t="shared" si="0"/>
        <v>60's</v>
      </c>
      <c r="G9" t="str" cm="1">
        <f t="array" ref="G9">_xlfn.IFS(
  F9="10's", "Child (5–12)",
  OR(F9="20's", F9="30's"), "Young Adult (20–39)",
  OR(F9="40's", F9="50's"), "Adult (40–59)",
  OR(F9="60's", F9="70's", F9="80's", F9="90's"), "Senior (60+)",
  TRUE, "Unknown"
)</f>
        <v>Senior (60+)</v>
      </c>
      <c r="H9" t="s">
        <v>778</v>
      </c>
      <c r="I9" t="s">
        <v>135</v>
      </c>
      <c r="J9" t="str">
        <f t="shared" si="1"/>
        <v>Methamphetamine-related</v>
      </c>
      <c r="K9" t="s">
        <v>4137</v>
      </c>
      <c r="L9" t="s">
        <v>250</v>
      </c>
      <c r="N9" t="s">
        <v>5095</v>
      </c>
      <c r="O9" t="str" cm="1">
        <f t="array" ref="O9">_xlfn.IFS(
  TEXT(TRIM(N9),"00000")="NULL", "Missing/Unknown",
  OR(TEXT(TRIM(N9),"00000")="89101", TEXT(TRIM(N9),"00000")="89104", TEXT(TRIM(N9),"00000")="89106", TEXT(TRIM(N9),"00000")="89102", TEXT(TRIM(N9),"00000")="89107", TEXT(TRIM(N9),"00000")="89108"), "Urban Core",
  OR(TEXT(TRIM(N9),"00000")="89110", TEXT(TRIM(N9),"00000")="89115", TEXT(TRIM(N9),"00000")="89121", TEXT(TRIM(N9),"00000")="89122", TEXT(TRIM(N9),"00000")="89142", TEXT(TRIM(N9),"00000")="89156"), "East Valley",
  OR(TEXT(TRIM(N9),"00000")="89030", TEXT(TRIM(N9),"00000")="89031", TEXT(TRIM(N9),"00000")="89032", TEXT(TRIM(N9),"00000")="89086", TEXT(TRIM(N9),"00000")="89084", TEXT(TRIM(N9),"00000")="89081"), "North LV",
  OR(TEXT(TRIM(N9),"00000")="89109", TEXT(TRIM(N9),"00000")="89103", TEXT(TRIM(N9),"00000")="89119", TEXT(TRIM(N9),"00000")="89123", TEXT(TRIM(N9),"00000")="89169", TEXT(TRIM(N9),"00000")="89118"), "South/Strip",
  OR(TEXT(TRIM(N9),"00000")="89074", TEXT(TRIM(N9),"00000")="89014", TEXT(TRIM(N9),"00000")="89015", TEXT(TRIM(N9),"00000")="89011", TEXT(TRIM(N9),"00000")="89012"), "Suburban SE",
  OR(TEXT(TRIM(N9),"00000")="89117", TEXT(TRIM(N9),"00000")="89128", TEXT(TRIM(N9),"00000")="89135", TEXT(TRIM(N9),"00000")="89144", TEXT(TRIM(N9),"00000")="89145", TEXT(TRIM(N9),"00000")="89147"), "West Valley",
  TRUE, "Other"
)</f>
        <v>Missing/Unknown</v>
      </c>
      <c r="P9" t="s">
        <v>3298</v>
      </c>
      <c r="Q9" t="str">
        <f t="shared" si="2"/>
        <v>Outdoors/Public</v>
      </c>
      <c r="R9" t="s">
        <v>4576</v>
      </c>
      <c r="S9" t="s">
        <v>5118</v>
      </c>
      <c r="T9" t="str" cm="1">
        <f t="array" ref="T9">_xlfn.IFS(
  TEXT(TRIM(S9),"00000")="NULL", "Missing/Unknown",
  OR(TEXT(TRIM(S9),"00000")="89101", TEXT(TRIM(S9),"00000")="89104", TEXT(TRIM(S9),"00000")="89106", TEXT(TRIM(S9),"00000")="89102", TEXT(TRIM(S9),"00000")="89107", TEXT(TRIM(S9),"00000")="89108"), "Urban Core",
  OR(TEXT(TRIM(S9),"00000")="89110", TEXT(TRIM(S9),"00000")="89115", TEXT(TRIM(S9),"00000")="89121", TEXT(TRIM(S9),"00000")="89122", TEXT(TRIM(S9),"00000")="89142", TEXT(TRIM(S9),"00000")="89156"), "East Valley",
  OR(TEXT(TRIM(S9),"00000")="89030", TEXT(TRIM(S9),"00000")="89031", TEXT(TRIM(S9),"00000")="89032", TEXT(TRIM(S9),"00000")="89086", TEXT(TRIM(S9),"00000")="89084", TEXT(TRIM(S9),"00000")="89081"), "North LV",
  OR(TEXT(TRIM(S9),"00000")="89109", TEXT(TRIM(S9),"00000")="89103", TEXT(TRIM(S9),"00000")="89119", TEXT(TRIM(S9),"00000")="89123", TEXT(TRIM(S9),"00000")="89169", TEXT(TRIM(S9),"00000")="89118"), "South/Strip",
  OR(TEXT(TRIM(S9),"00000")="89074", TEXT(TRIM(S9),"00000")="89014", TEXT(TRIM(S9),"00000")="89015", TEXT(TRIM(S9),"00000")="89011", TEXT(TRIM(S9),"00000")="89012"), "Suburban SE",
  OR(TEXT(TRIM(S9),"00000")="89117", TEXT(TRIM(S9),"00000")="89128", TEXT(TRIM(S9),"00000")="89135", TEXT(TRIM(S9),"00000")="89144", TEXT(TRIM(S9),"00000")="89145", TEXT(TRIM(S9),"00000")="89147"), "West Valley",
  TRUE, "Other"
)</f>
        <v>South/Strip</v>
      </c>
      <c r="U9" t="s">
        <v>2433</v>
      </c>
      <c r="V9" t="str">
        <f t="shared" si="3"/>
        <v>Medical Facility</v>
      </c>
    </row>
    <row r="10" spans="1:22">
      <c r="A10" t="s">
        <v>3886</v>
      </c>
      <c r="B10" t="s">
        <v>3887</v>
      </c>
      <c r="C10" s="1">
        <v>45569</v>
      </c>
      <c r="D10" s="4">
        <v>105.08</v>
      </c>
      <c r="E10">
        <v>39</v>
      </c>
      <c r="F10" t="str">
        <f t="shared" si="0"/>
        <v>30's</v>
      </c>
      <c r="G10" t="str" cm="1">
        <f t="array" ref="G10">_xlfn.IFS(
  F10="10's", "Child (5–12)",
  OR(F10="20's", F10="30's"), "Young Adult (20–39)",
  OR(F10="40's", F10="50's"), "Adult (40–59)",
  OR(F10="60's", F10="70's", F10="80's", F10="90's"), "Senior (60+)",
  TRUE, "Unknown"
)</f>
        <v>Young Adult (20–39)</v>
      </c>
      <c r="H10" t="s">
        <v>841</v>
      </c>
      <c r="I10" t="s">
        <v>830</v>
      </c>
      <c r="J10" t="str">
        <f t="shared" si="1"/>
        <v>Methamphetamine-related</v>
      </c>
      <c r="K10" t="s">
        <v>3888</v>
      </c>
      <c r="L10" t="s">
        <v>250</v>
      </c>
      <c r="M10" t="s">
        <v>4660</v>
      </c>
      <c r="N10" t="s">
        <v>5099</v>
      </c>
      <c r="O10" t="str" cm="1">
        <f t="array" ref="O10">_xlfn.IFS(
  TEXT(TRIM(N10),"00000")="NULL", "Missing/Unknown",
  OR(TEXT(TRIM(N10),"00000")="89101", TEXT(TRIM(N10),"00000")="89104", TEXT(TRIM(N10),"00000")="89106", TEXT(TRIM(N10),"00000")="89102", TEXT(TRIM(N10),"00000")="89107", TEXT(TRIM(N10),"00000")="89108"), "Urban Core",
  OR(TEXT(TRIM(N10),"00000")="89110", TEXT(TRIM(N10),"00000")="89115", TEXT(TRIM(N10),"00000")="89121", TEXT(TRIM(N10),"00000")="89122", TEXT(TRIM(N10),"00000")="89142", TEXT(TRIM(N10),"00000")="89156"), "East Valley",
  OR(TEXT(TRIM(N10),"00000")="89030", TEXT(TRIM(N10),"00000")="89031", TEXT(TRIM(N10),"00000")="89032", TEXT(TRIM(N10),"00000")="89086", TEXT(TRIM(N10),"00000")="89084", TEXT(TRIM(N10),"00000")="89081"), "North LV",
  OR(TEXT(TRIM(N10),"00000")="89109", TEXT(TRIM(N10),"00000")="89103", TEXT(TRIM(N10),"00000")="89119", TEXT(TRIM(N10),"00000")="89123", TEXT(TRIM(N10),"00000")="89169", TEXT(TRIM(N10),"00000")="89118"), "South/Strip",
  OR(TEXT(TRIM(N10),"00000")="89074", TEXT(TRIM(N10),"00000")="89014", TEXT(TRIM(N10),"00000")="89015", TEXT(TRIM(N10),"00000")="89011", TEXT(TRIM(N10),"00000")="89012"), "Suburban SE",
  OR(TEXT(TRIM(N10),"00000")="89117", TEXT(TRIM(N10),"00000")="89128", TEXT(TRIM(N10),"00000")="89135", TEXT(TRIM(N10),"00000")="89144", TEXT(TRIM(N10),"00000")="89145", TEXT(TRIM(N10),"00000")="89147"), "West Valley",
  TRUE, "Other"
)</f>
        <v>Urban Core</v>
      </c>
      <c r="P10" t="s">
        <v>3298</v>
      </c>
      <c r="Q10" t="str">
        <f t="shared" si="2"/>
        <v>Outdoors/Public</v>
      </c>
      <c r="R10" t="s">
        <v>4660</v>
      </c>
      <c r="S10" t="s">
        <v>5099</v>
      </c>
      <c r="T10" t="str" cm="1">
        <f t="array" ref="T10">_xlfn.IFS(
  TEXT(TRIM(S10),"00000")="NULL", "Missing/Unknown",
  OR(TEXT(TRIM(S10),"00000")="89101", TEXT(TRIM(S10),"00000")="89104", TEXT(TRIM(S10),"00000")="89106", TEXT(TRIM(S10),"00000")="89102", TEXT(TRIM(S10),"00000")="89107", TEXT(TRIM(S10),"00000")="89108"), "Urban Core",
  OR(TEXT(TRIM(S10),"00000")="89110", TEXT(TRIM(S10),"00000")="89115", TEXT(TRIM(S10),"00000")="89121", TEXT(TRIM(S10),"00000")="89122", TEXT(TRIM(S10),"00000")="89142", TEXT(TRIM(S10),"00000")="89156"), "East Valley",
  OR(TEXT(TRIM(S10),"00000")="89030", TEXT(TRIM(S10),"00000")="89031", TEXT(TRIM(S10),"00000")="89032", TEXT(TRIM(S10),"00000")="89086", TEXT(TRIM(S10),"00000")="89084", TEXT(TRIM(S10),"00000")="89081"), "North LV",
  OR(TEXT(TRIM(S10),"00000")="89109", TEXT(TRIM(S10),"00000")="89103", TEXT(TRIM(S10),"00000")="89119", TEXT(TRIM(S10),"00000")="89123", TEXT(TRIM(S10),"00000")="89169", TEXT(TRIM(S10),"00000")="89118"), "South/Strip",
  OR(TEXT(TRIM(S10),"00000")="89074", TEXT(TRIM(S10),"00000")="89014", TEXT(TRIM(S10),"00000")="89015", TEXT(TRIM(S10),"00000")="89011", TEXT(TRIM(S10),"00000")="89012"), "Suburban SE",
  OR(TEXT(TRIM(S10),"00000")="89117", TEXT(TRIM(S10),"00000")="89128", TEXT(TRIM(S10),"00000")="89135", TEXT(TRIM(S10),"00000")="89144", TEXT(TRIM(S10),"00000")="89145", TEXT(TRIM(S10),"00000")="89147"), "West Valley",
  TRUE, "Other"
)</f>
        <v>Urban Core</v>
      </c>
      <c r="U10" t="s">
        <v>3298</v>
      </c>
      <c r="V10" t="str">
        <f t="shared" si="3"/>
        <v>Outdoors/Public</v>
      </c>
    </row>
    <row r="11" spans="1:22">
      <c r="A11" t="s">
        <v>3540</v>
      </c>
      <c r="B11" t="s">
        <v>3541</v>
      </c>
      <c r="C11" s="1">
        <v>45565</v>
      </c>
      <c r="D11" s="4">
        <v>102.92</v>
      </c>
      <c r="E11">
        <v>41</v>
      </c>
      <c r="F11" t="str">
        <f t="shared" si="0"/>
        <v>40's</v>
      </c>
      <c r="G11" t="str" cm="1">
        <f t="array" ref="G11">_xlfn.IFS(
  F11="10's", "Child (5–12)",
  OR(F11="20's", F11="30's"), "Young Adult (20–39)",
  OR(F11="40's", F11="50's"), "Adult (40–59)",
  OR(F11="60's", F11="70's", F11="80's", F11="90's"), "Senior (60+)",
  TRUE, "Unknown"
)</f>
        <v>Adult (40–59)</v>
      </c>
      <c r="H11" t="s">
        <v>27</v>
      </c>
      <c r="I11" t="s">
        <v>28</v>
      </c>
      <c r="J11" t="str">
        <f t="shared" si="1"/>
        <v>Cardiovascular Disease</v>
      </c>
      <c r="K11" t="s">
        <v>4138</v>
      </c>
      <c r="L11" t="s">
        <v>250</v>
      </c>
      <c r="M11" t="s">
        <v>4317</v>
      </c>
      <c r="N11" t="s">
        <v>5100</v>
      </c>
      <c r="O11" t="str" cm="1">
        <f t="array" ref="O11">_xlfn.IFS(
  TEXT(TRIM(N11),"00000")="NULL", "Missing/Unknown",
  OR(TEXT(TRIM(N11),"00000")="89101", TEXT(TRIM(N11),"00000")="89104", TEXT(TRIM(N11),"00000")="89106", TEXT(TRIM(N11),"00000")="89102", TEXT(TRIM(N11),"00000")="89107", TEXT(TRIM(N11),"00000")="89108"), "Urban Core",
  OR(TEXT(TRIM(N11),"00000")="89110", TEXT(TRIM(N11),"00000")="89115", TEXT(TRIM(N11),"00000")="89121", TEXT(TRIM(N11),"00000")="89122", TEXT(TRIM(N11),"00000")="89142", TEXT(TRIM(N11),"00000")="89156"), "East Valley",
  OR(TEXT(TRIM(N11),"00000")="89030", TEXT(TRIM(N11),"00000")="89031", TEXT(TRIM(N11),"00000")="89032", TEXT(TRIM(N11),"00000")="89086", TEXT(TRIM(N11),"00000")="89084", TEXT(TRIM(N11),"00000")="89081"), "North LV",
  OR(TEXT(TRIM(N11),"00000")="89109", TEXT(TRIM(N11),"00000")="89103", TEXT(TRIM(N11),"00000")="89119", TEXT(TRIM(N11),"00000")="89123", TEXT(TRIM(N11),"00000")="89169", TEXT(TRIM(N11),"00000")="89118"), "South/Strip",
  OR(TEXT(TRIM(N11),"00000")="89074", TEXT(TRIM(N11),"00000")="89014", TEXT(TRIM(N11),"00000")="89015", TEXT(TRIM(N11),"00000")="89011", TEXT(TRIM(N11),"00000")="89012"), "Suburban SE",
  OR(TEXT(TRIM(N11),"00000")="89117", TEXT(TRIM(N11),"00000")="89128", TEXT(TRIM(N11),"00000")="89135", TEXT(TRIM(N11),"00000")="89144", TEXT(TRIM(N11),"00000")="89145", TEXT(TRIM(N11),"00000")="89147"), "West Valley",
  TRUE, "Other"
)</f>
        <v>North LV</v>
      </c>
      <c r="P11" t="s">
        <v>3298</v>
      </c>
      <c r="Q11" t="str">
        <f t="shared" si="2"/>
        <v>Outdoors/Public</v>
      </c>
      <c r="R11" t="s">
        <v>4317</v>
      </c>
      <c r="S11" t="s">
        <v>5100</v>
      </c>
      <c r="T11" t="str" cm="1">
        <f t="array" ref="T11">_xlfn.IFS(
  TEXT(TRIM(S11),"00000")="NULL", "Missing/Unknown",
  OR(TEXT(TRIM(S11),"00000")="89101", TEXT(TRIM(S11),"00000")="89104", TEXT(TRIM(S11),"00000")="89106", TEXT(TRIM(S11),"00000")="89102", TEXT(TRIM(S11),"00000")="89107", TEXT(TRIM(S11),"00000")="89108"), "Urban Core",
  OR(TEXT(TRIM(S11),"00000")="89110", TEXT(TRIM(S11),"00000")="89115", TEXT(TRIM(S11),"00000")="89121", TEXT(TRIM(S11),"00000")="89122", TEXT(TRIM(S11),"00000")="89142", TEXT(TRIM(S11),"00000")="89156"), "East Valley",
  OR(TEXT(TRIM(S11),"00000")="89030", TEXT(TRIM(S11),"00000")="89031", TEXT(TRIM(S11),"00000")="89032", TEXT(TRIM(S11),"00000")="89086", TEXT(TRIM(S11),"00000")="89084", TEXT(TRIM(S11),"00000")="89081"), "North LV",
  OR(TEXT(TRIM(S11),"00000")="89109", TEXT(TRIM(S11),"00000")="89103", TEXT(TRIM(S11),"00000")="89119", TEXT(TRIM(S11),"00000")="89123", TEXT(TRIM(S11),"00000")="89169", TEXT(TRIM(S11),"00000")="89118"), "South/Strip",
  OR(TEXT(TRIM(S11),"00000")="89074", TEXT(TRIM(S11),"00000")="89014", TEXT(TRIM(S11),"00000")="89015", TEXT(TRIM(S11),"00000")="89011", TEXT(TRIM(S11),"00000")="89012"), "Suburban SE",
  OR(TEXT(TRIM(S11),"00000")="89117", TEXT(TRIM(S11),"00000")="89128", TEXT(TRIM(S11),"00000")="89135", TEXT(TRIM(S11),"00000")="89144", TEXT(TRIM(S11),"00000")="89145", TEXT(TRIM(S11),"00000")="89147"), "West Valley",
  TRUE, "Other"
)</f>
        <v>North LV</v>
      </c>
      <c r="U11" t="s">
        <v>3298</v>
      </c>
      <c r="V11" t="str">
        <f t="shared" si="3"/>
        <v>Outdoors/Public</v>
      </c>
    </row>
    <row r="12" spans="1:22">
      <c r="A12" t="s">
        <v>2574</v>
      </c>
      <c r="B12" t="s">
        <v>2575</v>
      </c>
      <c r="C12" s="1">
        <v>45564</v>
      </c>
      <c r="D12" s="4">
        <v>104</v>
      </c>
      <c r="E12">
        <v>26</v>
      </c>
      <c r="F12" t="str">
        <f t="shared" si="0"/>
        <v>20's</v>
      </c>
      <c r="G12" t="str" cm="1">
        <f t="array" ref="G12">_xlfn.IFS(
  F12="10's", "Child (5–12)",
  OR(F12="20's", F12="30's"), "Young Adult (20–39)",
  OR(F12="40's", F12="50's"), "Adult (40–59)",
  OR(F12="60's", F12="70's", F12="80's", F12="90's"), "Senior (60+)",
  TRUE, "Unknown"
)</f>
        <v>Young Adult (20–39)</v>
      </c>
      <c r="H12" t="s">
        <v>27</v>
      </c>
      <c r="I12" t="s">
        <v>2570</v>
      </c>
      <c r="J12" t="str">
        <f t="shared" si="1"/>
        <v>Other / Unknown</v>
      </c>
      <c r="K12" t="s">
        <v>54</v>
      </c>
      <c r="L12" t="s">
        <v>250</v>
      </c>
      <c r="N12" t="s">
        <v>5095</v>
      </c>
      <c r="O12" t="str" cm="1">
        <f t="array" ref="O12">_xlfn.IFS(
  TEXT(TRIM(N12),"00000")="NULL", "Missing/Unknown",
  OR(TEXT(TRIM(N12),"00000")="89101", TEXT(TRIM(N12),"00000")="89104", TEXT(TRIM(N12),"00000")="89106", TEXT(TRIM(N12),"00000")="89102", TEXT(TRIM(N12),"00000")="89107", TEXT(TRIM(N12),"00000")="89108"), "Urban Core",
  OR(TEXT(TRIM(N12),"00000")="89110", TEXT(TRIM(N12),"00000")="89115", TEXT(TRIM(N12),"00000")="89121", TEXT(TRIM(N12),"00000")="89122", TEXT(TRIM(N12),"00000")="89142", TEXT(TRIM(N12),"00000")="89156"), "East Valley",
  OR(TEXT(TRIM(N12),"00000")="89030", TEXT(TRIM(N12),"00000")="89031", TEXT(TRIM(N12),"00000")="89032", TEXT(TRIM(N12),"00000")="89086", TEXT(TRIM(N12),"00000")="89084", TEXT(TRIM(N12),"00000")="89081"), "North LV",
  OR(TEXT(TRIM(N12),"00000")="89109", TEXT(TRIM(N12),"00000")="89103", TEXT(TRIM(N12),"00000")="89119", TEXT(TRIM(N12),"00000")="89123", TEXT(TRIM(N12),"00000")="89169", TEXT(TRIM(N12),"00000")="89118"), "South/Strip",
  OR(TEXT(TRIM(N12),"00000")="89074", TEXT(TRIM(N12),"00000")="89014", TEXT(TRIM(N12),"00000")="89015", TEXT(TRIM(N12),"00000")="89011", TEXT(TRIM(N12),"00000")="89012"), "Suburban SE",
  OR(TEXT(TRIM(N12),"00000")="89117", TEXT(TRIM(N12),"00000")="89128", TEXT(TRIM(N12),"00000")="89135", TEXT(TRIM(N12),"00000")="89144", TEXT(TRIM(N12),"00000")="89145", TEXT(TRIM(N12),"00000")="89147"), "West Valley",
  TRUE, "Other"
)</f>
        <v>Missing/Unknown</v>
      </c>
      <c r="P12" t="s">
        <v>2577</v>
      </c>
      <c r="Q12" t="str">
        <f t="shared" si="2"/>
        <v>Outdoors/Public</v>
      </c>
      <c r="R12" t="s">
        <v>4341</v>
      </c>
      <c r="S12" t="s">
        <v>5100</v>
      </c>
      <c r="T12" t="str" cm="1">
        <f t="array" ref="T12">_xlfn.IFS(
  TEXT(TRIM(S12),"00000")="NULL", "Missing/Unknown",
  OR(TEXT(TRIM(S12),"00000")="89101", TEXT(TRIM(S12),"00000")="89104", TEXT(TRIM(S12),"00000")="89106", TEXT(TRIM(S12),"00000")="89102", TEXT(TRIM(S12),"00000")="89107", TEXT(TRIM(S12),"00000")="89108"), "Urban Core",
  OR(TEXT(TRIM(S12),"00000")="89110", TEXT(TRIM(S12),"00000")="89115", TEXT(TRIM(S12),"00000")="89121", TEXT(TRIM(S12),"00000")="89122", TEXT(TRIM(S12),"00000")="89142", TEXT(TRIM(S12),"00000")="89156"), "East Valley",
  OR(TEXT(TRIM(S12),"00000")="89030", TEXT(TRIM(S12),"00000")="89031", TEXT(TRIM(S12),"00000")="89032", TEXT(TRIM(S12),"00000")="89086", TEXT(TRIM(S12),"00000")="89084", TEXT(TRIM(S12),"00000")="89081"), "North LV",
  OR(TEXT(TRIM(S12),"00000")="89109", TEXT(TRIM(S12),"00000")="89103", TEXT(TRIM(S12),"00000")="89119", TEXT(TRIM(S12),"00000")="89123", TEXT(TRIM(S12),"00000")="89169", TEXT(TRIM(S12),"00000")="89118"), "South/Strip",
  OR(TEXT(TRIM(S12),"00000")="89074", TEXT(TRIM(S12),"00000")="89014", TEXT(TRIM(S12),"00000")="89015", TEXT(TRIM(S12),"00000")="89011", TEXT(TRIM(S12),"00000")="89012"), "Suburban SE",
  OR(TEXT(TRIM(S12),"00000")="89117", TEXT(TRIM(S12),"00000")="89128", TEXT(TRIM(S12),"00000")="89135", TEXT(TRIM(S12),"00000")="89144", TEXT(TRIM(S12),"00000")="89145", TEXT(TRIM(S12),"00000")="89147"), "West Valley",
  TRUE, "Other"
)</f>
        <v>North LV</v>
      </c>
      <c r="U12" t="s">
        <v>4306</v>
      </c>
      <c r="V12" t="str">
        <f t="shared" si="3"/>
        <v>Medical Facility</v>
      </c>
    </row>
    <row r="13" spans="1:22">
      <c r="A13" t="s">
        <v>3956</v>
      </c>
      <c r="B13" t="s">
        <v>3957</v>
      </c>
      <c r="C13" s="1">
        <v>45563</v>
      </c>
      <c r="D13" s="4">
        <v>105.08</v>
      </c>
      <c r="E13">
        <v>61</v>
      </c>
      <c r="F13" t="str">
        <f t="shared" si="0"/>
        <v>60's</v>
      </c>
      <c r="G13" t="str" cm="1">
        <f t="array" ref="G13">_xlfn.IFS(
  F13="10's", "Child (5–12)",
  OR(F13="20's", F13="30's"), "Young Adult (20–39)",
  OR(F13="40's", F13="50's"), "Adult (40–59)",
  OR(F13="60's", F13="70's", F13="80's", F13="90's"), "Senior (60+)",
  TRUE, "Unknown"
)</f>
        <v>Senior (60+)</v>
      </c>
      <c r="H13" t="s">
        <v>841</v>
      </c>
      <c r="I13" t="s">
        <v>4010</v>
      </c>
      <c r="J13" t="str">
        <f t="shared" si="1"/>
        <v>Other / Unknown</v>
      </c>
      <c r="K13" t="s">
        <v>4139</v>
      </c>
      <c r="L13" t="s">
        <v>250</v>
      </c>
      <c r="N13" t="s">
        <v>5095</v>
      </c>
      <c r="O13" t="str" cm="1">
        <f t="array" ref="O13">_xlfn.IFS(
  TEXT(TRIM(N13),"00000")="NULL", "Missing/Unknown",
  OR(TEXT(TRIM(N13),"00000")="89101", TEXT(TRIM(N13),"00000")="89104", TEXT(TRIM(N13),"00000")="89106", TEXT(TRIM(N13),"00000")="89102", TEXT(TRIM(N13),"00000")="89107", TEXT(TRIM(N13),"00000")="89108"), "Urban Core",
  OR(TEXT(TRIM(N13),"00000")="89110", TEXT(TRIM(N13),"00000")="89115", TEXT(TRIM(N13),"00000")="89121", TEXT(TRIM(N13),"00000")="89122", TEXT(TRIM(N13),"00000")="89142", TEXT(TRIM(N13),"00000")="89156"), "East Valley",
  OR(TEXT(TRIM(N13),"00000")="89030", TEXT(TRIM(N13),"00000")="89031", TEXT(TRIM(N13),"00000")="89032", TEXT(TRIM(N13),"00000")="89086", TEXT(TRIM(N13),"00000")="89084", TEXT(TRIM(N13),"00000")="89081"), "North LV",
  OR(TEXT(TRIM(N13),"00000")="89109", TEXT(TRIM(N13),"00000")="89103", TEXT(TRIM(N13),"00000")="89119", TEXT(TRIM(N13),"00000")="89123", TEXT(TRIM(N13),"00000")="89169", TEXT(TRIM(N13),"00000")="89118"), "South/Strip",
  OR(TEXT(TRIM(N13),"00000")="89074", TEXT(TRIM(N13),"00000")="89014", TEXT(TRIM(N13),"00000")="89015", TEXT(TRIM(N13),"00000")="89011", TEXT(TRIM(N13),"00000")="89012"), "Suburban SE",
  OR(TEXT(TRIM(N13),"00000")="89117", TEXT(TRIM(N13),"00000")="89128", TEXT(TRIM(N13),"00000")="89135", TEXT(TRIM(N13),"00000")="89144", TEXT(TRIM(N13),"00000")="89145", TEXT(TRIM(N13),"00000")="89147"), "West Valley",
  TRUE, "Other"
)</f>
        <v>Missing/Unknown</v>
      </c>
      <c r="P13" t="s">
        <v>3298</v>
      </c>
      <c r="Q13" t="str">
        <f t="shared" si="2"/>
        <v>Outdoors/Public</v>
      </c>
      <c r="R13" t="s">
        <v>4713</v>
      </c>
      <c r="S13" t="s">
        <v>5125</v>
      </c>
      <c r="T13" t="str" cm="1">
        <f t="array" ref="T13">_xlfn.IFS(
  TEXT(TRIM(S13),"00000")="NULL", "Missing/Unknown",
  OR(TEXT(TRIM(S13),"00000")="89101", TEXT(TRIM(S13),"00000")="89104", TEXT(TRIM(S13),"00000")="89106", TEXT(TRIM(S13),"00000")="89102", TEXT(TRIM(S13),"00000")="89107", TEXT(TRIM(S13),"00000")="89108"), "Urban Core",
  OR(TEXT(TRIM(S13),"00000")="89110", TEXT(TRIM(S13),"00000")="89115", TEXT(TRIM(S13),"00000")="89121", TEXT(TRIM(S13),"00000")="89122", TEXT(TRIM(S13),"00000")="89142", TEXT(TRIM(S13),"00000")="89156"), "East Valley",
  OR(TEXT(TRIM(S13),"00000")="89030", TEXT(TRIM(S13),"00000")="89031", TEXT(TRIM(S13),"00000")="89032", TEXT(TRIM(S13),"00000")="89086", TEXT(TRIM(S13),"00000")="89084", TEXT(TRIM(S13),"00000")="89081"), "North LV",
  OR(TEXT(TRIM(S13),"00000")="89109", TEXT(TRIM(S13),"00000")="89103", TEXT(TRIM(S13),"00000")="89119", TEXT(TRIM(S13),"00000")="89123", TEXT(TRIM(S13),"00000")="89169", TEXT(TRIM(S13),"00000")="89118"), "South/Strip",
  OR(TEXT(TRIM(S13),"00000")="89074", TEXT(TRIM(S13),"00000")="89014", TEXT(TRIM(S13),"00000")="89015", TEXT(TRIM(S13),"00000")="89011", TEXT(TRIM(S13),"00000")="89012"), "Suburban SE",
  OR(TEXT(TRIM(S13),"00000")="89117", TEXT(TRIM(S13),"00000")="89128", TEXT(TRIM(S13),"00000")="89135", TEXT(TRIM(S13),"00000")="89144", TEXT(TRIM(S13),"00000")="89145", TEXT(TRIM(S13),"00000")="89147"), "West Valley",
  TRUE, "Other"
)</f>
        <v>South/Strip</v>
      </c>
      <c r="U13" t="s">
        <v>2413</v>
      </c>
      <c r="V13" t="str">
        <f t="shared" si="3"/>
        <v>Medical Facility</v>
      </c>
    </row>
    <row r="14" spans="1:22">
      <c r="A14" t="s">
        <v>3834</v>
      </c>
      <c r="B14" t="s">
        <v>3835</v>
      </c>
      <c r="C14" s="1">
        <v>45560</v>
      </c>
      <c r="D14" s="4">
        <v>100.04</v>
      </c>
      <c r="E14">
        <v>54</v>
      </c>
      <c r="F14" t="str">
        <f t="shared" si="0"/>
        <v>50's</v>
      </c>
      <c r="G14" t="str" cm="1">
        <f t="array" ref="G14">_xlfn.IFS(
  F14="10's", "Child (5–12)",
  OR(F14="20's", F14="30's"), "Young Adult (20–39)",
  OR(F14="40's", F14="50's"), "Adult (40–59)",
  OR(F14="60's", F14="70's", F14="80's", F14="90's"), "Senior (60+)",
  TRUE, "Unknown"
)</f>
        <v>Adult (40–59)</v>
      </c>
      <c r="H14" t="s">
        <v>841</v>
      </c>
      <c r="I14" t="s">
        <v>172</v>
      </c>
      <c r="J14" t="str">
        <f t="shared" si="1"/>
        <v>Methamphetamine-related</v>
      </c>
      <c r="K14" t="s">
        <v>54</v>
      </c>
      <c r="L14" t="s">
        <v>250</v>
      </c>
      <c r="N14" t="s">
        <v>5095</v>
      </c>
      <c r="O14" t="str" cm="1">
        <f t="array" ref="O14">_xlfn.IFS(
  TEXT(TRIM(N14),"00000")="NULL", "Missing/Unknown",
  OR(TEXT(TRIM(N14),"00000")="89101", TEXT(TRIM(N14),"00000")="89104", TEXT(TRIM(N14),"00000")="89106", TEXT(TRIM(N14),"00000")="89102", TEXT(TRIM(N14),"00000")="89107", TEXT(TRIM(N14),"00000")="89108"), "Urban Core",
  OR(TEXT(TRIM(N14),"00000")="89110", TEXT(TRIM(N14),"00000")="89115", TEXT(TRIM(N14),"00000")="89121", TEXT(TRIM(N14),"00000")="89122", TEXT(TRIM(N14),"00000")="89142", TEXT(TRIM(N14),"00000")="89156"), "East Valley",
  OR(TEXT(TRIM(N14),"00000")="89030", TEXT(TRIM(N14),"00000")="89031", TEXT(TRIM(N14),"00000")="89032", TEXT(TRIM(N14),"00000")="89086", TEXT(TRIM(N14),"00000")="89084", TEXT(TRIM(N14),"00000")="89081"), "North LV",
  OR(TEXT(TRIM(N14),"00000")="89109", TEXT(TRIM(N14),"00000")="89103", TEXT(TRIM(N14),"00000")="89119", TEXT(TRIM(N14),"00000")="89123", TEXT(TRIM(N14),"00000")="89169", TEXT(TRIM(N14),"00000")="89118"), "South/Strip",
  OR(TEXT(TRIM(N14),"00000")="89074", TEXT(TRIM(N14),"00000")="89014", TEXT(TRIM(N14),"00000")="89015", TEXT(TRIM(N14),"00000")="89011", TEXT(TRIM(N14),"00000")="89012"), "Suburban SE",
  OR(TEXT(TRIM(N14),"00000")="89117", TEXT(TRIM(N14),"00000")="89128", TEXT(TRIM(N14),"00000")="89135", TEXT(TRIM(N14),"00000")="89144", TEXT(TRIM(N14),"00000")="89145", TEXT(TRIM(N14),"00000")="89147"), "West Valley",
  TRUE, "Other"
)</f>
        <v>Missing/Unknown</v>
      </c>
      <c r="P14" t="s">
        <v>3298</v>
      </c>
      <c r="Q14" t="str">
        <f t="shared" si="2"/>
        <v>Outdoors/Public</v>
      </c>
      <c r="R14" t="s">
        <v>5083</v>
      </c>
      <c r="S14" t="s">
        <v>5119</v>
      </c>
      <c r="T14" t="str" cm="1">
        <f t="array" ref="T14">_xlfn.IFS(
  TEXT(TRIM(S14),"00000")="NULL", "Missing/Unknown",
  OR(TEXT(TRIM(S14),"00000")="89101", TEXT(TRIM(S14),"00000")="89104", TEXT(TRIM(S14),"00000")="89106", TEXT(TRIM(S14),"00000")="89102", TEXT(TRIM(S14),"00000")="89107", TEXT(TRIM(S14),"00000")="89108"), "Urban Core",
  OR(TEXT(TRIM(S14),"00000")="89110", TEXT(TRIM(S14),"00000")="89115", TEXT(TRIM(S14),"00000")="89121", TEXT(TRIM(S14),"00000")="89122", TEXT(TRIM(S14),"00000")="89142", TEXT(TRIM(S14),"00000")="89156"), "East Valley",
  OR(TEXT(TRIM(S14),"00000")="89030", TEXT(TRIM(S14),"00000")="89031", TEXT(TRIM(S14),"00000")="89032", TEXT(TRIM(S14),"00000")="89086", TEXT(TRIM(S14),"00000")="89084", TEXT(TRIM(S14),"00000")="89081"), "North LV",
  OR(TEXT(TRIM(S14),"00000")="89109", TEXT(TRIM(S14),"00000")="89103", TEXT(TRIM(S14),"00000")="89119", TEXT(TRIM(S14),"00000")="89123", TEXT(TRIM(S14),"00000")="89169", TEXT(TRIM(S14),"00000")="89118"), "South/Strip",
  OR(TEXT(TRIM(S14),"00000")="89074", TEXT(TRIM(S14),"00000")="89014", TEXT(TRIM(S14),"00000")="89015", TEXT(TRIM(S14),"00000")="89011", TEXT(TRIM(S14),"00000")="89012"), "Suburban SE",
  OR(TEXT(TRIM(S14),"00000")="89117", TEXT(TRIM(S14),"00000")="89128", TEXT(TRIM(S14),"00000")="89135", TEXT(TRIM(S14),"00000")="89144", TEXT(TRIM(S14),"00000")="89145", TEXT(TRIM(S14),"00000")="89147"), "West Valley",
  TRUE, "Other"
)</f>
        <v>Urban Core</v>
      </c>
      <c r="U14" t="s">
        <v>3298</v>
      </c>
      <c r="V14" t="str">
        <f t="shared" si="3"/>
        <v>Outdoors/Public</v>
      </c>
    </row>
    <row r="15" spans="1:22">
      <c r="A15" t="s">
        <v>3278</v>
      </c>
      <c r="B15" t="s">
        <v>3279</v>
      </c>
      <c r="C15" s="1">
        <v>45558</v>
      </c>
      <c r="D15" s="4">
        <v>96.98</v>
      </c>
      <c r="E15">
        <v>38</v>
      </c>
      <c r="F15" t="str">
        <f t="shared" si="0"/>
        <v>30's</v>
      </c>
      <c r="G15" t="str" cm="1">
        <f t="array" ref="G15">_xlfn.IFS(
  F15="10's", "Child (5–12)",
  OR(F15="20's", F15="30's"), "Young Adult (20–39)",
  OR(F15="40's", F15="50's"), "Adult (40–59)",
  OR(F15="60's", F15="70's", F15="80's", F15="90's"), "Senior (60+)",
  TRUE, "Unknown"
)</f>
        <v>Young Adult (20–39)</v>
      </c>
      <c r="H15" t="s">
        <v>27</v>
      </c>
      <c r="I15" t="s">
        <v>54</v>
      </c>
      <c r="J15" t="str">
        <f t="shared" si="1"/>
        <v>Environmental Heat</v>
      </c>
      <c r="K15" t="s">
        <v>4140</v>
      </c>
      <c r="L15" t="s">
        <v>1071</v>
      </c>
      <c r="N15" t="s">
        <v>5095</v>
      </c>
      <c r="O15" t="str" cm="1">
        <f t="array" ref="O15">_xlfn.IFS(
  TEXT(TRIM(N15),"00000")="NULL", "Missing/Unknown",
  OR(TEXT(TRIM(N15),"00000")="89101", TEXT(TRIM(N15),"00000")="89104", TEXT(TRIM(N15),"00000")="89106", TEXT(TRIM(N15),"00000")="89102", TEXT(TRIM(N15),"00000")="89107", TEXT(TRIM(N15),"00000")="89108"), "Urban Core",
  OR(TEXT(TRIM(N15),"00000")="89110", TEXT(TRIM(N15),"00000")="89115", TEXT(TRIM(N15),"00000")="89121", TEXT(TRIM(N15),"00000")="89122", TEXT(TRIM(N15),"00000")="89142", TEXT(TRIM(N15),"00000")="89156"), "East Valley",
  OR(TEXT(TRIM(N15),"00000")="89030", TEXT(TRIM(N15),"00000")="89031", TEXT(TRIM(N15),"00000")="89032", TEXT(TRIM(N15),"00000")="89086", TEXT(TRIM(N15),"00000")="89084", TEXT(TRIM(N15),"00000")="89081"), "North LV",
  OR(TEXT(TRIM(N15),"00000")="89109", TEXT(TRIM(N15),"00000")="89103", TEXT(TRIM(N15),"00000")="89119", TEXT(TRIM(N15),"00000")="89123", TEXT(TRIM(N15),"00000")="89169", TEXT(TRIM(N15),"00000")="89118"), "South/Strip",
  OR(TEXT(TRIM(N15),"00000")="89074", TEXT(TRIM(N15),"00000")="89014", TEXT(TRIM(N15),"00000")="89015", TEXT(TRIM(N15),"00000")="89011", TEXT(TRIM(N15),"00000")="89012"), "Suburban SE",
  OR(TEXT(TRIM(N15),"00000")="89117", TEXT(TRIM(N15),"00000")="89128", TEXT(TRIM(N15),"00000")="89135", TEXT(TRIM(N15),"00000")="89144", TEXT(TRIM(N15),"00000")="89145", TEXT(TRIM(N15),"00000")="89147"), "West Valley",
  TRUE, "Other"
)</f>
        <v>Missing/Unknown</v>
      </c>
      <c r="P15" t="s">
        <v>3298</v>
      </c>
      <c r="Q15" t="str">
        <f t="shared" si="2"/>
        <v>Outdoors/Public</v>
      </c>
      <c r="R15" t="s">
        <v>5073</v>
      </c>
      <c r="S15" t="s">
        <v>5117</v>
      </c>
      <c r="T15" t="str" cm="1">
        <f t="array" ref="T15">_xlfn.IFS(
  TEXT(TRIM(S15),"00000")="NULL", "Missing/Unknown",
  OR(TEXT(TRIM(S15),"00000")="89101", TEXT(TRIM(S15),"00000")="89104", TEXT(TRIM(S15),"00000")="89106", TEXT(TRIM(S15),"00000")="89102", TEXT(TRIM(S15),"00000")="89107", TEXT(TRIM(S15),"00000")="89108"), "Urban Core",
  OR(TEXT(TRIM(S15),"00000")="89110", TEXT(TRIM(S15),"00000")="89115", TEXT(TRIM(S15),"00000")="89121", TEXT(TRIM(S15),"00000")="89122", TEXT(TRIM(S15),"00000")="89142", TEXT(TRIM(S15),"00000")="89156"), "East Valley",
  OR(TEXT(TRIM(S15),"00000")="89030", TEXT(TRIM(S15),"00000")="89031", TEXT(TRIM(S15),"00000")="89032", TEXT(TRIM(S15),"00000")="89086", TEXT(TRIM(S15),"00000")="89084", TEXT(TRIM(S15),"00000")="89081"), "North LV",
  OR(TEXT(TRIM(S15),"00000")="89109", TEXT(TRIM(S15),"00000")="89103", TEXT(TRIM(S15),"00000")="89119", TEXT(TRIM(S15),"00000")="89123", TEXT(TRIM(S15),"00000")="89169", TEXT(TRIM(S15),"00000")="89118"), "South/Strip",
  OR(TEXT(TRIM(S15),"00000")="89074", TEXT(TRIM(S15),"00000")="89014", TEXT(TRIM(S15),"00000")="89015", TEXT(TRIM(S15),"00000")="89011", TEXT(TRIM(S15),"00000")="89012"), "Suburban SE",
  OR(TEXT(TRIM(S15),"00000")="89117", TEXT(TRIM(S15),"00000")="89128", TEXT(TRIM(S15),"00000")="89135", TEXT(TRIM(S15),"00000")="89144", TEXT(TRIM(S15),"00000")="89145", TEXT(TRIM(S15),"00000")="89147"), "West Valley",
  TRUE, "Other"
)</f>
        <v>North LV</v>
      </c>
      <c r="U15" t="s">
        <v>1073</v>
      </c>
      <c r="V15" t="str">
        <f t="shared" si="3"/>
        <v>Home/Residence</v>
      </c>
    </row>
    <row r="16" spans="1:22">
      <c r="A16" t="s">
        <v>2434</v>
      </c>
      <c r="B16" t="s">
        <v>2435</v>
      </c>
      <c r="C16" s="1">
        <v>45549</v>
      </c>
      <c r="D16" s="4">
        <v>96.98</v>
      </c>
      <c r="E16">
        <v>69</v>
      </c>
      <c r="F16" t="str">
        <f t="shared" si="0"/>
        <v>60's</v>
      </c>
      <c r="G16" t="str" cm="1">
        <f t="array" ref="G16">_xlfn.IFS(
  F16="10's", "Child (5–12)",
  OR(F16="20's", F16="30's"), "Young Adult (20–39)",
  OR(F16="40's", F16="50's"), "Adult (40–59)",
  OR(F16="60's", F16="70's", F16="80's", F16="90's"), "Senior (60+)",
  TRUE, "Unknown"
)</f>
        <v>Senior (60+)</v>
      </c>
      <c r="H16" t="s">
        <v>778</v>
      </c>
      <c r="I16" t="s">
        <v>4011</v>
      </c>
      <c r="J16" t="str">
        <f t="shared" si="1"/>
        <v>Methamphetamine-related</v>
      </c>
      <c r="K16" t="s">
        <v>4141</v>
      </c>
      <c r="L16" t="s">
        <v>250</v>
      </c>
      <c r="N16" t="s">
        <v>5095</v>
      </c>
      <c r="O16" t="str" cm="1">
        <f t="array" ref="O16">_xlfn.IFS(
  TEXT(TRIM(N16),"00000")="NULL", "Missing/Unknown",
  OR(TEXT(TRIM(N16),"00000")="89101", TEXT(TRIM(N16),"00000")="89104", TEXT(TRIM(N16),"00000")="89106", TEXT(TRIM(N16),"00000")="89102", TEXT(TRIM(N16),"00000")="89107", TEXT(TRIM(N16),"00000")="89108"), "Urban Core",
  OR(TEXT(TRIM(N16),"00000")="89110", TEXT(TRIM(N16),"00000")="89115", TEXT(TRIM(N16),"00000")="89121", TEXT(TRIM(N16),"00000")="89122", TEXT(TRIM(N16),"00000")="89142", TEXT(TRIM(N16),"00000")="89156"), "East Valley",
  OR(TEXT(TRIM(N16),"00000")="89030", TEXT(TRIM(N16),"00000")="89031", TEXT(TRIM(N16),"00000")="89032", TEXT(TRIM(N16),"00000")="89086", TEXT(TRIM(N16),"00000")="89084", TEXT(TRIM(N16),"00000")="89081"), "North LV",
  OR(TEXT(TRIM(N16),"00000")="89109", TEXT(TRIM(N16),"00000")="89103", TEXT(TRIM(N16),"00000")="89119", TEXT(TRIM(N16),"00000")="89123", TEXT(TRIM(N16),"00000")="89169", TEXT(TRIM(N16),"00000")="89118"), "South/Strip",
  OR(TEXT(TRIM(N16),"00000")="89074", TEXT(TRIM(N16),"00000")="89014", TEXT(TRIM(N16),"00000")="89015", TEXT(TRIM(N16),"00000")="89011", TEXT(TRIM(N16),"00000")="89012"), "Suburban SE",
  OR(TEXT(TRIM(N16),"00000")="89117", TEXT(TRIM(N16),"00000")="89128", TEXT(TRIM(N16),"00000")="89135", TEXT(TRIM(N16),"00000")="89144", TEXT(TRIM(N16),"00000")="89145", TEXT(TRIM(N16),"00000")="89147"), "West Valley",
  TRUE, "Other"
)</f>
        <v>Missing/Unknown</v>
      </c>
      <c r="P16" t="s">
        <v>3298</v>
      </c>
      <c r="Q16" t="str">
        <f t="shared" si="2"/>
        <v>Outdoors/Public</v>
      </c>
      <c r="S16" t="s">
        <v>5095</v>
      </c>
      <c r="T16" t="str" cm="1">
        <f t="array" ref="T16">_xlfn.IFS(
  TEXT(TRIM(S16),"00000")="NULL", "Missing/Unknown",
  OR(TEXT(TRIM(S16),"00000")="89101", TEXT(TRIM(S16),"00000")="89104", TEXT(TRIM(S16),"00000")="89106", TEXT(TRIM(S16),"00000")="89102", TEXT(TRIM(S16),"00000")="89107", TEXT(TRIM(S16),"00000")="89108"), "Urban Core",
  OR(TEXT(TRIM(S16),"00000")="89110", TEXT(TRIM(S16),"00000")="89115", TEXT(TRIM(S16),"00000")="89121", TEXT(TRIM(S16),"00000")="89122", TEXT(TRIM(S16),"00000")="89142", TEXT(TRIM(S16),"00000")="89156"), "East Valley",
  OR(TEXT(TRIM(S16),"00000")="89030", TEXT(TRIM(S16),"00000")="89031", TEXT(TRIM(S16),"00000")="89032", TEXT(TRIM(S16),"00000")="89086", TEXT(TRIM(S16),"00000")="89084", TEXT(TRIM(S16),"00000")="89081"), "North LV",
  OR(TEXT(TRIM(S16),"00000")="89109", TEXT(TRIM(S16),"00000")="89103", TEXT(TRIM(S16),"00000")="89119", TEXT(TRIM(S16),"00000")="89123", TEXT(TRIM(S16),"00000")="89169", TEXT(TRIM(S16),"00000")="89118"), "South/Strip",
  OR(TEXT(TRIM(S16),"00000")="89074", TEXT(TRIM(S16),"00000")="89014", TEXT(TRIM(S16),"00000")="89015", TEXT(TRIM(S16),"00000")="89011", TEXT(TRIM(S16),"00000")="89012"), "Suburban SE",
  OR(TEXT(TRIM(S16),"00000")="89117", TEXT(TRIM(S16),"00000")="89128", TEXT(TRIM(S16),"00000")="89135", TEXT(TRIM(S16),"00000")="89144", TEXT(TRIM(S16),"00000")="89145", TEXT(TRIM(S16),"00000")="89147"), "West Valley",
  TRUE, "Other"
)</f>
        <v>Missing/Unknown</v>
      </c>
      <c r="U16" t="s">
        <v>3298</v>
      </c>
      <c r="V16" t="str">
        <f t="shared" si="3"/>
        <v>Outdoors/Public</v>
      </c>
    </row>
    <row r="17" spans="1:22">
      <c r="A17" t="s">
        <v>3866</v>
      </c>
      <c r="B17" t="s">
        <v>3867</v>
      </c>
      <c r="C17" s="1">
        <v>45548</v>
      </c>
      <c r="D17" s="4">
        <v>95</v>
      </c>
      <c r="E17">
        <v>68</v>
      </c>
      <c r="F17" t="str">
        <f t="shared" si="0"/>
        <v>60's</v>
      </c>
      <c r="G17" t="str" cm="1">
        <f t="array" ref="G17">_xlfn.IFS(
  F17="10's", "Child (5–12)",
  OR(F17="20's", F17="30's"), "Young Adult (20–39)",
  OR(F17="40's", F17="50's"), "Adult (40–59)",
  OR(F17="60's", F17="70's", F17="80's", F17="90's"), "Senior (60+)",
  TRUE, "Unknown"
)</f>
        <v>Senior (60+)</v>
      </c>
      <c r="H17" t="s">
        <v>778</v>
      </c>
      <c r="I17" t="s">
        <v>3868</v>
      </c>
      <c r="J17" t="str">
        <f t="shared" si="1"/>
        <v>Mixed Drug Toxicity</v>
      </c>
      <c r="K17" t="s">
        <v>3869</v>
      </c>
      <c r="L17" t="s">
        <v>250</v>
      </c>
      <c r="M17" t="s">
        <v>4336</v>
      </c>
      <c r="N17" t="s">
        <v>5101</v>
      </c>
      <c r="O17" t="str" cm="1">
        <f t="array" ref="O17">_xlfn.IFS(
  TEXT(TRIM(N17),"00000")="NULL", "Missing/Unknown",
  OR(TEXT(TRIM(N17),"00000")="89101", TEXT(TRIM(N17),"00000")="89104", TEXT(TRIM(N17),"00000")="89106", TEXT(TRIM(N17),"00000")="89102", TEXT(TRIM(N17),"00000")="89107", TEXT(TRIM(N17),"00000")="89108"), "Urban Core",
  OR(TEXT(TRIM(N17),"00000")="89110", TEXT(TRIM(N17),"00000")="89115", TEXT(TRIM(N17),"00000")="89121", TEXT(TRIM(N17),"00000")="89122", TEXT(TRIM(N17),"00000")="89142", TEXT(TRIM(N17),"00000")="89156"), "East Valley",
  OR(TEXT(TRIM(N17),"00000")="89030", TEXT(TRIM(N17),"00000")="89031", TEXT(TRIM(N17),"00000")="89032", TEXT(TRIM(N17),"00000")="89086", TEXT(TRIM(N17),"00000")="89084", TEXT(TRIM(N17),"00000")="89081"), "North LV",
  OR(TEXT(TRIM(N17),"00000")="89109", TEXT(TRIM(N17),"00000")="89103", TEXT(TRIM(N17),"00000")="89119", TEXT(TRIM(N17),"00000")="89123", TEXT(TRIM(N17),"00000")="89169", TEXT(TRIM(N17),"00000")="89118"), "South/Strip",
  OR(TEXT(TRIM(N17),"00000")="89074", TEXT(TRIM(N17),"00000")="89014", TEXT(TRIM(N17),"00000")="89015", TEXT(TRIM(N17),"00000")="89011", TEXT(TRIM(N17),"00000")="89012"), "Suburban SE",
  OR(TEXT(TRIM(N17),"00000")="89117", TEXT(TRIM(N17),"00000")="89128", TEXT(TRIM(N17),"00000")="89135", TEXT(TRIM(N17),"00000")="89144", TEXT(TRIM(N17),"00000")="89145", TEXT(TRIM(N17),"00000")="89147"), "West Valley",
  TRUE, "Other"
)</f>
        <v>Urban Core</v>
      </c>
      <c r="P17" t="s">
        <v>2482</v>
      </c>
      <c r="Q17" t="str">
        <f t="shared" si="2"/>
        <v>Outdoors/Public</v>
      </c>
      <c r="R17" t="s">
        <v>4336</v>
      </c>
      <c r="S17" t="s">
        <v>5101</v>
      </c>
      <c r="T17" t="str" cm="1">
        <f t="array" ref="T17">_xlfn.IFS(
  TEXT(TRIM(S17),"00000")="NULL", "Missing/Unknown",
  OR(TEXT(TRIM(S17),"00000")="89101", TEXT(TRIM(S17),"00000")="89104", TEXT(TRIM(S17),"00000")="89106", TEXT(TRIM(S17),"00000")="89102", TEXT(TRIM(S17),"00000")="89107", TEXT(TRIM(S17),"00000")="89108"), "Urban Core",
  OR(TEXT(TRIM(S17),"00000")="89110", TEXT(TRIM(S17),"00000")="89115", TEXT(TRIM(S17),"00000")="89121", TEXT(TRIM(S17),"00000")="89122", TEXT(TRIM(S17),"00000")="89142", TEXT(TRIM(S17),"00000")="89156"), "East Valley",
  OR(TEXT(TRIM(S17),"00000")="89030", TEXT(TRIM(S17),"00000")="89031", TEXT(TRIM(S17),"00000")="89032", TEXT(TRIM(S17),"00000")="89086", TEXT(TRIM(S17),"00000")="89084", TEXT(TRIM(S17),"00000")="89081"), "North LV",
  OR(TEXT(TRIM(S17),"00000")="89109", TEXT(TRIM(S17),"00000")="89103", TEXT(TRIM(S17),"00000")="89119", TEXT(TRIM(S17),"00000")="89123", TEXT(TRIM(S17),"00000")="89169", TEXT(TRIM(S17),"00000")="89118"), "South/Strip",
  OR(TEXT(TRIM(S17),"00000")="89074", TEXT(TRIM(S17),"00000")="89014", TEXT(TRIM(S17),"00000")="89015", TEXT(TRIM(S17),"00000")="89011", TEXT(TRIM(S17),"00000")="89012"), "Suburban SE",
  OR(TEXT(TRIM(S17),"00000")="89117", TEXT(TRIM(S17),"00000")="89128", TEXT(TRIM(S17),"00000")="89135", TEXT(TRIM(S17),"00000")="89144", TEXT(TRIM(S17),"00000")="89145", TEXT(TRIM(S17),"00000")="89147"), "West Valley",
  TRUE, "Other"
)</f>
        <v>Urban Core</v>
      </c>
      <c r="U17" t="s">
        <v>2482</v>
      </c>
      <c r="V17" t="str">
        <f t="shared" si="3"/>
        <v>Outdoors/Public</v>
      </c>
    </row>
    <row r="18" spans="1:22">
      <c r="A18" t="s">
        <v>2587</v>
      </c>
      <c r="B18" t="s">
        <v>2588</v>
      </c>
      <c r="C18" s="1">
        <v>45547</v>
      </c>
      <c r="D18" s="4">
        <v>93.919999999999987</v>
      </c>
      <c r="E18">
        <v>75</v>
      </c>
      <c r="F18" t="str">
        <f t="shared" si="0"/>
        <v>70's</v>
      </c>
      <c r="G18" t="str" cm="1">
        <f t="array" ref="G18">_xlfn.IFS(
  F18="10's", "Child (5–12)",
  OR(F18="20's", F18="30's"), "Young Adult (20–39)",
  OR(F18="40's", F18="50's"), "Adult (40–59)",
  OR(F18="60's", F18="70's", F18="80's", F18="90's"), "Senior (60+)",
  TRUE, "Unknown"
)</f>
        <v>Senior (60+)</v>
      </c>
      <c r="H18" t="s">
        <v>841</v>
      </c>
      <c r="I18" t="s">
        <v>1582</v>
      </c>
      <c r="J18" t="str">
        <f t="shared" si="1"/>
        <v>Cardiovascular Disease</v>
      </c>
      <c r="K18" t="s">
        <v>4142</v>
      </c>
      <c r="L18" t="s">
        <v>1071</v>
      </c>
      <c r="M18" t="s">
        <v>4888</v>
      </c>
      <c r="N18" t="s">
        <v>5102</v>
      </c>
      <c r="O18" t="str" cm="1">
        <f t="array" ref="O18">_xlfn.IFS(
  TEXT(TRIM(N18),"00000")="NULL", "Missing/Unknown",
  OR(TEXT(TRIM(N18),"00000")="89101", TEXT(TRIM(N18),"00000")="89104", TEXT(TRIM(N18),"00000")="89106", TEXT(TRIM(N18),"00000")="89102", TEXT(TRIM(N18),"00000")="89107", TEXT(TRIM(N18),"00000")="89108"), "Urban Core",
  OR(TEXT(TRIM(N18),"00000")="89110", TEXT(TRIM(N18),"00000")="89115", TEXT(TRIM(N18),"00000")="89121", TEXT(TRIM(N18),"00000")="89122", TEXT(TRIM(N18),"00000")="89142", TEXT(TRIM(N18),"00000")="89156"), "East Valley",
  OR(TEXT(TRIM(N18),"00000")="89030", TEXT(TRIM(N18),"00000")="89031", TEXT(TRIM(N18),"00000")="89032", TEXT(TRIM(N18),"00000")="89086", TEXT(TRIM(N18),"00000")="89084", TEXT(TRIM(N18),"00000")="89081"), "North LV",
  OR(TEXT(TRIM(N18),"00000")="89109", TEXT(TRIM(N18),"00000")="89103", TEXT(TRIM(N18),"00000")="89119", TEXT(TRIM(N18),"00000")="89123", TEXT(TRIM(N18),"00000")="89169", TEXT(TRIM(N18),"00000")="89118"), "South/Strip",
  OR(TEXT(TRIM(N18),"00000")="89074", TEXT(TRIM(N18),"00000")="89014", TEXT(TRIM(N18),"00000")="89015", TEXT(TRIM(N18),"00000")="89011", TEXT(TRIM(N18),"00000")="89012"), "Suburban SE",
  OR(TEXT(TRIM(N18),"00000")="89117", TEXT(TRIM(N18),"00000")="89128", TEXT(TRIM(N18),"00000")="89135", TEXT(TRIM(N18),"00000")="89144", TEXT(TRIM(N18),"00000")="89145", TEXT(TRIM(N18),"00000")="89147"), "West Valley",
  TRUE, "Other"
)</f>
        <v>Urban Core</v>
      </c>
      <c r="P18" t="s">
        <v>1073</v>
      </c>
      <c r="Q18" t="str">
        <f t="shared" si="2"/>
        <v>Home/Residence</v>
      </c>
      <c r="R18" t="s">
        <v>4888</v>
      </c>
      <c r="S18" t="s">
        <v>5102</v>
      </c>
      <c r="T18" t="str" cm="1">
        <f t="array" ref="T18">_xlfn.IFS(
  TEXT(TRIM(S18),"00000")="NULL", "Missing/Unknown",
  OR(TEXT(TRIM(S18),"00000")="89101", TEXT(TRIM(S18),"00000")="89104", TEXT(TRIM(S18),"00000")="89106", TEXT(TRIM(S18),"00000")="89102", TEXT(TRIM(S18),"00000")="89107", TEXT(TRIM(S18),"00000")="89108"), "Urban Core",
  OR(TEXT(TRIM(S18),"00000")="89110", TEXT(TRIM(S18),"00000")="89115", TEXT(TRIM(S18),"00000")="89121", TEXT(TRIM(S18),"00000")="89122", TEXT(TRIM(S18),"00000")="89142", TEXT(TRIM(S18),"00000")="89156"), "East Valley",
  OR(TEXT(TRIM(S18),"00000")="89030", TEXT(TRIM(S18),"00000")="89031", TEXT(TRIM(S18),"00000")="89032", TEXT(TRIM(S18),"00000")="89086", TEXT(TRIM(S18),"00000")="89084", TEXT(TRIM(S18),"00000")="89081"), "North LV",
  OR(TEXT(TRIM(S18),"00000")="89109", TEXT(TRIM(S18),"00000")="89103", TEXT(TRIM(S18),"00000")="89119", TEXT(TRIM(S18),"00000")="89123", TEXT(TRIM(S18),"00000")="89169", TEXT(TRIM(S18),"00000")="89118"), "South/Strip",
  OR(TEXT(TRIM(S18),"00000")="89074", TEXT(TRIM(S18),"00000")="89014", TEXT(TRIM(S18),"00000")="89015", TEXT(TRIM(S18),"00000")="89011", TEXT(TRIM(S18),"00000")="89012"), "Suburban SE",
  OR(TEXT(TRIM(S18),"00000")="89117", TEXT(TRIM(S18),"00000")="89128", TEXT(TRIM(S18),"00000")="89135", TEXT(TRIM(S18),"00000")="89144", TEXT(TRIM(S18),"00000")="89145", TEXT(TRIM(S18),"00000")="89147"), "West Valley",
  TRUE, "Other"
)</f>
        <v>Urban Core</v>
      </c>
      <c r="U18" t="s">
        <v>1073</v>
      </c>
      <c r="V18" t="str">
        <f t="shared" si="3"/>
        <v>Home/Residence</v>
      </c>
    </row>
    <row r="19" spans="1:22">
      <c r="A19" t="s">
        <v>3477</v>
      </c>
      <c r="B19" t="s">
        <v>3478</v>
      </c>
      <c r="C19" s="1">
        <v>45546</v>
      </c>
      <c r="D19" s="4">
        <v>98.960000000000008</v>
      </c>
      <c r="E19">
        <v>77</v>
      </c>
      <c r="F19" t="str">
        <f t="shared" si="0"/>
        <v>70's</v>
      </c>
      <c r="G19" t="str" cm="1">
        <f t="array" ref="G19">_xlfn.IFS(
  F19="10's", "Child (5–12)",
  OR(F19="20's", F19="30's"), "Young Adult (20–39)",
  OR(F19="40's", F19="50's"), "Adult (40–59)",
  OR(F19="60's", F19="70's", F19="80's", F19="90's"), "Senior (60+)",
  TRUE, "Unknown"
)</f>
        <v>Senior (60+)</v>
      </c>
      <c r="H19" t="s">
        <v>841</v>
      </c>
      <c r="I19" t="s">
        <v>4012</v>
      </c>
      <c r="J19" t="str">
        <f t="shared" si="1"/>
        <v>Cardiovascular Disease</v>
      </c>
      <c r="K19" t="s">
        <v>448</v>
      </c>
      <c r="L19" t="s">
        <v>1071</v>
      </c>
      <c r="M19" t="s">
        <v>4661</v>
      </c>
      <c r="N19" t="s">
        <v>5103</v>
      </c>
      <c r="O19" t="str" cm="1">
        <f t="array" ref="O19">_xlfn.IFS(
  TEXT(TRIM(N19),"00000")="NULL", "Missing/Unknown",
  OR(TEXT(TRIM(N19),"00000")="89101", TEXT(TRIM(N19),"00000")="89104", TEXT(TRIM(N19),"00000")="89106", TEXT(TRIM(N19),"00000")="89102", TEXT(TRIM(N19),"00000")="89107", TEXT(TRIM(N19),"00000")="89108"), "Urban Core",
  OR(TEXT(TRIM(N19),"00000")="89110", TEXT(TRIM(N19),"00000")="89115", TEXT(TRIM(N19),"00000")="89121", TEXT(TRIM(N19),"00000")="89122", TEXT(TRIM(N19),"00000")="89142", TEXT(TRIM(N19),"00000")="89156"), "East Valley",
  OR(TEXT(TRIM(N19),"00000")="89030", TEXT(TRIM(N19),"00000")="89031", TEXT(TRIM(N19),"00000")="89032", TEXT(TRIM(N19),"00000")="89086", TEXT(TRIM(N19),"00000")="89084", TEXT(TRIM(N19),"00000")="89081"), "North LV",
  OR(TEXT(TRIM(N19),"00000")="89109", TEXT(TRIM(N19),"00000")="89103", TEXT(TRIM(N19),"00000")="89119", TEXT(TRIM(N19),"00000")="89123", TEXT(TRIM(N19),"00000")="89169", TEXT(TRIM(N19),"00000")="89118"), "South/Strip",
  OR(TEXT(TRIM(N19),"00000")="89074", TEXT(TRIM(N19),"00000")="89014", TEXT(TRIM(N19),"00000")="89015", TEXT(TRIM(N19),"00000")="89011", TEXT(TRIM(N19),"00000")="89012"), "Suburban SE",
  OR(TEXT(TRIM(N19),"00000")="89117", TEXT(TRIM(N19),"00000")="89128", TEXT(TRIM(N19),"00000")="89135", TEXT(TRIM(N19),"00000")="89144", TEXT(TRIM(N19),"00000")="89145", TEXT(TRIM(N19),"00000")="89147"), "West Valley",
  TRUE, "Other"
)</f>
        <v>Other</v>
      </c>
      <c r="P19" t="s">
        <v>3298</v>
      </c>
      <c r="Q19" t="str">
        <f t="shared" si="2"/>
        <v>Outdoors/Public</v>
      </c>
      <c r="R19" t="s">
        <v>4661</v>
      </c>
      <c r="S19" t="s">
        <v>5103</v>
      </c>
      <c r="T19" t="str" cm="1">
        <f t="array" ref="T19">_xlfn.IFS(
  TEXT(TRIM(S19),"00000")="NULL", "Missing/Unknown",
  OR(TEXT(TRIM(S19),"00000")="89101", TEXT(TRIM(S19),"00000")="89104", TEXT(TRIM(S19),"00000")="89106", TEXT(TRIM(S19),"00000")="89102", TEXT(TRIM(S19),"00000")="89107", TEXT(TRIM(S19),"00000")="89108"), "Urban Core",
  OR(TEXT(TRIM(S19),"00000")="89110", TEXT(TRIM(S19),"00000")="89115", TEXT(TRIM(S19),"00000")="89121", TEXT(TRIM(S19),"00000")="89122", TEXT(TRIM(S19),"00000")="89142", TEXT(TRIM(S19),"00000")="89156"), "East Valley",
  OR(TEXT(TRIM(S19),"00000")="89030", TEXT(TRIM(S19),"00000")="89031", TEXT(TRIM(S19),"00000")="89032", TEXT(TRIM(S19),"00000")="89086", TEXT(TRIM(S19),"00000")="89084", TEXT(TRIM(S19),"00000")="89081"), "North LV",
  OR(TEXT(TRIM(S19),"00000")="89109", TEXT(TRIM(S19),"00000")="89103", TEXT(TRIM(S19),"00000")="89119", TEXT(TRIM(S19),"00000")="89123", TEXT(TRIM(S19),"00000")="89169", TEXT(TRIM(S19),"00000")="89118"), "South/Strip",
  OR(TEXT(TRIM(S19),"00000")="89074", TEXT(TRIM(S19),"00000")="89014", TEXT(TRIM(S19),"00000")="89015", TEXT(TRIM(S19),"00000")="89011", TEXT(TRIM(S19),"00000")="89012"), "Suburban SE",
  OR(TEXT(TRIM(S19),"00000")="89117", TEXT(TRIM(S19),"00000")="89128", TEXT(TRIM(S19),"00000")="89135", TEXT(TRIM(S19),"00000")="89144", TEXT(TRIM(S19),"00000")="89145", TEXT(TRIM(S19),"00000")="89147"), "West Valley",
  TRUE, "Other"
)</f>
        <v>Other</v>
      </c>
      <c r="U19" t="s">
        <v>3298</v>
      </c>
      <c r="V19" t="str">
        <f t="shared" si="3"/>
        <v>Outdoors/Public</v>
      </c>
    </row>
    <row r="20" spans="1:22">
      <c r="A20" t="s">
        <v>2675</v>
      </c>
      <c r="B20" t="s">
        <v>2676</v>
      </c>
      <c r="C20" s="1">
        <v>45545</v>
      </c>
      <c r="D20" s="4">
        <v>102.02</v>
      </c>
      <c r="E20">
        <v>83</v>
      </c>
      <c r="F20" t="str">
        <f t="shared" si="0"/>
        <v>80's</v>
      </c>
      <c r="G20" t="str" cm="1">
        <f t="array" ref="G20">_xlfn.IFS(
  F20="10's", "Child (5–12)",
  OR(F20="20's", F20="30's"), "Young Adult (20–39)",
  OR(F20="40's", F20="50's"), "Adult (40–59)",
  OR(F20="60's", F20="70's", F20="80's", F20="90's"), "Senior (60+)",
  TRUE, "Unknown"
)</f>
        <v>Senior (60+)</v>
      </c>
      <c r="H20" t="s">
        <v>841</v>
      </c>
      <c r="I20" t="s">
        <v>4013</v>
      </c>
      <c r="J20" t="str">
        <f t="shared" si="1"/>
        <v>Cardiovascular Disease</v>
      </c>
      <c r="K20" t="s">
        <v>4143</v>
      </c>
      <c r="L20" t="s">
        <v>1071</v>
      </c>
      <c r="M20" t="s">
        <v>4627</v>
      </c>
      <c r="N20" t="s">
        <v>5104</v>
      </c>
      <c r="O20" t="str" cm="1">
        <f t="array" ref="O20">_xlfn.IFS(
  TEXT(TRIM(N20),"00000")="NULL", "Missing/Unknown",
  OR(TEXT(TRIM(N20),"00000")="89101", TEXT(TRIM(N20),"00000")="89104", TEXT(TRIM(N20),"00000")="89106", TEXT(TRIM(N20),"00000")="89102", TEXT(TRIM(N20),"00000")="89107", TEXT(TRIM(N20),"00000")="89108"), "Urban Core",
  OR(TEXT(TRIM(N20),"00000")="89110", TEXT(TRIM(N20),"00000")="89115", TEXT(TRIM(N20),"00000")="89121", TEXT(TRIM(N20),"00000")="89122", TEXT(TRIM(N20),"00000")="89142", TEXT(TRIM(N20),"00000")="89156"), "East Valley",
  OR(TEXT(TRIM(N20),"00000")="89030", TEXT(TRIM(N20),"00000")="89031", TEXT(TRIM(N20),"00000")="89032", TEXT(TRIM(N20),"00000")="89086", TEXT(TRIM(N20),"00000")="89084", TEXT(TRIM(N20),"00000")="89081"), "North LV",
  OR(TEXT(TRIM(N20),"00000")="89109", TEXT(TRIM(N20),"00000")="89103", TEXT(TRIM(N20),"00000")="89119", TEXT(TRIM(N20),"00000")="89123", TEXT(TRIM(N20),"00000")="89169", TEXT(TRIM(N20),"00000")="89118"), "South/Strip",
  OR(TEXT(TRIM(N20),"00000")="89074", TEXT(TRIM(N20),"00000")="89014", TEXT(TRIM(N20),"00000")="89015", TEXT(TRIM(N20),"00000")="89011", TEXT(TRIM(N20),"00000")="89012"), "Suburban SE",
  OR(TEXT(TRIM(N20),"00000")="89117", TEXT(TRIM(N20),"00000")="89128", TEXT(TRIM(N20),"00000")="89135", TEXT(TRIM(N20),"00000")="89144", TEXT(TRIM(N20),"00000")="89145", TEXT(TRIM(N20),"00000")="89147"), "West Valley",
  TRUE, "Other"
)</f>
        <v>West Valley</v>
      </c>
      <c r="P20" t="s">
        <v>3298</v>
      </c>
      <c r="Q20" t="str">
        <f t="shared" si="2"/>
        <v>Outdoors/Public</v>
      </c>
      <c r="R20" t="s">
        <v>4627</v>
      </c>
      <c r="S20" t="s">
        <v>5104</v>
      </c>
      <c r="T20" t="str" cm="1">
        <f t="array" ref="T20">_xlfn.IFS(
  TEXT(TRIM(S20),"00000")="NULL", "Missing/Unknown",
  OR(TEXT(TRIM(S20),"00000")="89101", TEXT(TRIM(S20),"00000")="89104", TEXT(TRIM(S20),"00000")="89106", TEXT(TRIM(S20),"00000")="89102", TEXT(TRIM(S20),"00000")="89107", TEXT(TRIM(S20),"00000")="89108"), "Urban Core",
  OR(TEXT(TRIM(S20),"00000")="89110", TEXT(TRIM(S20),"00000")="89115", TEXT(TRIM(S20),"00000")="89121", TEXT(TRIM(S20),"00000")="89122", TEXT(TRIM(S20),"00000")="89142", TEXT(TRIM(S20),"00000")="89156"), "East Valley",
  OR(TEXT(TRIM(S20),"00000")="89030", TEXT(TRIM(S20),"00000")="89031", TEXT(TRIM(S20),"00000")="89032", TEXT(TRIM(S20),"00000")="89086", TEXT(TRIM(S20),"00000")="89084", TEXT(TRIM(S20),"00000")="89081"), "North LV",
  OR(TEXT(TRIM(S20),"00000")="89109", TEXT(TRIM(S20),"00000")="89103", TEXT(TRIM(S20),"00000")="89119", TEXT(TRIM(S20),"00000")="89123", TEXT(TRIM(S20),"00000")="89169", TEXT(TRIM(S20),"00000")="89118"), "South/Strip",
  OR(TEXT(TRIM(S20),"00000")="89074", TEXT(TRIM(S20),"00000")="89014", TEXT(TRIM(S20),"00000")="89015", TEXT(TRIM(S20),"00000")="89011", TEXT(TRIM(S20),"00000")="89012"), "Suburban SE",
  OR(TEXT(TRIM(S20),"00000")="89117", TEXT(TRIM(S20),"00000")="89128", TEXT(TRIM(S20),"00000")="89135", TEXT(TRIM(S20),"00000")="89144", TEXT(TRIM(S20),"00000")="89145", TEXT(TRIM(S20),"00000")="89147"), "West Valley",
  TRUE, "Other"
)</f>
        <v>West Valley</v>
      </c>
      <c r="U20" t="s">
        <v>3298</v>
      </c>
      <c r="V20" t="str">
        <f t="shared" si="3"/>
        <v>Outdoors/Public</v>
      </c>
    </row>
    <row r="21" spans="1:22">
      <c r="A21" t="s">
        <v>3731</v>
      </c>
      <c r="B21" t="s">
        <v>3732</v>
      </c>
      <c r="C21" s="1">
        <v>45543</v>
      </c>
      <c r="D21" s="4">
        <v>102.02</v>
      </c>
      <c r="E21">
        <v>52</v>
      </c>
      <c r="F21" t="str">
        <f t="shared" si="0"/>
        <v>50's</v>
      </c>
      <c r="G21" t="str" cm="1">
        <f t="array" ref="G21">_xlfn.IFS(
  F21="10's", "Child (5–12)",
  OR(F21="20's", F21="30's"), "Young Adult (20–39)",
  OR(F21="40's", F21="50's"), "Adult (40–59)",
  OR(F21="60's", F21="70's", F21="80's", F21="90's"), "Senior (60+)",
  TRUE, "Unknown"
)</f>
        <v>Adult (40–59)</v>
      </c>
      <c r="H21" t="s">
        <v>778</v>
      </c>
      <c r="I21" t="s">
        <v>135</v>
      </c>
      <c r="J21" t="str">
        <f t="shared" si="1"/>
        <v>Methamphetamine-related</v>
      </c>
      <c r="K21" t="s">
        <v>54</v>
      </c>
      <c r="L21" t="s">
        <v>1071</v>
      </c>
      <c r="M21" t="s">
        <v>4889</v>
      </c>
      <c r="N21" t="s">
        <v>5097</v>
      </c>
      <c r="O21" t="str" cm="1">
        <f t="array" ref="O21">_xlfn.IFS(
  TEXT(TRIM(N21),"00000")="NULL", "Missing/Unknown",
  OR(TEXT(TRIM(N21),"00000")="89101", TEXT(TRIM(N21),"00000")="89104", TEXT(TRIM(N21),"00000")="89106", TEXT(TRIM(N21),"00000")="89102", TEXT(TRIM(N21),"00000")="89107", TEXT(TRIM(N21),"00000")="89108"), "Urban Core",
  OR(TEXT(TRIM(N21),"00000")="89110", TEXT(TRIM(N21),"00000")="89115", TEXT(TRIM(N21),"00000")="89121", TEXT(TRIM(N21),"00000")="89122", TEXT(TRIM(N21),"00000")="89142", TEXT(TRIM(N21),"00000")="89156"), "East Valley",
  OR(TEXT(TRIM(N21),"00000")="89030", TEXT(TRIM(N21),"00000")="89031", TEXT(TRIM(N21),"00000")="89032", TEXT(TRIM(N21),"00000")="89086", TEXT(TRIM(N21),"00000")="89084", TEXT(TRIM(N21),"00000")="89081"), "North LV",
  OR(TEXT(TRIM(N21),"00000")="89109", TEXT(TRIM(N21),"00000")="89103", TEXT(TRIM(N21),"00000")="89119", TEXT(TRIM(N21),"00000")="89123", TEXT(TRIM(N21),"00000")="89169", TEXT(TRIM(N21),"00000")="89118"), "South/Strip",
  OR(TEXT(TRIM(N21),"00000")="89074", TEXT(TRIM(N21),"00000")="89014", TEXT(TRIM(N21),"00000")="89015", TEXT(TRIM(N21),"00000")="89011", TEXT(TRIM(N21),"00000")="89012"), "Suburban SE",
  OR(TEXT(TRIM(N21),"00000")="89117", TEXT(TRIM(N21),"00000")="89128", TEXT(TRIM(N21),"00000")="89135", TEXT(TRIM(N21),"00000")="89144", TEXT(TRIM(N21),"00000")="89145", TEXT(TRIM(N21),"00000")="89147"), "West Valley",
  TRUE, "Other"
)</f>
        <v>Urban Core</v>
      </c>
      <c r="P21" t="s">
        <v>1073</v>
      </c>
      <c r="Q21" t="str">
        <f t="shared" si="2"/>
        <v>Home/Residence</v>
      </c>
      <c r="R21" t="s">
        <v>4889</v>
      </c>
      <c r="S21" t="s">
        <v>5097</v>
      </c>
      <c r="T21" t="str" cm="1">
        <f t="array" ref="T21">_xlfn.IFS(
  TEXT(TRIM(S21),"00000")="NULL", "Missing/Unknown",
  OR(TEXT(TRIM(S21),"00000")="89101", TEXT(TRIM(S21),"00000")="89104", TEXT(TRIM(S21),"00000")="89106", TEXT(TRIM(S21),"00000")="89102", TEXT(TRIM(S21),"00000")="89107", TEXT(TRIM(S21),"00000")="89108"), "Urban Core",
  OR(TEXT(TRIM(S21),"00000")="89110", TEXT(TRIM(S21),"00000")="89115", TEXT(TRIM(S21),"00000")="89121", TEXT(TRIM(S21),"00000")="89122", TEXT(TRIM(S21),"00000")="89142", TEXT(TRIM(S21),"00000")="89156"), "East Valley",
  OR(TEXT(TRIM(S21),"00000")="89030", TEXT(TRIM(S21),"00000")="89031", TEXT(TRIM(S21),"00000")="89032", TEXT(TRIM(S21),"00000")="89086", TEXT(TRIM(S21),"00000")="89084", TEXT(TRIM(S21),"00000")="89081"), "North LV",
  OR(TEXT(TRIM(S21),"00000")="89109", TEXT(TRIM(S21),"00000")="89103", TEXT(TRIM(S21),"00000")="89119", TEXT(TRIM(S21),"00000")="89123", TEXT(TRIM(S21),"00000")="89169", TEXT(TRIM(S21),"00000")="89118"), "South/Strip",
  OR(TEXT(TRIM(S21),"00000")="89074", TEXT(TRIM(S21),"00000")="89014", TEXT(TRIM(S21),"00000")="89015", TEXT(TRIM(S21),"00000")="89011", TEXT(TRIM(S21),"00000")="89012"), "Suburban SE",
  OR(TEXT(TRIM(S21),"00000")="89117", TEXT(TRIM(S21),"00000")="89128", TEXT(TRIM(S21),"00000")="89135", TEXT(TRIM(S21),"00000")="89144", TEXT(TRIM(S21),"00000")="89145", TEXT(TRIM(S21),"00000")="89147"), "West Valley",
  TRUE, "Other"
)</f>
        <v>Urban Core</v>
      </c>
      <c r="U21" t="s">
        <v>1073</v>
      </c>
      <c r="V21" t="str">
        <f t="shared" si="3"/>
        <v>Home/Residence</v>
      </c>
    </row>
    <row r="22" spans="1:22">
      <c r="A22" t="s">
        <v>2910</v>
      </c>
      <c r="B22" t="s">
        <v>2911</v>
      </c>
      <c r="C22" s="1">
        <v>45542</v>
      </c>
      <c r="D22" s="4">
        <v>105.98</v>
      </c>
      <c r="E22">
        <v>40</v>
      </c>
      <c r="F22" t="str">
        <f t="shared" si="0"/>
        <v>40's</v>
      </c>
      <c r="G22" t="str" cm="1">
        <f t="array" ref="G22">_xlfn.IFS(
  F22="10's", "Child (5–12)",
  OR(F22="20's", F22="30's"), "Young Adult (20–39)",
  OR(F22="40's", F22="50's"), "Adult (40–59)",
  OR(F22="60's", F22="70's", F22="80's", F22="90's"), "Senior (60+)",
  TRUE, "Unknown"
)</f>
        <v>Adult (40–59)</v>
      </c>
      <c r="H22" t="s">
        <v>841</v>
      </c>
      <c r="I22" t="s">
        <v>35</v>
      </c>
      <c r="J22" t="str">
        <f t="shared" si="1"/>
        <v>Environmental Heat</v>
      </c>
      <c r="K22" t="s">
        <v>4144</v>
      </c>
      <c r="L22" t="s">
        <v>250</v>
      </c>
      <c r="M22" t="s">
        <v>4608</v>
      </c>
      <c r="N22" t="s">
        <v>5105</v>
      </c>
      <c r="O22" t="str" cm="1">
        <f t="array" ref="O22">_xlfn.IFS(
  TEXT(TRIM(N22),"00000")="NULL", "Missing/Unknown",
  OR(TEXT(TRIM(N22),"00000")="89101", TEXT(TRIM(N22),"00000")="89104", TEXT(TRIM(N22),"00000")="89106", TEXT(TRIM(N22),"00000")="89102", TEXT(TRIM(N22),"00000")="89107", TEXT(TRIM(N22),"00000")="89108"), "Urban Core",
  OR(TEXT(TRIM(N22),"00000")="89110", TEXT(TRIM(N22),"00000")="89115", TEXT(TRIM(N22),"00000")="89121", TEXT(TRIM(N22),"00000")="89122", TEXT(TRIM(N22),"00000")="89142", TEXT(TRIM(N22),"00000")="89156"), "East Valley",
  OR(TEXT(TRIM(N22),"00000")="89030", TEXT(TRIM(N22),"00000")="89031", TEXT(TRIM(N22),"00000")="89032", TEXT(TRIM(N22),"00000")="89086", TEXT(TRIM(N22),"00000")="89084", TEXT(TRIM(N22),"00000")="89081"), "North LV",
  OR(TEXT(TRIM(N22),"00000")="89109", TEXT(TRIM(N22),"00000")="89103", TEXT(TRIM(N22),"00000")="89119", TEXT(TRIM(N22),"00000")="89123", TEXT(TRIM(N22),"00000")="89169", TEXT(TRIM(N22),"00000")="89118"), "South/Strip",
  OR(TEXT(TRIM(N22),"00000")="89074", TEXT(TRIM(N22),"00000")="89014", TEXT(TRIM(N22),"00000")="89015", TEXT(TRIM(N22),"00000")="89011", TEXT(TRIM(N22),"00000")="89012"), "Suburban SE",
  OR(TEXT(TRIM(N22),"00000")="89117", TEXT(TRIM(N22),"00000")="89128", TEXT(TRIM(N22),"00000")="89135", TEXT(TRIM(N22),"00000")="89144", TEXT(TRIM(N22),"00000")="89145", TEXT(TRIM(N22),"00000")="89147"), "West Valley",
  TRUE, "Other"
)</f>
        <v>East Valley</v>
      </c>
      <c r="P22" t="s">
        <v>271</v>
      </c>
      <c r="Q22" t="str">
        <f t="shared" si="2"/>
        <v>Home/Residence</v>
      </c>
      <c r="R22" t="s">
        <v>4608</v>
      </c>
      <c r="S22" t="s">
        <v>5105</v>
      </c>
      <c r="T22" t="str" cm="1">
        <f t="array" ref="T22">_xlfn.IFS(
  TEXT(TRIM(S22),"00000")="NULL", "Missing/Unknown",
  OR(TEXT(TRIM(S22),"00000")="89101", TEXT(TRIM(S22),"00000")="89104", TEXT(TRIM(S22),"00000")="89106", TEXT(TRIM(S22),"00000")="89102", TEXT(TRIM(S22),"00000")="89107", TEXT(TRIM(S22),"00000")="89108"), "Urban Core",
  OR(TEXT(TRIM(S22),"00000")="89110", TEXT(TRIM(S22),"00000")="89115", TEXT(TRIM(S22),"00000")="89121", TEXT(TRIM(S22),"00000")="89122", TEXT(TRIM(S22),"00000")="89142", TEXT(TRIM(S22),"00000")="89156"), "East Valley",
  OR(TEXT(TRIM(S22),"00000")="89030", TEXT(TRIM(S22),"00000")="89031", TEXT(TRIM(S22),"00000")="89032", TEXT(TRIM(S22),"00000")="89086", TEXT(TRIM(S22),"00000")="89084", TEXT(TRIM(S22),"00000")="89081"), "North LV",
  OR(TEXT(TRIM(S22),"00000")="89109", TEXT(TRIM(S22),"00000")="89103", TEXT(TRIM(S22),"00000")="89119", TEXT(TRIM(S22),"00000")="89123", TEXT(TRIM(S22),"00000")="89169", TEXT(TRIM(S22),"00000")="89118"), "South/Strip",
  OR(TEXT(TRIM(S22),"00000")="89074", TEXT(TRIM(S22),"00000")="89014", TEXT(TRIM(S22),"00000")="89015", TEXT(TRIM(S22),"00000")="89011", TEXT(TRIM(S22),"00000")="89012"), "Suburban SE",
  OR(TEXT(TRIM(S22),"00000")="89117", TEXT(TRIM(S22),"00000")="89128", TEXT(TRIM(S22),"00000")="89135", TEXT(TRIM(S22),"00000")="89144", TEXT(TRIM(S22),"00000")="89145", TEXT(TRIM(S22),"00000")="89147"), "West Valley",
  TRUE, "Other"
)</f>
        <v>East Valley</v>
      </c>
      <c r="U22" t="s">
        <v>271</v>
      </c>
      <c r="V22" t="str">
        <f t="shared" si="3"/>
        <v>Home/Residence</v>
      </c>
    </row>
    <row r="23" spans="1:22">
      <c r="A23" t="s">
        <v>2746</v>
      </c>
      <c r="B23" t="s">
        <v>2747</v>
      </c>
      <c r="C23" s="1">
        <v>45541</v>
      </c>
      <c r="D23" s="4">
        <v>105.08</v>
      </c>
      <c r="E23">
        <v>65</v>
      </c>
      <c r="F23" t="str">
        <f t="shared" si="0"/>
        <v>60's</v>
      </c>
      <c r="G23" t="str" cm="1">
        <f t="array" ref="G23">_xlfn.IFS(
  F23="10's", "Child (5–12)",
  OR(F23="20's", F23="30's"), "Young Adult (20–39)",
  OR(F23="40's", F23="50's"), "Adult (40–59)",
  OR(F23="60's", F23="70's", F23="80's", F23="90's"), "Senior (60+)",
  TRUE, "Unknown"
)</f>
        <v>Senior (60+)</v>
      </c>
      <c r="H23" t="s">
        <v>778</v>
      </c>
      <c r="I23" t="s">
        <v>4014</v>
      </c>
      <c r="J23" t="str">
        <f t="shared" si="1"/>
        <v>Methamphetamine-related</v>
      </c>
      <c r="K23" t="s">
        <v>54</v>
      </c>
      <c r="L23" t="s">
        <v>250</v>
      </c>
      <c r="M23" t="s">
        <v>4317</v>
      </c>
      <c r="N23" t="s">
        <v>5100</v>
      </c>
      <c r="O23" t="str" cm="1">
        <f t="array" ref="O23">_xlfn.IFS(
  TEXT(TRIM(N23),"00000")="NULL", "Missing/Unknown",
  OR(TEXT(TRIM(N23),"00000")="89101", TEXT(TRIM(N23),"00000")="89104", TEXT(TRIM(N23),"00000")="89106", TEXT(TRIM(N23),"00000")="89102", TEXT(TRIM(N23),"00000")="89107", TEXT(TRIM(N23),"00000")="89108"), "Urban Core",
  OR(TEXT(TRIM(N23),"00000")="89110", TEXT(TRIM(N23),"00000")="89115", TEXT(TRIM(N23),"00000")="89121", TEXT(TRIM(N23),"00000")="89122", TEXT(TRIM(N23),"00000")="89142", TEXT(TRIM(N23),"00000")="89156"), "East Valley",
  OR(TEXT(TRIM(N23),"00000")="89030", TEXT(TRIM(N23),"00000")="89031", TEXT(TRIM(N23),"00000")="89032", TEXT(TRIM(N23),"00000")="89086", TEXT(TRIM(N23),"00000")="89084", TEXT(TRIM(N23),"00000")="89081"), "North LV",
  OR(TEXT(TRIM(N23),"00000")="89109", TEXT(TRIM(N23),"00000")="89103", TEXT(TRIM(N23),"00000")="89119", TEXT(TRIM(N23),"00000")="89123", TEXT(TRIM(N23),"00000")="89169", TEXT(TRIM(N23),"00000")="89118"), "South/Strip",
  OR(TEXT(TRIM(N23),"00000")="89074", TEXT(TRIM(N23),"00000")="89014", TEXT(TRIM(N23),"00000")="89015", TEXT(TRIM(N23),"00000")="89011", TEXT(TRIM(N23),"00000")="89012"), "Suburban SE",
  OR(TEXT(TRIM(N23),"00000")="89117", TEXT(TRIM(N23),"00000")="89128", TEXT(TRIM(N23),"00000")="89135", TEXT(TRIM(N23),"00000")="89144", TEXT(TRIM(N23),"00000")="89145", TEXT(TRIM(N23),"00000")="89147"), "West Valley",
  TRUE, "Other"
)</f>
        <v>North LV</v>
      </c>
      <c r="P23" t="s">
        <v>3298</v>
      </c>
      <c r="Q23" t="str">
        <f t="shared" si="2"/>
        <v>Outdoors/Public</v>
      </c>
      <c r="R23" t="s">
        <v>4317</v>
      </c>
      <c r="S23" t="s">
        <v>5100</v>
      </c>
      <c r="T23" t="str" cm="1">
        <f t="array" ref="T23">_xlfn.IFS(
  TEXT(TRIM(S23),"00000")="NULL", "Missing/Unknown",
  OR(TEXT(TRIM(S23),"00000")="89101", TEXT(TRIM(S23),"00000")="89104", TEXT(TRIM(S23),"00000")="89106", TEXT(TRIM(S23),"00000")="89102", TEXT(TRIM(S23),"00000")="89107", TEXT(TRIM(S23),"00000")="89108"), "Urban Core",
  OR(TEXT(TRIM(S23),"00000")="89110", TEXT(TRIM(S23),"00000")="89115", TEXT(TRIM(S23),"00000")="89121", TEXT(TRIM(S23),"00000")="89122", TEXT(TRIM(S23),"00000")="89142", TEXT(TRIM(S23),"00000")="89156"), "East Valley",
  OR(TEXT(TRIM(S23),"00000")="89030", TEXT(TRIM(S23),"00000")="89031", TEXT(TRIM(S23),"00000")="89032", TEXT(TRIM(S23),"00000")="89086", TEXT(TRIM(S23),"00000")="89084", TEXT(TRIM(S23),"00000")="89081"), "North LV",
  OR(TEXT(TRIM(S23),"00000")="89109", TEXT(TRIM(S23),"00000")="89103", TEXT(TRIM(S23),"00000")="89119", TEXT(TRIM(S23),"00000")="89123", TEXT(TRIM(S23),"00000")="89169", TEXT(TRIM(S23),"00000")="89118"), "South/Strip",
  OR(TEXT(TRIM(S23),"00000")="89074", TEXT(TRIM(S23),"00000")="89014", TEXT(TRIM(S23),"00000")="89015", TEXT(TRIM(S23),"00000")="89011", TEXT(TRIM(S23),"00000")="89012"), "Suburban SE",
  OR(TEXT(TRIM(S23),"00000")="89117", TEXT(TRIM(S23),"00000")="89128", TEXT(TRIM(S23),"00000")="89135", TEXT(TRIM(S23),"00000")="89144", TEXT(TRIM(S23),"00000")="89145", TEXT(TRIM(S23),"00000")="89147"), "West Valley",
  TRUE, "Other"
)</f>
        <v>North LV</v>
      </c>
      <c r="U23" t="s">
        <v>3298</v>
      </c>
      <c r="V23" t="str">
        <f t="shared" si="3"/>
        <v>Outdoors/Public</v>
      </c>
    </row>
    <row r="24" spans="1:22">
      <c r="A24" t="s">
        <v>2654</v>
      </c>
      <c r="B24" t="s">
        <v>2655</v>
      </c>
      <c r="C24" s="1">
        <v>45540</v>
      </c>
      <c r="D24" s="4">
        <v>107.06</v>
      </c>
      <c r="E24">
        <v>56</v>
      </c>
      <c r="F24" t="str">
        <f t="shared" si="0"/>
        <v>50's</v>
      </c>
      <c r="G24" t="str" cm="1">
        <f t="array" ref="G24">_xlfn.IFS(
  F24="10's", "Child (5–12)",
  OR(F24="20's", F24="30's"), "Young Adult (20–39)",
  OR(F24="40's", F24="50's"), "Adult (40–59)",
  OR(F24="60's", F24="70's", F24="80's", F24="90's"), "Senior (60+)",
  TRUE, "Unknown"
)</f>
        <v>Adult (40–59)</v>
      </c>
      <c r="H24" t="s">
        <v>778</v>
      </c>
      <c r="I24" t="s">
        <v>63</v>
      </c>
      <c r="J24" t="str">
        <f t="shared" si="1"/>
        <v>Cardiovascular Disease</v>
      </c>
      <c r="K24" t="s">
        <v>54</v>
      </c>
      <c r="L24" t="s">
        <v>1071</v>
      </c>
      <c r="M24" t="s">
        <v>4890</v>
      </c>
      <c r="N24" t="s">
        <v>5106</v>
      </c>
      <c r="O24" t="str" cm="1">
        <f t="array" ref="O24">_xlfn.IFS(
  TEXT(TRIM(N24),"00000")="NULL", "Missing/Unknown",
  OR(TEXT(TRIM(N24),"00000")="89101", TEXT(TRIM(N24),"00000")="89104", TEXT(TRIM(N24),"00000")="89106", TEXT(TRIM(N24),"00000")="89102", TEXT(TRIM(N24),"00000")="89107", TEXT(TRIM(N24),"00000")="89108"), "Urban Core",
  OR(TEXT(TRIM(N24),"00000")="89110", TEXT(TRIM(N24),"00000")="89115", TEXT(TRIM(N24),"00000")="89121", TEXT(TRIM(N24),"00000")="89122", TEXT(TRIM(N24),"00000")="89142", TEXT(TRIM(N24),"00000")="89156"), "East Valley",
  OR(TEXT(TRIM(N24),"00000")="89030", TEXT(TRIM(N24),"00000")="89031", TEXT(TRIM(N24),"00000")="89032", TEXT(TRIM(N24),"00000")="89086", TEXT(TRIM(N24),"00000")="89084", TEXT(TRIM(N24),"00000")="89081"), "North LV",
  OR(TEXT(TRIM(N24),"00000")="89109", TEXT(TRIM(N24),"00000")="89103", TEXT(TRIM(N24),"00000")="89119", TEXT(TRIM(N24),"00000")="89123", TEXT(TRIM(N24),"00000")="89169", TEXT(TRIM(N24),"00000")="89118"), "South/Strip",
  OR(TEXT(TRIM(N24),"00000")="89074", TEXT(TRIM(N24),"00000")="89014", TEXT(TRIM(N24),"00000")="89015", TEXT(TRIM(N24),"00000")="89011", TEXT(TRIM(N24),"00000")="89012"), "Suburban SE",
  OR(TEXT(TRIM(N24),"00000")="89117", TEXT(TRIM(N24),"00000")="89128", TEXT(TRIM(N24),"00000")="89135", TEXT(TRIM(N24),"00000")="89144", TEXT(TRIM(N24),"00000")="89145", TEXT(TRIM(N24),"00000")="89147"), "West Valley",
  TRUE, "Other"
)</f>
        <v>East Valley</v>
      </c>
      <c r="P24" t="s">
        <v>1073</v>
      </c>
      <c r="Q24" t="str">
        <f t="shared" si="2"/>
        <v>Home/Residence</v>
      </c>
      <c r="R24" t="s">
        <v>4890</v>
      </c>
      <c r="S24" t="s">
        <v>5106</v>
      </c>
      <c r="T24" t="str" cm="1">
        <f t="array" ref="T24">_xlfn.IFS(
  TEXT(TRIM(S24),"00000")="NULL", "Missing/Unknown",
  OR(TEXT(TRIM(S24),"00000")="89101", TEXT(TRIM(S24),"00000")="89104", TEXT(TRIM(S24),"00000")="89106", TEXT(TRIM(S24),"00000")="89102", TEXT(TRIM(S24),"00000")="89107", TEXT(TRIM(S24),"00000")="89108"), "Urban Core",
  OR(TEXT(TRIM(S24),"00000")="89110", TEXT(TRIM(S24),"00000")="89115", TEXT(TRIM(S24),"00000")="89121", TEXT(TRIM(S24),"00000")="89122", TEXT(TRIM(S24),"00000")="89142", TEXT(TRIM(S24),"00000")="89156"), "East Valley",
  OR(TEXT(TRIM(S24),"00000")="89030", TEXT(TRIM(S24),"00000")="89031", TEXT(TRIM(S24),"00000")="89032", TEXT(TRIM(S24),"00000")="89086", TEXT(TRIM(S24),"00000")="89084", TEXT(TRIM(S24),"00000")="89081"), "North LV",
  OR(TEXT(TRIM(S24),"00000")="89109", TEXT(TRIM(S24),"00000")="89103", TEXT(TRIM(S24),"00000")="89119", TEXT(TRIM(S24),"00000")="89123", TEXT(TRIM(S24),"00000")="89169", TEXT(TRIM(S24),"00000")="89118"), "South/Strip",
  OR(TEXT(TRIM(S24),"00000")="89074", TEXT(TRIM(S24),"00000")="89014", TEXT(TRIM(S24),"00000")="89015", TEXT(TRIM(S24),"00000")="89011", TEXT(TRIM(S24),"00000")="89012"), "Suburban SE",
  OR(TEXT(TRIM(S24),"00000")="89117", TEXT(TRIM(S24),"00000")="89128", TEXT(TRIM(S24),"00000")="89135", TEXT(TRIM(S24),"00000")="89144", TEXT(TRIM(S24),"00000")="89145", TEXT(TRIM(S24),"00000")="89147"), "West Valley",
  TRUE, "Other"
)</f>
        <v>East Valley</v>
      </c>
      <c r="U24" t="s">
        <v>1073</v>
      </c>
      <c r="V24" t="str">
        <f t="shared" si="3"/>
        <v>Home/Residence</v>
      </c>
    </row>
    <row r="25" spans="1:22">
      <c r="A25" t="s">
        <v>2662</v>
      </c>
      <c r="B25" t="s">
        <v>2663</v>
      </c>
      <c r="C25" s="1">
        <v>45540</v>
      </c>
      <c r="D25" s="4">
        <v>107.06</v>
      </c>
      <c r="E25">
        <v>67</v>
      </c>
      <c r="F25" t="str">
        <f t="shared" si="0"/>
        <v>60's</v>
      </c>
      <c r="G25" t="str" cm="1">
        <f t="array" ref="G25">_xlfn.IFS(
  F25="10's", "Child (5–12)",
  OR(F25="20's", F25="30's"), "Young Adult (20–39)",
  OR(F25="40's", F25="50's"), "Adult (40–59)",
  OR(F25="60's", F25="70's", F25="80's", F25="90's"), "Senior (60+)",
  TRUE, "Unknown"
)</f>
        <v>Senior (60+)</v>
      </c>
      <c r="H25" t="s">
        <v>841</v>
      </c>
      <c r="I25" t="s">
        <v>1233</v>
      </c>
      <c r="J25" t="str">
        <f t="shared" si="1"/>
        <v>Cardiovascular Disease</v>
      </c>
      <c r="K25" t="s">
        <v>54</v>
      </c>
      <c r="L25" t="s">
        <v>2664</v>
      </c>
      <c r="N25" t="s">
        <v>5095</v>
      </c>
      <c r="O25" t="str" cm="1">
        <f t="array" ref="O25">_xlfn.IFS(
  TEXT(TRIM(N25),"00000")="NULL", "Missing/Unknown",
  OR(TEXT(TRIM(N25),"00000")="89101", TEXT(TRIM(N25),"00000")="89104", TEXT(TRIM(N25),"00000")="89106", TEXT(TRIM(N25),"00000")="89102", TEXT(TRIM(N25),"00000")="89107", TEXT(TRIM(N25),"00000")="89108"), "Urban Core",
  OR(TEXT(TRIM(N25),"00000")="89110", TEXT(TRIM(N25),"00000")="89115", TEXT(TRIM(N25),"00000")="89121", TEXT(TRIM(N25),"00000")="89122", TEXT(TRIM(N25),"00000")="89142", TEXT(TRIM(N25),"00000")="89156"), "East Valley",
  OR(TEXT(TRIM(N25),"00000")="89030", TEXT(TRIM(N25),"00000")="89031", TEXT(TRIM(N25),"00000")="89032", TEXT(TRIM(N25),"00000")="89086", TEXT(TRIM(N25),"00000")="89084", TEXT(TRIM(N25),"00000")="89081"), "North LV",
  OR(TEXT(TRIM(N25),"00000")="89109", TEXT(TRIM(N25),"00000")="89103", TEXT(TRIM(N25),"00000")="89119", TEXT(TRIM(N25),"00000")="89123", TEXT(TRIM(N25),"00000")="89169", TEXT(TRIM(N25),"00000")="89118"), "South/Strip",
  OR(TEXT(TRIM(N25),"00000")="89074", TEXT(TRIM(N25),"00000")="89014", TEXT(TRIM(N25),"00000")="89015", TEXT(TRIM(N25),"00000")="89011", TEXT(TRIM(N25),"00000")="89012"), "Suburban SE",
  OR(TEXT(TRIM(N25),"00000")="89117", TEXT(TRIM(N25),"00000")="89128", TEXT(TRIM(N25),"00000")="89135", TEXT(TRIM(N25),"00000")="89144", TEXT(TRIM(N25),"00000")="89145", TEXT(TRIM(N25),"00000")="89147"), "West Valley",
  TRUE, "Other"
)</f>
        <v>Missing/Unknown</v>
      </c>
      <c r="P25" t="s">
        <v>2666</v>
      </c>
      <c r="Q25" t="str">
        <f t="shared" si="2"/>
        <v>Outdoors/Public</v>
      </c>
      <c r="S25" t="s">
        <v>5095</v>
      </c>
      <c r="T25" t="str" cm="1">
        <f t="array" ref="T25">_xlfn.IFS(
  TEXT(TRIM(S25),"00000")="NULL", "Missing/Unknown",
  OR(TEXT(TRIM(S25),"00000")="89101", TEXT(TRIM(S25),"00000")="89104", TEXT(TRIM(S25),"00000")="89106", TEXT(TRIM(S25),"00000")="89102", TEXT(TRIM(S25),"00000")="89107", TEXT(TRIM(S25),"00000")="89108"), "Urban Core",
  OR(TEXT(TRIM(S25),"00000")="89110", TEXT(TRIM(S25),"00000")="89115", TEXT(TRIM(S25),"00000")="89121", TEXT(TRIM(S25),"00000")="89122", TEXT(TRIM(S25),"00000")="89142", TEXT(TRIM(S25),"00000")="89156"), "East Valley",
  OR(TEXT(TRIM(S25),"00000")="89030", TEXT(TRIM(S25),"00000")="89031", TEXT(TRIM(S25),"00000")="89032", TEXT(TRIM(S25),"00000")="89086", TEXT(TRIM(S25),"00000")="89084", TEXT(TRIM(S25),"00000")="89081"), "North LV",
  OR(TEXT(TRIM(S25),"00000")="89109", TEXT(TRIM(S25),"00000")="89103", TEXT(TRIM(S25),"00000")="89119", TEXT(TRIM(S25),"00000")="89123", TEXT(TRIM(S25),"00000")="89169", TEXT(TRIM(S25),"00000")="89118"), "South/Strip",
  OR(TEXT(TRIM(S25),"00000")="89074", TEXT(TRIM(S25),"00000")="89014", TEXT(TRIM(S25),"00000")="89015", TEXT(TRIM(S25),"00000")="89011", TEXT(TRIM(S25),"00000")="89012"), "Suburban SE",
  OR(TEXT(TRIM(S25),"00000")="89117", TEXT(TRIM(S25),"00000")="89128", TEXT(TRIM(S25),"00000")="89135", TEXT(TRIM(S25),"00000")="89144", TEXT(TRIM(S25),"00000")="89145", TEXT(TRIM(S25),"00000")="89147"), "West Valley",
  TRUE, "Other"
)</f>
        <v>Missing/Unknown</v>
      </c>
      <c r="U25" t="s">
        <v>2666</v>
      </c>
      <c r="V25" t="str">
        <f t="shared" si="3"/>
        <v>Outdoors/Public</v>
      </c>
    </row>
    <row r="26" spans="1:22">
      <c r="A26" t="s">
        <v>3275</v>
      </c>
      <c r="B26" t="s">
        <v>3276</v>
      </c>
      <c r="C26" s="1">
        <v>45540</v>
      </c>
      <c r="D26" s="4">
        <v>107.06</v>
      </c>
      <c r="E26">
        <v>69</v>
      </c>
      <c r="F26" t="str">
        <f t="shared" si="0"/>
        <v>60's</v>
      </c>
      <c r="G26" t="str" cm="1">
        <f t="array" ref="G26">_xlfn.IFS(
  F26="10's", "Child (5–12)",
  OR(F26="20's", F26="30's"), "Young Adult (20–39)",
  OR(F26="40's", F26="50's"), "Adult (40–59)",
  OR(F26="60's", F26="70's", F26="80's", F26="90's"), "Senior (60+)",
  TRUE, "Unknown"
)</f>
        <v>Senior (60+)</v>
      </c>
      <c r="H26" t="s">
        <v>4309</v>
      </c>
      <c r="I26" t="s">
        <v>54</v>
      </c>
      <c r="J26" t="str">
        <f t="shared" si="1"/>
        <v>Environmental Heat</v>
      </c>
      <c r="K26" t="s">
        <v>98</v>
      </c>
      <c r="L26" t="s">
        <v>250</v>
      </c>
      <c r="N26" t="s">
        <v>5095</v>
      </c>
      <c r="O26" t="str" cm="1">
        <f t="array" ref="O26">_xlfn.IFS(
  TEXT(TRIM(N26),"00000")="NULL", "Missing/Unknown",
  OR(TEXT(TRIM(N26),"00000")="89101", TEXT(TRIM(N26),"00000")="89104", TEXT(TRIM(N26),"00000")="89106", TEXT(TRIM(N26),"00000")="89102", TEXT(TRIM(N26),"00000")="89107", TEXT(TRIM(N26),"00000")="89108"), "Urban Core",
  OR(TEXT(TRIM(N26),"00000")="89110", TEXT(TRIM(N26),"00000")="89115", TEXT(TRIM(N26),"00000")="89121", TEXT(TRIM(N26),"00000")="89122", TEXT(TRIM(N26),"00000")="89142", TEXT(TRIM(N26),"00000")="89156"), "East Valley",
  OR(TEXT(TRIM(N26),"00000")="89030", TEXT(TRIM(N26),"00000")="89031", TEXT(TRIM(N26),"00000")="89032", TEXT(TRIM(N26),"00000")="89086", TEXT(TRIM(N26),"00000")="89084", TEXT(TRIM(N26),"00000")="89081"), "North LV",
  OR(TEXT(TRIM(N26),"00000")="89109", TEXT(TRIM(N26),"00000")="89103", TEXT(TRIM(N26),"00000")="89119", TEXT(TRIM(N26),"00000")="89123", TEXT(TRIM(N26),"00000")="89169", TEXT(TRIM(N26),"00000")="89118"), "South/Strip",
  OR(TEXT(TRIM(N26),"00000")="89074", TEXT(TRIM(N26),"00000")="89014", TEXT(TRIM(N26),"00000")="89015", TEXT(TRIM(N26),"00000")="89011", TEXT(TRIM(N26),"00000")="89012"), "Suburban SE",
  OR(TEXT(TRIM(N26),"00000")="89117", TEXT(TRIM(N26),"00000")="89128", TEXT(TRIM(N26),"00000")="89135", TEXT(TRIM(N26),"00000")="89144", TEXT(TRIM(N26),"00000")="89145", TEXT(TRIM(N26),"00000")="89147"), "West Valley",
  TRUE, "Other"
)</f>
        <v>Missing/Unknown</v>
      </c>
      <c r="P26" t="s">
        <v>3298</v>
      </c>
      <c r="Q26" t="str">
        <f t="shared" si="2"/>
        <v>Outdoors/Public</v>
      </c>
      <c r="S26" t="s">
        <v>5095</v>
      </c>
      <c r="T26" t="str" cm="1">
        <f t="array" ref="T26">_xlfn.IFS(
  TEXT(TRIM(S26),"00000")="NULL", "Missing/Unknown",
  OR(TEXT(TRIM(S26),"00000")="89101", TEXT(TRIM(S26),"00000")="89104", TEXT(TRIM(S26),"00000")="89106", TEXT(TRIM(S26),"00000")="89102", TEXT(TRIM(S26),"00000")="89107", TEXT(TRIM(S26),"00000")="89108"), "Urban Core",
  OR(TEXT(TRIM(S26),"00000")="89110", TEXT(TRIM(S26),"00000")="89115", TEXT(TRIM(S26),"00000")="89121", TEXT(TRIM(S26),"00000")="89122", TEXT(TRIM(S26),"00000")="89142", TEXT(TRIM(S26),"00000")="89156"), "East Valley",
  OR(TEXT(TRIM(S26),"00000")="89030", TEXT(TRIM(S26),"00000")="89031", TEXT(TRIM(S26),"00000")="89032", TEXT(TRIM(S26),"00000")="89086", TEXT(TRIM(S26),"00000")="89084", TEXT(TRIM(S26),"00000")="89081"), "North LV",
  OR(TEXT(TRIM(S26),"00000")="89109", TEXT(TRIM(S26),"00000")="89103", TEXT(TRIM(S26),"00000")="89119", TEXT(TRIM(S26),"00000")="89123", TEXT(TRIM(S26),"00000")="89169", TEXT(TRIM(S26),"00000")="89118"), "South/Strip",
  OR(TEXT(TRIM(S26),"00000")="89074", TEXT(TRIM(S26),"00000")="89014", TEXT(TRIM(S26),"00000")="89015", TEXT(TRIM(S26),"00000")="89011", TEXT(TRIM(S26),"00000")="89012"), "Suburban SE",
  OR(TEXT(TRIM(S26),"00000")="89117", TEXT(TRIM(S26),"00000")="89128", TEXT(TRIM(S26),"00000")="89135", TEXT(TRIM(S26),"00000")="89144", TEXT(TRIM(S26),"00000")="89145", TEXT(TRIM(S26),"00000")="89147"), "West Valley",
  TRUE, "Other"
)</f>
        <v>Missing/Unknown</v>
      </c>
      <c r="U26" t="s">
        <v>3298</v>
      </c>
      <c r="V26" t="str">
        <f t="shared" si="3"/>
        <v>Outdoors/Public</v>
      </c>
    </row>
    <row r="27" spans="1:22">
      <c r="A27" t="s">
        <v>3497</v>
      </c>
      <c r="B27" t="s">
        <v>3498</v>
      </c>
      <c r="C27" s="1">
        <v>45539</v>
      </c>
      <c r="D27" s="4">
        <v>107.06</v>
      </c>
      <c r="E27">
        <v>64</v>
      </c>
      <c r="F27" t="str">
        <f t="shared" si="0"/>
        <v>60's</v>
      </c>
      <c r="G27" t="str" cm="1">
        <f t="array" ref="G27">_xlfn.IFS(
  F27="10's", "Child (5–12)",
  OR(F27="20's", F27="30's"), "Young Adult (20–39)",
  OR(F27="40's", F27="50's"), "Adult (40–59)",
  OR(F27="60's", F27="70's", F27="80's", F27="90's"), "Senior (60+)",
  TRUE, "Unknown"
)</f>
        <v>Senior (60+)</v>
      </c>
      <c r="H27" t="s">
        <v>841</v>
      </c>
      <c r="I27" t="s">
        <v>68</v>
      </c>
      <c r="J27" t="str">
        <f t="shared" si="1"/>
        <v>Cardiovascular Disease</v>
      </c>
      <c r="K27" t="s">
        <v>4145</v>
      </c>
      <c r="L27" t="s">
        <v>1071</v>
      </c>
      <c r="M27" t="s">
        <v>4957</v>
      </c>
      <c r="N27" t="s">
        <v>5098</v>
      </c>
      <c r="O27" t="str" cm="1">
        <f t="array" ref="O27">_xlfn.IFS(
  TEXT(TRIM(N27),"00000")="NULL", "Missing/Unknown",
  OR(TEXT(TRIM(N27),"00000")="89101", TEXT(TRIM(N27),"00000")="89104", TEXT(TRIM(N27),"00000")="89106", TEXT(TRIM(N27),"00000")="89102", TEXT(TRIM(N27),"00000")="89107", TEXT(TRIM(N27),"00000")="89108"), "Urban Core",
  OR(TEXT(TRIM(N27),"00000")="89110", TEXT(TRIM(N27),"00000")="89115", TEXT(TRIM(N27),"00000")="89121", TEXT(TRIM(N27),"00000")="89122", TEXT(TRIM(N27),"00000")="89142", TEXT(TRIM(N27),"00000")="89156"), "East Valley",
  OR(TEXT(TRIM(N27),"00000")="89030", TEXT(TRIM(N27),"00000")="89031", TEXT(TRIM(N27),"00000")="89032", TEXT(TRIM(N27),"00000")="89086", TEXT(TRIM(N27),"00000")="89084", TEXT(TRIM(N27),"00000")="89081"), "North LV",
  OR(TEXT(TRIM(N27),"00000")="89109", TEXT(TRIM(N27),"00000")="89103", TEXT(TRIM(N27),"00000")="89119", TEXT(TRIM(N27),"00000")="89123", TEXT(TRIM(N27),"00000")="89169", TEXT(TRIM(N27),"00000")="89118"), "South/Strip",
  OR(TEXT(TRIM(N27),"00000")="89074", TEXT(TRIM(N27),"00000")="89014", TEXT(TRIM(N27),"00000")="89015", TEXT(TRIM(N27),"00000")="89011", TEXT(TRIM(N27),"00000")="89012"), "Suburban SE",
  OR(TEXT(TRIM(N27),"00000")="89117", TEXT(TRIM(N27),"00000")="89128", TEXT(TRIM(N27),"00000")="89135", TEXT(TRIM(N27),"00000")="89144", TEXT(TRIM(N27),"00000")="89145", TEXT(TRIM(N27),"00000")="89147"), "West Valley",
  TRUE, "Other"
)</f>
        <v>Urban Core</v>
      </c>
      <c r="P27" t="s">
        <v>4303</v>
      </c>
      <c r="Q27" t="str">
        <f t="shared" si="2"/>
        <v>Home/Residence</v>
      </c>
      <c r="R27" t="s">
        <v>4957</v>
      </c>
      <c r="S27" t="s">
        <v>5098</v>
      </c>
      <c r="T27" t="str" cm="1">
        <f t="array" ref="T27">_xlfn.IFS(
  TEXT(TRIM(S27),"00000")="NULL", "Missing/Unknown",
  OR(TEXT(TRIM(S27),"00000")="89101", TEXT(TRIM(S27),"00000")="89104", TEXT(TRIM(S27),"00000")="89106", TEXT(TRIM(S27),"00000")="89102", TEXT(TRIM(S27),"00000")="89107", TEXT(TRIM(S27),"00000")="89108"), "Urban Core",
  OR(TEXT(TRIM(S27),"00000")="89110", TEXT(TRIM(S27),"00000")="89115", TEXT(TRIM(S27),"00000")="89121", TEXT(TRIM(S27),"00000")="89122", TEXT(TRIM(S27),"00000")="89142", TEXT(TRIM(S27),"00000")="89156"), "East Valley",
  OR(TEXT(TRIM(S27),"00000")="89030", TEXT(TRIM(S27),"00000")="89031", TEXT(TRIM(S27),"00000")="89032", TEXT(TRIM(S27),"00000")="89086", TEXT(TRIM(S27),"00000")="89084", TEXT(TRIM(S27),"00000")="89081"), "North LV",
  OR(TEXT(TRIM(S27),"00000")="89109", TEXT(TRIM(S27),"00000")="89103", TEXT(TRIM(S27),"00000")="89119", TEXT(TRIM(S27),"00000")="89123", TEXT(TRIM(S27),"00000")="89169", TEXT(TRIM(S27),"00000")="89118"), "South/Strip",
  OR(TEXT(TRIM(S27),"00000")="89074", TEXT(TRIM(S27),"00000")="89014", TEXT(TRIM(S27),"00000")="89015", TEXT(TRIM(S27),"00000")="89011", TEXT(TRIM(S27),"00000")="89012"), "Suburban SE",
  OR(TEXT(TRIM(S27),"00000")="89117", TEXT(TRIM(S27),"00000")="89128", TEXT(TRIM(S27),"00000")="89135", TEXT(TRIM(S27),"00000")="89144", TEXT(TRIM(S27),"00000")="89145", TEXT(TRIM(S27),"00000")="89147"), "West Valley",
  TRUE, "Other"
)</f>
        <v>Urban Core</v>
      </c>
      <c r="U27" t="s">
        <v>4303</v>
      </c>
      <c r="V27" t="str">
        <f t="shared" si="3"/>
        <v>Home/Residence</v>
      </c>
    </row>
    <row r="28" spans="1:22">
      <c r="A28" t="s">
        <v>3830</v>
      </c>
      <c r="B28" t="s">
        <v>3831</v>
      </c>
      <c r="C28" s="1">
        <v>45539</v>
      </c>
      <c r="D28" s="4">
        <v>107.06</v>
      </c>
      <c r="E28">
        <v>67</v>
      </c>
      <c r="F28" t="str">
        <f t="shared" si="0"/>
        <v>60's</v>
      </c>
      <c r="G28" t="str" cm="1">
        <f t="array" ref="G28">_xlfn.IFS(
  F28="10's", "Child (5–12)",
  OR(F28="20's", F28="30's"), "Young Adult (20–39)",
  OR(F28="40's", F28="50's"), "Adult (40–59)",
  OR(F28="60's", F28="70's", F28="80's", F28="90's"), "Senior (60+)",
  TRUE, "Unknown"
)</f>
        <v>Senior (60+)</v>
      </c>
      <c r="H28" t="s">
        <v>778</v>
      </c>
      <c r="I28" t="s">
        <v>172</v>
      </c>
      <c r="J28" t="str">
        <f t="shared" si="1"/>
        <v>Methamphetamine-related</v>
      </c>
      <c r="K28" t="s">
        <v>3832</v>
      </c>
      <c r="L28" t="s">
        <v>250</v>
      </c>
      <c r="N28" t="s">
        <v>5095</v>
      </c>
      <c r="O28" t="str" cm="1">
        <f t="array" ref="O28">_xlfn.IFS(
  TEXT(TRIM(N28),"00000")="NULL", "Missing/Unknown",
  OR(TEXT(TRIM(N28),"00000")="89101", TEXT(TRIM(N28),"00000")="89104", TEXT(TRIM(N28),"00000")="89106", TEXT(TRIM(N28),"00000")="89102", TEXT(TRIM(N28),"00000")="89107", TEXT(TRIM(N28),"00000")="89108"), "Urban Core",
  OR(TEXT(TRIM(N28),"00000")="89110", TEXT(TRIM(N28),"00000")="89115", TEXT(TRIM(N28),"00000")="89121", TEXT(TRIM(N28),"00000")="89122", TEXT(TRIM(N28),"00000")="89142", TEXT(TRIM(N28),"00000")="89156"), "East Valley",
  OR(TEXT(TRIM(N28),"00000")="89030", TEXT(TRIM(N28),"00000")="89031", TEXT(TRIM(N28),"00000")="89032", TEXT(TRIM(N28),"00000")="89086", TEXT(TRIM(N28),"00000")="89084", TEXT(TRIM(N28),"00000")="89081"), "North LV",
  OR(TEXT(TRIM(N28),"00000")="89109", TEXT(TRIM(N28),"00000")="89103", TEXT(TRIM(N28),"00000")="89119", TEXT(TRIM(N28),"00000")="89123", TEXT(TRIM(N28),"00000")="89169", TEXT(TRIM(N28),"00000")="89118"), "South/Strip",
  OR(TEXT(TRIM(N28),"00000")="89074", TEXT(TRIM(N28),"00000")="89014", TEXT(TRIM(N28),"00000")="89015", TEXT(TRIM(N28),"00000")="89011", TEXT(TRIM(N28),"00000")="89012"), "Suburban SE",
  OR(TEXT(TRIM(N28),"00000")="89117", TEXT(TRIM(N28),"00000")="89128", TEXT(TRIM(N28),"00000")="89135", TEXT(TRIM(N28),"00000")="89144", TEXT(TRIM(N28),"00000")="89145", TEXT(TRIM(N28),"00000")="89147"), "West Valley",
  TRUE, "Other"
)</f>
        <v>Missing/Unknown</v>
      </c>
      <c r="P28" t="s">
        <v>3298</v>
      </c>
      <c r="Q28" t="str">
        <f t="shared" si="2"/>
        <v>Outdoors/Public</v>
      </c>
      <c r="S28" t="s">
        <v>5095</v>
      </c>
      <c r="T28" t="str" cm="1">
        <f t="array" ref="T28">_xlfn.IFS(
  TEXT(TRIM(S28),"00000")="NULL", "Missing/Unknown",
  OR(TEXT(TRIM(S28),"00000")="89101", TEXT(TRIM(S28),"00000")="89104", TEXT(TRIM(S28),"00000")="89106", TEXT(TRIM(S28),"00000")="89102", TEXT(TRIM(S28),"00000")="89107", TEXT(TRIM(S28),"00000")="89108"), "Urban Core",
  OR(TEXT(TRIM(S28),"00000")="89110", TEXT(TRIM(S28),"00000")="89115", TEXT(TRIM(S28),"00000")="89121", TEXT(TRIM(S28),"00000")="89122", TEXT(TRIM(S28),"00000")="89142", TEXT(TRIM(S28),"00000")="89156"), "East Valley",
  OR(TEXT(TRIM(S28),"00000")="89030", TEXT(TRIM(S28),"00000")="89031", TEXT(TRIM(S28),"00000")="89032", TEXT(TRIM(S28),"00000")="89086", TEXT(TRIM(S28),"00000")="89084", TEXT(TRIM(S28),"00000")="89081"), "North LV",
  OR(TEXT(TRIM(S28),"00000")="89109", TEXT(TRIM(S28),"00000")="89103", TEXT(TRIM(S28),"00000")="89119", TEXT(TRIM(S28),"00000")="89123", TEXT(TRIM(S28),"00000")="89169", TEXT(TRIM(S28),"00000")="89118"), "South/Strip",
  OR(TEXT(TRIM(S28),"00000")="89074", TEXT(TRIM(S28),"00000")="89014", TEXT(TRIM(S28),"00000")="89015", TEXT(TRIM(S28),"00000")="89011", TEXT(TRIM(S28),"00000")="89012"), "Suburban SE",
  OR(TEXT(TRIM(S28),"00000")="89117", TEXT(TRIM(S28),"00000")="89128", TEXT(TRIM(S28),"00000")="89135", TEXT(TRIM(S28),"00000")="89144", TEXT(TRIM(S28),"00000")="89145", TEXT(TRIM(S28),"00000")="89147"), "West Valley",
  TRUE, "Other"
)</f>
        <v>Missing/Unknown</v>
      </c>
      <c r="U28" t="s">
        <v>3833</v>
      </c>
      <c r="V28" t="str">
        <f t="shared" si="3"/>
        <v>Other / Unknown</v>
      </c>
    </row>
    <row r="29" spans="1:22">
      <c r="A29" t="s">
        <v>3824</v>
      </c>
      <c r="B29" t="s">
        <v>3825</v>
      </c>
      <c r="C29" s="1">
        <v>45538</v>
      </c>
      <c r="D29" s="4">
        <v>105.98</v>
      </c>
      <c r="E29">
        <v>62</v>
      </c>
      <c r="F29" t="str">
        <f t="shared" si="0"/>
        <v>60's</v>
      </c>
      <c r="G29" t="str" cm="1">
        <f t="array" ref="G29">_xlfn.IFS(
  F29="10's", "Child (5–12)",
  OR(F29="20's", F29="30's"), "Young Adult (20–39)",
  OR(F29="40's", F29="50's"), "Adult (40–59)",
  OR(F29="60's", F29="70's", F29="80's", F29="90's"), "Senior (60+)",
  TRUE, "Unknown"
)</f>
        <v>Senior (60+)</v>
      </c>
      <c r="H29" t="s">
        <v>778</v>
      </c>
      <c r="I29" t="s">
        <v>172</v>
      </c>
      <c r="J29" t="str">
        <f t="shared" si="1"/>
        <v>Methamphetamine-related</v>
      </c>
      <c r="K29" t="s">
        <v>54</v>
      </c>
      <c r="L29" t="s">
        <v>250</v>
      </c>
      <c r="M29" t="s">
        <v>4871</v>
      </c>
      <c r="N29" t="s">
        <v>5100</v>
      </c>
      <c r="O29" t="str" cm="1">
        <f t="array" ref="O29">_xlfn.IFS(
  TEXT(TRIM(N29),"00000")="NULL", "Missing/Unknown",
  OR(TEXT(TRIM(N29),"00000")="89101", TEXT(TRIM(N29),"00000")="89104", TEXT(TRIM(N29),"00000")="89106", TEXT(TRIM(N29),"00000")="89102", TEXT(TRIM(N29),"00000")="89107", TEXT(TRIM(N29),"00000")="89108"), "Urban Core",
  OR(TEXT(TRIM(N29),"00000")="89110", TEXT(TRIM(N29),"00000")="89115", TEXT(TRIM(N29),"00000")="89121", TEXT(TRIM(N29),"00000")="89122", TEXT(TRIM(N29),"00000")="89142", TEXT(TRIM(N29),"00000")="89156"), "East Valley",
  OR(TEXT(TRIM(N29),"00000")="89030", TEXT(TRIM(N29),"00000")="89031", TEXT(TRIM(N29),"00000")="89032", TEXT(TRIM(N29),"00000")="89086", TEXT(TRIM(N29),"00000")="89084", TEXT(TRIM(N29),"00000")="89081"), "North LV",
  OR(TEXT(TRIM(N29),"00000")="89109", TEXT(TRIM(N29),"00000")="89103", TEXT(TRIM(N29),"00000")="89119", TEXT(TRIM(N29),"00000")="89123", TEXT(TRIM(N29),"00000")="89169", TEXT(TRIM(N29),"00000")="89118"), "South/Strip",
  OR(TEXT(TRIM(N29),"00000")="89074", TEXT(TRIM(N29),"00000")="89014", TEXT(TRIM(N29),"00000")="89015", TEXT(TRIM(N29),"00000")="89011", TEXT(TRIM(N29),"00000")="89012"), "Suburban SE",
  OR(TEXT(TRIM(N29),"00000")="89117", TEXT(TRIM(N29),"00000")="89128", TEXT(TRIM(N29),"00000")="89135", TEXT(TRIM(N29),"00000")="89144", TEXT(TRIM(N29),"00000")="89145", TEXT(TRIM(N29),"00000")="89147"), "West Valley",
  TRUE, "Other"
)</f>
        <v>North LV</v>
      </c>
      <c r="P29" t="s">
        <v>24</v>
      </c>
      <c r="Q29" t="str">
        <f t="shared" si="2"/>
        <v>Outdoors/Public</v>
      </c>
      <c r="R29" t="s">
        <v>4871</v>
      </c>
      <c r="S29" t="s">
        <v>5100</v>
      </c>
      <c r="T29" t="str" cm="1">
        <f t="array" ref="T29">_xlfn.IFS(
  TEXT(TRIM(S29),"00000")="NULL", "Missing/Unknown",
  OR(TEXT(TRIM(S29),"00000")="89101", TEXT(TRIM(S29),"00000")="89104", TEXT(TRIM(S29),"00000")="89106", TEXT(TRIM(S29),"00000")="89102", TEXT(TRIM(S29),"00000")="89107", TEXT(TRIM(S29),"00000")="89108"), "Urban Core",
  OR(TEXT(TRIM(S29),"00000")="89110", TEXT(TRIM(S29),"00000")="89115", TEXT(TRIM(S29),"00000")="89121", TEXT(TRIM(S29),"00000")="89122", TEXT(TRIM(S29),"00000")="89142", TEXT(TRIM(S29),"00000")="89156"), "East Valley",
  OR(TEXT(TRIM(S29),"00000")="89030", TEXT(TRIM(S29),"00000")="89031", TEXT(TRIM(S29),"00000")="89032", TEXT(TRIM(S29),"00000")="89086", TEXT(TRIM(S29),"00000")="89084", TEXT(TRIM(S29),"00000")="89081"), "North LV",
  OR(TEXT(TRIM(S29),"00000")="89109", TEXT(TRIM(S29),"00000")="89103", TEXT(TRIM(S29),"00000")="89119", TEXT(TRIM(S29),"00000")="89123", TEXT(TRIM(S29),"00000")="89169", TEXT(TRIM(S29),"00000")="89118"), "South/Strip",
  OR(TEXT(TRIM(S29),"00000")="89074", TEXT(TRIM(S29),"00000")="89014", TEXT(TRIM(S29),"00000")="89015", TEXT(TRIM(S29),"00000")="89011", TEXT(TRIM(S29),"00000")="89012"), "Suburban SE",
  OR(TEXT(TRIM(S29),"00000")="89117", TEXT(TRIM(S29),"00000")="89128", TEXT(TRIM(S29),"00000")="89135", TEXT(TRIM(S29),"00000")="89144", TEXT(TRIM(S29),"00000")="89145", TEXT(TRIM(S29),"00000")="89147"), "West Valley",
  TRUE, "Other"
)</f>
        <v>North LV</v>
      </c>
      <c r="U29" t="s">
        <v>24</v>
      </c>
      <c r="V29" t="str">
        <f t="shared" si="3"/>
        <v>Outdoors/Public</v>
      </c>
    </row>
    <row r="30" spans="1:22">
      <c r="A30" t="s">
        <v>2765</v>
      </c>
      <c r="B30" t="s">
        <v>2766</v>
      </c>
      <c r="C30" s="1">
        <v>45538</v>
      </c>
      <c r="D30" s="4">
        <v>105.98</v>
      </c>
      <c r="E30">
        <v>46</v>
      </c>
      <c r="F30" t="str">
        <f t="shared" si="0"/>
        <v>40's</v>
      </c>
      <c r="G30" t="str" cm="1">
        <f t="array" ref="G30">_xlfn.IFS(
  F30="10's", "Child (5–12)",
  OR(F30="20's", F30="30's"), "Young Adult (20–39)",
  OR(F30="40's", F30="50's"), "Adult (40–59)",
  OR(F30="60's", F30="70's", F30="80's", F30="90's"), "Senior (60+)",
  TRUE, "Unknown"
)</f>
        <v>Adult (40–59)</v>
      </c>
      <c r="H30" t="s">
        <v>27</v>
      </c>
      <c r="I30" t="s">
        <v>4015</v>
      </c>
      <c r="J30" t="str">
        <f t="shared" si="1"/>
        <v>Methamphetamine-related</v>
      </c>
      <c r="K30" t="s">
        <v>54</v>
      </c>
      <c r="L30" t="s">
        <v>250</v>
      </c>
      <c r="M30" t="s">
        <v>4334</v>
      </c>
      <c r="N30" t="s">
        <v>5107</v>
      </c>
      <c r="O30" t="str" cm="1">
        <f t="array" ref="O30">_xlfn.IFS(
  TEXT(TRIM(N30),"00000")="NULL", "Missing/Unknown",
  OR(TEXT(TRIM(N30),"00000")="89101", TEXT(TRIM(N30),"00000")="89104", TEXT(TRIM(N30),"00000")="89106", TEXT(TRIM(N30),"00000")="89102", TEXT(TRIM(N30),"00000")="89107", TEXT(TRIM(N30),"00000")="89108"), "Urban Core",
  OR(TEXT(TRIM(N30),"00000")="89110", TEXT(TRIM(N30),"00000")="89115", TEXT(TRIM(N30),"00000")="89121", TEXT(TRIM(N30),"00000")="89122", TEXT(TRIM(N30),"00000")="89142", TEXT(TRIM(N30),"00000")="89156"), "East Valley",
  OR(TEXT(TRIM(N30),"00000")="89030", TEXT(TRIM(N30),"00000")="89031", TEXT(TRIM(N30),"00000")="89032", TEXT(TRIM(N30),"00000")="89086", TEXT(TRIM(N30),"00000")="89084", TEXT(TRIM(N30),"00000")="89081"), "North LV",
  OR(TEXT(TRIM(N30),"00000")="89109", TEXT(TRIM(N30),"00000")="89103", TEXT(TRIM(N30),"00000")="89119", TEXT(TRIM(N30),"00000")="89123", TEXT(TRIM(N30),"00000")="89169", TEXT(TRIM(N30),"00000")="89118"), "South/Strip",
  OR(TEXT(TRIM(N30),"00000")="89074", TEXT(TRIM(N30),"00000")="89014", TEXT(TRIM(N30),"00000")="89015", TEXT(TRIM(N30),"00000")="89011", TEXT(TRIM(N30),"00000")="89012"), "Suburban SE",
  OR(TEXT(TRIM(N30),"00000")="89117", TEXT(TRIM(N30),"00000")="89128", TEXT(TRIM(N30),"00000")="89135", TEXT(TRIM(N30),"00000")="89144", TEXT(TRIM(N30),"00000")="89145", TEXT(TRIM(N30),"00000")="89147"), "West Valley",
  TRUE, "Other"
)</f>
        <v>South/Strip</v>
      </c>
      <c r="P30" t="s">
        <v>3298</v>
      </c>
      <c r="Q30" t="str">
        <f t="shared" si="2"/>
        <v>Outdoors/Public</v>
      </c>
      <c r="R30" t="s">
        <v>4576</v>
      </c>
      <c r="S30" t="s">
        <v>5118</v>
      </c>
      <c r="T30" t="str" cm="1">
        <f t="array" ref="T30">_xlfn.IFS(
  TEXT(TRIM(S30),"00000")="NULL", "Missing/Unknown",
  OR(TEXT(TRIM(S30),"00000")="89101", TEXT(TRIM(S30),"00000")="89104", TEXT(TRIM(S30),"00000")="89106", TEXT(TRIM(S30),"00000")="89102", TEXT(TRIM(S30),"00000")="89107", TEXT(TRIM(S30),"00000")="89108"), "Urban Core",
  OR(TEXT(TRIM(S30),"00000")="89110", TEXT(TRIM(S30),"00000")="89115", TEXT(TRIM(S30),"00000")="89121", TEXT(TRIM(S30),"00000")="89122", TEXT(TRIM(S30),"00000")="89142", TEXT(TRIM(S30),"00000")="89156"), "East Valley",
  OR(TEXT(TRIM(S30),"00000")="89030", TEXT(TRIM(S30),"00000")="89031", TEXT(TRIM(S30),"00000")="89032", TEXT(TRIM(S30),"00000")="89086", TEXT(TRIM(S30),"00000")="89084", TEXT(TRIM(S30),"00000")="89081"), "North LV",
  OR(TEXT(TRIM(S30),"00000")="89109", TEXT(TRIM(S30),"00000")="89103", TEXT(TRIM(S30),"00000")="89119", TEXT(TRIM(S30),"00000")="89123", TEXT(TRIM(S30),"00000")="89169", TEXT(TRIM(S30),"00000")="89118"), "South/Strip",
  OR(TEXT(TRIM(S30),"00000")="89074", TEXT(TRIM(S30),"00000")="89014", TEXT(TRIM(S30),"00000")="89015", TEXT(TRIM(S30),"00000")="89011", TEXT(TRIM(S30),"00000")="89012"), "Suburban SE",
  OR(TEXT(TRIM(S30),"00000")="89117", TEXT(TRIM(S30),"00000")="89128", TEXT(TRIM(S30),"00000")="89135", TEXT(TRIM(S30),"00000")="89144", TEXT(TRIM(S30),"00000")="89145", TEXT(TRIM(S30),"00000")="89147"), "West Valley",
  TRUE, "Other"
)</f>
        <v>South/Strip</v>
      </c>
      <c r="U30" t="s">
        <v>2537</v>
      </c>
      <c r="V30" t="str">
        <f t="shared" si="3"/>
        <v>Medical Facility</v>
      </c>
    </row>
    <row r="31" spans="1:22">
      <c r="A31" t="s">
        <v>3827</v>
      </c>
      <c r="B31" t="s">
        <v>3828</v>
      </c>
      <c r="C31" s="1">
        <v>45538</v>
      </c>
      <c r="D31" s="4">
        <v>105.98</v>
      </c>
      <c r="E31">
        <v>45</v>
      </c>
      <c r="F31" t="str">
        <f t="shared" si="0"/>
        <v>40's</v>
      </c>
      <c r="G31" t="str" cm="1">
        <f t="array" ref="G31">_xlfn.IFS(
  F31="10's", "Child (5–12)",
  OR(F31="20's", F31="30's"), "Young Adult (20–39)",
  OR(F31="40's", F31="50's"), "Adult (40–59)",
  OR(F31="60's", F31="70's", F31="80's", F31="90's"), "Senior (60+)",
  TRUE, "Unknown"
)</f>
        <v>Adult (40–59)</v>
      </c>
      <c r="H31" t="s">
        <v>841</v>
      </c>
      <c r="I31" t="s">
        <v>172</v>
      </c>
      <c r="J31" t="str">
        <f t="shared" si="1"/>
        <v>Methamphetamine-related</v>
      </c>
      <c r="K31" t="s">
        <v>54</v>
      </c>
      <c r="L31" t="s">
        <v>250</v>
      </c>
      <c r="M31" t="s">
        <v>4662</v>
      </c>
      <c r="N31" t="s">
        <v>5097</v>
      </c>
      <c r="O31" t="str" cm="1">
        <f t="array" ref="O31">_xlfn.IFS(
  TEXT(TRIM(N31),"00000")="NULL", "Missing/Unknown",
  OR(TEXT(TRIM(N31),"00000")="89101", TEXT(TRIM(N31),"00000")="89104", TEXT(TRIM(N31),"00000")="89106", TEXT(TRIM(N31),"00000")="89102", TEXT(TRIM(N31),"00000")="89107", TEXT(TRIM(N31),"00000")="89108"), "Urban Core",
  OR(TEXT(TRIM(N31),"00000")="89110", TEXT(TRIM(N31),"00000")="89115", TEXT(TRIM(N31),"00000")="89121", TEXT(TRIM(N31),"00000")="89122", TEXT(TRIM(N31),"00000")="89142", TEXT(TRIM(N31),"00000")="89156"), "East Valley",
  OR(TEXT(TRIM(N31),"00000")="89030", TEXT(TRIM(N31),"00000")="89031", TEXT(TRIM(N31),"00000")="89032", TEXT(TRIM(N31),"00000")="89086", TEXT(TRIM(N31),"00000")="89084", TEXT(TRIM(N31),"00000")="89081"), "North LV",
  OR(TEXT(TRIM(N31),"00000")="89109", TEXT(TRIM(N31),"00000")="89103", TEXT(TRIM(N31),"00000")="89119", TEXT(TRIM(N31),"00000")="89123", TEXT(TRIM(N31),"00000")="89169", TEXT(TRIM(N31),"00000")="89118"), "South/Strip",
  OR(TEXT(TRIM(N31),"00000")="89074", TEXT(TRIM(N31),"00000")="89014", TEXT(TRIM(N31),"00000")="89015", TEXT(TRIM(N31),"00000")="89011", TEXT(TRIM(N31),"00000")="89012"), "Suburban SE",
  OR(TEXT(TRIM(N31),"00000")="89117", TEXT(TRIM(N31),"00000")="89128", TEXT(TRIM(N31),"00000")="89135", TEXT(TRIM(N31),"00000")="89144", TEXT(TRIM(N31),"00000")="89145", TEXT(TRIM(N31),"00000")="89147"), "West Valley",
  TRUE, "Other"
)</f>
        <v>Urban Core</v>
      </c>
      <c r="P31" t="s">
        <v>3298</v>
      </c>
      <c r="Q31" t="str">
        <f t="shared" si="2"/>
        <v>Outdoors/Public</v>
      </c>
      <c r="R31" t="s">
        <v>4662</v>
      </c>
      <c r="S31" t="s">
        <v>5097</v>
      </c>
      <c r="T31" t="str" cm="1">
        <f t="array" ref="T31">_xlfn.IFS(
  TEXT(TRIM(S31),"00000")="NULL", "Missing/Unknown",
  OR(TEXT(TRIM(S31),"00000")="89101", TEXT(TRIM(S31),"00000")="89104", TEXT(TRIM(S31),"00000")="89106", TEXT(TRIM(S31),"00000")="89102", TEXT(TRIM(S31),"00000")="89107", TEXT(TRIM(S31),"00000")="89108"), "Urban Core",
  OR(TEXT(TRIM(S31),"00000")="89110", TEXT(TRIM(S31),"00000")="89115", TEXT(TRIM(S31),"00000")="89121", TEXT(TRIM(S31),"00000")="89122", TEXT(TRIM(S31),"00000")="89142", TEXT(TRIM(S31),"00000")="89156"), "East Valley",
  OR(TEXT(TRIM(S31),"00000")="89030", TEXT(TRIM(S31),"00000")="89031", TEXT(TRIM(S31),"00000")="89032", TEXT(TRIM(S31),"00000")="89086", TEXT(TRIM(S31),"00000")="89084", TEXT(TRIM(S31),"00000")="89081"), "North LV",
  OR(TEXT(TRIM(S31),"00000")="89109", TEXT(TRIM(S31),"00000")="89103", TEXT(TRIM(S31),"00000")="89119", TEXT(TRIM(S31),"00000")="89123", TEXT(TRIM(S31),"00000")="89169", TEXT(TRIM(S31),"00000")="89118"), "South/Strip",
  OR(TEXT(TRIM(S31),"00000")="89074", TEXT(TRIM(S31),"00000")="89014", TEXT(TRIM(S31),"00000")="89015", TEXT(TRIM(S31),"00000")="89011", TEXT(TRIM(S31),"00000")="89012"), "Suburban SE",
  OR(TEXT(TRIM(S31),"00000")="89117", TEXT(TRIM(S31),"00000")="89128", TEXT(TRIM(S31),"00000")="89135", TEXT(TRIM(S31),"00000")="89144", TEXT(TRIM(S31),"00000")="89145", TEXT(TRIM(S31),"00000")="89147"), "West Valley",
  TRUE, "Other"
)</f>
        <v>Urban Core</v>
      </c>
      <c r="U31" t="s">
        <v>3298</v>
      </c>
      <c r="V31" t="str">
        <f t="shared" si="3"/>
        <v>Outdoors/Public</v>
      </c>
    </row>
    <row r="32" spans="1:22">
      <c r="A32" t="s">
        <v>3820</v>
      </c>
      <c r="B32" t="s">
        <v>3821</v>
      </c>
      <c r="C32" s="1">
        <v>45537</v>
      </c>
      <c r="D32" s="4">
        <v>105.08</v>
      </c>
      <c r="E32">
        <v>58</v>
      </c>
      <c r="F32" t="str">
        <f t="shared" si="0"/>
        <v>50's</v>
      </c>
      <c r="G32" t="str" cm="1">
        <f t="array" ref="G32">_xlfn.IFS(
  F32="10's", "Child (5–12)",
  OR(F32="20's", F32="30's"), "Young Adult (20–39)",
  OR(F32="40's", F32="50's"), "Adult (40–59)",
  OR(F32="60's", F32="70's", F32="80's", F32="90's"), "Senior (60+)",
  TRUE, "Unknown"
)</f>
        <v>Adult (40–59)</v>
      </c>
      <c r="H32" t="s">
        <v>841</v>
      </c>
      <c r="I32" t="s">
        <v>172</v>
      </c>
      <c r="J32" t="str">
        <f t="shared" si="1"/>
        <v>Methamphetamine-related</v>
      </c>
      <c r="K32" t="s">
        <v>3822</v>
      </c>
      <c r="L32" t="s">
        <v>250</v>
      </c>
      <c r="M32" t="s">
        <v>5000</v>
      </c>
      <c r="N32" t="s">
        <v>5100</v>
      </c>
      <c r="O32" t="str" cm="1">
        <f t="array" ref="O32">_xlfn.IFS(
  TEXT(TRIM(N32),"00000")="NULL", "Missing/Unknown",
  OR(TEXT(TRIM(N32),"00000")="89101", TEXT(TRIM(N32),"00000")="89104", TEXT(TRIM(N32),"00000")="89106", TEXT(TRIM(N32),"00000")="89102", TEXT(TRIM(N32),"00000")="89107", TEXT(TRIM(N32),"00000")="89108"), "Urban Core",
  OR(TEXT(TRIM(N32),"00000")="89110", TEXT(TRIM(N32),"00000")="89115", TEXT(TRIM(N32),"00000")="89121", TEXT(TRIM(N32),"00000")="89122", TEXT(TRIM(N32),"00000")="89142", TEXT(TRIM(N32),"00000")="89156"), "East Valley",
  OR(TEXT(TRIM(N32),"00000")="89030", TEXT(TRIM(N32),"00000")="89031", TEXT(TRIM(N32),"00000")="89032", TEXT(TRIM(N32),"00000")="89086", TEXT(TRIM(N32),"00000")="89084", TEXT(TRIM(N32),"00000")="89081"), "North LV",
  OR(TEXT(TRIM(N32),"00000")="89109", TEXT(TRIM(N32),"00000")="89103", TEXT(TRIM(N32),"00000")="89119", TEXT(TRIM(N32),"00000")="89123", TEXT(TRIM(N32),"00000")="89169", TEXT(TRIM(N32),"00000")="89118"), "South/Strip",
  OR(TEXT(TRIM(N32),"00000")="89074", TEXT(TRIM(N32),"00000")="89014", TEXT(TRIM(N32),"00000")="89015", TEXT(TRIM(N32),"00000")="89011", TEXT(TRIM(N32),"00000")="89012"), "Suburban SE",
  OR(TEXT(TRIM(N32),"00000")="89117", TEXT(TRIM(N32),"00000")="89128", TEXT(TRIM(N32),"00000")="89135", TEXT(TRIM(N32),"00000")="89144", TEXT(TRIM(N32),"00000")="89145", TEXT(TRIM(N32),"00000")="89147"), "West Valley",
  TRUE, "Other"
)</f>
        <v>North LV</v>
      </c>
      <c r="P32" t="s">
        <v>3298</v>
      </c>
      <c r="Q32" t="str">
        <f t="shared" si="2"/>
        <v>Outdoors/Public</v>
      </c>
      <c r="R32" t="s">
        <v>5000</v>
      </c>
      <c r="S32" t="s">
        <v>5100</v>
      </c>
      <c r="T32" t="str" cm="1">
        <f t="array" ref="T32">_xlfn.IFS(
  TEXT(TRIM(S32),"00000")="NULL", "Missing/Unknown",
  OR(TEXT(TRIM(S32),"00000")="89101", TEXT(TRIM(S32),"00000")="89104", TEXT(TRIM(S32),"00000")="89106", TEXT(TRIM(S32),"00000")="89102", TEXT(TRIM(S32),"00000")="89107", TEXT(TRIM(S32),"00000")="89108"), "Urban Core",
  OR(TEXT(TRIM(S32),"00000")="89110", TEXT(TRIM(S32),"00000")="89115", TEXT(TRIM(S32),"00000")="89121", TEXT(TRIM(S32),"00000")="89122", TEXT(TRIM(S32),"00000")="89142", TEXT(TRIM(S32),"00000")="89156"), "East Valley",
  OR(TEXT(TRIM(S32),"00000")="89030", TEXT(TRIM(S32),"00000")="89031", TEXT(TRIM(S32),"00000")="89032", TEXT(TRIM(S32),"00000")="89086", TEXT(TRIM(S32),"00000")="89084", TEXT(TRIM(S32),"00000")="89081"), "North LV",
  OR(TEXT(TRIM(S32),"00000")="89109", TEXT(TRIM(S32),"00000")="89103", TEXT(TRIM(S32),"00000")="89119", TEXT(TRIM(S32),"00000")="89123", TEXT(TRIM(S32),"00000")="89169", TEXT(TRIM(S32),"00000")="89118"), "South/Strip",
  OR(TEXT(TRIM(S32),"00000")="89074", TEXT(TRIM(S32),"00000")="89014", TEXT(TRIM(S32),"00000")="89015", TEXT(TRIM(S32),"00000")="89011", TEXT(TRIM(S32),"00000")="89012"), "Suburban SE",
  OR(TEXT(TRIM(S32),"00000")="89117", TEXT(TRIM(S32),"00000")="89128", TEXT(TRIM(S32),"00000")="89135", TEXT(TRIM(S32),"00000")="89144", TEXT(TRIM(S32),"00000")="89145", TEXT(TRIM(S32),"00000")="89147"), "West Valley",
  TRUE, "Other"
)</f>
        <v>North LV</v>
      </c>
      <c r="U32" t="s">
        <v>3298</v>
      </c>
      <c r="V32" t="str">
        <f t="shared" si="3"/>
        <v>Outdoors/Public</v>
      </c>
    </row>
    <row r="33" spans="1:22">
      <c r="A33" t="s">
        <v>3817</v>
      </c>
      <c r="B33" t="s">
        <v>3818</v>
      </c>
      <c r="C33" s="1">
        <v>45537</v>
      </c>
      <c r="D33" s="4">
        <v>105.08</v>
      </c>
      <c r="E33">
        <v>42</v>
      </c>
      <c r="F33" t="str">
        <f t="shared" si="0"/>
        <v>40's</v>
      </c>
      <c r="G33" t="str" cm="1">
        <f t="array" ref="G33">_xlfn.IFS(
  F33="10's", "Child (5–12)",
  OR(F33="20's", F33="30's"), "Young Adult (20–39)",
  OR(F33="40's", F33="50's"), "Adult (40–59)",
  OR(F33="60's", F33="70's", F33="80's", F33="90's"), "Senior (60+)",
  TRUE, "Unknown"
)</f>
        <v>Adult (40–59)</v>
      </c>
      <c r="H33" t="s">
        <v>778</v>
      </c>
      <c r="I33" t="s">
        <v>172</v>
      </c>
      <c r="J33" t="str">
        <f t="shared" si="1"/>
        <v>Methamphetamine-related</v>
      </c>
      <c r="K33" t="s">
        <v>54</v>
      </c>
      <c r="L33" t="s">
        <v>250</v>
      </c>
      <c r="M33" t="s">
        <v>4335</v>
      </c>
      <c r="N33" t="s">
        <v>5108</v>
      </c>
      <c r="O33" t="str" cm="1">
        <f t="array" ref="O33">_xlfn.IFS(
  TEXT(TRIM(N33),"00000")="NULL", "Missing/Unknown",
  OR(TEXT(TRIM(N33),"00000")="89101", TEXT(TRIM(N33),"00000")="89104", TEXT(TRIM(N33),"00000")="89106", TEXT(TRIM(N33),"00000")="89102", TEXT(TRIM(N33),"00000")="89107", TEXT(TRIM(N33),"00000")="89108"), "Urban Core",
  OR(TEXT(TRIM(N33),"00000")="89110", TEXT(TRIM(N33),"00000")="89115", TEXT(TRIM(N33),"00000")="89121", TEXT(TRIM(N33),"00000")="89122", TEXT(TRIM(N33),"00000")="89142", TEXT(TRIM(N33),"00000")="89156"), "East Valley",
  OR(TEXT(TRIM(N33),"00000")="89030", TEXT(TRIM(N33),"00000")="89031", TEXT(TRIM(N33),"00000")="89032", TEXT(TRIM(N33),"00000")="89086", TEXT(TRIM(N33),"00000")="89084", TEXT(TRIM(N33),"00000")="89081"), "North LV",
  OR(TEXT(TRIM(N33),"00000")="89109", TEXT(TRIM(N33),"00000")="89103", TEXT(TRIM(N33),"00000")="89119", TEXT(TRIM(N33),"00000")="89123", TEXT(TRIM(N33),"00000")="89169", TEXT(TRIM(N33),"00000")="89118"), "South/Strip",
  OR(TEXT(TRIM(N33),"00000")="89074", TEXT(TRIM(N33),"00000")="89014", TEXT(TRIM(N33),"00000")="89015", TEXT(TRIM(N33),"00000")="89011", TEXT(TRIM(N33),"00000")="89012"), "Suburban SE",
  OR(TEXT(TRIM(N33),"00000")="89117", TEXT(TRIM(N33),"00000")="89128", TEXT(TRIM(N33),"00000")="89135", TEXT(TRIM(N33),"00000")="89144", TEXT(TRIM(N33),"00000")="89145", TEXT(TRIM(N33),"00000")="89147"), "West Valley",
  TRUE, "Other"
)</f>
        <v>East Valley</v>
      </c>
      <c r="P33" t="s">
        <v>3298</v>
      </c>
      <c r="Q33" t="str">
        <f t="shared" si="2"/>
        <v>Outdoors/Public</v>
      </c>
      <c r="R33" t="s">
        <v>4713</v>
      </c>
      <c r="S33" t="s">
        <v>5125</v>
      </c>
      <c r="T33" t="str" cm="1">
        <f t="array" ref="T33">_xlfn.IFS(
  TEXT(TRIM(S33),"00000")="NULL", "Missing/Unknown",
  OR(TEXT(TRIM(S33),"00000")="89101", TEXT(TRIM(S33),"00000")="89104", TEXT(TRIM(S33),"00000")="89106", TEXT(TRIM(S33),"00000")="89102", TEXT(TRIM(S33),"00000")="89107", TEXT(TRIM(S33),"00000")="89108"), "Urban Core",
  OR(TEXT(TRIM(S33),"00000")="89110", TEXT(TRIM(S33),"00000")="89115", TEXT(TRIM(S33),"00000")="89121", TEXT(TRIM(S33),"00000")="89122", TEXT(TRIM(S33),"00000")="89142", TEXT(TRIM(S33),"00000")="89156"), "East Valley",
  OR(TEXT(TRIM(S33),"00000")="89030", TEXT(TRIM(S33),"00000")="89031", TEXT(TRIM(S33),"00000")="89032", TEXT(TRIM(S33),"00000")="89086", TEXT(TRIM(S33),"00000")="89084", TEXT(TRIM(S33),"00000")="89081"), "North LV",
  OR(TEXT(TRIM(S33),"00000")="89109", TEXT(TRIM(S33),"00000")="89103", TEXT(TRIM(S33),"00000")="89119", TEXT(TRIM(S33),"00000")="89123", TEXT(TRIM(S33),"00000")="89169", TEXT(TRIM(S33),"00000")="89118"), "South/Strip",
  OR(TEXT(TRIM(S33),"00000")="89074", TEXT(TRIM(S33),"00000")="89014", TEXT(TRIM(S33),"00000")="89015", TEXT(TRIM(S33),"00000")="89011", TEXT(TRIM(S33),"00000")="89012"), "Suburban SE",
  OR(TEXT(TRIM(S33),"00000")="89117", TEXT(TRIM(S33),"00000")="89128", TEXT(TRIM(S33),"00000")="89135", TEXT(TRIM(S33),"00000")="89144", TEXT(TRIM(S33),"00000")="89145", TEXT(TRIM(S33),"00000")="89147"), "West Valley",
  TRUE, "Other"
)</f>
        <v>South/Strip</v>
      </c>
      <c r="U33" t="s">
        <v>2413</v>
      </c>
      <c r="V33" t="str">
        <f t="shared" si="3"/>
        <v>Medical Facility</v>
      </c>
    </row>
    <row r="34" spans="1:22">
      <c r="A34" t="s">
        <v>2906</v>
      </c>
      <c r="B34" t="s">
        <v>2907</v>
      </c>
      <c r="C34" s="1">
        <v>45536</v>
      </c>
      <c r="D34" s="4">
        <v>102.92</v>
      </c>
      <c r="E34">
        <v>53</v>
      </c>
      <c r="F34" t="str">
        <f t="shared" si="0"/>
        <v>50's</v>
      </c>
      <c r="G34" t="str" cm="1">
        <f t="array" ref="G34">_xlfn.IFS(
  F34="10's", "Child (5–12)",
  OR(F34="20's", F34="30's"), "Young Adult (20–39)",
  OR(F34="40's", F34="50's"), "Adult (40–59)",
  OR(F34="60's", F34="70's", F34="80's", F34="90's"), "Senior (60+)",
  TRUE, "Unknown"
)</f>
        <v>Adult (40–59)</v>
      </c>
      <c r="H34" t="s">
        <v>4310</v>
      </c>
      <c r="I34" t="s">
        <v>35</v>
      </c>
      <c r="J34" t="str">
        <f t="shared" si="1"/>
        <v>Environmental Heat</v>
      </c>
      <c r="K34" t="s">
        <v>2908</v>
      </c>
      <c r="L34" t="s">
        <v>250</v>
      </c>
      <c r="M34" t="s">
        <v>4557</v>
      </c>
      <c r="N34" t="s">
        <v>5101</v>
      </c>
      <c r="O34" t="str" cm="1">
        <f t="array" ref="O34">_xlfn.IFS(
  TEXT(TRIM(N34),"00000")="NULL", "Missing/Unknown",
  OR(TEXT(TRIM(N34),"00000")="89101", TEXT(TRIM(N34),"00000")="89104", TEXT(TRIM(N34),"00000")="89106", TEXT(TRIM(N34),"00000")="89102", TEXT(TRIM(N34),"00000")="89107", TEXT(TRIM(N34),"00000")="89108"), "Urban Core",
  OR(TEXT(TRIM(N34),"00000")="89110", TEXT(TRIM(N34),"00000")="89115", TEXT(TRIM(N34),"00000")="89121", TEXT(TRIM(N34),"00000")="89122", TEXT(TRIM(N34),"00000")="89142", TEXT(TRIM(N34),"00000")="89156"), "East Valley",
  OR(TEXT(TRIM(N34),"00000")="89030", TEXT(TRIM(N34),"00000")="89031", TEXT(TRIM(N34),"00000")="89032", TEXT(TRIM(N34),"00000")="89086", TEXT(TRIM(N34),"00000")="89084", TEXT(TRIM(N34),"00000")="89081"), "North LV",
  OR(TEXT(TRIM(N34),"00000")="89109", TEXT(TRIM(N34),"00000")="89103", TEXT(TRIM(N34),"00000")="89119", TEXT(TRIM(N34),"00000")="89123", TEXT(TRIM(N34),"00000")="89169", TEXT(TRIM(N34),"00000")="89118"), "South/Strip",
  OR(TEXT(TRIM(N34),"00000")="89074", TEXT(TRIM(N34),"00000")="89014", TEXT(TRIM(N34),"00000")="89015", TEXT(TRIM(N34),"00000")="89011", TEXT(TRIM(N34),"00000")="89012"), "Suburban SE",
  OR(TEXT(TRIM(N34),"00000")="89117", TEXT(TRIM(N34),"00000")="89128", TEXT(TRIM(N34),"00000")="89135", TEXT(TRIM(N34),"00000")="89144", TEXT(TRIM(N34),"00000")="89145", TEXT(TRIM(N34),"00000")="89147"), "West Valley",
  TRUE, "Other"
)</f>
        <v>Urban Core</v>
      </c>
      <c r="P34" t="s">
        <v>3298</v>
      </c>
      <c r="Q34" t="str">
        <f t="shared" si="2"/>
        <v>Outdoors/Public</v>
      </c>
      <c r="R34" t="s">
        <v>4341</v>
      </c>
      <c r="S34" t="s">
        <v>5100</v>
      </c>
      <c r="T34" t="str" cm="1">
        <f t="array" ref="T34">_xlfn.IFS(
  TEXT(TRIM(S34),"00000")="NULL", "Missing/Unknown",
  OR(TEXT(TRIM(S34),"00000")="89101", TEXT(TRIM(S34),"00000")="89104", TEXT(TRIM(S34),"00000")="89106", TEXT(TRIM(S34),"00000")="89102", TEXT(TRIM(S34),"00000")="89107", TEXT(TRIM(S34),"00000")="89108"), "Urban Core",
  OR(TEXT(TRIM(S34),"00000")="89110", TEXT(TRIM(S34),"00000")="89115", TEXT(TRIM(S34),"00000")="89121", TEXT(TRIM(S34),"00000")="89122", TEXT(TRIM(S34),"00000")="89142", TEXT(TRIM(S34),"00000")="89156"), "East Valley",
  OR(TEXT(TRIM(S34),"00000")="89030", TEXT(TRIM(S34),"00000")="89031", TEXT(TRIM(S34),"00000")="89032", TEXT(TRIM(S34),"00000")="89086", TEXT(TRIM(S34),"00000")="89084", TEXT(TRIM(S34),"00000")="89081"), "North LV",
  OR(TEXT(TRIM(S34),"00000")="89109", TEXT(TRIM(S34),"00000")="89103", TEXT(TRIM(S34),"00000")="89119", TEXT(TRIM(S34),"00000")="89123", TEXT(TRIM(S34),"00000")="89169", TEXT(TRIM(S34),"00000")="89118"), "South/Strip",
  OR(TEXT(TRIM(S34),"00000")="89074", TEXT(TRIM(S34),"00000")="89014", TEXT(TRIM(S34),"00000")="89015", TEXT(TRIM(S34),"00000")="89011", TEXT(TRIM(S34),"00000")="89012"), "Suburban SE",
  OR(TEXT(TRIM(S34),"00000")="89117", TEXT(TRIM(S34),"00000")="89128", TEXT(TRIM(S34),"00000")="89135", TEXT(TRIM(S34),"00000")="89144", TEXT(TRIM(S34),"00000")="89145", TEXT(TRIM(S34),"00000")="89147"), "West Valley",
  TRUE, "Other"
)</f>
        <v>North LV</v>
      </c>
      <c r="U34" t="s">
        <v>2413</v>
      </c>
      <c r="V34" t="str">
        <f t="shared" si="3"/>
        <v>Medical Facility</v>
      </c>
    </row>
    <row r="35" spans="1:22">
      <c r="A35" t="s">
        <v>3473</v>
      </c>
      <c r="B35" t="s">
        <v>3474</v>
      </c>
      <c r="C35" s="1">
        <v>45536</v>
      </c>
      <c r="D35" s="4">
        <v>102.92</v>
      </c>
      <c r="E35">
        <v>62</v>
      </c>
      <c r="F35" t="str">
        <f t="shared" si="0"/>
        <v>60's</v>
      </c>
      <c r="G35" t="str" cm="1">
        <f t="array" ref="G35">_xlfn.IFS(
  F35="10's", "Child (5–12)",
  OR(F35="20's", F35="30's"), "Young Adult (20–39)",
  OR(F35="40's", F35="50's"), "Adult (40–59)",
  OR(F35="60's", F35="70's", F35="80's", F35="90's"), "Senior (60+)",
  TRUE, "Unknown"
)</f>
        <v>Senior (60+)</v>
      </c>
      <c r="H35" t="s">
        <v>841</v>
      </c>
      <c r="I35" t="s">
        <v>4012</v>
      </c>
      <c r="J35" t="str">
        <f t="shared" si="1"/>
        <v>Cardiovascular Disease</v>
      </c>
      <c r="K35" t="s">
        <v>4147</v>
      </c>
      <c r="L35" t="s">
        <v>1071</v>
      </c>
      <c r="M35" t="s">
        <v>5001</v>
      </c>
      <c r="N35" t="s">
        <v>5109</v>
      </c>
      <c r="O35" t="str" cm="1">
        <f t="array" ref="O35">_xlfn.IFS(
  TEXT(TRIM(N35),"00000")="NULL", "Missing/Unknown",
  OR(TEXT(TRIM(N35),"00000")="89101", TEXT(TRIM(N35),"00000")="89104", TEXT(TRIM(N35),"00000")="89106", TEXT(TRIM(N35),"00000")="89102", TEXT(TRIM(N35),"00000")="89107", TEXT(TRIM(N35),"00000")="89108"), "Urban Core",
  OR(TEXT(TRIM(N35),"00000")="89110", TEXT(TRIM(N35),"00000")="89115", TEXT(TRIM(N35),"00000")="89121", TEXT(TRIM(N35),"00000")="89122", TEXT(TRIM(N35),"00000")="89142", TEXT(TRIM(N35),"00000")="89156"), "East Valley",
  OR(TEXT(TRIM(N35),"00000")="89030", TEXT(TRIM(N35),"00000")="89031", TEXT(TRIM(N35),"00000")="89032", TEXT(TRIM(N35),"00000")="89086", TEXT(TRIM(N35),"00000")="89084", TEXT(TRIM(N35),"00000")="89081"), "North LV",
  OR(TEXT(TRIM(N35),"00000")="89109", TEXT(TRIM(N35),"00000")="89103", TEXT(TRIM(N35),"00000")="89119", TEXT(TRIM(N35),"00000")="89123", TEXT(TRIM(N35),"00000")="89169", TEXT(TRIM(N35),"00000")="89118"), "South/Strip",
  OR(TEXT(TRIM(N35),"00000")="89074", TEXT(TRIM(N35),"00000")="89014", TEXT(TRIM(N35),"00000")="89015", TEXT(TRIM(N35),"00000")="89011", TEXT(TRIM(N35),"00000")="89012"), "Suburban SE",
  OR(TEXT(TRIM(N35),"00000")="89117", TEXT(TRIM(N35),"00000")="89128", TEXT(TRIM(N35),"00000")="89135", TEXT(TRIM(N35),"00000")="89144", TEXT(TRIM(N35),"00000")="89145", TEXT(TRIM(N35),"00000")="89147"), "West Valley",
  TRUE, "Other"
)</f>
        <v>South/Strip</v>
      </c>
      <c r="P35" t="s">
        <v>3298</v>
      </c>
      <c r="Q35" t="str">
        <f t="shared" si="2"/>
        <v>Outdoors/Public</v>
      </c>
      <c r="R35" t="s">
        <v>5001</v>
      </c>
      <c r="S35" t="s">
        <v>5109</v>
      </c>
      <c r="T35" t="str" cm="1">
        <f t="array" ref="T35">_xlfn.IFS(
  TEXT(TRIM(S35),"00000")="NULL", "Missing/Unknown",
  OR(TEXT(TRIM(S35),"00000")="89101", TEXT(TRIM(S35),"00000")="89104", TEXT(TRIM(S35),"00000")="89106", TEXT(TRIM(S35),"00000")="89102", TEXT(TRIM(S35),"00000")="89107", TEXT(TRIM(S35),"00000")="89108"), "Urban Core",
  OR(TEXT(TRIM(S35),"00000")="89110", TEXT(TRIM(S35),"00000")="89115", TEXT(TRIM(S35),"00000")="89121", TEXT(TRIM(S35),"00000")="89122", TEXT(TRIM(S35),"00000")="89142", TEXT(TRIM(S35),"00000")="89156"), "East Valley",
  OR(TEXT(TRIM(S35),"00000")="89030", TEXT(TRIM(S35),"00000")="89031", TEXT(TRIM(S35),"00000")="89032", TEXT(TRIM(S35),"00000")="89086", TEXT(TRIM(S35),"00000")="89084", TEXT(TRIM(S35),"00000")="89081"), "North LV",
  OR(TEXT(TRIM(S35),"00000")="89109", TEXT(TRIM(S35),"00000")="89103", TEXT(TRIM(S35),"00000")="89119", TEXT(TRIM(S35),"00000")="89123", TEXT(TRIM(S35),"00000")="89169", TEXT(TRIM(S35),"00000")="89118"), "South/Strip",
  OR(TEXT(TRIM(S35),"00000")="89074", TEXT(TRIM(S35),"00000")="89014", TEXT(TRIM(S35),"00000")="89015", TEXT(TRIM(S35),"00000")="89011", TEXT(TRIM(S35),"00000")="89012"), "Suburban SE",
  OR(TEXT(TRIM(S35),"00000")="89117", TEXT(TRIM(S35),"00000")="89128", TEXT(TRIM(S35),"00000")="89135", TEXT(TRIM(S35),"00000")="89144", TEXT(TRIM(S35),"00000")="89145", TEXT(TRIM(S35),"00000")="89147"), "West Valley",
  TRUE, "Other"
)</f>
        <v>South/Strip</v>
      </c>
      <c r="U35" t="s">
        <v>3298</v>
      </c>
      <c r="V35" t="str">
        <f t="shared" si="3"/>
        <v>Outdoors/Public</v>
      </c>
    </row>
    <row r="36" spans="1:22">
      <c r="A36" t="s">
        <v>2902</v>
      </c>
      <c r="B36" t="s">
        <v>2903</v>
      </c>
      <c r="C36" s="1">
        <v>45536</v>
      </c>
      <c r="D36" s="4">
        <v>102.92</v>
      </c>
      <c r="E36">
        <v>54</v>
      </c>
      <c r="F36" t="str">
        <f t="shared" si="0"/>
        <v>50's</v>
      </c>
      <c r="G36" t="str" cm="1">
        <f t="array" ref="G36">_xlfn.IFS(
  F36="10's", "Child (5–12)",
  OR(F36="20's", F36="30's"), "Young Adult (20–39)",
  OR(F36="40's", F36="50's"), "Adult (40–59)",
  OR(F36="60's", F36="70's", F36="80's", F36="90's"), "Senior (60+)",
  TRUE, "Unknown"
)</f>
        <v>Adult (40–59)</v>
      </c>
      <c r="H36" t="s">
        <v>841</v>
      </c>
      <c r="I36" t="s">
        <v>35</v>
      </c>
      <c r="J36" t="str">
        <f t="shared" si="1"/>
        <v>Environmental Heat</v>
      </c>
      <c r="K36" t="s">
        <v>4146</v>
      </c>
      <c r="L36" t="s">
        <v>250</v>
      </c>
      <c r="M36" t="s">
        <v>4622</v>
      </c>
      <c r="N36" t="s">
        <v>5110</v>
      </c>
      <c r="O36" t="str" cm="1">
        <f t="array" ref="O36">_xlfn.IFS(
  TEXT(TRIM(N36),"00000")="NULL", "Missing/Unknown",
  OR(TEXT(TRIM(N36),"00000")="89101", TEXT(TRIM(N36),"00000")="89104", TEXT(TRIM(N36),"00000")="89106", TEXT(TRIM(N36),"00000")="89102", TEXT(TRIM(N36),"00000")="89107", TEXT(TRIM(N36),"00000")="89108"), "Urban Core",
  OR(TEXT(TRIM(N36),"00000")="89110", TEXT(TRIM(N36),"00000")="89115", TEXT(TRIM(N36),"00000")="89121", TEXT(TRIM(N36),"00000")="89122", TEXT(TRIM(N36),"00000")="89142", TEXT(TRIM(N36),"00000")="89156"), "East Valley",
  OR(TEXT(TRIM(N36),"00000")="89030", TEXT(TRIM(N36),"00000")="89031", TEXT(TRIM(N36),"00000")="89032", TEXT(TRIM(N36),"00000")="89086", TEXT(TRIM(N36),"00000")="89084", TEXT(TRIM(N36),"00000")="89081"), "North LV",
  OR(TEXT(TRIM(N36),"00000")="89109", TEXT(TRIM(N36),"00000")="89103", TEXT(TRIM(N36),"00000")="89119", TEXT(TRIM(N36),"00000")="89123", TEXT(TRIM(N36),"00000")="89169", TEXT(TRIM(N36),"00000")="89118"), "South/Strip",
  OR(TEXT(TRIM(N36),"00000")="89074", TEXT(TRIM(N36),"00000")="89014", TEXT(TRIM(N36),"00000")="89015", TEXT(TRIM(N36),"00000")="89011", TEXT(TRIM(N36),"00000")="89012"), "Suburban SE",
  OR(TEXT(TRIM(N36),"00000")="89117", TEXT(TRIM(N36),"00000")="89128", TEXT(TRIM(N36),"00000")="89135", TEXT(TRIM(N36),"00000")="89144", TEXT(TRIM(N36),"00000")="89145", TEXT(TRIM(N36),"00000")="89147"), "West Valley",
  TRUE, "Other"
)</f>
        <v>Suburban SE</v>
      </c>
      <c r="P36" t="s">
        <v>65</v>
      </c>
      <c r="Q36" t="str">
        <f t="shared" si="2"/>
        <v>Vehicle-related</v>
      </c>
      <c r="R36" t="s">
        <v>4622</v>
      </c>
      <c r="S36" t="s">
        <v>5110</v>
      </c>
      <c r="T36" t="str" cm="1">
        <f t="array" ref="T36">_xlfn.IFS(
  TEXT(TRIM(S36),"00000")="NULL", "Missing/Unknown",
  OR(TEXT(TRIM(S36),"00000")="89101", TEXT(TRIM(S36),"00000")="89104", TEXT(TRIM(S36),"00000")="89106", TEXT(TRIM(S36),"00000")="89102", TEXT(TRIM(S36),"00000")="89107", TEXT(TRIM(S36),"00000")="89108"), "Urban Core",
  OR(TEXT(TRIM(S36),"00000")="89110", TEXT(TRIM(S36),"00000")="89115", TEXT(TRIM(S36),"00000")="89121", TEXT(TRIM(S36),"00000")="89122", TEXT(TRIM(S36),"00000")="89142", TEXT(TRIM(S36),"00000")="89156"), "East Valley",
  OR(TEXT(TRIM(S36),"00000")="89030", TEXT(TRIM(S36),"00000")="89031", TEXT(TRIM(S36),"00000")="89032", TEXT(TRIM(S36),"00000")="89086", TEXT(TRIM(S36),"00000")="89084", TEXT(TRIM(S36),"00000")="89081"), "North LV",
  OR(TEXT(TRIM(S36),"00000")="89109", TEXT(TRIM(S36),"00000")="89103", TEXT(TRIM(S36),"00000")="89119", TEXT(TRIM(S36),"00000")="89123", TEXT(TRIM(S36),"00000")="89169", TEXT(TRIM(S36),"00000")="89118"), "South/Strip",
  OR(TEXT(TRIM(S36),"00000")="89074", TEXT(TRIM(S36),"00000")="89014", TEXT(TRIM(S36),"00000")="89015", TEXT(TRIM(S36),"00000")="89011", TEXT(TRIM(S36),"00000")="89012"), "Suburban SE",
  OR(TEXT(TRIM(S36),"00000")="89117", TEXT(TRIM(S36),"00000")="89128", TEXT(TRIM(S36),"00000")="89135", TEXT(TRIM(S36),"00000")="89144", TEXT(TRIM(S36),"00000")="89145", TEXT(TRIM(S36),"00000")="89147"), "West Valley",
  TRUE, "Other"
)</f>
        <v>Suburban SE</v>
      </c>
      <c r="U36" t="s">
        <v>65</v>
      </c>
      <c r="V36" t="str">
        <f t="shared" si="3"/>
        <v>Vehicle-related</v>
      </c>
    </row>
    <row r="37" spans="1:22">
      <c r="A37" t="s">
        <v>2545</v>
      </c>
      <c r="B37" t="s">
        <v>2546</v>
      </c>
      <c r="C37" s="1">
        <v>45535</v>
      </c>
      <c r="D37" s="4">
        <v>104</v>
      </c>
      <c r="E37">
        <v>41</v>
      </c>
      <c r="F37" t="str">
        <f t="shared" si="0"/>
        <v>40's</v>
      </c>
      <c r="G37" t="str" cm="1">
        <f t="array" ref="G37">_xlfn.IFS(
  F37="10's", "Child (5–12)",
  OR(F37="20's", F37="30's"), "Young Adult (20–39)",
  OR(F37="40's", F37="50's"), "Adult (40–59)",
  OR(F37="60's", F37="70's", F37="80's", F37="90's"), "Senior (60+)",
  TRUE, "Unknown"
)</f>
        <v>Adult (40–59)</v>
      </c>
      <c r="H37" t="s">
        <v>4310</v>
      </c>
      <c r="I37" t="s">
        <v>4016</v>
      </c>
      <c r="J37" t="str">
        <f t="shared" si="1"/>
        <v>Methamphetamine-related</v>
      </c>
      <c r="K37" t="s">
        <v>54</v>
      </c>
      <c r="L37" t="s">
        <v>250</v>
      </c>
      <c r="M37" t="s">
        <v>4628</v>
      </c>
      <c r="N37" t="s">
        <v>5101</v>
      </c>
      <c r="O37" t="str" cm="1">
        <f t="array" ref="O37">_xlfn.IFS(
  TEXT(TRIM(N37),"00000")="NULL", "Missing/Unknown",
  OR(TEXT(TRIM(N37),"00000")="89101", TEXT(TRIM(N37),"00000")="89104", TEXT(TRIM(N37),"00000")="89106", TEXT(TRIM(N37),"00000")="89102", TEXT(TRIM(N37),"00000")="89107", TEXT(TRIM(N37),"00000")="89108"), "Urban Core",
  OR(TEXT(TRIM(N37),"00000")="89110", TEXT(TRIM(N37),"00000")="89115", TEXT(TRIM(N37),"00000")="89121", TEXT(TRIM(N37),"00000")="89122", TEXT(TRIM(N37),"00000")="89142", TEXT(TRIM(N37),"00000")="89156"), "East Valley",
  OR(TEXT(TRIM(N37),"00000")="89030", TEXT(TRIM(N37),"00000")="89031", TEXT(TRIM(N37),"00000")="89032", TEXT(TRIM(N37),"00000")="89086", TEXT(TRIM(N37),"00000")="89084", TEXT(TRIM(N37),"00000")="89081"), "North LV",
  OR(TEXT(TRIM(N37),"00000")="89109", TEXT(TRIM(N37),"00000")="89103", TEXT(TRIM(N37),"00000")="89119", TEXT(TRIM(N37),"00000")="89123", TEXT(TRIM(N37),"00000")="89169", TEXT(TRIM(N37),"00000")="89118"), "South/Strip",
  OR(TEXT(TRIM(N37),"00000")="89074", TEXT(TRIM(N37),"00000")="89014", TEXT(TRIM(N37),"00000")="89015", TEXT(TRIM(N37),"00000")="89011", TEXT(TRIM(N37),"00000")="89012"), "Suburban SE",
  OR(TEXT(TRIM(N37),"00000")="89117", TEXT(TRIM(N37),"00000")="89128", TEXT(TRIM(N37),"00000")="89135", TEXT(TRIM(N37),"00000")="89144", TEXT(TRIM(N37),"00000")="89145", TEXT(TRIM(N37),"00000")="89147"), "West Valley",
  TRUE, "Other"
)</f>
        <v>Urban Core</v>
      </c>
      <c r="P37" t="s">
        <v>3298</v>
      </c>
      <c r="Q37" t="str">
        <f t="shared" si="2"/>
        <v>Outdoors/Public</v>
      </c>
      <c r="R37" t="s">
        <v>4628</v>
      </c>
      <c r="S37" t="s">
        <v>5101</v>
      </c>
      <c r="T37" t="str" cm="1">
        <f t="array" ref="T37">_xlfn.IFS(
  TEXT(TRIM(S37),"00000")="NULL", "Missing/Unknown",
  OR(TEXT(TRIM(S37),"00000")="89101", TEXT(TRIM(S37),"00000")="89104", TEXT(TRIM(S37),"00000")="89106", TEXT(TRIM(S37),"00000")="89102", TEXT(TRIM(S37),"00000")="89107", TEXT(TRIM(S37),"00000")="89108"), "Urban Core",
  OR(TEXT(TRIM(S37),"00000")="89110", TEXT(TRIM(S37),"00000")="89115", TEXT(TRIM(S37),"00000")="89121", TEXT(TRIM(S37),"00000")="89122", TEXT(TRIM(S37),"00000")="89142", TEXT(TRIM(S37),"00000")="89156"), "East Valley",
  OR(TEXT(TRIM(S37),"00000")="89030", TEXT(TRIM(S37),"00000")="89031", TEXT(TRIM(S37),"00000")="89032", TEXT(TRIM(S37),"00000")="89086", TEXT(TRIM(S37),"00000")="89084", TEXT(TRIM(S37),"00000")="89081"), "North LV",
  OR(TEXT(TRIM(S37),"00000")="89109", TEXT(TRIM(S37),"00000")="89103", TEXT(TRIM(S37),"00000")="89119", TEXT(TRIM(S37),"00000")="89123", TEXT(TRIM(S37),"00000")="89169", TEXT(TRIM(S37),"00000")="89118"), "South/Strip",
  OR(TEXT(TRIM(S37),"00000")="89074", TEXT(TRIM(S37),"00000")="89014", TEXT(TRIM(S37),"00000")="89015", TEXT(TRIM(S37),"00000")="89011", TEXT(TRIM(S37),"00000")="89012"), "Suburban SE",
  OR(TEXT(TRIM(S37),"00000")="89117", TEXT(TRIM(S37),"00000")="89128", TEXT(TRIM(S37),"00000")="89135", TEXT(TRIM(S37),"00000")="89144", TEXT(TRIM(S37),"00000")="89145", TEXT(TRIM(S37),"00000")="89147"), "West Valley",
  TRUE, "Other"
)</f>
        <v>Urban Core</v>
      </c>
      <c r="U37" t="s">
        <v>3298</v>
      </c>
      <c r="V37" t="str">
        <f t="shared" si="3"/>
        <v>Outdoors/Public</v>
      </c>
    </row>
    <row r="38" spans="1:22">
      <c r="A38" t="s">
        <v>3639</v>
      </c>
      <c r="B38" t="s">
        <v>3640</v>
      </c>
      <c r="C38" s="1">
        <v>45535</v>
      </c>
      <c r="D38" s="4">
        <v>104</v>
      </c>
      <c r="E38">
        <v>46</v>
      </c>
      <c r="F38" t="str">
        <f t="shared" si="0"/>
        <v>40's</v>
      </c>
      <c r="G38" t="str" cm="1">
        <f t="array" ref="G38">_xlfn.IFS(
  F38="10's", "Child (5–12)",
  OR(F38="20's", F38="30's"), "Young Adult (20–39)",
  OR(F38="40's", F38="50's"), "Adult (40–59)",
  OR(F38="60's", F38="70's", F38="80's", F38="90's"), "Senior (60+)",
  TRUE, "Unknown"
)</f>
        <v>Adult (40–59)</v>
      </c>
      <c r="H38" t="s">
        <v>841</v>
      </c>
      <c r="I38" t="s">
        <v>4018</v>
      </c>
      <c r="J38" t="str">
        <f t="shared" si="1"/>
        <v>Methamphetamine-related</v>
      </c>
      <c r="K38" t="s">
        <v>3642</v>
      </c>
      <c r="L38" t="s">
        <v>250</v>
      </c>
      <c r="M38" t="s">
        <v>4663</v>
      </c>
      <c r="N38" t="s">
        <v>5097</v>
      </c>
      <c r="O38" t="str" cm="1">
        <f t="array" ref="O38">_xlfn.IFS(
  TEXT(TRIM(N38),"00000")="NULL", "Missing/Unknown",
  OR(TEXT(TRIM(N38),"00000")="89101", TEXT(TRIM(N38),"00000")="89104", TEXT(TRIM(N38),"00000")="89106", TEXT(TRIM(N38),"00000")="89102", TEXT(TRIM(N38),"00000")="89107", TEXT(TRIM(N38),"00000")="89108"), "Urban Core",
  OR(TEXT(TRIM(N38),"00000")="89110", TEXT(TRIM(N38),"00000")="89115", TEXT(TRIM(N38),"00000")="89121", TEXT(TRIM(N38),"00000")="89122", TEXT(TRIM(N38),"00000")="89142", TEXT(TRIM(N38),"00000")="89156"), "East Valley",
  OR(TEXT(TRIM(N38),"00000")="89030", TEXT(TRIM(N38),"00000")="89031", TEXT(TRIM(N38),"00000")="89032", TEXT(TRIM(N38),"00000")="89086", TEXT(TRIM(N38),"00000")="89084", TEXT(TRIM(N38),"00000")="89081"), "North LV",
  OR(TEXT(TRIM(N38),"00000")="89109", TEXT(TRIM(N38),"00000")="89103", TEXT(TRIM(N38),"00000")="89119", TEXT(TRIM(N38),"00000")="89123", TEXT(TRIM(N38),"00000")="89169", TEXT(TRIM(N38),"00000")="89118"), "South/Strip",
  OR(TEXT(TRIM(N38),"00000")="89074", TEXT(TRIM(N38),"00000")="89014", TEXT(TRIM(N38),"00000")="89015", TEXT(TRIM(N38),"00000")="89011", TEXT(TRIM(N38),"00000")="89012"), "Suburban SE",
  OR(TEXT(TRIM(N38),"00000")="89117", TEXT(TRIM(N38),"00000")="89128", TEXT(TRIM(N38),"00000")="89135", TEXT(TRIM(N38),"00000")="89144", TEXT(TRIM(N38),"00000")="89145", TEXT(TRIM(N38),"00000")="89147"), "West Valley",
  TRUE, "Other"
)</f>
        <v>Urban Core</v>
      </c>
      <c r="P38" t="s">
        <v>3298</v>
      </c>
      <c r="Q38" t="str">
        <f t="shared" si="2"/>
        <v>Outdoors/Public</v>
      </c>
      <c r="R38" t="s">
        <v>4663</v>
      </c>
      <c r="S38" t="s">
        <v>5097</v>
      </c>
      <c r="T38" t="str" cm="1">
        <f t="array" ref="T38">_xlfn.IFS(
  TEXT(TRIM(S38),"00000")="NULL", "Missing/Unknown",
  OR(TEXT(TRIM(S38),"00000")="89101", TEXT(TRIM(S38),"00000")="89104", TEXT(TRIM(S38),"00000")="89106", TEXT(TRIM(S38),"00000")="89102", TEXT(TRIM(S38),"00000")="89107", TEXT(TRIM(S38),"00000")="89108"), "Urban Core",
  OR(TEXT(TRIM(S38),"00000")="89110", TEXT(TRIM(S38),"00000")="89115", TEXT(TRIM(S38),"00000")="89121", TEXT(TRIM(S38),"00000")="89122", TEXT(TRIM(S38),"00000")="89142", TEXT(TRIM(S38),"00000")="89156"), "East Valley",
  OR(TEXT(TRIM(S38),"00000")="89030", TEXT(TRIM(S38),"00000")="89031", TEXT(TRIM(S38),"00000")="89032", TEXT(TRIM(S38),"00000")="89086", TEXT(TRIM(S38),"00000")="89084", TEXT(TRIM(S38),"00000")="89081"), "North LV",
  OR(TEXT(TRIM(S38),"00000")="89109", TEXT(TRIM(S38),"00000")="89103", TEXT(TRIM(S38),"00000")="89119", TEXT(TRIM(S38),"00000")="89123", TEXT(TRIM(S38),"00000")="89169", TEXT(TRIM(S38),"00000")="89118"), "South/Strip",
  OR(TEXT(TRIM(S38),"00000")="89074", TEXT(TRIM(S38),"00000")="89014", TEXT(TRIM(S38),"00000")="89015", TEXT(TRIM(S38),"00000")="89011", TEXT(TRIM(S38),"00000")="89012"), "Suburban SE",
  OR(TEXT(TRIM(S38),"00000")="89117", TEXT(TRIM(S38),"00000")="89128", TEXT(TRIM(S38),"00000")="89135", TEXT(TRIM(S38),"00000")="89144", TEXT(TRIM(S38),"00000")="89145", TEXT(TRIM(S38),"00000")="89147"), "West Valley",
  TRUE, "Other"
)</f>
        <v>Urban Core</v>
      </c>
      <c r="U38" t="s">
        <v>3298</v>
      </c>
      <c r="V38" t="str">
        <f t="shared" si="3"/>
        <v>Outdoors/Public</v>
      </c>
    </row>
    <row r="39" spans="1:22">
      <c r="A39" t="s">
        <v>2541</v>
      </c>
      <c r="B39" t="s">
        <v>2542</v>
      </c>
      <c r="C39" s="1">
        <v>45535</v>
      </c>
      <c r="D39" s="4">
        <v>104</v>
      </c>
      <c r="E39">
        <v>59</v>
      </c>
      <c r="F39" t="str">
        <f t="shared" si="0"/>
        <v>50's</v>
      </c>
      <c r="G39" t="str" cm="1">
        <f t="array" ref="G39">_xlfn.IFS(
  F39="10's", "Child (5–12)",
  OR(F39="20's", F39="30's"), "Young Adult (20–39)",
  OR(F39="40's", F39="50's"), "Adult (40–59)",
  OR(F39="60's", F39="70's", F39="80's", F39="90's"), "Senior (60+)",
  TRUE, "Unknown"
)</f>
        <v>Adult (40–59)</v>
      </c>
      <c r="H39" t="s">
        <v>841</v>
      </c>
      <c r="I39" t="s">
        <v>4016</v>
      </c>
      <c r="J39" t="str">
        <f t="shared" si="1"/>
        <v>Methamphetamine-related</v>
      </c>
      <c r="K39" t="s">
        <v>54</v>
      </c>
      <c r="L39" t="s">
        <v>250</v>
      </c>
      <c r="N39" t="s">
        <v>5095</v>
      </c>
      <c r="O39" t="str" cm="1">
        <f t="array" ref="O39">_xlfn.IFS(
  TEXT(TRIM(N39),"00000")="NULL", "Missing/Unknown",
  OR(TEXT(TRIM(N39),"00000")="89101", TEXT(TRIM(N39),"00000")="89104", TEXT(TRIM(N39),"00000")="89106", TEXT(TRIM(N39),"00000")="89102", TEXT(TRIM(N39),"00000")="89107", TEXT(TRIM(N39),"00000")="89108"), "Urban Core",
  OR(TEXT(TRIM(N39),"00000")="89110", TEXT(TRIM(N39),"00000")="89115", TEXT(TRIM(N39),"00000")="89121", TEXT(TRIM(N39),"00000")="89122", TEXT(TRIM(N39),"00000")="89142", TEXT(TRIM(N39),"00000")="89156"), "East Valley",
  OR(TEXT(TRIM(N39),"00000")="89030", TEXT(TRIM(N39),"00000")="89031", TEXT(TRIM(N39),"00000")="89032", TEXT(TRIM(N39),"00000")="89086", TEXT(TRIM(N39),"00000")="89084", TEXT(TRIM(N39),"00000")="89081"), "North LV",
  OR(TEXT(TRIM(N39),"00000")="89109", TEXT(TRIM(N39),"00000")="89103", TEXT(TRIM(N39),"00000")="89119", TEXT(TRIM(N39),"00000")="89123", TEXT(TRIM(N39),"00000")="89169", TEXT(TRIM(N39),"00000")="89118"), "South/Strip",
  OR(TEXT(TRIM(N39),"00000")="89074", TEXT(TRIM(N39),"00000")="89014", TEXT(TRIM(N39),"00000")="89015", TEXT(TRIM(N39),"00000")="89011", TEXT(TRIM(N39),"00000")="89012"), "Suburban SE",
  OR(TEXT(TRIM(N39),"00000")="89117", TEXT(TRIM(N39),"00000")="89128", TEXT(TRIM(N39),"00000")="89135", TEXT(TRIM(N39),"00000")="89144", TEXT(TRIM(N39),"00000")="89145", TEXT(TRIM(N39),"00000")="89147"), "West Valley",
  TRUE, "Other"
)</f>
        <v>Missing/Unknown</v>
      </c>
      <c r="P39" t="s">
        <v>3298</v>
      </c>
      <c r="Q39" t="str">
        <f t="shared" si="2"/>
        <v>Outdoors/Public</v>
      </c>
      <c r="R39" t="s">
        <v>4713</v>
      </c>
      <c r="S39" t="s">
        <v>5125</v>
      </c>
      <c r="T39" t="str" cm="1">
        <f t="array" ref="T39">_xlfn.IFS(
  TEXT(TRIM(S39),"00000")="NULL", "Missing/Unknown",
  OR(TEXT(TRIM(S39),"00000")="89101", TEXT(TRIM(S39),"00000")="89104", TEXT(TRIM(S39),"00000")="89106", TEXT(TRIM(S39),"00000")="89102", TEXT(TRIM(S39),"00000")="89107", TEXT(TRIM(S39),"00000")="89108"), "Urban Core",
  OR(TEXT(TRIM(S39),"00000")="89110", TEXT(TRIM(S39),"00000")="89115", TEXT(TRIM(S39),"00000")="89121", TEXT(TRIM(S39),"00000")="89122", TEXT(TRIM(S39),"00000")="89142", TEXT(TRIM(S39),"00000")="89156"), "East Valley",
  OR(TEXT(TRIM(S39),"00000")="89030", TEXT(TRIM(S39),"00000")="89031", TEXT(TRIM(S39),"00000")="89032", TEXT(TRIM(S39),"00000")="89086", TEXT(TRIM(S39),"00000")="89084", TEXT(TRIM(S39),"00000")="89081"), "North LV",
  OR(TEXT(TRIM(S39),"00000")="89109", TEXT(TRIM(S39),"00000")="89103", TEXT(TRIM(S39),"00000")="89119", TEXT(TRIM(S39),"00000")="89123", TEXT(TRIM(S39),"00000")="89169", TEXT(TRIM(S39),"00000")="89118"), "South/Strip",
  OR(TEXT(TRIM(S39),"00000")="89074", TEXT(TRIM(S39),"00000")="89014", TEXT(TRIM(S39),"00000")="89015", TEXT(TRIM(S39),"00000")="89011", TEXT(TRIM(S39),"00000")="89012"), "Suburban SE",
  OR(TEXT(TRIM(S39),"00000")="89117", TEXT(TRIM(S39),"00000")="89128", TEXT(TRIM(S39),"00000")="89135", TEXT(TRIM(S39),"00000")="89144", TEXT(TRIM(S39),"00000")="89145", TEXT(TRIM(S39),"00000")="89147"), "West Valley",
  TRUE, "Other"
)</f>
        <v>South/Strip</v>
      </c>
      <c r="U39" t="s">
        <v>2465</v>
      </c>
      <c r="V39" t="str">
        <f t="shared" si="3"/>
        <v>Medical Facility</v>
      </c>
    </row>
    <row r="40" spans="1:22">
      <c r="A40" t="s">
        <v>2799</v>
      </c>
      <c r="B40" t="s">
        <v>2800</v>
      </c>
      <c r="C40" s="1">
        <v>45535</v>
      </c>
      <c r="D40" s="4">
        <v>104</v>
      </c>
      <c r="E40">
        <v>71</v>
      </c>
      <c r="F40" t="str">
        <f t="shared" si="0"/>
        <v>70's</v>
      </c>
      <c r="G40" t="str" cm="1">
        <f t="array" ref="G40">_xlfn.IFS(
  F40="10's", "Child (5–12)",
  OR(F40="20's", F40="30's"), "Young Adult (20–39)",
  OR(F40="40's", F40="50's"), "Adult (40–59)",
  OR(F40="60's", F40="70's", F40="80's", F40="90's"), "Senior (60+)",
  TRUE, "Unknown"
)</f>
        <v>Senior (60+)</v>
      </c>
      <c r="H40" t="s">
        <v>841</v>
      </c>
      <c r="I40" t="s">
        <v>4017</v>
      </c>
      <c r="J40" t="str">
        <f t="shared" si="1"/>
        <v>Other / Unknown</v>
      </c>
      <c r="K40" t="s">
        <v>4148</v>
      </c>
      <c r="L40" t="s">
        <v>1071</v>
      </c>
      <c r="M40" t="s">
        <v>4315</v>
      </c>
      <c r="N40" t="s">
        <v>5108</v>
      </c>
      <c r="O40" t="str" cm="1">
        <f t="array" ref="O40">_xlfn.IFS(
  TEXT(TRIM(N40),"00000")="NULL", "Missing/Unknown",
  OR(TEXT(TRIM(N40),"00000")="89101", TEXT(TRIM(N40),"00000")="89104", TEXT(TRIM(N40),"00000")="89106", TEXT(TRIM(N40),"00000")="89102", TEXT(TRIM(N40),"00000")="89107", TEXT(TRIM(N40),"00000")="89108"), "Urban Core",
  OR(TEXT(TRIM(N40),"00000")="89110", TEXT(TRIM(N40),"00000")="89115", TEXT(TRIM(N40),"00000")="89121", TEXT(TRIM(N40),"00000")="89122", TEXT(TRIM(N40),"00000")="89142", TEXT(TRIM(N40),"00000")="89156"), "East Valley",
  OR(TEXT(TRIM(N40),"00000")="89030", TEXT(TRIM(N40),"00000")="89031", TEXT(TRIM(N40),"00000")="89032", TEXT(TRIM(N40),"00000")="89086", TEXT(TRIM(N40),"00000")="89084", TEXT(TRIM(N40),"00000")="89081"), "North LV",
  OR(TEXT(TRIM(N40),"00000")="89109", TEXT(TRIM(N40),"00000")="89103", TEXT(TRIM(N40),"00000")="89119", TEXT(TRIM(N40),"00000")="89123", TEXT(TRIM(N40),"00000")="89169", TEXT(TRIM(N40),"00000")="89118"), "South/Strip",
  OR(TEXT(TRIM(N40),"00000")="89074", TEXT(TRIM(N40),"00000")="89014", TEXT(TRIM(N40),"00000")="89015", TEXT(TRIM(N40),"00000")="89011", TEXT(TRIM(N40),"00000")="89012"), "Suburban SE",
  OR(TEXT(TRIM(N40),"00000")="89117", TEXT(TRIM(N40),"00000")="89128", TEXT(TRIM(N40),"00000")="89135", TEXT(TRIM(N40),"00000")="89144", TEXT(TRIM(N40),"00000")="89145", TEXT(TRIM(N40),"00000")="89147"), "West Valley",
  TRUE, "Other"
)</f>
        <v>East Valley</v>
      </c>
      <c r="P40" t="s">
        <v>2806</v>
      </c>
      <c r="Q40" t="str">
        <f t="shared" si="2"/>
        <v>Medical Facility</v>
      </c>
      <c r="R40" t="s">
        <v>4315</v>
      </c>
      <c r="S40" t="s">
        <v>5108</v>
      </c>
      <c r="T40" t="str" cm="1">
        <f t="array" ref="T40">_xlfn.IFS(
  TEXT(TRIM(S40),"00000")="NULL", "Missing/Unknown",
  OR(TEXT(TRIM(S40),"00000")="89101", TEXT(TRIM(S40),"00000")="89104", TEXT(TRIM(S40),"00000")="89106", TEXT(TRIM(S40),"00000")="89102", TEXT(TRIM(S40),"00000")="89107", TEXT(TRIM(S40),"00000")="89108"), "Urban Core",
  OR(TEXT(TRIM(S40),"00000")="89110", TEXT(TRIM(S40),"00000")="89115", TEXT(TRIM(S40),"00000")="89121", TEXT(TRIM(S40),"00000")="89122", TEXT(TRIM(S40),"00000")="89142", TEXT(TRIM(S40),"00000")="89156"), "East Valley",
  OR(TEXT(TRIM(S40),"00000")="89030", TEXT(TRIM(S40),"00000")="89031", TEXT(TRIM(S40),"00000")="89032", TEXT(TRIM(S40),"00000")="89086", TEXT(TRIM(S40),"00000")="89084", TEXT(TRIM(S40),"00000")="89081"), "North LV",
  OR(TEXT(TRIM(S40),"00000")="89109", TEXT(TRIM(S40),"00000")="89103", TEXT(TRIM(S40),"00000")="89119", TEXT(TRIM(S40),"00000")="89123", TEXT(TRIM(S40),"00000")="89169", TEXT(TRIM(S40),"00000")="89118"), "South/Strip",
  OR(TEXT(TRIM(S40),"00000")="89074", TEXT(TRIM(S40),"00000")="89014", TEXT(TRIM(S40),"00000")="89015", TEXT(TRIM(S40),"00000")="89011", TEXT(TRIM(S40),"00000")="89012"), "Suburban SE",
  OR(TEXT(TRIM(S40),"00000")="89117", TEXT(TRIM(S40),"00000")="89128", TEXT(TRIM(S40),"00000")="89135", TEXT(TRIM(S40),"00000")="89144", TEXT(TRIM(S40),"00000")="89145", TEXT(TRIM(S40),"00000")="89147"), "West Valley",
  TRUE, "Other"
)</f>
        <v>East Valley</v>
      </c>
      <c r="U40" t="s">
        <v>2806</v>
      </c>
      <c r="V40" t="str">
        <f t="shared" si="3"/>
        <v>Medical Facility</v>
      </c>
    </row>
    <row r="41" spans="1:22">
      <c r="A41" t="s">
        <v>3903</v>
      </c>
      <c r="B41" t="s">
        <v>3904</v>
      </c>
      <c r="C41" s="1">
        <v>45535</v>
      </c>
      <c r="D41" s="4">
        <v>104</v>
      </c>
      <c r="E41">
        <v>43</v>
      </c>
      <c r="F41" t="str">
        <f t="shared" si="0"/>
        <v>40's</v>
      </c>
      <c r="G41" t="str" cm="1">
        <f t="array" ref="G41">_xlfn.IFS(
  F41="10's", "Child (5–12)",
  OR(F41="20's", F41="30's"), "Young Adult (20–39)",
  OR(F41="40's", F41="50's"), "Adult (40–59)",
  OR(F41="60's", F41="70's", F41="80's", F41="90's"), "Senior (60+)",
  TRUE, "Unknown"
)</f>
        <v>Adult (40–59)</v>
      </c>
      <c r="H41" t="s">
        <v>841</v>
      </c>
      <c r="I41" t="s">
        <v>3905</v>
      </c>
      <c r="J41" t="str">
        <f t="shared" si="1"/>
        <v>Fentanyl-related</v>
      </c>
      <c r="K41" t="s">
        <v>35</v>
      </c>
      <c r="L41" t="s">
        <v>250</v>
      </c>
      <c r="N41" t="s">
        <v>5095</v>
      </c>
      <c r="O41" t="str" cm="1">
        <f t="array" ref="O41">_xlfn.IFS(
  TEXT(TRIM(N41),"00000")="NULL", "Missing/Unknown",
  OR(TEXT(TRIM(N41),"00000")="89101", TEXT(TRIM(N41),"00000")="89104", TEXT(TRIM(N41),"00000")="89106", TEXT(TRIM(N41),"00000")="89102", TEXT(TRIM(N41),"00000")="89107", TEXT(TRIM(N41),"00000")="89108"), "Urban Core",
  OR(TEXT(TRIM(N41),"00000")="89110", TEXT(TRIM(N41),"00000")="89115", TEXT(TRIM(N41),"00000")="89121", TEXT(TRIM(N41),"00000")="89122", TEXT(TRIM(N41),"00000")="89142", TEXT(TRIM(N41),"00000")="89156"), "East Valley",
  OR(TEXT(TRIM(N41),"00000")="89030", TEXT(TRIM(N41),"00000")="89031", TEXT(TRIM(N41),"00000")="89032", TEXT(TRIM(N41),"00000")="89086", TEXT(TRIM(N41),"00000")="89084", TEXT(TRIM(N41),"00000")="89081"), "North LV",
  OR(TEXT(TRIM(N41),"00000")="89109", TEXT(TRIM(N41),"00000")="89103", TEXT(TRIM(N41),"00000")="89119", TEXT(TRIM(N41),"00000")="89123", TEXT(TRIM(N41),"00000")="89169", TEXT(TRIM(N41),"00000")="89118"), "South/Strip",
  OR(TEXT(TRIM(N41),"00000")="89074", TEXT(TRIM(N41),"00000")="89014", TEXT(TRIM(N41),"00000")="89015", TEXT(TRIM(N41),"00000")="89011", TEXT(TRIM(N41),"00000")="89012"), "Suburban SE",
  OR(TEXT(TRIM(N41),"00000")="89117", TEXT(TRIM(N41),"00000")="89128", TEXT(TRIM(N41),"00000")="89135", TEXT(TRIM(N41),"00000")="89144", TEXT(TRIM(N41),"00000")="89145", TEXT(TRIM(N41),"00000")="89147"), "West Valley",
  TRUE, "Other"
)</f>
        <v>Missing/Unknown</v>
      </c>
      <c r="P41" t="s">
        <v>3298</v>
      </c>
      <c r="Q41" t="str">
        <f t="shared" si="2"/>
        <v>Outdoors/Public</v>
      </c>
      <c r="S41" t="s">
        <v>5095</v>
      </c>
      <c r="T41" t="str" cm="1">
        <f t="array" ref="T41">_xlfn.IFS(
  TEXT(TRIM(S41),"00000")="NULL", "Missing/Unknown",
  OR(TEXT(TRIM(S41),"00000")="89101", TEXT(TRIM(S41),"00000")="89104", TEXT(TRIM(S41),"00000")="89106", TEXT(TRIM(S41),"00000")="89102", TEXT(TRIM(S41),"00000")="89107", TEXT(TRIM(S41),"00000")="89108"), "Urban Core",
  OR(TEXT(TRIM(S41),"00000")="89110", TEXT(TRIM(S41),"00000")="89115", TEXT(TRIM(S41),"00000")="89121", TEXT(TRIM(S41),"00000")="89122", TEXT(TRIM(S41),"00000")="89142", TEXT(TRIM(S41),"00000")="89156"), "East Valley",
  OR(TEXT(TRIM(S41),"00000")="89030", TEXT(TRIM(S41),"00000")="89031", TEXT(TRIM(S41),"00000")="89032", TEXT(TRIM(S41),"00000")="89086", TEXT(TRIM(S41),"00000")="89084", TEXT(TRIM(S41),"00000")="89081"), "North LV",
  OR(TEXT(TRIM(S41),"00000")="89109", TEXT(TRIM(S41),"00000")="89103", TEXT(TRIM(S41),"00000")="89119", TEXT(TRIM(S41),"00000")="89123", TEXT(TRIM(S41),"00000")="89169", TEXT(TRIM(S41),"00000")="89118"), "South/Strip",
  OR(TEXT(TRIM(S41),"00000")="89074", TEXT(TRIM(S41),"00000")="89014", TEXT(TRIM(S41),"00000")="89015", TEXT(TRIM(S41),"00000")="89011", TEXT(TRIM(S41),"00000")="89012"), "Suburban SE",
  OR(TEXT(TRIM(S41),"00000")="89117", TEXT(TRIM(S41),"00000")="89128", TEXT(TRIM(S41),"00000")="89135", TEXT(TRIM(S41),"00000")="89144", TEXT(TRIM(S41),"00000")="89145", TEXT(TRIM(S41),"00000")="89147"), "West Valley",
  TRUE, "Other"
)</f>
        <v>Missing/Unknown</v>
      </c>
      <c r="U41" t="s">
        <v>3298</v>
      </c>
      <c r="V41" t="str">
        <f t="shared" si="3"/>
        <v>Outdoors/Public</v>
      </c>
    </row>
    <row r="42" spans="1:22">
      <c r="A42" t="s">
        <v>3271</v>
      </c>
      <c r="B42" t="s">
        <v>3272</v>
      </c>
      <c r="C42" s="1">
        <v>45534</v>
      </c>
      <c r="D42" s="4">
        <v>105.08</v>
      </c>
      <c r="E42">
        <v>42</v>
      </c>
      <c r="F42" t="str">
        <f t="shared" si="0"/>
        <v>40's</v>
      </c>
      <c r="G42" t="str" cm="1">
        <f t="array" ref="G42">_xlfn.IFS(
  F42="10's", "Child (5–12)",
  OR(F42="20's", F42="30's"), "Young Adult (20–39)",
  OR(F42="40's", F42="50's"), "Adult (40–59)",
  OR(F42="60's", F42="70's", F42="80's", F42="90's"), "Senior (60+)",
  TRUE, "Unknown"
)</f>
        <v>Adult (40–59)</v>
      </c>
      <c r="H42" t="s">
        <v>27</v>
      </c>
      <c r="I42" t="s">
        <v>54</v>
      </c>
      <c r="J42" t="str">
        <f t="shared" si="1"/>
        <v>Environmental Heat</v>
      </c>
      <c r="K42" t="s">
        <v>3273</v>
      </c>
      <c r="L42" t="s">
        <v>1071</v>
      </c>
      <c r="M42" t="s">
        <v>4891</v>
      </c>
      <c r="N42" t="s">
        <v>5099</v>
      </c>
      <c r="O42" t="str" cm="1">
        <f t="array" ref="O42">_xlfn.IFS(
  TEXT(TRIM(N42),"00000")="NULL", "Missing/Unknown",
  OR(TEXT(TRIM(N42),"00000")="89101", TEXT(TRIM(N42),"00000")="89104", TEXT(TRIM(N42),"00000")="89106", TEXT(TRIM(N42),"00000")="89102", TEXT(TRIM(N42),"00000")="89107", TEXT(TRIM(N42),"00000")="89108"), "Urban Core",
  OR(TEXT(TRIM(N42),"00000")="89110", TEXT(TRIM(N42),"00000")="89115", TEXT(TRIM(N42),"00000")="89121", TEXT(TRIM(N42),"00000")="89122", TEXT(TRIM(N42),"00000")="89142", TEXT(TRIM(N42),"00000")="89156"), "East Valley",
  OR(TEXT(TRIM(N42),"00000")="89030", TEXT(TRIM(N42),"00000")="89031", TEXT(TRIM(N42),"00000")="89032", TEXT(TRIM(N42),"00000")="89086", TEXT(TRIM(N42),"00000")="89084", TEXT(TRIM(N42),"00000")="89081"), "North LV",
  OR(TEXT(TRIM(N42),"00000")="89109", TEXT(TRIM(N42),"00000")="89103", TEXT(TRIM(N42),"00000")="89119", TEXT(TRIM(N42),"00000")="89123", TEXT(TRIM(N42),"00000")="89169", TEXT(TRIM(N42),"00000")="89118"), "South/Strip",
  OR(TEXT(TRIM(N42),"00000")="89074", TEXT(TRIM(N42),"00000")="89014", TEXT(TRIM(N42),"00000")="89015", TEXT(TRIM(N42),"00000")="89011", TEXT(TRIM(N42),"00000")="89012"), "Suburban SE",
  OR(TEXT(TRIM(N42),"00000")="89117", TEXT(TRIM(N42),"00000")="89128", TEXT(TRIM(N42),"00000")="89135", TEXT(TRIM(N42),"00000")="89144", TEXT(TRIM(N42),"00000")="89145", TEXT(TRIM(N42),"00000")="89147"), "West Valley",
  TRUE, "Other"
)</f>
        <v>Urban Core</v>
      </c>
      <c r="P42" t="s">
        <v>1073</v>
      </c>
      <c r="Q42" t="str">
        <f t="shared" si="2"/>
        <v>Home/Residence</v>
      </c>
      <c r="R42" t="s">
        <v>4891</v>
      </c>
      <c r="S42" t="s">
        <v>5099</v>
      </c>
      <c r="T42" t="str" cm="1">
        <f t="array" ref="T42">_xlfn.IFS(
  TEXT(TRIM(S42),"00000")="NULL", "Missing/Unknown",
  OR(TEXT(TRIM(S42),"00000")="89101", TEXT(TRIM(S42),"00000")="89104", TEXT(TRIM(S42),"00000")="89106", TEXT(TRIM(S42),"00000")="89102", TEXT(TRIM(S42),"00000")="89107", TEXT(TRIM(S42),"00000")="89108"), "Urban Core",
  OR(TEXT(TRIM(S42),"00000")="89110", TEXT(TRIM(S42),"00000")="89115", TEXT(TRIM(S42),"00000")="89121", TEXT(TRIM(S42),"00000")="89122", TEXT(TRIM(S42),"00000")="89142", TEXT(TRIM(S42),"00000")="89156"), "East Valley",
  OR(TEXT(TRIM(S42),"00000")="89030", TEXT(TRIM(S42),"00000")="89031", TEXT(TRIM(S42),"00000")="89032", TEXT(TRIM(S42),"00000")="89086", TEXT(TRIM(S42),"00000")="89084", TEXT(TRIM(S42),"00000")="89081"), "North LV",
  OR(TEXT(TRIM(S42),"00000")="89109", TEXT(TRIM(S42),"00000")="89103", TEXT(TRIM(S42),"00000")="89119", TEXT(TRIM(S42),"00000")="89123", TEXT(TRIM(S42),"00000")="89169", TEXT(TRIM(S42),"00000")="89118"), "South/Strip",
  OR(TEXT(TRIM(S42),"00000")="89074", TEXT(TRIM(S42),"00000")="89014", TEXT(TRIM(S42),"00000")="89015", TEXT(TRIM(S42),"00000")="89011", TEXT(TRIM(S42),"00000")="89012"), "Suburban SE",
  OR(TEXT(TRIM(S42),"00000")="89117", TEXT(TRIM(S42),"00000")="89128", TEXT(TRIM(S42),"00000")="89135", TEXT(TRIM(S42),"00000")="89144", TEXT(TRIM(S42),"00000")="89145", TEXT(TRIM(S42),"00000")="89147"), "West Valley",
  TRUE, "Other"
)</f>
        <v>Urban Core</v>
      </c>
      <c r="U42" t="s">
        <v>1073</v>
      </c>
      <c r="V42" t="str">
        <f t="shared" si="3"/>
        <v>Home/Residence</v>
      </c>
    </row>
    <row r="43" spans="1:22">
      <c r="A43" t="s">
        <v>3607</v>
      </c>
      <c r="B43" t="s">
        <v>3608</v>
      </c>
      <c r="C43" s="1">
        <v>45534</v>
      </c>
      <c r="D43" s="4">
        <v>105.08</v>
      </c>
      <c r="E43">
        <v>46</v>
      </c>
      <c r="F43" t="str">
        <f t="shared" si="0"/>
        <v>40's</v>
      </c>
      <c r="G43" t="str" cm="1">
        <f t="array" ref="G43">_xlfn.IFS(
  F43="10's", "Child (5–12)",
  OR(F43="20's", F43="30's"), "Young Adult (20–39)",
  OR(F43="40's", F43="50's"), "Adult (40–59)",
  OR(F43="60's", F43="70's", F43="80's", F43="90's"), "Senior (60+)",
  TRUE, "Unknown"
)</f>
        <v>Adult (40–59)</v>
      </c>
      <c r="H43" t="s">
        <v>841</v>
      </c>
      <c r="I43" t="s">
        <v>97</v>
      </c>
      <c r="J43" t="str">
        <f t="shared" si="1"/>
        <v>Environmental Heat</v>
      </c>
      <c r="K43" t="s">
        <v>98</v>
      </c>
      <c r="L43" t="s">
        <v>3609</v>
      </c>
      <c r="M43" t="s">
        <v>4510</v>
      </c>
      <c r="N43" t="s">
        <v>5111</v>
      </c>
      <c r="O43" t="str" cm="1">
        <f t="array" ref="O43">_xlfn.IFS(
  TEXT(TRIM(N43),"00000")="NULL", "Missing/Unknown",
  OR(TEXT(TRIM(N43),"00000")="89101", TEXT(TRIM(N43),"00000")="89104", TEXT(TRIM(N43),"00000")="89106", TEXT(TRIM(N43),"00000")="89102", TEXT(TRIM(N43),"00000")="89107", TEXT(TRIM(N43),"00000")="89108"), "Urban Core",
  OR(TEXT(TRIM(N43),"00000")="89110", TEXT(TRIM(N43),"00000")="89115", TEXT(TRIM(N43),"00000")="89121", TEXT(TRIM(N43),"00000")="89122", TEXT(TRIM(N43),"00000")="89142", TEXT(TRIM(N43),"00000")="89156"), "East Valley",
  OR(TEXT(TRIM(N43),"00000")="89030", TEXT(TRIM(N43),"00000")="89031", TEXT(TRIM(N43),"00000")="89032", TEXT(TRIM(N43),"00000")="89086", TEXT(TRIM(N43),"00000")="89084", TEXT(TRIM(N43),"00000")="89081"), "North LV",
  OR(TEXT(TRIM(N43),"00000")="89109", TEXT(TRIM(N43),"00000")="89103", TEXT(TRIM(N43),"00000")="89119", TEXT(TRIM(N43),"00000")="89123", TEXT(TRIM(N43),"00000")="89169", TEXT(TRIM(N43),"00000")="89118"), "South/Strip",
  OR(TEXT(TRIM(N43),"00000")="89074", TEXT(TRIM(N43),"00000")="89014", TEXT(TRIM(N43),"00000")="89015", TEXT(TRIM(N43),"00000")="89011", TEXT(TRIM(N43),"00000")="89012"), "Suburban SE",
  OR(TEXT(TRIM(N43),"00000")="89117", TEXT(TRIM(N43),"00000")="89128", TEXT(TRIM(N43),"00000")="89135", TEXT(TRIM(N43),"00000")="89144", TEXT(TRIM(N43),"00000")="89145", TEXT(TRIM(N43),"00000")="89147"), "West Valley",
  TRUE, "Other"
)</f>
        <v>West Valley</v>
      </c>
      <c r="P43" t="s">
        <v>3298</v>
      </c>
      <c r="Q43" t="str">
        <f t="shared" si="2"/>
        <v>Outdoors/Public</v>
      </c>
      <c r="R43" t="s">
        <v>5064</v>
      </c>
      <c r="S43" t="s">
        <v>5154</v>
      </c>
      <c r="T43" t="str" cm="1">
        <f t="array" ref="T43">_xlfn.IFS(
  TEXT(TRIM(S43),"00000")="NULL", "Missing/Unknown",
  OR(TEXT(TRIM(S43),"00000")="89101", TEXT(TRIM(S43),"00000")="89104", TEXT(TRIM(S43),"00000")="89106", TEXT(TRIM(S43),"00000")="89102", TEXT(TRIM(S43),"00000")="89107", TEXT(TRIM(S43),"00000")="89108"), "Urban Core",
  OR(TEXT(TRIM(S43),"00000")="89110", TEXT(TRIM(S43),"00000")="89115", TEXT(TRIM(S43),"00000")="89121", TEXT(TRIM(S43),"00000")="89122", TEXT(TRIM(S43),"00000")="89142", TEXT(TRIM(S43),"00000")="89156"), "East Valley",
  OR(TEXT(TRIM(S43),"00000")="89030", TEXT(TRIM(S43),"00000")="89031", TEXT(TRIM(S43),"00000")="89032", TEXT(TRIM(S43),"00000")="89086", TEXT(TRIM(S43),"00000")="89084", TEXT(TRIM(S43),"00000")="89081"), "North LV",
  OR(TEXT(TRIM(S43),"00000")="89109", TEXT(TRIM(S43),"00000")="89103", TEXT(TRIM(S43),"00000")="89119", TEXT(TRIM(S43),"00000")="89123", TEXT(TRIM(S43),"00000")="89169", TEXT(TRIM(S43),"00000")="89118"), "South/Strip",
  OR(TEXT(TRIM(S43),"00000")="89074", TEXT(TRIM(S43),"00000")="89014", TEXT(TRIM(S43),"00000")="89015", TEXT(TRIM(S43),"00000")="89011", TEXT(TRIM(S43),"00000")="89012"), "Suburban SE",
  OR(TEXT(TRIM(S43),"00000")="89117", TEXT(TRIM(S43),"00000")="89128", TEXT(TRIM(S43),"00000")="89135", TEXT(TRIM(S43),"00000")="89144", TEXT(TRIM(S43),"00000")="89145", TEXT(TRIM(S43),"00000")="89147"), "West Valley",
  TRUE, "Other"
)</f>
        <v>West Valley</v>
      </c>
      <c r="U43" t="s">
        <v>2433</v>
      </c>
      <c r="V43" t="str">
        <f t="shared" si="3"/>
        <v>Medical Facility</v>
      </c>
    </row>
    <row r="44" spans="1:22">
      <c r="A44" t="s">
        <v>3404</v>
      </c>
      <c r="B44" t="s">
        <v>3405</v>
      </c>
      <c r="C44" s="1">
        <v>45534</v>
      </c>
      <c r="D44" s="4">
        <v>105.08</v>
      </c>
      <c r="E44">
        <v>34</v>
      </c>
      <c r="F44" t="str">
        <f t="shared" si="0"/>
        <v>30's</v>
      </c>
      <c r="G44" t="str" cm="1">
        <f t="array" ref="G44">_xlfn.IFS(
  F44="10's", "Child (5–12)",
  OR(F44="20's", F44="30's"), "Young Adult (20–39)",
  OR(F44="40's", F44="50's"), "Adult (40–59)",
  OR(F44="60's", F44="70's", F44="80's", F44="90's"), "Senior (60+)",
  TRUE, "Unknown"
)</f>
        <v>Young Adult (20–39)</v>
      </c>
      <c r="H44" t="s">
        <v>841</v>
      </c>
      <c r="I44" t="s">
        <v>3406</v>
      </c>
      <c r="J44" t="str">
        <f t="shared" si="1"/>
        <v>Other / Unknown</v>
      </c>
      <c r="K44" t="s">
        <v>4149</v>
      </c>
      <c r="L44" t="s">
        <v>250</v>
      </c>
      <c r="M44" t="s">
        <v>4595</v>
      </c>
      <c r="N44" t="s">
        <v>5112</v>
      </c>
      <c r="O44" t="str" cm="1">
        <f t="array" ref="O44">_xlfn.IFS(
  TEXT(TRIM(N44),"00000")="NULL", "Missing/Unknown",
  OR(TEXT(TRIM(N44),"00000")="89101", TEXT(TRIM(N44),"00000")="89104", TEXT(TRIM(N44),"00000")="89106", TEXT(TRIM(N44),"00000")="89102", TEXT(TRIM(N44),"00000")="89107", TEXT(TRIM(N44),"00000")="89108"), "Urban Core",
  OR(TEXT(TRIM(N44),"00000")="89110", TEXT(TRIM(N44),"00000")="89115", TEXT(TRIM(N44),"00000")="89121", TEXT(TRIM(N44),"00000")="89122", TEXT(TRIM(N44),"00000")="89142", TEXT(TRIM(N44),"00000")="89156"), "East Valley",
  OR(TEXT(TRIM(N44),"00000")="89030", TEXT(TRIM(N44),"00000")="89031", TEXT(TRIM(N44),"00000")="89032", TEXT(TRIM(N44),"00000")="89086", TEXT(TRIM(N44),"00000")="89084", TEXT(TRIM(N44),"00000")="89081"), "North LV",
  OR(TEXT(TRIM(N44),"00000")="89109", TEXT(TRIM(N44),"00000")="89103", TEXT(TRIM(N44),"00000")="89119", TEXT(TRIM(N44),"00000")="89123", TEXT(TRIM(N44),"00000")="89169", TEXT(TRIM(N44),"00000")="89118"), "South/Strip",
  OR(TEXT(TRIM(N44),"00000")="89074", TEXT(TRIM(N44),"00000")="89014", TEXT(TRIM(N44),"00000")="89015", TEXT(TRIM(N44),"00000")="89011", TEXT(TRIM(N44),"00000")="89012"), "Suburban SE",
  OR(TEXT(TRIM(N44),"00000")="89117", TEXT(TRIM(N44),"00000")="89128", TEXT(TRIM(N44),"00000")="89135", TEXT(TRIM(N44),"00000")="89144", TEXT(TRIM(N44),"00000")="89145", TEXT(TRIM(N44),"00000")="89147"), "West Valley",
  TRUE, "Other"
)</f>
        <v>North LV</v>
      </c>
      <c r="P44" t="s">
        <v>3298</v>
      </c>
      <c r="Q44" t="str">
        <f t="shared" si="2"/>
        <v>Outdoors/Public</v>
      </c>
      <c r="R44" t="s">
        <v>4713</v>
      </c>
      <c r="S44" t="s">
        <v>5125</v>
      </c>
      <c r="T44" t="str" cm="1">
        <f t="array" ref="T44">_xlfn.IFS(
  TEXT(TRIM(S44),"00000")="NULL", "Missing/Unknown",
  OR(TEXT(TRIM(S44),"00000")="89101", TEXT(TRIM(S44),"00000")="89104", TEXT(TRIM(S44),"00000")="89106", TEXT(TRIM(S44),"00000")="89102", TEXT(TRIM(S44),"00000")="89107", TEXT(TRIM(S44),"00000")="89108"), "Urban Core",
  OR(TEXT(TRIM(S44),"00000")="89110", TEXT(TRIM(S44),"00000")="89115", TEXT(TRIM(S44),"00000")="89121", TEXT(TRIM(S44),"00000")="89122", TEXT(TRIM(S44),"00000")="89142", TEXT(TRIM(S44),"00000")="89156"), "East Valley",
  OR(TEXT(TRIM(S44),"00000")="89030", TEXT(TRIM(S44),"00000")="89031", TEXT(TRIM(S44),"00000")="89032", TEXT(TRIM(S44),"00000")="89086", TEXT(TRIM(S44),"00000")="89084", TEXT(TRIM(S44),"00000")="89081"), "North LV",
  OR(TEXT(TRIM(S44),"00000")="89109", TEXT(TRIM(S44),"00000")="89103", TEXT(TRIM(S44),"00000")="89119", TEXT(TRIM(S44),"00000")="89123", TEXT(TRIM(S44),"00000")="89169", TEXT(TRIM(S44),"00000")="89118"), "South/Strip",
  OR(TEXT(TRIM(S44),"00000")="89074", TEXT(TRIM(S44),"00000")="89014", TEXT(TRIM(S44),"00000")="89015", TEXT(TRIM(S44),"00000")="89011", TEXT(TRIM(S44),"00000")="89012"), "Suburban SE",
  OR(TEXT(TRIM(S44),"00000")="89117", TEXT(TRIM(S44),"00000")="89128", TEXT(TRIM(S44),"00000")="89135", TEXT(TRIM(S44),"00000")="89144", TEXT(TRIM(S44),"00000")="89145", TEXT(TRIM(S44),"00000")="89147"), "West Valley",
  TRUE, "Other"
)</f>
        <v>South/Strip</v>
      </c>
      <c r="U44" t="s">
        <v>2413</v>
      </c>
      <c r="V44" t="str">
        <f t="shared" si="3"/>
        <v>Medical Facility</v>
      </c>
    </row>
    <row r="45" spans="1:22">
      <c r="A45" t="s">
        <v>3558</v>
      </c>
      <c r="B45" t="s">
        <v>3559</v>
      </c>
      <c r="C45" s="1">
        <v>45532</v>
      </c>
      <c r="D45" s="4">
        <v>105.08</v>
      </c>
      <c r="E45">
        <v>65</v>
      </c>
      <c r="F45" t="str">
        <f t="shared" si="0"/>
        <v>60's</v>
      </c>
      <c r="G45" t="str" cm="1">
        <f t="array" ref="G45">_xlfn.IFS(
  F45="10's", "Child (5–12)",
  OR(F45="20's", F45="30's"), "Young Adult (20–39)",
  OR(F45="40's", F45="50's"), "Adult (40–59)",
  OR(F45="60's", F45="70's", F45="80's", F45="90's"), "Senior (60+)",
  TRUE, "Unknown"
)</f>
        <v>Senior (60+)</v>
      </c>
      <c r="H45" t="s">
        <v>778</v>
      </c>
      <c r="I45" t="s">
        <v>299</v>
      </c>
      <c r="J45" t="str">
        <f t="shared" si="1"/>
        <v>Cardiovascular Disease</v>
      </c>
      <c r="K45" t="s">
        <v>185</v>
      </c>
      <c r="L45" t="s">
        <v>1071</v>
      </c>
      <c r="M45" t="s">
        <v>4892</v>
      </c>
      <c r="N45" t="s">
        <v>5113</v>
      </c>
      <c r="O45" t="str" cm="1">
        <f t="array" ref="O45">_xlfn.IFS(
  TEXT(TRIM(N45),"00000")="NULL", "Missing/Unknown",
  OR(TEXT(TRIM(N45),"00000")="89101", TEXT(TRIM(N45),"00000")="89104", TEXT(TRIM(N45),"00000")="89106", TEXT(TRIM(N45),"00000")="89102", TEXT(TRIM(N45),"00000")="89107", TEXT(TRIM(N45),"00000")="89108"), "Urban Core",
  OR(TEXT(TRIM(N45),"00000")="89110", TEXT(TRIM(N45),"00000")="89115", TEXT(TRIM(N45),"00000")="89121", TEXT(TRIM(N45),"00000")="89122", TEXT(TRIM(N45),"00000")="89142", TEXT(TRIM(N45),"00000")="89156"), "East Valley",
  OR(TEXT(TRIM(N45),"00000")="89030", TEXT(TRIM(N45),"00000")="89031", TEXT(TRIM(N45),"00000")="89032", TEXT(TRIM(N45),"00000")="89086", TEXT(TRIM(N45),"00000")="89084", TEXT(TRIM(N45),"00000")="89081"), "North LV",
  OR(TEXT(TRIM(N45),"00000")="89109", TEXT(TRIM(N45),"00000")="89103", TEXT(TRIM(N45),"00000")="89119", TEXT(TRIM(N45),"00000")="89123", TEXT(TRIM(N45),"00000")="89169", TEXT(TRIM(N45),"00000")="89118"), "South/Strip",
  OR(TEXT(TRIM(N45),"00000")="89074", TEXT(TRIM(N45),"00000")="89014", TEXT(TRIM(N45),"00000")="89015", TEXT(TRIM(N45),"00000")="89011", TEXT(TRIM(N45),"00000")="89012"), "Suburban SE",
  OR(TEXT(TRIM(N45),"00000")="89117", TEXT(TRIM(N45),"00000")="89128", TEXT(TRIM(N45),"00000")="89135", TEXT(TRIM(N45),"00000")="89144", TEXT(TRIM(N45),"00000")="89145", TEXT(TRIM(N45),"00000")="89147"), "West Valley",
  TRUE, "Other"
)</f>
        <v>Suburban SE</v>
      </c>
      <c r="P45" t="s">
        <v>1073</v>
      </c>
      <c r="Q45" t="str">
        <f t="shared" si="2"/>
        <v>Home/Residence</v>
      </c>
      <c r="R45" t="s">
        <v>4892</v>
      </c>
      <c r="S45" t="s">
        <v>5113</v>
      </c>
      <c r="T45" t="str" cm="1">
        <f t="array" ref="T45">_xlfn.IFS(
  TEXT(TRIM(S45),"00000")="NULL", "Missing/Unknown",
  OR(TEXT(TRIM(S45),"00000")="89101", TEXT(TRIM(S45),"00000")="89104", TEXT(TRIM(S45),"00000")="89106", TEXT(TRIM(S45),"00000")="89102", TEXT(TRIM(S45),"00000")="89107", TEXT(TRIM(S45),"00000")="89108"), "Urban Core",
  OR(TEXT(TRIM(S45),"00000")="89110", TEXT(TRIM(S45),"00000")="89115", TEXT(TRIM(S45),"00000")="89121", TEXT(TRIM(S45),"00000")="89122", TEXT(TRIM(S45),"00000")="89142", TEXT(TRIM(S45),"00000")="89156"), "East Valley",
  OR(TEXT(TRIM(S45),"00000")="89030", TEXT(TRIM(S45),"00000")="89031", TEXT(TRIM(S45),"00000")="89032", TEXT(TRIM(S45),"00000")="89086", TEXT(TRIM(S45),"00000")="89084", TEXT(TRIM(S45),"00000")="89081"), "North LV",
  OR(TEXT(TRIM(S45),"00000")="89109", TEXT(TRIM(S45),"00000")="89103", TEXT(TRIM(S45),"00000")="89119", TEXT(TRIM(S45),"00000")="89123", TEXT(TRIM(S45),"00000")="89169", TEXT(TRIM(S45),"00000")="89118"), "South/Strip",
  OR(TEXT(TRIM(S45),"00000")="89074", TEXT(TRIM(S45),"00000")="89014", TEXT(TRIM(S45),"00000")="89015", TEXT(TRIM(S45),"00000")="89011", TEXT(TRIM(S45),"00000")="89012"), "Suburban SE",
  OR(TEXT(TRIM(S45),"00000")="89117", TEXT(TRIM(S45),"00000")="89128", TEXT(TRIM(S45),"00000")="89135", TEXT(TRIM(S45),"00000")="89144", TEXT(TRIM(S45),"00000")="89145", TEXT(TRIM(S45),"00000")="89147"), "West Valley",
  TRUE, "Other"
)</f>
        <v>Suburban SE</v>
      </c>
      <c r="U45" t="s">
        <v>1073</v>
      </c>
      <c r="V45" t="str">
        <f t="shared" si="3"/>
        <v>Home/Residence</v>
      </c>
    </row>
    <row r="46" spans="1:22">
      <c r="A46" t="s">
        <v>2538</v>
      </c>
      <c r="B46" t="s">
        <v>2539</v>
      </c>
      <c r="C46" s="1">
        <v>45532</v>
      </c>
      <c r="D46" s="4">
        <v>105.08</v>
      </c>
      <c r="E46">
        <v>55</v>
      </c>
      <c r="F46" t="str">
        <f t="shared" si="0"/>
        <v>50's</v>
      </c>
      <c r="G46" t="str" cm="1">
        <f t="array" ref="G46">_xlfn.IFS(
  F46="10's", "Child (5–12)",
  OR(F46="20's", F46="30's"), "Young Adult (20–39)",
  OR(F46="40's", F46="50's"), "Adult (40–59)",
  OR(F46="60's", F46="70's", F46="80's", F46="90's"), "Senior (60+)",
  TRUE, "Unknown"
)</f>
        <v>Adult (40–59)</v>
      </c>
      <c r="H46" t="s">
        <v>841</v>
      </c>
      <c r="I46" t="s">
        <v>4016</v>
      </c>
      <c r="J46" t="str">
        <f t="shared" si="1"/>
        <v>Methamphetamine-related</v>
      </c>
      <c r="K46" t="s">
        <v>54</v>
      </c>
      <c r="L46" t="s">
        <v>1071</v>
      </c>
      <c r="M46" t="s">
        <v>4629</v>
      </c>
      <c r="N46" t="s">
        <v>5114</v>
      </c>
      <c r="O46" t="str" cm="1">
        <f t="array" ref="O46">_xlfn.IFS(
  TEXT(TRIM(N46),"00000")="NULL", "Missing/Unknown",
  OR(TEXT(TRIM(N46),"00000")="89101", TEXT(TRIM(N46),"00000")="89104", TEXT(TRIM(N46),"00000")="89106", TEXT(TRIM(N46),"00000")="89102", TEXT(TRIM(N46),"00000")="89107", TEXT(TRIM(N46),"00000")="89108"), "Urban Core",
  OR(TEXT(TRIM(N46),"00000")="89110", TEXT(TRIM(N46),"00000")="89115", TEXT(TRIM(N46),"00000")="89121", TEXT(TRIM(N46),"00000")="89122", TEXT(TRIM(N46),"00000")="89142", TEXT(TRIM(N46),"00000")="89156"), "East Valley",
  OR(TEXT(TRIM(N46),"00000")="89030", TEXT(TRIM(N46),"00000")="89031", TEXT(TRIM(N46),"00000")="89032", TEXT(TRIM(N46),"00000")="89086", TEXT(TRIM(N46),"00000")="89084", TEXT(TRIM(N46),"00000")="89081"), "North LV",
  OR(TEXT(TRIM(N46),"00000")="89109", TEXT(TRIM(N46),"00000")="89103", TEXT(TRIM(N46),"00000")="89119", TEXT(TRIM(N46),"00000")="89123", TEXT(TRIM(N46),"00000")="89169", TEXT(TRIM(N46),"00000")="89118"), "South/Strip",
  OR(TEXT(TRIM(N46),"00000")="89074", TEXT(TRIM(N46),"00000")="89014", TEXT(TRIM(N46),"00000")="89015", TEXT(TRIM(N46),"00000")="89011", TEXT(TRIM(N46),"00000")="89012"), "Suburban SE",
  OR(TEXT(TRIM(N46),"00000")="89117", TEXT(TRIM(N46),"00000")="89128", TEXT(TRIM(N46),"00000")="89135", TEXT(TRIM(N46),"00000")="89144", TEXT(TRIM(N46),"00000")="89145", TEXT(TRIM(N46),"00000")="89147"), "West Valley",
  TRUE, "Other"
)</f>
        <v>Other</v>
      </c>
      <c r="P46" t="s">
        <v>3298</v>
      </c>
      <c r="Q46" t="str">
        <f t="shared" si="2"/>
        <v>Outdoors/Public</v>
      </c>
      <c r="R46" t="s">
        <v>4629</v>
      </c>
      <c r="S46" t="s">
        <v>5114</v>
      </c>
      <c r="T46" t="str" cm="1">
        <f t="array" ref="T46">_xlfn.IFS(
  TEXT(TRIM(S46),"00000")="NULL", "Missing/Unknown",
  OR(TEXT(TRIM(S46),"00000")="89101", TEXT(TRIM(S46),"00000")="89104", TEXT(TRIM(S46),"00000")="89106", TEXT(TRIM(S46),"00000")="89102", TEXT(TRIM(S46),"00000")="89107", TEXT(TRIM(S46),"00000")="89108"), "Urban Core",
  OR(TEXT(TRIM(S46),"00000")="89110", TEXT(TRIM(S46),"00000")="89115", TEXT(TRIM(S46),"00000")="89121", TEXT(TRIM(S46),"00000")="89122", TEXT(TRIM(S46),"00000")="89142", TEXT(TRIM(S46),"00000")="89156"), "East Valley",
  OR(TEXT(TRIM(S46),"00000")="89030", TEXT(TRIM(S46),"00000")="89031", TEXT(TRIM(S46),"00000")="89032", TEXT(TRIM(S46),"00000")="89086", TEXT(TRIM(S46),"00000")="89084", TEXT(TRIM(S46),"00000")="89081"), "North LV",
  OR(TEXT(TRIM(S46),"00000")="89109", TEXT(TRIM(S46),"00000")="89103", TEXT(TRIM(S46),"00000")="89119", TEXT(TRIM(S46),"00000")="89123", TEXT(TRIM(S46),"00000")="89169", TEXT(TRIM(S46),"00000")="89118"), "South/Strip",
  OR(TEXT(TRIM(S46),"00000")="89074", TEXT(TRIM(S46),"00000")="89014", TEXT(TRIM(S46),"00000")="89015", TEXT(TRIM(S46),"00000")="89011", TEXT(TRIM(S46),"00000")="89012"), "Suburban SE",
  OR(TEXT(TRIM(S46),"00000")="89117", TEXT(TRIM(S46),"00000")="89128", TEXT(TRIM(S46),"00000")="89135", TEXT(TRIM(S46),"00000")="89144", TEXT(TRIM(S46),"00000")="89145", TEXT(TRIM(S46),"00000")="89147"), "West Valley",
  TRUE, "Other"
)</f>
        <v>Other</v>
      </c>
      <c r="U46" t="s">
        <v>3298</v>
      </c>
      <c r="V46" t="str">
        <f t="shared" si="3"/>
        <v>Outdoors/Public</v>
      </c>
    </row>
    <row r="47" spans="1:22">
      <c r="A47" t="s">
        <v>3322</v>
      </c>
      <c r="B47" t="s">
        <v>3323</v>
      </c>
      <c r="C47" s="1">
        <v>45532</v>
      </c>
      <c r="D47" s="4">
        <v>105.08</v>
      </c>
      <c r="E47">
        <v>41</v>
      </c>
      <c r="F47" t="str">
        <f t="shared" si="0"/>
        <v>40's</v>
      </c>
      <c r="G47" t="str" cm="1">
        <f t="array" ref="G47">_xlfn.IFS(
  F47="10's", "Child (5–12)",
  OR(F47="20's", F47="30's"), "Young Adult (20–39)",
  OR(F47="40's", F47="50's"), "Adult (40–59)",
  OR(F47="60's", F47="70's", F47="80's", F47="90's"), "Senior (60+)",
  TRUE, "Unknown"
)</f>
        <v>Adult (40–59)</v>
      </c>
      <c r="H47" t="s">
        <v>841</v>
      </c>
      <c r="I47" t="s">
        <v>4019</v>
      </c>
      <c r="J47" t="str">
        <f t="shared" si="1"/>
        <v>Environmental Heat</v>
      </c>
      <c r="K47" t="s">
        <v>503</v>
      </c>
      <c r="L47" t="s">
        <v>250</v>
      </c>
      <c r="M47" t="s">
        <v>4336</v>
      </c>
      <c r="N47" t="s">
        <v>5101</v>
      </c>
      <c r="O47" t="str" cm="1">
        <f t="array" ref="O47">_xlfn.IFS(
  TEXT(TRIM(N47),"00000")="NULL", "Missing/Unknown",
  OR(TEXT(TRIM(N47),"00000")="89101", TEXT(TRIM(N47),"00000")="89104", TEXT(TRIM(N47),"00000")="89106", TEXT(TRIM(N47),"00000")="89102", TEXT(TRIM(N47),"00000")="89107", TEXT(TRIM(N47),"00000")="89108"), "Urban Core",
  OR(TEXT(TRIM(N47),"00000")="89110", TEXT(TRIM(N47),"00000")="89115", TEXT(TRIM(N47),"00000")="89121", TEXT(TRIM(N47),"00000")="89122", TEXT(TRIM(N47),"00000")="89142", TEXT(TRIM(N47),"00000")="89156"), "East Valley",
  OR(TEXT(TRIM(N47),"00000")="89030", TEXT(TRIM(N47),"00000")="89031", TEXT(TRIM(N47),"00000")="89032", TEXT(TRIM(N47),"00000")="89086", TEXT(TRIM(N47),"00000")="89084", TEXT(TRIM(N47),"00000")="89081"), "North LV",
  OR(TEXT(TRIM(N47),"00000")="89109", TEXT(TRIM(N47),"00000")="89103", TEXT(TRIM(N47),"00000")="89119", TEXT(TRIM(N47),"00000")="89123", TEXT(TRIM(N47),"00000")="89169", TEXT(TRIM(N47),"00000")="89118"), "South/Strip",
  OR(TEXT(TRIM(N47),"00000")="89074", TEXT(TRIM(N47),"00000")="89014", TEXT(TRIM(N47),"00000")="89015", TEXT(TRIM(N47),"00000")="89011", TEXT(TRIM(N47),"00000")="89012"), "Suburban SE",
  OR(TEXT(TRIM(N47),"00000")="89117", TEXT(TRIM(N47),"00000")="89128", TEXT(TRIM(N47),"00000")="89135", TEXT(TRIM(N47),"00000")="89144", TEXT(TRIM(N47),"00000")="89145", TEXT(TRIM(N47),"00000")="89147"), "West Valley",
  TRUE, "Other"
)</f>
        <v>Urban Core</v>
      </c>
      <c r="P47" t="s">
        <v>24</v>
      </c>
      <c r="Q47" t="str">
        <f t="shared" si="2"/>
        <v>Outdoors/Public</v>
      </c>
      <c r="R47" t="s">
        <v>5059</v>
      </c>
      <c r="S47" t="s">
        <v>5109</v>
      </c>
      <c r="T47" t="str" cm="1">
        <f t="array" ref="T47">_xlfn.IFS(
  TEXT(TRIM(S47),"00000")="NULL", "Missing/Unknown",
  OR(TEXT(TRIM(S47),"00000")="89101", TEXT(TRIM(S47),"00000")="89104", TEXT(TRIM(S47),"00000")="89106", TEXT(TRIM(S47),"00000")="89102", TEXT(TRIM(S47),"00000")="89107", TEXT(TRIM(S47),"00000")="89108"), "Urban Core",
  OR(TEXT(TRIM(S47),"00000")="89110", TEXT(TRIM(S47),"00000")="89115", TEXT(TRIM(S47),"00000")="89121", TEXT(TRIM(S47),"00000")="89122", TEXT(TRIM(S47),"00000")="89142", TEXT(TRIM(S47),"00000")="89156"), "East Valley",
  OR(TEXT(TRIM(S47),"00000")="89030", TEXT(TRIM(S47),"00000")="89031", TEXT(TRIM(S47),"00000")="89032", TEXT(TRIM(S47),"00000")="89086", TEXT(TRIM(S47),"00000")="89084", TEXT(TRIM(S47),"00000")="89081"), "North LV",
  OR(TEXT(TRIM(S47),"00000")="89109", TEXT(TRIM(S47),"00000")="89103", TEXT(TRIM(S47),"00000")="89119", TEXT(TRIM(S47),"00000")="89123", TEXT(TRIM(S47),"00000")="89169", TEXT(TRIM(S47),"00000")="89118"), "South/Strip",
  OR(TEXT(TRIM(S47),"00000")="89074", TEXT(TRIM(S47),"00000")="89014", TEXT(TRIM(S47),"00000")="89015", TEXT(TRIM(S47),"00000")="89011", TEXT(TRIM(S47),"00000")="89012"), "Suburban SE",
  OR(TEXT(TRIM(S47),"00000")="89117", TEXT(TRIM(S47),"00000")="89128", TEXT(TRIM(S47),"00000")="89135", TEXT(TRIM(S47),"00000")="89144", TEXT(TRIM(S47),"00000")="89145", TEXT(TRIM(S47),"00000")="89147"), "West Valley",
  TRUE, "Other"
)</f>
        <v>South/Strip</v>
      </c>
      <c r="U47" t="s">
        <v>109</v>
      </c>
      <c r="V47" t="str">
        <f t="shared" si="3"/>
        <v>Other / Unknown</v>
      </c>
    </row>
    <row r="48" spans="1:22">
      <c r="A48" t="s">
        <v>2652</v>
      </c>
      <c r="B48" t="s">
        <v>2653</v>
      </c>
      <c r="C48" s="1">
        <v>45532</v>
      </c>
      <c r="D48" s="4">
        <v>105.08</v>
      </c>
      <c r="E48">
        <v>67</v>
      </c>
      <c r="F48" t="str">
        <f t="shared" si="0"/>
        <v>60's</v>
      </c>
      <c r="G48" t="str" cm="1">
        <f t="array" ref="G48">_xlfn.IFS(
  F48="10's", "Child (5–12)",
  OR(F48="20's", F48="30's"), "Young Adult (20–39)",
  OR(F48="40's", F48="50's"), "Adult (40–59)",
  OR(F48="60's", F48="70's", F48="80's", F48="90's"), "Senior (60+)",
  TRUE, "Unknown"
)</f>
        <v>Senior (60+)</v>
      </c>
      <c r="H48" t="s">
        <v>4309</v>
      </c>
      <c r="I48" t="s">
        <v>63</v>
      </c>
      <c r="J48" t="str">
        <f t="shared" si="1"/>
        <v>Cardiovascular Disease</v>
      </c>
      <c r="K48" t="s">
        <v>54</v>
      </c>
      <c r="L48" t="s">
        <v>250</v>
      </c>
      <c r="N48" t="s">
        <v>5095</v>
      </c>
      <c r="O48" t="str" cm="1">
        <f t="array" ref="O48">_xlfn.IFS(
  TEXT(TRIM(N48),"00000")="NULL", "Missing/Unknown",
  OR(TEXT(TRIM(N48),"00000")="89101", TEXT(TRIM(N48),"00000")="89104", TEXT(TRIM(N48),"00000")="89106", TEXT(TRIM(N48),"00000")="89102", TEXT(TRIM(N48),"00000")="89107", TEXT(TRIM(N48),"00000")="89108"), "Urban Core",
  OR(TEXT(TRIM(N48),"00000")="89110", TEXT(TRIM(N48),"00000")="89115", TEXT(TRIM(N48),"00000")="89121", TEXT(TRIM(N48),"00000")="89122", TEXT(TRIM(N48),"00000")="89142", TEXT(TRIM(N48),"00000")="89156"), "East Valley",
  OR(TEXT(TRIM(N48),"00000")="89030", TEXT(TRIM(N48),"00000")="89031", TEXT(TRIM(N48),"00000")="89032", TEXT(TRIM(N48),"00000")="89086", TEXT(TRIM(N48),"00000")="89084", TEXT(TRIM(N48),"00000")="89081"), "North LV",
  OR(TEXT(TRIM(N48),"00000")="89109", TEXT(TRIM(N48),"00000")="89103", TEXT(TRIM(N48),"00000")="89119", TEXT(TRIM(N48),"00000")="89123", TEXT(TRIM(N48),"00000")="89169", TEXT(TRIM(N48),"00000")="89118"), "South/Strip",
  OR(TEXT(TRIM(N48),"00000")="89074", TEXT(TRIM(N48),"00000")="89014", TEXT(TRIM(N48),"00000")="89015", TEXT(TRIM(N48),"00000")="89011", TEXT(TRIM(N48),"00000")="89012"), "Suburban SE",
  OR(TEXT(TRIM(N48),"00000")="89117", TEXT(TRIM(N48),"00000")="89128", TEXT(TRIM(N48),"00000")="89135", TEXT(TRIM(N48),"00000")="89144", TEXT(TRIM(N48),"00000")="89145", TEXT(TRIM(N48),"00000")="89147"), "West Valley",
  TRUE, "Other"
)</f>
        <v>Missing/Unknown</v>
      </c>
      <c r="P48" t="s">
        <v>1073</v>
      </c>
      <c r="Q48" t="str">
        <f t="shared" si="2"/>
        <v>Home/Residence</v>
      </c>
      <c r="S48" t="s">
        <v>5095</v>
      </c>
      <c r="T48" t="str" cm="1">
        <f t="array" ref="T48">_xlfn.IFS(
  TEXT(TRIM(S48),"00000")="NULL", "Missing/Unknown",
  OR(TEXT(TRIM(S48),"00000")="89101", TEXT(TRIM(S48),"00000")="89104", TEXT(TRIM(S48),"00000")="89106", TEXT(TRIM(S48),"00000")="89102", TEXT(TRIM(S48),"00000")="89107", TEXT(TRIM(S48),"00000")="89108"), "Urban Core",
  OR(TEXT(TRIM(S48),"00000")="89110", TEXT(TRIM(S48),"00000")="89115", TEXT(TRIM(S48),"00000")="89121", TEXT(TRIM(S48),"00000")="89122", TEXT(TRIM(S48),"00000")="89142", TEXT(TRIM(S48),"00000")="89156"), "East Valley",
  OR(TEXT(TRIM(S48),"00000")="89030", TEXT(TRIM(S48),"00000")="89031", TEXT(TRIM(S48),"00000")="89032", TEXT(TRIM(S48),"00000")="89086", TEXT(TRIM(S48),"00000")="89084", TEXT(TRIM(S48),"00000")="89081"), "North LV",
  OR(TEXT(TRIM(S48),"00000")="89109", TEXT(TRIM(S48),"00000")="89103", TEXT(TRIM(S48),"00000")="89119", TEXT(TRIM(S48),"00000")="89123", TEXT(TRIM(S48),"00000")="89169", TEXT(TRIM(S48),"00000")="89118"), "South/Strip",
  OR(TEXT(TRIM(S48),"00000")="89074", TEXT(TRIM(S48),"00000")="89014", TEXT(TRIM(S48),"00000")="89015", TEXT(TRIM(S48),"00000")="89011", TEXT(TRIM(S48),"00000")="89012"), "Suburban SE",
  OR(TEXT(TRIM(S48),"00000")="89117", TEXT(TRIM(S48),"00000")="89128", TEXT(TRIM(S48),"00000")="89135", TEXT(TRIM(S48),"00000")="89144", TEXT(TRIM(S48),"00000")="89145", TEXT(TRIM(S48),"00000")="89147"), "West Valley",
  TRUE, "Other"
)</f>
        <v>Missing/Unknown</v>
      </c>
      <c r="U48" t="s">
        <v>1073</v>
      </c>
      <c r="V48" t="str">
        <f t="shared" si="3"/>
        <v>Home/Residence</v>
      </c>
    </row>
    <row r="49" spans="1:22">
      <c r="A49" t="s">
        <v>2818</v>
      </c>
      <c r="B49" t="s">
        <v>2819</v>
      </c>
      <c r="C49" s="1">
        <v>45531</v>
      </c>
      <c r="D49" s="4">
        <v>102.02</v>
      </c>
      <c r="E49">
        <v>68</v>
      </c>
      <c r="F49" t="str">
        <f t="shared" si="0"/>
        <v>60's</v>
      </c>
      <c r="G49" t="str" cm="1">
        <f t="array" ref="G49">_xlfn.IFS(
  F49="10's", "Child (5–12)",
  OR(F49="20's", F49="30's"), "Young Adult (20–39)",
  OR(F49="40's", F49="50's"), "Adult (40–59)",
  OR(F49="60's", F49="70's", F49="80's", F49="90's"), "Senior (60+)",
  TRUE, "Unknown"
)</f>
        <v>Senior (60+)</v>
      </c>
      <c r="H49" t="s">
        <v>841</v>
      </c>
      <c r="I49" t="s">
        <v>2815</v>
      </c>
      <c r="J49" t="str">
        <f t="shared" si="1"/>
        <v>Other / Unknown</v>
      </c>
      <c r="K49" t="s">
        <v>2820</v>
      </c>
      <c r="L49" t="s">
        <v>1071</v>
      </c>
      <c r="M49" t="s">
        <v>4893</v>
      </c>
      <c r="N49" t="s">
        <v>5115</v>
      </c>
      <c r="O49" t="str" cm="1">
        <f t="array" ref="O49">_xlfn.IFS(
  TEXT(TRIM(N49),"00000")="NULL", "Missing/Unknown",
  OR(TEXT(TRIM(N49),"00000")="89101", TEXT(TRIM(N49),"00000")="89104", TEXT(TRIM(N49),"00000")="89106", TEXT(TRIM(N49),"00000")="89102", TEXT(TRIM(N49),"00000")="89107", TEXT(TRIM(N49),"00000")="89108"), "Urban Core",
  OR(TEXT(TRIM(N49),"00000")="89110", TEXT(TRIM(N49),"00000")="89115", TEXT(TRIM(N49),"00000")="89121", TEXT(TRIM(N49),"00000")="89122", TEXT(TRIM(N49),"00000")="89142", TEXT(TRIM(N49),"00000")="89156"), "East Valley",
  OR(TEXT(TRIM(N49),"00000")="89030", TEXT(TRIM(N49),"00000")="89031", TEXT(TRIM(N49),"00000")="89032", TEXT(TRIM(N49),"00000")="89086", TEXT(TRIM(N49),"00000")="89084", TEXT(TRIM(N49),"00000")="89081"), "North LV",
  OR(TEXT(TRIM(N49),"00000")="89109", TEXT(TRIM(N49),"00000")="89103", TEXT(TRIM(N49),"00000")="89119", TEXT(TRIM(N49),"00000")="89123", TEXT(TRIM(N49),"00000")="89169", TEXT(TRIM(N49),"00000")="89118"), "South/Strip",
  OR(TEXT(TRIM(N49),"00000")="89074", TEXT(TRIM(N49),"00000")="89014", TEXT(TRIM(N49),"00000")="89015", TEXT(TRIM(N49),"00000")="89011", TEXT(TRIM(N49),"00000")="89012"), "Suburban SE",
  OR(TEXT(TRIM(N49),"00000")="89117", TEXT(TRIM(N49),"00000")="89128", TEXT(TRIM(N49),"00000")="89135", TEXT(TRIM(N49),"00000")="89144", TEXT(TRIM(N49),"00000")="89145", TEXT(TRIM(N49),"00000")="89147"), "West Valley",
  TRUE, "Other"
)</f>
        <v>Other</v>
      </c>
      <c r="P49" t="s">
        <v>1073</v>
      </c>
      <c r="Q49" t="str">
        <f t="shared" si="2"/>
        <v>Home/Residence</v>
      </c>
      <c r="R49" t="s">
        <v>4893</v>
      </c>
      <c r="S49" t="s">
        <v>5115</v>
      </c>
      <c r="T49" t="str" cm="1">
        <f t="array" ref="T49">_xlfn.IFS(
  TEXT(TRIM(S49),"00000")="NULL", "Missing/Unknown",
  OR(TEXT(TRIM(S49),"00000")="89101", TEXT(TRIM(S49),"00000")="89104", TEXT(TRIM(S49),"00000")="89106", TEXT(TRIM(S49),"00000")="89102", TEXT(TRIM(S49),"00000")="89107", TEXT(TRIM(S49),"00000")="89108"), "Urban Core",
  OR(TEXT(TRIM(S49),"00000")="89110", TEXT(TRIM(S49),"00000")="89115", TEXT(TRIM(S49),"00000")="89121", TEXT(TRIM(S49),"00000")="89122", TEXT(TRIM(S49),"00000")="89142", TEXT(TRIM(S49),"00000")="89156"), "East Valley",
  OR(TEXT(TRIM(S49),"00000")="89030", TEXT(TRIM(S49),"00000")="89031", TEXT(TRIM(S49),"00000")="89032", TEXT(TRIM(S49),"00000")="89086", TEXT(TRIM(S49),"00000")="89084", TEXT(TRIM(S49),"00000")="89081"), "North LV",
  OR(TEXT(TRIM(S49),"00000")="89109", TEXT(TRIM(S49),"00000")="89103", TEXT(TRIM(S49),"00000")="89119", TEXT(TRIM(S49),"00000")="89123", TEXT(TRIM(S49),"00000")="89169", TEXT(TRIM(S49),"00000")="89118"), "South/Strip",
  OR(TEXT(TRIM(S49),"00000")="89074", TEXT(TRIM(S49),"00000")="89014", TEXT(TRIM(S49),"00000")="89015", TEXT(TRIM(S49),"00000")="89011", TEXT(TRIM(S49),"00000")="89012"), "Suburban SE",
  OR(TEXT(TRIM(S49),"00000")="89117", TEXT(TRIM(S49),"00000")="89128", TEXT(TRIM(S49),"00000")="89135", TEXT(TRIM(S49),"00000")="89144", TEXT(TRIM(S49),"00000")="89145", TEXT(TRIM(S49),"00000")="89147"), "West Valley",
  TRUE, "Other"
)</f>
        <v>Other</v>
      </c>
      <c r="U49" t="s">
        <v>1073</v>
      </c>
      <c r="V49" t="str">
        <f t="shared" si="3"/>
        <v>Home/Residence</v>
      </c>
    </row>
    <row r="50" spans="1:22">
      <c r="A50" t="s">
        <v>3470</v>
      </c>
      <c r="B50" t="s">
        <v>3471</v>
      </c>
      <c r="C50" s="1">
        <v>45531</v>
      </c>
      <c r="D50" s="4">
        <v>102.02</v>
      </c>
      <c r="E50">
        <v>82</v>
      </c>
      <c r="F50" t="str">
        <f t="shared" si="0"/>
        <v>80's</v>
      </c>
      <c r="G50" t="str" cm="1">
        <f t="array" ref="G50">_xlfn.IFS(
  F50="10's", "Child (5–12)",
  OR(F50="20's", F50="30's"), "Young Adult (20–39)",
  OR(F50="40's", F50="50's"), "Adult (40–59)",
  OR(F50="60's", F50="70's", F50="80's", F50="90's"), "Senior (60+)",
  TRUE, "Unknown"
)</f>
        <v>Senior (60+)</v>
      </c>
      <c r="H50" t="s">
        <v>778</v>
      </c>
      <c r="I50" t="s">
        <v>4012</v>
      </c>
      <c r="J50" t="str">
        <f t="shared" si="1"/>
        <v>Cardiovascular Disease</v>
      </c>
      <c r="K50" t="s">
        <v>54</v>
      </c>
      <c r="L50" t="s">
        <v>1071</v>
      </c>
      <c r="M50" t="s">
        <v>4894</v>
      </c>
      <c r="N50" t="s">
        <v>5111</v>
      </c>
      <c r="O50" t="str" cm="1">
        <f t="array" ref="O50">_xlfn.IFS(
  TEXT(TRIM(N50),"00000")="NULL", "Missing/Unknown",
  OR(TEXT(TRIM(N50),"00000")="89101", TEXT(TRIM(N50),"00000")="89104", TEXT(TRIM(N50),"00000")="89106", TEXT(TRIM(N50),"00000")="89102", TEXT(TRIM(N50),"00000")="89107", TEXT(TRIM(N50),"00000")="89108"), "Urban Core",
  OR(TEXT(TRIM(N50),"00000")="89110", TEXT(TRIM(N50),"00000")="89115", TEXT(TRIM(N50),"00000")="89121", TEXT(TRIM(N50),"00000")="89122", TEXT(TRIM(N50),"00000")="89142", TEXT(TRIM(N50),"00000")="89156"), "East Valley",
  OR(TEXT(TRIM(N50),"00000")="89030", TEXT(TRIM(N50),"00000")="89031", TEXT(TRIM(N50),"00000")="89032", TEXT(TRIM(N50),"00000")="89086", TEXT(TRIM(N50),"00000")="89084", TEXT(TRIM(N50),"00000")="89081"), "North LV",
  OR(TEXT(TRIM(N50),"00000")="89109", TEXT(TRIM(N50),"00000")="89103", TEXT(TRIM(N50),"00000")="89119", TEXT(TRIM(N50),"00000")="89123", TEXT(TRIM(N50),"00000")="89169", TEXT(TRIM(N50),"00000")="89118"), "South/Strip",
  OR(TEXT(TRIM(N50),"00000")="89074", TEXT(TRIM(N50),"00000")="89014", TEXT(TRIM(N50),"00000")="89015", TEXT(TRIM(N50),"00000")="89011", TEXT(TRIM(N50),"00000")="89012"), "Suburban SE",
  OR(TEXT(TRIM(N50),"00000")="89117", TEXT(TRIM(N50),"00000")="89128", TEXT(TRIM(N50),"00000")="89135", TEXT(TRIM(N50),"00000")="89144", TEXT(TRIM(N50),"00000")="89145", TEXT(TRIM(N50),"00000")="89147"), "West Valley",
  TRUE, "Other"
)</f>
        <v>West Valley</v>
      </c>
      <c r="P50" t="s">
        <v>1073</v>
      </c>
      <c r="Q50" t="str">
        <f t="shared" si="2"/>
        <v>Home/Residence</v>
      </c>
      <c r="R50" t="s">
        <v>4894</v>
      </c>
      <c r="S50" t="s">
        <v>5111</v>
      </c>
      <c r="T50" t="str" cm="1">
        <f t="array" ref="T50">_xlfn.IFS(
  TEXT(TRIM(S50),"00000")="NULL", "Missing/Unknown",
  OR(TEXT(TRIM(S50),"00000")="89101", TEXT(TRIM(S50),"00000")="89104", TEXT(TRIM(S50),"00000")="89106", TEXT(TRIM(S50),"00000")="89102", TEXT(TRIM(S50),"00000")="89107", TEXT(TRIM(S50),"00000")="89108"), "Urban Core",
  OR(TEXT(TRIM(S50),"00000")="89110", TEXT(TRIM(S50),"00000")="89115", TEXT(TRIM(S50),"00000")="89121", TEXT(TRIM(S50),"00000")="89122", TEXT(TRIM(S50),"00000")="89142", TEXT(TRIM(S50),"00000")="89156"), "East Valley",
  OR(TEXT(TRIM(S50),"00000")="89030", TEXT(TRIM(S50),"00000")="89031", TEXT(TRIM(S50),"00000")="89032", TEXT(TRIM(S50),"00000")="89086", TEXT(TRIM(S50),"00000")="89084", TEXT(TRIM(S50),"00000")="89081"), "North LV",
  OR(TEXT(TRIM(S50),"00000")="89109", TEXT(TRIM(S50),"00000")="89103", TEXT(TRIM(S50),"00000")="89119", TEXT(TRIM(S50),"00000")="89123", TEXT(TRIM(S50),"00000")="89169", TEXT(TRIM(S50),"00000")="89118"), "South/Strip",
  OR(TEXT(TRIM(S50),"00000")="89074", TEXT(TRIM(S50),"00000")="89014", TEXT(TRIM(S50),"00000")="89015", TEXT(TRIM(S50),"00000")="89011", TEXT(TRIM(S50),"00000")="89012"), "Suburban SE",
  OR(TEXT(TRIM(S50),"00000")="89117", TEXT(TRIM(S50),"00000")="89128", TEXT(TRIM(S50),"00000")="89135", TEXT(TRIM(S50),"00000")="89144", TEXT(TRIM(S50),"00000")="89145", TEXT(TRIM(S50),"00000")="89147"), "West Valley",
  TRUE, "Other"
)</f>
        <v>West Valley</v>
      </c>
      <c r="U50" t="s">
        <v>1073</v>
      </c>
      <c r="V50" t="str">
        <f t="shared" si="3"/>
        <v>Home/Residence</v>
      </c>
    </row>
    <row r="51" spans="1:22">
      <c r="A51" t="s">
        <v>2680</v>
      </c>
      <c r="B51" t="s">
        <v>2681</v>
      </c>
      <c r="C51" s="1">
        <v>45531</v>
      </c>
      <c r="D51" s="4">
        <v>102.02</v>
      </c>
      <c r="E51">
        <v>85</v>
      </c>
      <c r="F51" t="str">
        <f t="shared" si="0"/>
        <v>80's</v>
      </c>
      <c r="G51" t="str" cm="1">
        <f t="array" ref="G51">_xlfn.IFS(
  F51="10's", "Child (5–12)",
  OR(F51="20's", F51="30's"), "Young Adult (20–39)",
  OR(F51="40's", F51="50's"), "Adult (40–59)",
  OR(F51="60's", F51="70's", F51="80's", F51="90's"), "Senior (60+)",
  TRUE, "Unknown"
)</f>
        <v>Senior (60+)</v>
      </c>
      <c r="H51" t="s">
        <v>841</v>
      </c>
      <c r="I51" t="s">
        <v>2682</v>
      </c>
      <c r="J51" t="str">
        <f t="shared" si="1"/>
        <v>Cardiovascular Disease</v>
      </c>
      <c r="K51" t="s">
        <v>54</v>
      </c>
      <c r="L51" t="s">
        <v>250</v>
      </c>
      <c r="N51" t="s">
        <v>5095</v>
      </c>
      <c r="O51" t="str" cm="1">
        <f t="array" ref="O51">_xlfn.IFS(
  TEXT(TRIM(N51),"00000")="NULL", "Missing/Unknown",
  OR(TEXT(TRIM(N51),"00000")="89101", TEXT(TRIM(N51),"00000")="89104", TEXT(TRIM(N51),"00000")="89106", TEXT(TRIM(N51),"00000")="89102", TEXT(TRIM(N51),"00000")="89107", TEXT(TRIM(N51),"00000")="89108"), "Urban Core",
  OR(TEXT(TRIM(N51),"00000")="89110", TEXT(TRIM(N51),"00000")="89115", TEXT(TRIM(N51),"00000")="89121", TEXT(TRIM(N51),"00000")="89122", TEXT(TRIM(N51),"00000")="89142", TEXT(TRIM(N51),"00000")="89156"), "East Valley",
  OR(TEXT(TRIM(N51),"00000")="89030", TEXT(TRIM(N51),"00000")="89031", TEXT(TRIM(N51),"00000")="89032", TEXT(TRIM(N51),"00000")="89086", TEXT(TRIM(N51),"00000")="89084", TEXT(TRIM(N51),"00000")="89081"), "North LV",
  OR(TEXT(TRIM(N51),"00000")="89109", TEXT(TRIM(N51),"00000")="89103", TEXT(TRIM(N51),"00000")="89119", TEXT(TRIM(N51),"00000")="89123", TEXT(TRIM(N51),"00000")="89169", TEXT(TRIM(N51),"00000")="89118"), "South/Strip",
  OR(TEXT(TRIM(N51),"00000")="89074", TEXT(TRIM(N51),"00000")="89014", TEXT(TRIM(N51),"00000")="89015", TEXT(TRIM(N51),"00000")="89011", TEXT(TRIM(N51),"00000")="89012"), "Suburban SE",
  OR(TEXT(TRIM(N51),"00000")="89117", TEXT(TRIM(N51),"00000")="89128", TEXT(TRIM(N51),"00000")="89135", TEXT(TRIM(N51),"00000")="89144", TEXT(TRIM(N51),"00000")="89145", TEXT(TRIM(N51),"00000")="89147"), "West Valley",
  TRUE, "Other"
)</f>
        <v>Missing/Unknown</v>
      </c>
      <c r="P51" t="s">
        <v>3298</v>
      </c>
      <c r="Q51" t="str">
        <f t="shared" si="2"/>
        <v>Outdoors/Public</v>
      </c>
      <c r="R51" t="s">
        <v>4576</v>
      </c>
      <c r="S51" t="s">
        <v>5118</v>
      </c>
      <c r="T51" t="str" cm="1">
        <f t="array" ref="T51">_xlfn.IFS(
  TEXT(TRIM(S51),"00000")="NULL", "Missing/Unknown",
  OR(TEXT(TRIM(S51),"00000")="89101", TEXT(TRIM(S51),"00000")="89104", TEXT(TRIM(S51),"00000")="89106", TEXT(TRIM(S51),"00000")="89102", TEXT(TRIM(S51),"00000")="89107", TEXT(TRIM(S51),"00000")="89108"), "Urban Core",
  OR(TEXT(TRIM(S51),"00000")="89110", TEXT(TRIM(S51),"00000")="89115", TEXT(TRIM(S51),"00000")="89121", TEXT(TRIM(S51),"00000")="89122", TEXT(TRIM(S51),"00000")="89142", TEXT(TRIM(S51),"00000")="89156"), "East Valley",
  OR(TEXT(TRIM(S51),"00000")="89030", TEXT(TRIM(S51),"00000")="89031", TEXT(TRIM(S51),"00000")="89032", TEXT(TRIM(S51),"00000")="89086", TEXT(TRIM(S51),"00000")="89084", TEXT(TRIM(S51),"00000")="89081"), "North LV",
  OR(TEXT(TRIM(S51),"00000")="89109", TEXT(TRIM(S51),"00000")="89103", TEXT(TRIM(S51),"00000")="89119", TEXT(TRIM(S51),"00000")="89123", TEXT(TRIM(S51),"00000")="89169", TEXT(TRIM(S51),"00000")="89118"), "South/Strip",
  OR(TEXT(TRIM(S51),"00000")="89074", TEXT(TRIM(S51),"00000")="89014", TEXT(TRIM(S51),"00000")="89015", TEXT(TRIM(S51),"00000")="89011", TEXT(TRIM(S51),"00000")="89012"), "Suburban SE",
  OR(TEXT(TRIM(S51),"00000")="89117", TEXT(TRIM(S51),"00000")="89128", TEXT(TRIM(S51),"00000")="89135", TEXT(TRIM(S51),"00000")="89144", TEXT(TRIM(S51),"00000")="89145", TEXT(TRIM(S51),"00000")="89147"), "West Valley",
  TRUE, "Other"
)</f>
        <v>South/Strip</v>
      </c>
      <c r="U51" t="s">
        <v>4306</v>
      </c>
      <c r="V51" t="str">
        <f t="shared" si="3"/>
        <v>Medical Facility</v>
      </c>
    </row>
    <row r="52" spans="1:22">
      <c r="A52" t="s">
        <v>3845</v>
      </c>
      <c r="B52" t="s">
        <v>3846</v>
      </c>
      <c r="C52" s="1">
        <v>45527</v>
      </c>
      <c r="D52" s="4">
        <v>98.06</v>
      </c>
      <c r="E52">
        <v>40</v>
      </c>
      <c r="F52" t="str">
        <f t="shared" si="0"/>
        <v>40's</v>
      </c>
      <c r="G52" t="str" cm="1">
        <f t="array" ref="G52">_xlfn.IFS(
  F52="10's", "Child (5–12)",
  OR(F52="20's", F52="30's"), "Young Adult (20–39)",
  OR(F52="40's", F52="50's"), "Adult (40–59)",
  OR(F52="60's", F52="70's", F52="80's", F52="90's"), "Senior (60+)",
  TRUE, "Unknown"
)</f>
        <v>Adult (40–59)</v>
      </c>
      <c r="H52" t="s">
        <v>841</v>
      </c>
      <c r="I52" t="s">
        <v>4128</v>
      </c>
      <c r="J52" t="str">
        <f t="shared" si="1"/>
        <v>Environmental Heat</v>
      </c>
      <c r="K52" t="s">
        <v>172</v>
      </c>
      <c r="L52" t="s">
        <v>250</v>
      </c>
      <c r="M52" t="s">
        <v>4593</v>
      </c>
      <c r="N52" t="s">
        <v>5116</v>
      </c>
      <c r="O52" t="str" cm="1">
        <f t="array" ref="O52">_xlfn.IFS(
  TEXT(TRIM(N52),"00000")="NULL", "Missing/Unknown",
  OR(TEXT(TRIM(N52),"00000")="89101", TEXT(TRIM(N52),"00000")="89104", TEXT(TRIM(N52),"00000")="89106", TEXT(TRIM(N52),"00000")="89102", TEXT(TRIM(N52),"00000")="89107", TEXT(TRIM(N52),"00000")="89108"), "Urban Core",
  OR(TEXT(TRIM(N52),"00000")="89110", TEXT(TRIM(N52),"00000")="89115", TEXT(TRIM(N52),"00000")="89121", TEXT(TRIM(N52),"00000")="89122", TEXT(TRIM(N52),"00000")="89142", TEXT(TRIM(N52),"00000")="89156"), "East Valley",
  OR(TEXT(TRIM(N52),"00000")="89030", TEXT(TRIM(N52),"00000")="89031", TEXT(TRIM(N52),"00000")="89032", TEXT(TRIM(N52),"00000")="89086", TEXT(TRIM(N52),"00000")="89084", TEXT(TRIM(N52),"00000")="89081"), "North LV",
  OR(TEXT(TRIM(N52),"00000")="89109", TEXT(TRIM(N52),"00000")="89103", TEXT(TRIM(N52),"00000")="89119", TEXT(TRIM(N52),"00000")="89123", TEXT(TRIM(N52),"00000")="89169", TEXT(TRIM(N52),"00000")="89118"), "South/Strip",
  OR(TEXT(TRIM(N52),"00000")="89074", TEXT(TRIM(N52),"00000")="89014", TEXT(TRIM(N52),"00000")="89015", TEXT(TRIM(N52),"00000")="89011", TEXT(TRIM(N52),"00000")="89012"), "Suburban SE",
  OR(TEXT(TRIM(N52),"00000")="89117", TEXT(TRIM(N52),"00000")="89128", TEXT(TRIM(N52),"00000")="89135", TEXT(TRIM(N52),"00000")="89144", TEXT(TRIM(N52),"00000")="89145", TEXT(TRIM(N52),"00000")="89147"), "West Valley",
  TRUE, "Other"
)</f>
        <v>West Valley</v>
      </c>
      <c r="P52" t="s">
        <v>3023</v>
      </c>
      <c r="Q52" t="str">
        <f t="shared" si="2"/>
        <v>Outdoors/Public</v>
      </c>
      <c r="R52" t="s">
        <v>4341</v>
      </c>
      <c r="S52" t="s">
        <v>5100</v>
      </c>
      <c r="T52" t="str" cm="1">
        <f t="array" ref="T52">_xlfn.IFS(
  TEXT(TRIM(S52),"00000")="NULL", "Missing/Unknown",
  OR(TEXT(TRIM(S52),"00000")="89101", TEXT(TRIM(S52),"00000")="89104", TEXT(TRIM(S52),"00000")="89106", TEXT(TRIM(S52),"00000")="89102", TEXT(TRIM(S52),"00000")="89107", TEXT(TRIM(S52),"00000")="89108"), "Urban Core",
  OR(TEXT(TRIM(S52),"00000")="89110", TEXT(TRIM(S52),"00000")="89115", TEXT(TRIM(S52),"00000")="89121", TEXT(TRIM(S52),"00000")="89122", TEXT(TRIM(S52),"00000")="89142", TEXT(TRIM(S52),"00000")="89156"), "East Valley",
  OR(TEXT(TRIM(S52),"00000")="89030", TEXT(TRIM(S52),"00000")="89031", TEXT(TRIM(S52),"00000")="89032", TEXT(TRIM(S52),"00000")="89086", TEXT(TRIM(S52),"00000")="89084", TEXT(TRIM(S52),"00000")="89081"), "North LV",
  OR(TEXT(TRIM(S52),"00000")="89109", TEXT(TRIM(S52),"00000")="89103", TEXT(TRIM(S52),"00000")="89119", TEXT(TRIM(S52),"00000")="89123", TEXT(TRIM(S52),"00000")="89169", TEXT(TRIM(S52),"00000")="89118"), "South/Strip",
  OR(TEXT(TRIM(S52),"00000")="89074", TEXT(TRIM(S52),"00000")="89014", TEXT(TRIM(S52),"00000")="89015", TEXT(TRIM(S52),"00000")="89011", TEXT(TRIM(S52),"00000")="89012"), "Suburban SE",
  OR(TEXT(TRIM(S52),"00000")="89117", TEXT(TRIM(S52),"00000")="89128", TEXT(TRIM(S52),"00000")="89135", TEXT(TRIM(S52),"00000")="89144", TEXT(TRIM(S52),"00000")="89145", TEXT(TRIM(S52),"00000")="89147"), "West Valley",
  TRUE, "Other"
)</f>
        <v>North LV</v>
      </c>
      <c r="U52" t="s">
        <v>2413</v>
      </c>
      <c r="V52" t="str">
        <f t="shared" si="3"/>
        <v>Medical Facility</v>
      </c>
    </row>
    <row r="53" spans="1:22">
      <c r="A53" t="s">
        <v>3814</v>
      </c>
      <c r="B53" t="s">
        <v>3815</v>
      </c>
      <c r="C53" s="1">
        <v>45527</v>
      </c>
      <c r="D53" s="4">
        <v>98.06</v>
      </c>
      <c r="E53">
        <v>66</v>
      </c>
      <c r="F53" t="str">
        <f t="shared" si="0"/>
        <v>60's</v>
      </c>
      <c r="G53" t="str" cm="1">
        <f t="array" ref="G53">_xlfn.IFS(
  F53="10's", "Child (5–12)",
  OR(F53="20's", F53="30's"), "Young Adult (20–39)",
  OR(F53="40's", F53="50's"), "Adult (40–59)",
  OR(F53="60's", F53="70's", F53="80's", F53="90's"), "Senior (60+)",
  TRUE, "Unknown"
)</f>
        <v>Senior (60+)</v>
      </c>
      <c r="H53" t="s">
        <v>778</v>
      </c>
      <c r="I53" t="s">
        <v>172</v>
      </c>
      <c r="J53" t="str">
        <f t="shared" si="1"/>
        <v>Methamphetamine-related</v>
      </c>
      <c r="K53" t="s">
        <v>54</v>
      </c>
      <c r="L53" t="s">
        <v>1071</v>
      </c>
      <c r="M53" t="s">
        <v>4895</v>
      </c>
      <c r="N53" t="s">
        <v>5105</v>
      </c>
      <c r="O53" t="str" cm="1">
        <f t="array" ref="O53">_xlfn.IFS(
  TEXT(TRIM(N53),"00000")="NULL", "Missing/Unknown",
  OR(TEXT(TRIM(N53),"00000")="89101", TEXT(TRIM(N53),"00000")="89104", TEXT(TRIM(N53),"00000")="89106", TEXT(TRIM(N53),"00000")="89102", TEXT(TRIM(N53),"00000")="89107", TEXT(TRIM(N53),"00000")="89108"), "Urban Core",
  OR(TEXT(TRIM(N53),"00000")="89110", TEXT(TRIM(N53),"00000")="89115", TEXT(TRIM(N53),"00000")="89121", TEXT(TRIM(N53),"00000")="89122", TEXT(TRIM(N53),"00000")="89142", TEXT(TRIM(N53),"00000")="89156"), "East Valley",
  OR(TEXT(TRIM(N53),"00000")="89030", TEXT(TRIM(N53),"00000")="89031", TEXT(TRIM(N53),"00000")="89032", TEXT(TRIM(N53),"00000")="89086", TEXT(TRIM(N53),"00000")="89084", TEXT(TRIM(N53),"00000")="89081"), "North LV",
  OR(TEXT(TRIM(N53),"00000")="89109", TEXT(TRIM(N53),"00000")="89103", TEXT(TRIM(N53),"00000")="89119", TEXT(TRIM(N53),"00000")="89123", TEXT(TRIM(N53),"00000")="89169", TEXT(TRIM(N53),"00000")="89118"), "South/Strip",
  OR(TEXT(TRIM(N53),"00000")="89074", TEXT(TRIM(N53),"00000")="89014", TEXT(TRIM(N53),"00000")="89015", TEXT(TRIM(N53),"00000")="89011", TEXT(TRIM(N53),"00000")="89012"), "Suburban SE",
  OR(TEXT(TRIM(N53),"00000")="89117", TEXT(TRIM(N53),"00000")="89128", TEXT(TRIM(N53),"00000")="89135", TEXT(TRIM(N53),"00000")="89144", TEXT(TRIM(N53),"00000")="89145", TEXT(TRIM(N53),"00000")="89147"), "West Valley",
  TRUE, "Other"
)</f>
        <v>East Valley</v>
      </c>
      <c r="P53" t="s">
        <v>1073</v>
      </c>
      <c r="Q53" t="str">
        <f t="shared" si="2"/>
        <v>Home/Residence</v>
      </c>
      <c r="R53" t="s">
        <v>4895</v>
      </c>
      <c r="S53" t="s">
        <v>5105</v>
      </c>
      <c r="T53" t="str" cm="1">
        <f t="array" ref="T53">_xlfn.IFS(
  TEXT(TRIM(S53),"00000")="NULL", "Missing/Unknown",
  OR(TEXT(TRIM(S53),"00000")="89101", TEXT(TRIM(S53),"00000")="89104", TEXT(TRIM(S53),"00000")="89106", TEXT(TRIM(S53),"00000")="89102", TEXT(TRIM(S53),"00000")="89107", TEXT(TRIM(S53),"00000")="89108"), "Urban Core",
  OR(TEXT(TRIM(S53),"00000")="89110", TEXT(TRIM(S53),"00000")="89115", TEXT(TRIM(S53),"00000")="89121", TEXT(TRIM(S53),"00000")="89122", TEXT(TRIM(S53),"00000")="89142", TEXT(TRIM(S53),"00000")="89156"), "East Valley",
  OR(TEXT(TRIM(S53),"00000")="89030", TEXT(TRIM(S53),"00000")="89031", TEXT(TRIM(S53),"00000")="89032", TEXT(TRIM(S53),"00000")="89086", TEXT(TRIM(S53),"00000")="89084", TEXT(TRIM(S53),"00000")="89081"), "North LV",
  OR(TEXT(TRIM(S53),"00000")="89109", TEXT(TRIM(S53),"00000")="89103", TEXT(TRIM(S53),"00000")="89119", TEXT(TRIM(S53),"00000")="89123", TEXT(TRIM(S53),"00000")="89169", TEXT(TRIM(S53),"00000")="89118"), "South/Strip",
  OR(TEXT(TRIM(S53),"00000")="89074", TEXT(TRIM(S53),"00000")="89014", TEXT(TRIM(S53),"00000")="89015", TEXT(TRIM(S53),"00000")="89011", TEXT(TRIM(S53),"00000")="89012"), "Suburban SE",
  OR(TEXT(TRIM(S53),"00000")="89117", TEXT(TRIM(S53),"00000")="89128", TEXT(TRIM(S53),"00000")="89135", TEXT(TRIM(S53),"00000")="89144", TEXT(TRIM(S53),"00000")="89145", TEXT(TRIM(S53),"00000")="89147"), "West Valley",
  TRUE, "Other"
)</f>
        <v>East Valley</v>
      </c>
      <c r="U53" t="s">
        <v>1073</v>
      </c>
      <c r="V53" t="str">
        <f t="shared" si="3"/>
        <v>Home/Residence</v>
      </c>
    </row>
    <row r="54" spans="1:22">
      <c r="A54" t="s">
        <v>3268</v>
      </c>
      <c r="B54" t="s">
        <v>3269</v>
      </c>
      <c r="C54" s="1">
        <v>45526</v>
      </c>
      <c r="D54" s="4">
        <v>102.92</v>
      </c>
      <c r="E54">
        <v>56</v>
      </c>
      <c r="F54" t="str">
        <f t="shared" si="0"/>
        <v>50's</v>
      </c>
      <c r="G54" t="str" cm="1">
        <f t="array" ref="G54">_xlfn.IFS(
  F54="10's", "Child (5–12)",
  OR(F54="20's", F54="30's"), "Young Adult (20–39)",
  OR(F54="40's", F54="50's"), "Adult (40–59)",
  OR(F54="60's", F54="70's", F54="80's", F54="90's"), "Senior (60+)",
  TRUE, "Unknown"
)</f>
        <v>Adult (40–59)</v>
      </c>
      <c r="H54" t="s">
        <v>841</v>
      </c>
      <c r="I54" t="s">
        <v>54</v>
      </c>
      <c r="J54" t="str">
        <f t="shared" si="1"/>
        <v>Environmental Heat</v>
      </c>
      <c r="K54" t="s">
        <v>172</v>
      </c>
      <c r="L54" t="s">
        <v>250</v>
      </c>
      <c r="M54" t="s">
        <v>4327</v>
      </c>
      <c r="N54" t="s">
        <v>5113</v>
      </c>
      <c r="O54" t="str" cm="1">
        <f t="array" ref="O54">_xlfn.IFS(
  TEXT(TRIM(N54),"00000")="NULL", "Missing/Unknown",
  OR(TEXT(TRIM(N54),"00000")="89101", TEXT(TRIM(N54),"00000")="89104", TEXT(TRIM(N54),"00000")="89106", TEXT(TRIM(N54),"00000")="89102", TEXT(TRIM(N54),"00000")="89107", TEXT(TRIM(N54),"00000")="89108"), "Urban Core",
  OR(TEXT(TRIM(N54),"00000")="89110", TEXT(TRIM(N54),"00000")="89115", TEXT(TRIM(N54),"00000")="89121", TEXT(TRIM(N54),"00000")="89122", TEXT(TRIM(N54),"00000")="89142", TEXT(TRIM(N54),"00000")="89156"), "East Valley",
  OR(TEXT(TRIM(N54),"00000")="89030", TEXT(TRIM(N54),"00000")="89031", TEXT(TRIM(N54),"00000")="89032", TEXT(TRIM(N54),"00000")="89086", TEXT(TRIM(N54),"00000")="89084", TEXT(TRIM(N54),"00000")="89081"), "North LV",
  OR(TEXT(TRIM(N54),"00000")="89109", TEXT(TRIM(N54),"00000")="89103", TEXT(TRIM(N54),"00000")="89119", TEXT(TRIM(N54),"00000")="89123", TEXT(TRIM(N54),"00000")="89169", TEXT(TRIM(N54),"00000")="89118"), "South/Strip",
  OR(TEXT(TRIM(N54),"00000")="89074", TEXT(TRIM(N54),"00000")="89014", TEXT(TRIM(N54),"00000")="89015", TEXT(TRIM(N54),"00000")="89011", TEXT(TRIM(N54),"00000")="89012"), "Suburban SE",
  OR(TEXT(TRIM(N54),"00000")="89117", TEXT(TRIM(N54),"00000")="89128", TEXT(TRIM(N54),"00000")="89135", TEXT(TRIM(N54),"00000")="89144", TEXT(TRIM(N54),"00000")="89145", TEXT(TRIM(N54),"00000")="89147"), "West Valley",
  TRUE, "Other"
)</f>
        <v>Suburban SE</v>
      </c>
      <c r="P54" t="s">
        <v>2666</v>
      </c>
      <c r="Q54" t="str">
        <f t="shared" si="2"/>
        <v>Outdoors/Public</v>
      </c>
      <c r="R54" t="s">
        <v>4327</v>
      </c>
      <c r="S54" t="s">
        <v>5113</v>
      </c>
      <c r="T54" t="str" cm="1">
        <f t="array" ref="T54">_xlfn.IFS(
  TEXT(TRIM(S54),"00000")="NULL", "Missing/Unknown",
  OR(TEXT(TRIM(S54),"00000")="89101", TEXT(TRIM(S54),"00000")="89104", TEXT(TRIM(S54),"00000")="89106", TEXT(TRIM(S54),"00000")="89102", TEXT(TRIM(S54),"00000")="89107", TEXT(TRIM(S54),"00000")="89108"), "Urban Core",
  OR(TEXT(TRIM(S54),"00000")="89110", TEXT(TRIM(S54),"00000")="89115", TEXT(TRIM(S54),"00000")="89121", TEXT(TRIM(S54),"00000")="89122", TEXT(TRIM(S54),"00000")="89142", TEXT(TRIM(S54),"00000")="89156"), "East Valley",
  OR(TEXT(TRIM(S54),"00000")="89030", TEXT(TRIM(S54),"00000")="89031", TEXT(TRIM(S54),"00000")="89032", TEXT(TRIM(S54),"00000")="89086", TEXT(TRIM(S54),"00000")="89084", TEXT(TRIM(S54),"00000")="89081"), "North LV",
  OR(TEXT(TRIM(S54),"00000")="89109", TEXT(TRIM(S54),"00000")="89103", TEXT(TRIM(S54),"00000")="89119", TEXT(TRIM(S54),"00000")="89123", TEXT(TRIM(S54),"00000")="89169", TEXT(TRIM(S54),"00000")="89118"), "South/Strip",
  OR(TEXT(TRIM(S54),"00000")="89074", TEXT(TRIM(S54),"00000")="89014", TEXT(TRIM(S54),"00000")="89015", TEXT(TRIM(S54),"00000")="89011", TEXT(TRIM(S54),"00000")="89012"), "Suburban SE",
  OR(TEXT(TRIM(S54),"00000")="89117", TEXT(TRIM(S54),"00000")="89128", TEXT(TRIM(S54),"00000")="89135", TEXT(TRIM(S54),"00000")="89144", TEXT(TRIM(S54),"00000")="89145", TEXT(TRIM(S54),"00000")="89147"), "West Valley",
  TRUE, "Other"
)</f>
        <v>Suburban SE</v>
      </c>
      <c r="U54" t="s">
        <v>2666</v>
      </c>
      <c r="V54" t="str">
        <f t="shared" si="3"/>
        <v>Outdoors/Public</v>
      </c>
    </row>
    <row r="55" spans="1:22">
      <c r="A55" t="s">
        <v>3950</v>
      </c>
      <c r="B55" t="s">
        <v>3951</v>
      </c>
      <c r="C55" s="1">
        <v>45525</v>
      </c>
      <c r="D55" s="4">
        <v>107.06</v>
      </c>
      <c r="E55">
        <v>64</v>
      </c>
      <c r="F55" t="str">
        <f t="shared" si="0"/>
        <v>60's</v>
      </c>
      <c r="G55" t="str" cm="1">
        <f t="array" ref="G55">_xlfn.IFS(
  F55="10's", "Child (5–12)",
  OR(F55="20's", F55="30's"), "Young Adult (20–39)",
  OR(F55="40's", F55="50's"), "Adult (40–59)",
  OR(F55="60's", F55="70's", F55="80's", F55="90's"), "Senior (60+)",
  TRUE, "Unknown"
)</f>
        <v>Senior (60+)</v>
      </c>
      <c r="H55" t="s">
        <v>841</v>
      </c>
      <c r="I55" t="s">
        <v>4021</v>
      </c>
      <c r="J55" t="str">
        <f t="shared" si="1"/>
        <v>Other / Unknown</v>
      </c>
      <c r="K55" t="s">
        <v>4150</v>
      </c>
      <c r="L55" t="s">
        <v>250</v>
      </c>
      <c r="M55" t="s">
        <v>4664</v>
      </c>
      <c r="N55" t="s">
        <v>5101</v>
      </c>
      <c r="O55" t="str" cm="1">
        <f t="array" ref="O55">_xlfn.IFS(
  TEXT(TRIM(N55),"00000")="NULL", "Missing/Unknown",
  OR(TEXT(TRIM(N55),"00000")="89101", TEXT(TRIM(N55),"00000")="89104", TEXT(TRIM(N55),"00000")="89106", TEXT(TRIM(N55),"00000")="89102", TEXT(TRIM(N55),"00000")="89107", TEXT(TRIM(N55),"00000")="89108"), "Urban Core",
  OR(TEXT(TRIM(N55),"00000")="89110", TEXT(TRIM(N55),"00000")="89115", TEXT(TRIM(N55),"00000")="89121", TEXT(TRIM(N55),"00000")="89122", TEXT(TRIM(N55),"00000")="89142", TEXT(TRIM(N55),"00000")="89156"), "East Valley",
  OR(TEXT(TRIM(N55),"00000")="89030", TEXT(TRIM(N55),"00000")="89031", TEXT(TRIM(N55),"00000")="89032", TEXT(TRIM(N55),"00000")="89086", TEXT(TRIM(N55),"00000")="89084", TEXT(TRIM(N55),"00000")="89081"), "North LV",
  OR(TEXT(TRIM(N55),"00000")="89109", TEXT(TRIM(N55),"00000")="89103", TEXT(TRIM(N55),"00000")="89119", TEXT(TRIM(N55),"00000")="89123", TEXT(TRIM(N55),"00000")="89169", TEXT(TRIM(N55),"00000")="89118"), "South/Strip",
  OR(TEXT(TRIM(N55),"00000")="89074", TEXT(TRIM(N55),"00000")="89014", TEXT(TRIM(N55),"00000")="89015", TEXT(TRIM(N55),"00000")="89011", TEXT(TRIM(N55),"00000")="89012"), "Suburban SE",
  OR(TEXT(TRIM(N55),"00000")="89117", TEXT(TRIM(N55),"00000")="89128", TEXT(TRIM(N55),"00000")="89135", TEXT(TRIM(N55),"00000")="89144", TEXT(TRIM(N55),"00000")="89145", TEXT(TRIM(N55),"00000")="89147"), "West Valley",
  TRUE, "Other"
)</f>
        <v>Urban Core</v>
      </c>
      <c r="P55" t="s">
        <v>3298</v>
      </c>
      <c r="Q55" t="str">
        <f t="shared" si="2"/>
        <v>Outdoors/Public</v>
      </c>
      <c r="R55" t="s">
        <v>4664</v>
      </c>
      <c r="S55" t="s">
        <v>5101</v>
      </c>
      <c r="T55" t="str" cm="1">
        <f t="array" ref="T55">_xlfn.IFS(
  TEXT(TRIM(S55),"00000")="NULL", "Missing/Unknown",
  OR(TEXT(TRIM(S55),"00000")="89101", TEXT(TRIM(S55),"00000")="89104", TEXT(TRIM(S55),"00000")="89106", TEXT(TRIM(S55),"00000")="89102", TEXT(TRIM(S55),"00000")="89107", TEXT(TRIM(S55),"00000")="89108"), "Urban Core",
  OR(TEXT(TRIM(S55),"00000")="89110", TEXT(TRIM(S55),"00000")="89115", TEXT(TRIM(S55),"00000")="89121", TEXT(TRIM(S55),"00000")="89122", TEXT(TRIM(S55),"00000")="89142", TEXT(TRIM(S55),"00000")="89156"), "East Valley",
  OR(TEXT(TRIM(S55),"00000")="89030", TEXT(TRIM(S55),"00000")="89031", TEXT(TRIM(S55),"00000")="89032", TEXT(TRIM(S55),"00000")="89086", TEXT(TRIM(S55),"00000")="89084", TEXT(TRIM(S55),"00000")="89081"), "North LV",
  OR(TEXT(TRIM(S55),"00000")="89109", TEXT(TRIM(S55),"00000")="89103", TEXT(TRIM(S55),"00000")="89119", TEXT(TRIM(S55),"00000")="89123", TEXT(TRIM(S55),"00000")="89169", TEXT(TRIM(S55),"00000")="89118"), "South/Strip",
  OR(TEXT(TRIM(S55),"00000")="89074", TEXT(TRIM(S55),"00000")="89014", TEXT(TRIM(S55),"00000")="89015", TEXT(TRIM(S55),"00000")="89011", TEXT(TRIM(S55),"00000")="89012"), "Suburban SE",
  OR(TEXT(TRIM(S55),"00000")="89117", TEXT(TRIM(S55),"00000")="89128", TEXT(TRIM(S55),"00000")="89135", TEXT(TRIM(S55),"00000")="89144", TEXT(TRIM(S55),"00000")="89145", TEXT(TRIM(S55),"00000")="89147"), "West Valley",
  TRUE, "Other"
)</f>
        <v>Urban Core</v>
      </c>
      <c r="U55" t="s">
        <v>3298</v>
      </c>
      <c r="V55" t="str">
        <f t="shared" si="3"/>
        <v>Outdoors/Public</v>
      </c>
    </row>
    <row r="56" spans="1:22">
      <c r="A56" t="s">
        <v>3265</v>
      </c>
      <c r="B56" t="s">
        <v>3266</v>
      </c>
      <c r="C56" s="1">
        <v>45525</v>
      </c>
      <c r="D56" s="4">
        <v>107.06</v>
      </c>
      <c r="E56">
        <v>78</v>
      </c>
      <c r="F56" t="str">
        <f t="shared" si="0"/>
        <v>70's</v>
      </c>
      <c r="G56" t="str" cm="1">
        <f t="array" ref="G56">_xlfn.IFS(
  F56="10's", "Child (5–12)",
  OR(F56="20's", F56="30's"), "Young Adult (20–39)",
  OR(F56="40's", F56="50's"), "Adult (40–59)",
  OR(F56="60's", F56="70's", F56="80's", F56="90's"), "Senior (60+)",
  TRUE, "Unknown"
)</f>
        <v>Senior (60+)</v>
      </c>
      <c r="H56" t="s">
        <v>778</v>
      </c>
      <c r="I56" t="s">
        <v>54</v>
      </c>
      <c r="J56" t="str">
        <f t="shared" si="1"/>
        <v>Environmental Heat</v>
      </c>
      <c r="K56" t="s">
        <v>63</v>
      </c>
      <c r="L56" t="s">
        <v>1071</v>
      </c>
      <c r="M56" t="s">
        <v>4896</v>
      </c>
      <c r="N56" t="s">
        <v>5106</v>
      </c>
      <c r="O56" t="str" cm="1">
        <f t="array" ref="O56">_xlfn.IFS(
  TEXT(TRIM(N56),"00000")="NULL", "Missing/Unknown",
  OR(TEXT(TRIM(N56),"00000")="89101", TEXT(TRIM(N56),"00000")="89104", TEXT(TRIM(N56),"00000")="89106", TEXT(TRIM(N56),"00000")="89102", TEXT(TRIM(N56),"00000")="89107", TEXT(TRIM(N56),"00000")="89108"), "Urban Core",
  OR(TEXT(TRIM(N56),"00000")="89110", TEXT(TRIM(N56),"00000")="89115", TEXT(TRIM(N56),"00000")="89121", TEXT(TRIM(N56),"00000")="89122", TEXT(TRIM(N56),"00000")="89142", TEXT(TRIM(N56),"00000")="89156"), "East Valley",
  OR(TEXT(TRIM(N56),"00000")="89030", TEXT(TRIM(N56),"00000")="89031", TEXT(TRIM(N56),"00000")="89032", TEXT(TRIM(N56),"00000")="89086", TEXT(TRIM(N56),"00000")="89084", TEXT(TRIM(N56),"00000")="89081"), "North LV",
  OR(TEXT(TRIM(N56),"00000")="89109", TEXT(TRIM(N56),"00000")="89103", TEXT(TRIM(N56),"00000")="89119", TEXT(TRIM(N56),"00000")="89123", TEXT(TRIM(N56),"00000")="89169", TEXT(TRIM(N56),"00000")="89118"), "South/Strip",
  OR(TEXT(TRIM(N56),"00000")="89074", TEXT(TRIM(N56),"00000")="89014", TEXT(TRIM(N56),"00000")="89015", TEXT(TRIM(N56),"00000")="89011", TEXT(TRIM(N56),"00000")="89012"), "Suburban SE",
  OR(TEXT(TRIM(N56),"00000")="89117", TEXT(TRIM(N56),"00000")="89128", TEXT(TRIM(N56),"00000")="89135", TEXT(TRIM(N56),"00000")="89144", TEXT(TRIM(N56),"00000")="89145", TEXT(TRIM(N56),"00000")="89147"), "West Valley",
  TRUE, "Other"
)</f>
        <v>East Valley</v>
      </c>
      <c r="P56" t="s">
        <v>1073</v>
      </c>
      <c r="Q56" t="str">
        <f t="shared" si="2"/>
        <v>Home/Residence</v>
      </c>
      <c r="R56" t="s">
        <v>4896</v>
      </c>
      <c r="S56" t="s">
        <v>5106</v>
      </c>
      <c r="T56" t="str" cm="1">
        <f t="array" ref="T56">_xlfn.IFS(
  TEXT(TRIM(S56),"00000")="NULL", "Missing/Unknown",
  OR(TEXT(TRIM(S56),"00000")="89101", TEXT(TRIM(S56),"00000")="89104", TEXT(TRIM(S56),"00000")="89106", TEXT(TRIM(S56),"00000")="89102", TEXT(TRIM(S56),"00000")="89107", TEXT(TRIM(S56),"00000")="89108"), "Urban Core",
  OR(TEXT(TRIM(S56),"00000")="89110", TEXT(TRIM(S56),"00000")="89115", TEXT(TRIM(S56),"00000")="89121", TEXT(TRIM(S56),"00000")="89122", TEXT(TRIM(S56),"00000")="89142", TEXT(TRIM(S56),"00000")="89156"), "East Valley",
  OR(TEXT(TRIM(S56),"00000")="89030", TEXT(TRIM(S56),"00000")="89031", TEXT(TRIM(S56),"00000")="89032", TEXT(TRIM(S56),"00000")="89086", TEXT(TRIM(S56),"00000")="89084", TEXT(TRIM(S56),"00000")="89081"), "North LV",
  OR(TEXT(TRIM(S56),"00000")="89109", TEXT(TRIM(S56),"00000")="89103", TEXT(TRIM(S56),"00000")="89119", TEXT(TRIM(S56),"00000")="89123", TEXT(TRIM(S56),"00000")="89169", TEXT(TRIM(S56),"00000")="89118"), "South/Strip",
  OR(TEXT(TRIM(S56),"00000")="89074", TEXT(TRIM(S56),"00000")="89014", TEXT(TRIM(S56),"00000")="89015", TEXT(TRIM(S56),"00000")="89011", TEXT(TRIM(S56),"00000")="89012"), "Suburban SE",
  OR(TEXT(TRIM(S56),"00000")="89117", TEXT(TRIM(S56),"00000")="89128", TEXT(TRIM(S56),"00000")="89135", TEXT(TRIM(S56),"00000")="89144", TEXT(TRIM(S56),"00000")="89145", TEXT(TRIM(S56),"00000")="89147"), "West Valley",
  TRUE, "Other"
)</f>
        <v>East Valley</v>
      </c>
      <c r="U56" t="s">
        <v>1073</v>
      </c>
      <c r="V56" t="str">
        <f t="shared" si="3"/>
        <v>Home/Residence</v>
      </c>
    </row>
    <row r="57" spans="1:22">
      <c r="A57" t="s">
        <v>3262</v>
      </c>
      <c r="B57" t="s">
        <v>3263</v>
      </c>
      <c r="C57" s="1">
        <v>45525</v>
      </c>
      <c r="D57" s="4">
        <v>107.06</v>
      </c>
      <c r="E57">
        <v>67</v>
      </c>
      <c r="F57" t="str">
        <f t="shared" si="0"/>
        <v>60's</v>
      </c>
      <c r="G57" t="str" cm="1">
        <f t="array" ref="G57">_xlfn.IFS(
  F57="10's", "Child (5–12)",
  OR(F57="20's", F57="30's"), "Young Adult (20–39)",
  OR(F57="40's", F57="50's"), "Adult (40–59)",
  OR(F57="60's", F57="70's", F57="80's", F57="90's"), "Senior (60+)",
  TRUE, "Unknown"
)</f>
        <v>Senior (60+)</v>
      </c>
      <c r="H57" t="s">
        <v>841</v>
      </c>
      <c r="I57" t="s">
        <v>54</v>
      </c>
      <c r="J57" t="str">
        <f t="shared" si="1"/>
        <v>Environmental Heat</v>
      </c>
      <c r="K57" t="s">
        <v>98</v>
      </c>
      <c r="L57" t="s">
        <v>250</v>
      </c>
      <c r="M57" t="s">
        <v>4968</v>
      </c>
      <c r="N57" t="s">
        <v>5115</v>
      </c>
      <c r="O57" t="str" cm="1">
        <f t="array" ref="O57">_xlfn.IFS(
  TEXT(TRIM(N57),"00000")="NULL", "Missing/Unknown",
  OR(TEXT(TRIM(N57),"00000")="89101", TEXT(TRIM(N57),"00000")="89104", TEXT(TRIM(N57),"00000")="89106", TEXT(TRIM(N57),"00000")="89102", TEXT(TRIM(N57),"00000")="89107", TEXT(TRIM(N57),"00000")="89108"), "Urban Core",
  OR(TEXT(TRIM(N57),"00000")="89110", TEXT(TRIM(N57),"00000")="89115", TEXT(TRIM(N57),"00000")="89121", TEXT(TRIM(N57),"00000")="89122", TEXT(TRIM(N57),"00000")="89142", TEXT(TRIM(N57),"00000")="89156"), "East Valley",
  OR(TEXT(TRIM(N57),"00000")="89030", TEXT(TRIM(N57),"00000")="89031", TEXT(TRIM(N57),"00000")="89032", TEXT(TRIM(N57),"00000")="89086", TEXT(TRIM(N57),"00000")="89084", TEXT(TRIM(N57),"00000")="89081"), "North LV",
  OR(TEXT(TRIM(N57),"00000")="89109", TEXT(TRIM(N57),"00000")="89103", TEXT(TRIM(N57),"00000")="89119", TEXT(TRIM(N57),"00000")="89123", TEXT(TRIM(N57),"00000")="89169", TEXT(TRIM(N57),"00000")="89118"), "South/Strip",
  OR(TEXT(TRIM(N57),"00000")="89074", TEXT(TRIM(N57),"00000")="89014", TEXT(TRIM(N57),"00000")="89015", TEXT(TRIM(N57),"00000")="89011", TEXT(TRIM(N57),"00000")="89012"), "Suburban SE",
  OR(TEXT(TRIM(N57),"00000")="89117", TEXT(TRIM(N57),"00000")="89128", TEXT(TRIM(N57),"00000")="89135", TEXT(TRIM(N57),"00000")="89144", TEXT(TRIM(N57),"00000")="89145", TEXT(TRIM(N57),"00000")="89147"), "West Valley",
  TRUE, "Other"
)</f>
        <v>Other</v>
      </c>
      <c r="P57" t="s">
        <v>65</v>
      </c>
      <c r="Q57" t="str">
        <f t="shared" si="2"/>
        <v>Vehicle-related</v>
      </c>
      <c r="R57" t="s">
        <v>4968</v>
      </c>
      <c r="S57" t="s">
        <v>5115</v>
      </c>
      <c r="T57" t="str" cm="1">
        <f t="array" ref="T57">_xlfn.IFS(
  TEXT(TRIM(S57),"00000")="NULL", "Missing/Unknown",
  OR(TEXT(TRIM(S57),"00000")="89101", TEXT(TRIM(S57),"00000")="89104", TEXT(TRIM(S57),"00000")="89106", TEXT(TRIM(S57),"00000")="89102", TEXT(TRIM(S57),"00000")="89107", TEXT(TRIM(S57),"00000")="89108"), "Urban Core",
  OR(TEXT(TRIM(S57),"00000")="89110", TEXT(TRIM(S57),"00000")="89115", TEXT(TRIM(S57),"00000")="89121", TEXT(TRIM(S57),"00000")="89122", TEXT(TRIM(S57),"00000")="89142", TEXT(TRIM(S57),"00000")="89156"), "East Valley",
  OR(TEXT(TRIM(S57),"00000")="89030", TEXT(TRIM(S57),"00000")="89031", TEXT(TRIM(S57),"00000")="89032", TEXT(TRIM(S57),"00000")="89086", TEXT(TRIM(S57),"00000")="89084", TEXT(TRIM(S57),"00000")="89081"), "North LV",
  OR(TEXT(TRIM(S57),"00000")="89109", TEXT(TRIM(S57),"00000")="89103", TEXT(TRIM(S57),"00000")="89119", TEXT(TRIM(S57),"00000")="89123", TEXT(TRIM(S57),"00000")="89169", TEXT(TRIM(S57),"00000")="89118"), "South/Strip",
  OR(TEXT(TRIM(S57),"00000")="89074", TEXT(TRIM(S57),"00000")="89014", TEXT(TRIM(S57),"00000")="89015", TEXT(TRIM(S57),"00000")="89011", TEXT(TRIM(S57),"00000")="89012"), "Suburban SE",
  OR(TEXT(TRIM(S57),"00000")="89117", TEXT(TRIM(S57),"00000")="89128", TEXT(TRIM(S57),"00000")="89135", TEXT(TRIM(S57),"00000")="89144", TEXT(TRIM(S57),"00000")="89145", TEXT(TRIM(S57),"00000")="89147"), "West Valley",
  TRUE, "Other"
)</f>
        <v>Other</v>
      </c>
      <c r="U57" t="s">
        <v>65</v>
      </c>
      <c r="V57" t="str">
        <f t="shared" si="3"/>
        <v>Vehicle-related</v>
      </c>
    </row>
    <row r="58" spans="1:22">
      <c r="A58" t="s">
        <v>3255</v>
      </c>
      <c r="B58" t="s">
        <v>3256</v>
      </c>
      <c r="C58" s="1">
        <v>45524</v>
      </c>
      <c r="D58" s="4">
        <v>109.94</v>
      </c>
      <c r="E58">
        <v>51</v>
      </c>
      <c r="F58" t="str">
        <f t="shared" si="0"/>
        <v>50's</v>
      </c>
      <c r="G58" t="str" cm="1">
        <f t="array" ref="G58">_xlfn.IFS(
  F58="10's", "Child (5–12)",
  OR(F58="20's", F58="30's"), "Young Adult (20–39)",
  OR(F58="40's", F58="50's"), "Adult (40–59)",
  OR(F58="60's", F58="70's", F58="80's", F58="90's"), "Senior (60+)",
  TRUE, "Unknown"
)</f>
        <v>Adult (40–59)</v>
      </c>
      <c r="H58" t="s">
        <v>778</v>
      </c>
      <c r="I58" t="s">
        <v>54</v>
      </c>
      <c r="J58" t="str">
        <f t="shared" si="1"/>
        <v>Environmental Heat</v>
      </c>
      <c r="K58" t="s">
        <v>98</v>
      </c>
      <c r="L58" t="s">
        <v>250</v>
      </c>
      <c r="M58" t="s">
        <v>4958</v>
      </c>
      <c r="N58" t="s">
        <v>5108</v>
      </c>
      <c r="O58" t="str" cm="1">
        <f t="array" ref="O58">_xlfn.IFS(
  TEXT(TRIM(N58),"00000")="NULL", "Missing/Unknown",
  OR(TEXT(TRIM(N58),"00000")="89101", TEXT(TRIM(N58),"00000")="89104", TEXT(TRIM(N58),"00000")="89106", TEXT(TRIM(N58),"00000")="89102", TEXT(TRIM(N58),"00000")="89107", TEXT(TRIM(N58),"00000")="89108"), "Urban Core",
  OR(TEXT(TRIM(N58),"00000")="89110", TEXT(TRIM(N58),"00000")="89115", TEXT(TRIM(N58),"00000")="89121", TEXT(TRIM(N58),"00000")="89122", TEXT(TRIM(N58),"00000")="89142", TEXT(TRIM(N58),"00000")="89156"), "East Valley",
  OR(TEXT(TRIM(N58),"00000")="89030", TEXT(TRIM(N58),"00000")="89031", TEXT(TRIM(N58),"00000")="89032", TEXT(TRIM(N58),"00000")="89086", TEXT(TRIM(N58),"00000")="89084", TEXT(TRIM(N58),"00000")="89081"), "North LV",
  OR(TEXT(TRIM(N58),"00000")="89109", TEXT(TRIM(N58),"00000")="89103", TEXT(TRIM(N58),"00000")="89119", TEXT(TRIM(N58),"00000")="89123", TEXT(TRIM(N58),"00000")="89169", TEXT(TRIM(N58),"00000")="89118"), "South/Strip",
  OR(TEXT(TRIM(N58),"00000")="89074", TEXT(TRIM(N58),"00000")="89014", TEXT(TRIM(N58),"00000")="89015", TEXT(TRIM(N58),"00000")="89011", TEXT(TRIM(N58),"00000")="89012"), "Suburban SE",
  OR(TEXT(TRIM(N58),"00000")="89117", TEXT(TRIM(N58),"00000")="89128", TEXT(TRIM(N58),"00000")="89135", TEXT(TRIM(N58),"00000")="89144", TEXT(TRIM(N58),"00000")="89145", TEXT(TRIM(N58),"00000")="89147"), "West Valley",
  TRUE, "Other"
)</f>
        <v>East Valley</v>
      </c>
      <c r="P58" t="s">
        <v>458</v>
      </c>
      <c r="Q58" t="str">
        <f t="shared" si="2"/>
        <v>Business/Commercial</v>
      </c>
      <c r="R58" t="s">
        <v>4958</v>
      </c>
      <c r="S58" t="s">
        <v>5108</v>
      </c>
      <c r="T58" t="str" cm="1">
        <f t="array" ref="T58">_xlfn.IFS(
  TEXT(TRIM(S58),"00000")="NULL", "Missing/Unknown",
  OR(TEXT(TRIM(S58),"00000")="89101", TEXT(TRIM(S58),"00000")="89104", TEXT(TRIM(S58),"00000")="89106", TEXT(TRIM(S58),"00000")="89102", TEXT(TRIM(S58),"00000")="89107", TEXT(TRIM(S58),"00000")="89108"), "Urban Core",
  OR(TEXT(TRIM(S58),"00000")="89110", TEXT(TRIM(S58),"00000")="89115", TEXT(TRIM(S58),"00000")="89121", TEXT(TRIM(S58),"00000")="89122", TEXT(TRIM(S58),"00000")="89142", TEXT(TRIM(S58),"00000")="89156"), "East Valley",
  OR(TEXT(TRIM(S58),"00000")="89030", TEXT(TRIM(S58),"00000")="89031", TEXT(TRIM(S58),"00000")="89032", TEXT(TRIM(S58),"00000")="89086", TEXT(TRIM(S58),"00000")="89084", TEXT(TRIM(S58),"00000")="89081"), "North LV",
  OR(TEXT(TRIM(S58),"00000")="89109", TEXT(TRIM(S58),"00000")="89103", TEXT(TRIM(S58),"00000")="89119", TEXT(TRIM(S58),"00000")="89123", TEXT(TRIM(S58),"00000")="89169", TEXT(TRIM(S58),"00000")="89118"), "South/Strip",
  OR(TEXT(TRIM(S58),"00000")="89074", TEXT(TRIM(S58),"00000")="89014", TEXT(TRIM(S58),"00000")="89015", TEXT(TRIM(S58),"00000")="89011", TEXT(TRIM(S58),"00000")="89012"), "Suburban SE",
  OR(TEXT(TRIM(S58),"00000")="89117", TEXT(TRIM(S58),"00000")="89128", TEXT(TRIM(S58),"00000")="89135", TEXT(TRIM(S58),"00000")="89144", TEXT(TRIM(S58),"00000")="89145", TEXT(TRIM(S58),"00000")="89147"), "West Valley",
  TRUE, "Other"
)</f>
        <v>East Valley</v>
      </c>
      <c r="U58" t="s">
        <v>458</v>
      </c>
      <c r="V58" t="str">
        <f t="shared" si="3"/>
        <v>Business/Commercial</v>
      </c>
    </row>
    <row r="59" spans="1:22">
      <c r="A59" t="s">
        <v>3259</v>
      </c>
      <c r="B59" t="s">
        <v>3260</v>
      </c>
      <c r="C59" s="1">
        <v>45524</v>
      </c>
      <c r="D59" s="4">
        <v>109.94</v>
      </c>
      <c r="E59">
        <v>67</v>
      </c>
      <c r="F59" t="str">
        <f t="shared" si="0"/>
        <v>60's</v>
      </c>
      <c r="G59" t="str" cm="1">
        <f t="array" ref="G59">_xlfn.IFS(
  F59="10's", "Child (5–12)",
  OR(F59="20's", F59="30's"), "Young Adult (20–39)",
  OR(F59="40's", F59="50's"), "Adult (40–59)",
  OR(F59="60's", F59="70's", F59="80's", F59="90's"), "Senior (60+)",
  TRUE, "Unknown"
)</f>
        <v>Senior (60+)</v>
      </c>
      <c r="H59" t="s">
        <v>841</v>
      </c>
      <c r="I59" t="s">
        <v>54</v>
      </c>
      <c r="J59" t="str">
        <f t="shared" si="1"/>
        <v>Environmental Heat</v>
      </c>
      <c r="K59" t="s">
        <v>98</v>
      </c>
      <c r="L59" t="s">
        <v>250</v>
      </c>
      <c r="M59" t="s">
        <v>4454</v>
      </c>
      <c r="N59" t="s">
        <v>5108</v>
      </c>
      <c r="O59" t="str" cm="1">
        <f t="array" ref="O59">_xlfn.IFS(
  TEXT(TRIM(N59),"00000")="NULL", "Missing/Unknown",
  OR(TEXT(TRIM(N59),"00000")="89101", TEXT(TRIM(N59),"00000")="89104", TEXT(TRIM(N59),"00000")="89106", TEXT(TRIM(N59),"00000")="89102", TEXT(TRIM(N59),"00000")="89107", TEXT(TRIM(N59),"00000")="89108"), "Urban Core",
  OR(TEXT(TRIM(N59),"00000")="89110", TEXT(TRIM(N59),"00000")="89115", TEXT(TRIM(N59),"00000")="89121", TEXT(TRIM(N59),"00000")="89122", TEXT(TRIM(N59),"00000")="89142", TEXT(TRIM(N59),"00000")="89156"), "East Valley",
  OR(TEXT(TRIM(N59),"00000")="89030", TEXT(TRIM(N59),"00000")="89031", TEXT(TRIM(N59),"00000")="89032", TEXT(TRIM(N59),"00000")="89086", TEXT(TRIM(N59),"00000")="89084", TEXT(TRIM(N59),"00000")="89081"), "North LV",
  OR(TEXT(TRIM(N59),"00000")="89109", TEXT(TRIM(N59),"00000")="89103", TEXT(TRIM(N59),"00000")="89119", TEXT(TRIM(N59),"00000")="89123", TEXT(TRIM(N59),"00000")="89169", TEXT(TRIM(N59),"00000")="89118"), "South/Strip",
  OR(TEXT(TRIM(N59),"00000")="89074", TEXT(TRIM(N59),"00000")="89014", TEXT(TRIM(N59),"00000")="89015", TEXT(TRIM(N59),"00000")="89011", TEXT(TRIM(N59),"00000")="89012"), "Suburban SE",
  OR(TEXT(TRIM(N59),"00000")="89117", TEXT(TRIM(N59),"00000")="89128", TEXT(TRIM(N59),"00000")="89135", TEXT(TRIM(N59),"00000")="89144", TEXT(TRIM(N59),"00000")="89145", TEXT(TRIM(N59),"00000")="89147"), "West Valley",
  TRUE, "Other"
)</f>
        <v>East Valley</v>
      </c>
      <c r="P59" t="s">
        <v>3298</v>
      </c>
      <c r="Q59" t="str">
        <f t="shared" si="2"/>
        <v>Outdoors/Public</v>
      </c>
      <c r="R59" t="s">
        <v>4454</v>
      </c>
      <c r="S59" t="s">
        <v>5108</v>
      </c>
      <c r="T59" t="str" cm="1">
        <f t="array" ref="T59">_xlfn.IFS(
  TEXT(TRIM(S59),"00000")="NULL", "Missing/Unknown",
  OR(TEXT(TRIM(S59),"00000")="89101", TEXT(TRIM(S59),"00000")="89104", TEXT(TRIM(S59),"00000")="89106", TEXT(TRIM(S59),"00000")="89102", TEXT(TRIM(S59),"00000")="89107", TEXT(TRIM(S59),"00000")="89108"), "Urban Core",
  OR(TEXT(TRIM(S59),"00000")="89110", TEXT(TRIM(S59),"00000")="89115", TEXT(TRIM(S59),"00000")="89121", TEXT(TRIM(S59),"00000")="89122", TEXT(TRIM(S59),"00000")="89142", TEXT(TRIM(S59),"00000")="89156"), "East Valley",
  OR(TEXT(TRIM(S59),"00000")="89030", TEXT(TRIM(S59),"00000")="89031", TEXT(TRIM(S59),"00000")="89032", TEXT(TRIM(S59),"00000")="89086", TEXT(TRIM(S59),"00000")="89084", TEXT(TRIM(S59),"00000")="89081"), "North LV",
  OR(TEXT(TRIM(S59),"00000")="89109", TEXT(TRIM(S59),"00000")="89103", TEXT(TRIM(S59),"00000")="89119", TEXT(TRIM(S59),"00000")="89123", TEXT(TRIM(S59),"00000")="89169", TEXT(TRIM(S59),"00000")="89118"), "South/Strip",
  OR(TEXT(TRIM(S59),"00000")="89074", TEXT(TRIM(S59),"00000")="89014", TEXT(TRIM(S59),"00000")="89015", TEXT(TRIM(S59),"00000")="89011", TEXT(TRIM(S59),"00000")="89012"), "Suburban SE",
  OR(TEXT(TRIM(S59),"00000")="89117", TEXT(TRIM(S59),"00000")="89128", TEXT(TRIM(S59),"00000")="89135", TEXT(TRIM(S59),"00000")="89144", TEXT(TRIM(S59),"00000")="89145", TEXT(TRIM(S59),"00000")="89147"), "West Valley",
  TRUE, "Other"
)</f>
        <v>East Valley</v>
      </c>
      <c r="U59" t="s">
        <v>3298</v>
      </c>
      <c r="V59" t="str">
        <f t="shared" si="3"/>
        <v>Outdoors/Public</v>
      </c>
    </row>
    <row r="60" spans="1:22">
      <c r="A60" t="s">
        <v>3252</v>
      </c>
      <c r="B60" t="s">
        <v>3253</v>
      </c>
      <c r="C60" s="1">
        <v>45523</v>
      </c>
      <c r="D60" s="4">
        <v>107.06</v>
      </c>
      <c r="E60">
        <v>55</v>
      </c>
      <c r="F60" t="str">
        <f t="shared" si="0"/>
        <v>50's</v>
      </c>
      <c r="G60" t="str" cm="1">
        <f t="array" ref="G60">_xlfn.IFS(
  F60="10's", "Child (5–12)",
  OR(F60="20's", F60="30's"), "Young Adult (20–39)",
  OR(F60="40's", F60="50's"), "Adult (40–59)",
  OR(F60="60's", F60="70's", F60="80's", F60="90's"), "Senior (60+)",
  TRUE, "Unknown"
)</f>
        <v>Adult (40–59)</v>
      </c>
      <c r="H60" t="s">
        <v>778</v>
      </c>
      <c r="I60" t="s">
        <v>54</v>
      </c>
      <c r="J60" t="str">
        <f t="shared" si="1"/>
        <v>Environmental Heat</v>
      </c>
      <c r="K60" t="s">
        <v>2900</v>
      </c>
      <c r="L60" t="s">
        <v>1071</v>
      </c>
      <c r="M60" t="s">
        <v>4897</v>
      </c>
      <c r="N60" t="s">
        <v>5117</v>
      </c>
      <c r="O60" t="str" cm="1">
        <f t="array" ref="O60">_xlfn.IFS(
  TEXT(TRIM(N60),"00000")="NULL", "Missing/Unknown",
  OR(TEXT(TRIM(N60),"00000")="89101", TEXT(TRIM(N60),"00000")="89104", TEXT(TRIM(N60),"00000")="89106", TEXT(TRIM(N60),"00000")="89102", TEXT(TRIM(N60),"00000")="89107", TEXT(TRIM(N60),"00000")="89108"), "Urban Core",
  OR(TEXT(TRIM(N60),"00000")="89110", TEXT(TRIM(N60),"00000")="89115", TEXT(TRIM(N60),"00000")="89121", TEXT(TRIM(N60),"00000")="89122", TEXT(TRIM(N60),"00000")="89142", TEXT(TRIM(N60),"00000")="89156"), "East Valley",
  OR(TEXT(TRIM(N60),"00000")="89030", TEXT(TRIM(N60),"00000")="89031", TEXT(TRIM(N60),"00000")="89032", TEXT(TRIM(N60),"00000")="89086", TEXT(TRIM(N60),"00000")="89084", TEXT(TRIM(N60),"00000")="89081"), "North LV",
  OR(TEXT(TRIM(N60),"00000")="89109", TEXT(TRIM(N60),"00000")="89103", TEXT(TRIM(N60),"00000")="89119", TEXT(TRIM(N60),"00000")="89123", TEXT(TRIM(N60),"00000")="89169", TEXT(TRIM(N60),"00000")="89118"), "South/Strip",
  OR(TEXT(TRIM(N60),"00000")="89074", TEXT(TRIM(N60),"00000")="89014", TEXT(TRIM(N60),"00000")="89015", TEXT(TRIM(N60),"00000")="89011", TEXT(TRIM(N60),"00000")="89012"), "Suburban SE",
  OR(TEXT(TRIM(N60),"00000")="89117", TEXT(TRIM(N60),"00000")="89128", TEXT(TRIM(N60),"00000")="89135", TEXT(TRIM(N60),"00000")="89144", TEXT(TRIM(N60),"00000")="89145", TEXT(TRIM(N60),"00000")="89147"), "West Valley",
  TRUE, "Other"
)</f>
        <v>North LV</v>
      </c>
      <c r="P60" t="s">
        <v>1073</v>
      </c>
      <c r="Q60" t="str">
        <f t="shared" si="2"/>
        <v>Home/Residence</v>
      </c>
      <c r="R60" t="s">
        <v>4897</v>
      </c>
      <c r="S60" t="s">
        <v>5117</v>
      </c>
      <c r="T60" t="str" cm="1">
        <f t="array" ref="T60">_xlfn.IFS(
  TEXT(TRIM(S60),"00000")="NULL", "Missing/Unknown",
  OR(TEXT(TRIM(S60),"00000")="89101", TEXT(TRIM(S60),"00000")="89104", TEXT(TRIM(S60),"00000")="89106", TEXT(TRIM(S60),"00000")="89102", TEXT(TRIM(S60),"00000")="89107", TEXT(TRIM(S60),"00000")="89108"), "Urban Core",
  OR(TEXT(TRIM(S60),"00000")="89110", TEXT(TRIM(S60),"00000")="89115", TEXT(TRIM(S60),"00000")="89121", TEXT(TRIM(S60),"00000")="89122", TEXT(TRIM(S60),"00000")="89142", TEXT(TRIM(S60),"00000")="89156"), "East Valley",
  OR(TEXT(TRIM(S60),"00000")="89030", TEXT(TRIM(S60),"00000")="89031", TEXT(TRIM(S60),"00000")="89032", TEXT(TRIM(S60),"00000")="89086", TEXT(TRIM(S60),"00000")="89084", TEXT(TRIM(S60),"00000")="89081"), "North LV",
  OR(TEXT(TRIM(S60),"00000")="89109", TEXT(TRIM(S60),"00000")="89103", TEXT(TRIM(S60),"00000")="89119", TEXT(TRIM(S60),"00000")="89123", TEXT(TRIM(S60),"00000")="89169", TEXT(TRIM(S60),"00000")="89118"), "South/Strip",
  OR(TEXT(TRIM(S60),"00000")="89074", TEXT(TRIM(S60),"00000")="89014", TEXT(TRIM(S60),"00000")="89015", TEXT(TRIM(S60),"00000")="89011", TEXT(TRIM(S60),"00000")="89012"), "Suburban SE",
  OR(TEXT(TRIM(S60),"00000")="89117", TEXT(TRIM(S60),"00000")="89128", TEXT(TRIM(S60),"00000")="89135", TEXT(TRIM(S60),"00000")="89144", TEXT(TRIM(S60),"00000")="89145", TEXT(TRIM(S60),"00000")="89147"), "West Valley",
  TRUE, "Other"
)</f>
        <v>North LV</v>
      </c>
      <c r="U60" t="s">
        <v>1073</v>
      </c>
      <c r="V60" t="str">
        <f t="shared" si="3"/>
        <v>Home/Residence</v>
      </c>
    </row>
    <row r="61" spans="1:22">
      <c r="A61" t="s">
        <v>3466</v>
      </c>
      <c r="B61" t="s">
        <v>3467</v>
      </c>
      <c r="C61" s="1">
        <v>45522</v>
      </c>
      <c r="D61" s="4">
        <v>104</v>
      </c>
      <c r="E61">
        <v>76</v>
      </c>
      <c r="F61" t="str">
        <f t="shared" si="0"/>
        <v>70's</v>
      </c>
      <c r="G61" t="str" cm="1">
        <f t="array" ref="G61">_xlfn.IFS(
  F61="10's", "Child (5–12)",
  OR(F61="20's", F61="30's"), "Young Adult (20–39)",
  OR(F61="40's", F61="50's"), "Adult (40–59)",
  OR(F61="60's", F61="70's", F61="80's", F61="90's"), "Senior (60+)",
  TRUE, "Unknown"
)</f>
        <v>Senior (60+)</v>
      </c>
      <c r="H61" t="s">
        <v>27</v>
      </c>
      <c r="I61" t="s">
        <v>4012</v>
      </c>
      <c r="J61" t="str">
        <f t="shared" si="1"/>
        <v>Cardiovascular Disease</v>
      </c>
      <c r="K61" t="s">
        <v>4151</v>
      </c>
      <c r="L61" t="s">
        <v>1071</v>
      </c>
      <c r="M61" t="s">
        <v>4898</v>
      </c>
      <c r="N61" t="s">
        <v>5118</v>
      </c>
      <c r="O61" t="str" cm="1">
        <f t="array" ref="O61">_xlfn.IFS(
  TEXT(TRIM(N61),"00000")="NULL", "Missing/Unknown",
  OR(TEXT(TRIM(N61),"00000")="89101", TEXT(TRIM(N61),"00000")="89104", TEXT(TRIM(N61),"00000")="89106", TEXT(TRIM(N61),"00000")="89102", TEXT(TRIM(N61),"00000")="89107", TEXT(TRIM(N61),"00000")="89108"), "Urban Core",
  OR(TEXT(TRIM(N61),"00000")="89110", TEXT(TRIM(N61),"00000")="89115", TEXT(TRIM(N61),"00000")="89121", TEXT(TRIM(N61),"00000")="89122", TEXT(TRIM(N61),"00000")="89142", TEXT(TRIM(N61),"00000")="89156"), "East Valley",
  OR(TEXT(TRIM(N61),"00000")="89030", TEXT(TRIM(N61),"00000")="89031", TEXT(TRIM(N61),"00000")="89032", TEXT(TRIM(N61),"00000")="89086", TEXT(TRIM(N61),"00000")="89084", TEXT(TRIM(N61),"00000")="89081"), "North LV",
  OR(TEXT(TRIM(N61),"00000")="89109", TEXT(TRIM(N61),"00000")="89103", TEXT(TRIM(N61),"00000")="89119", TEXT(TRIM(N61),"00000")="89123", TEXT(TRIM(N61),"00000")="89169", TEXT(TRIM(N61),"00000")="89118"), "South/Strip",
  OR(TEXT(TRIM(N61),"00000")="89074", TEXT(TRIM(N61),"00000")="89014", TEXT(TRIM(N61),"00000")="89015", TEXT(TRIM(N61),"00000")="89011", TEXT(TRIM(N61),"00000")="89012"), "Suburban SE",
  OR(TEXT(TRIM(N61),"00000")="89117", TEXT(TRIM(N61),"00000")="89128", TEXT(TRIM(N61),"00000")="89135", TEXT(TRIM(N61),"00000")="89144", TEXT(TRIM(N61),"00000")="89145", TEXT(TRIM(N61),"00000")="89147"), "West Valley",
  TRUE, "Other"
)</f>
        <v>South/Strip</v>
      </c>
      <c r="P61" t="s">
        <v>1073</v>
      </c>
      <c r="Q61" t="str">
        <f t="shared" si="2"/>
        <v>Home/Residence</v>
      </c>
      <c r="R61" t="s">
        <v>4898</v>
      </c>
      <c r="S61" t="s">
        <v>5118</v>
      </c>
      <c r="T61" t="str" cm="1">
        <f t="array" ref="T61">_xlfn.IFS(
  TEXT(TRIM(S61),"00000")="NULL", "Missing/Unknown",
  OR(TEXT(TRIM(S61),"00000")="89101", TEXT(TRIM(S61),"00000")="89104", TEXT(TRIM(S61),"00000")="89106", TEXT(TRIM(S61),"00000")="89102", TEXT(TRIM(S61),"00000")="89107", TEXT(TRIM(S61),"00000")="89108"), "Urban Core",
  OR(TEXT(TRIM(S61),"00000")="89110", TEXT(TRIM(S61),"00000")="89115", TEXT(TRIM(S61),"00000")="89121", TEXT(TRIM(S61),"00000")="89122", TEXT(TRIM(S61),"00000")="89142", TEXT(TRIM(S61),"00000")="89156"), "East Valley",
  OR(TEXT(TRIM(S61),"00000")="89030", TEXT(TRIM(S61),"00000")="89031", TEXT(TRIM(S61),"00000")="89032", TEXT(TRIM(S61),"00000")="89086", TEXT(TRIM(S61),"00000")="89084", TEXT(TRIM(S61),"00000")="89081"), "North LV",
  OR(TEXT(TRIM(S61),"00000")="89109", TEXT(TRIM(S61),"00000")="89103", TEXT(TRIM(S61),"00000")="89119", TEXT(TRIM(S61),"00000")="89123", TEXT(TRIM(S61),"00000")="89169", TEXT(TRIM(S61),"00000")="89118"), "South/Strip",
  OR(TEXT(TRIM(S61),"00000")="89074", TEXT(TRIM(S61),"00000")="89014", TEXT(TRIM(S61),"00000")="89015", TEXT(TRIM(S61),"00000")="89011", TEXT(TRIM(S61),"00000")="89012"), "Suburban SE",
  OR(TEXT(TRIM(S61),"00000")="89117", TEXT(TRIM(S61),"00000")="89128", TEXT(TRIM(S61),"00000")="89135", TEXT(TRIM(S61),"00000")="89144", TEXT(TRIM(S61),"00000")="89145", TEXT(TRIM(S61),"00000")="89147"), "West Valley",
  TRUE, "Other"
)</f>
        <v>South/Strip</v>
      </c>
      <c r="U61" t="s">
        <v>1073</v>
      </c>
      <c r="V61" t="str">
        <f t="shared" si="3"/>
        <v>Home/Residence</v>
      </c>
    </row>
    <row r="62" spans="1:22">
      <c r="A62" t="s">
        <v>2568</v>
      </c>
      <c r="B62" t="s">
        <v>2569</v>
      </c>
      <c r="C62" s="1">
        <v>45522</v>
      </c>
      <c r="D62" s="4">
        <v>104</v>
      </c>
      <c r="E62">
        <v>28</v>
      </c>
      <c r="F62" t="str">
        <f t="shared" si="0"/>
        <v>20's</v>
      </c>
      <c r="G62" t="str" cm="1">
        <f t="array" ref="G62">_xlfn.IFS(
  F62="10's", "Child (5–12)",
  OR(F62="20's", F62="30's"), "Young Adult (20–39)",
  OR(F62="40's", F62="50's"), "Adult (40–59)",
  OR(F62="60's", F62="70's", F62="80's", F62="90's"), "Senior (60+)",
  TRUE, "Unknown"
)</f>
        <v>Young Adult (20–39)</v>
      </c>
      <c r="H62" t="s">
        <v>841</v>
      </c>
      <c r="I62" t="s">
        <v>2570</v>
      </c>
      <c r="J62" t="str">
        <f t="shared" si="1"/>
        <v>Other / Unknown</v>
      </c>
      <c r="K62" t="s">
        <v>54</v>
      </c>
      <c r="L62" t="s">
        <v>250</v>
      </c>
      <c r="M62" t="s">
        <v>4607</v>
      </c>
      <c r="N62" t="s">
        <v>5119</v>
      </c>
      <c r="O62" t="str" cm="1">
        <f t="array" ref="O62">_xlfn.IFS(
  TEXT(TRIM(N62),"00000")="NULL", "Missing/Unknown",
  OR(TEXT(TRIM(N62),"00000")="89101", TEXT(TRIM(N62),"00000")="89104", TEXT(TRIM(N62),"00000")="89106", TEXT(TRIM(N62),"00000")="89102", TEXT(TRIM(N62),"00000")="89107", TEXT(TRIM(N62),"00000")="89108"), "Urban Core",
  OR(TEXT(TRIM(N62),"00000")="89110", TEXT(TRIM(N62),"00000")="89115", TEXT(TRIM(N62),"00000")="89121", TEXT(TRIM(N62),"00000")="89122", TEXT(TRIM(N62),"00000")="89142", TEXT(TRIM(N62),"00000")="89156"), "East Valley",
  OR(TEXT(TRIM(N62),"00000")="89030", TEXT(TRIM(N62),"00000")="89031", TEXT(TRIM(N62),"00000")="89032", TEXT(TRIM(N62),"00000")="89086", TEXT(TRIM(N62),"00000")="89084", TEXT(TRIM(N62),"00000")="89081"), "North LV",
  OR(TEXT(TRIM(N62),"00000")="89109", TEXT(TRIM(N62),"00000")="89103", TEXT(TRIM(N62),"00000")="89119", TEXT(TRIM(N62),"00000")="89123", TEXT(TRIM(N62),"00000")="89169", TEXT(TRIM(N62),"00000")="89118"), "South/Strip",
  OR(TEXT(TRIM(N62),"00000")="89074", TEXT(TRIM(N62),"00000")="89014", TEXT(TRIM(N62),"00000")="89015", TEXT(TRIM(N62),"00000")="89011", TEXT(TRIM(N62),"00000")="89012"), "Suburban SE",
  OR(TEXT(TRIM(N62),"00000")="89117", TEXT(TRIM(N62),"00000")="89128", TEXT(TRIM(N62),"00000")="89135", TEXT(TRIM(N62),"00000")="89144", TEXT(TRIM(N62),"00000")="89145", TEXT(TRIM(N62),"00000")="89147"), "West Valley",
  TRUE, "Other"
)</f>
        <v>Urban Core</v>
      </c>
      <c r="P62" t="s">
        <v>3298</v>
      </c>
      <c r="Q62" t="str">
        <f t="shared" si="2"/>
        <v>Outdoors/Public</v>
      </c>
      <c r="R62" t="s">
        <v>4713</v>
      </c>
      <c r="S62" t="s">
        <v>5125</v>
      </c>
      <c r="T62" t="str" cm="1">
        <f t="array" ref="T62">_xlfn.IFS(
  TEXT(TRIM(S62),"00000")="NULL", "Missing/Unknown",
  OR(TEXT(TRIM(S62),"00000")="89101", TEXT(TRIM(S62),"00000")="89104", TEXT(TRIM(S62),"00000")="89106", TEXT(TRIM(S62),"00000")="89102", TEXT(TRIM(S62),"00000")="89107", TEXT(TRIM(S62),"00000")="89108"), "Urban Core",
  OR(TEXT(TRIM(S62),"00000")="89110", TEXT(TRIM(S62),"00000")="89115", TEXT(TRIM(S62),"00000")="89121", TEXT(TRIM(S62),"00000")="89122", TEXT(TRIM(S62),"00000")="89142", TEXT(TRIM(S62),"00000")="89156"), "East Valley",
  OR(TEXT(TRIM(S62),"00000")="89030", TEXT(TRIM(S62),"00000")="89031", TEXT(TRIM(S62),"00000")="89032", TEXT(TRIM(S62),"00000")="89086", TEXT(TRIM(S62),"00000")="89084", TEXT(TRIM(S62),"00000")="89081"), "North LV",
  OR(TEXT(TRIM(S62),"00000")="89109", TEXT(TRIM(S62),"00000")="89103", TEXT(TRIM(S62),"00000")="89119", TEXT(TRIM(S62),"00000")="89123", TEXT(TRIM(S62),"00000")="89169", TEXT(TRIM(S62),"00000")="89118"), "South/Strip",
  OR(TEXT(TRIM(S62),"00000")="89074", TEXT(TRIM(S62),"00000")="89014", TEXT(TRIM(S62),"00000")="89015", TEXT(TRIM(S62),"00000")="89011", TEXT(TRIM(S62),"00000")="89012"), "Suburban SE",
  OR(TEXT(TRIM(S62),"00000")="89117", TEXT(TRIM(S62),"00000")="89128", TEXT(TRIM(S62),"00000")="89135", TEXT(TRIM(S62),"00000")="89144", TEXT(TRIM(S62),"00000")="89145", TEXT(TRIM(S62),"00000")="89147"), "West Valley",
  TRUE, "Other"
)</f>
        <v>South/Strip</v>
      </c>
      <c r="U62" t="s">
        <v>4307</v>
      </c>
      <c r="V62" t="str">
        <f t="shared" si="3"/>
        <v>Medical Facility</v>
      </c>
    </row>
    <row r="63" spans="1:22">
      <c r="A63" t="s">
        <v>3316</v>
      </c>
      <c r="B63" t="s">
        <v>3317</v>
      </c>
      <c r="C63" s="1">
        <v>45521</v>
      </c>
      <c r="D63" s="4">
        <v>105.98</v>
      </c>
      <c r="E63">
        <v>36</v>
      </c>
      <c r="F63" t="str">
        <f t="shared" si="0"/>
        <v>30's</v>
      </c>
      <c r="G63" t="str" cm="1">
        <f t="array" ref="G63">_xlfn.IFS(
  F63="10's", "Child (5–12)",
  OR(F63="20's", F63="30's"), "Young Adult (20–39)",
  OR(F63="40's", F63="50's"), "Adult (40–59)",
  OR(F63="60's", F63="70's", F63="80's", F63="90's"), "Senior (60+)",
  TRUE, "Unknown"
)</f>
        <v>Young Adult (20–39)</v>
      </c>
      <c r="H63" t="s">
        <v>4310</v>
      </c>
      <c r="I63" t="s">
        <v>163</v>
      </c>
      <c r="J63" t="str">
        <f t="shared" si="1"/>
        <v>Environmental Heat</v>
      </c>
      <c r="K63" t="s">
        <v>98</v>
      </c>
      <c r="L63" t="s">
        <v>250</v>
      </c>
      <c r="M63" t="s">
        <v>4596</v>
      </c>
      <c r="N63" t="s">
        <v>5100</v>
      </c>
      <c r="O63" t="str" cm="1">
        <f t="array" ref="O63">_xlfn.IFS(
  TEXT(TRIM(N63),"00000")="NULL", "Missing/Unknown",
  OR(TEXT(TRIM(N63),"00000")="89101", TEXT(TRIM(N63),"00000")="89104", TEXT(TRIM(N63),"00000")="89106", TEXT(TRIM(N63),"00000")="89102", TEXT(TRIM(N63),"00000")="89107", TEXT(TRIM(N63),"00000")="89108"), "Urban Core",
  OR(TEXT(TRIM(N63),"00000")="89110", TEXT(TRIM(N63),"00000")="89115", TEXT(TRIM(N63),"00000")="89121", TEXT(TRIM(N63),"00000")="89122", TEXT(TRIM(N63),"00000")="89142", TEXT(TRIM(N63),"00000")="89156"), "East Valley",
  OR(TEXT(TRIM(N63),"00000")="89030", TEXT(TRIM(N63),"00000")="89031", TEXT(TRIM(N63),"00000")="89032", TEXT(TRIM(N63),"00000")="89086", TEXT(TRIM(N63),"00000")="89084", TEXT(TRIM(N63),"00000")="89081"), "North LV",
  OR(TEXT(TRIM(N63),"00000")="89109", TEXT(TRIM(N63),"00000")="89103", TEXT(TRIM(N63),"00000")="89119", TEXT(TRIM(N63),"00000")="89123", TEXT(TRIM(N63),"00000")="89169", TEXT(TRIM(N63),"00000")="89118"), "South/Strip",
  OR(TEXT(TRIM(N63),"00000")="89074", TEXT(TRIM(N63),"00000")="89014", TEXT(TRIM(N63),"00000")="89015", TEXT(TRIM(N63),"00000")="89011", TEXT(TRIM(N63),"00000")="89012"), "Suburban SE",
  OR(TEXT(TRIM(N63),"00000")="89117", TEXT(TRIM(N63),"00000")="89128", TEXT(TRIM(N63),"00000")="89135", TEXT(TRIM(N63),"00000")="89144", TEXT(TRIM(N63),"00000")="89145", TEXT(TRIM(N63),"00000")="89147"), "West Valley",
  TRUE, "Other"
)</f>
        <v>North LV</v>
      </c>
      <c r="P63" t="s">
        <v>3298</v>
      </c>
      <c r="Q63" t="str">
        <f t="shared" si="2"/>
        <v>Outdoors/Public</v>
      </c>
      <c r="R63" t="s">
        <v>4341</v>
      </c>
      <c r="S63" t="s">
        <v>5100</v>
      </c>
      <c r="T63" t="str" cm="1">
        <f t="array" ref="T63">_xlfn.IFS(
  TEXT(TRIM(S63),"00000")="NULL", "Missing/Unknown",
  OR(TEXT(TRIM(S63),"00000")="89101", TEXT(TRIM(S63),"00000")="89104", TEXT(TRIM(S63),"00000")="89106", TEXT(TRIM(S63),"00000")="89102", TEXT(TRIM(S63),"00000")="89107", TEXT(TRIM(S63),"00000")="89108"), "Urban Core",
  OR(TEXT(TRIM(S63),"00000")="89110", TEXT(TRIM(S63),"00000")="89115", TEXT(TRIM(S63),"00000")="89121", TEXT(TRIM(S63),"00000")="89122", TEXT(TRIM(S63),"00000")="89142", TEXT(TRIM(S63),"00000")="89156"), "East Valley",
  OR(TEXT(TRIM(S63),"00000")="89030", TEXT(TRIM(S63),"00000")="89031", TEXT(TRIM(S63),"00000")="89032", TEXT(TRIM(S63),"00000")="89086", TEXT(TRIM(S63),"00000")="89084", TEXT(TRIM(S63),"00000")="89081"), "North LV",
  OR(TEXT(TRIM(S63),"00000")="89109", TEXT(TRIM(S63),"00000")="89103", TEXT(TRIM(S63),"00000")="89119", TEXT(TRIM(S63),"00000")="89123", TEXT(TRIM(S63),"00000")="89169", TEXT(TRIM(S63),"00000")="89118"), "South/Strip",
  OR(TEXT(TRIM(S63),"00000")="89074", TEXT(TRIM(S63),"00000")="89014", TEXT(TRIM(S63),"00000")="89015", TEXT(TRIM(S63),"00000")="89011", TEXT(TRIM(S63),"00000")="89012"), "Suburban SE",
  OR(TEXT(TRIM(S63),"00000")="89117", TEXT(TRIM(S63),"00000")="89128", TEXT(TRIM(S63),"00000")="89135", TEXT(TRIM(S63),"00000")="89144", TEXT(TRIM(S63),"00000")="89145", TEXT(TRIM(S63),"00000")="89147"), "West Valley",
  TRUE, "Other"
)</f>
        <v>North LV</v>
      </c>
      <c r="U63" t="s">
        <v>2413</v>
      </c>
      <c r="V63" t="str">
        <f t="shared" si="3"/>
        <v>Medical Facility</v>
      </c>
    </row>
    <row r="64" spans="1:22">
      <c r="A64" t="s">
        <v>3810</v>
      </c>
      <c r="B64" t="s">
        <v>3811</v>
      </c>
      <c r="C64" s="1">
        <v>45521</v>
      </c>
      <c r="D64" s="4">
        <v>105.98</v>
      </c>
      <c r="E64">
        <v>42</v>
      </c>
      <c r="F64" t="str">
        <f t="shared" si="0"/>
        <v>40's</v>
      </c>
      <c r="G64" t="str" cm="1">
        <f t="array" ref="G64">_xlfn.IFS(
  F64="10's", "Child (5–12)",
  OR(F64="20's", F64="30's"), "Young Adult (20–39)",
  OR(F64="40's", F64="50's"), "Adult (40–59)",
  OR(F64="60's", F64="70's", F64="80's", F64="90's"), "Senior (60+)",
  TRUE, "Unknown"
)</f>
        <v>Adult (40–59)</v>
      </c>
      <c r="H64" t="s">
        <v>841</v>
      </c>
      <c r="I64" t="s">
        <v>172</v>
      </c>
      <c r="J64" t="str">
        <f t="shared" si="1"/>
        <v>Methamphetamine-related</v>
      </c>
      <c r="K64" t="s">
        <v>35</v>
      </c>
      <c r="L64" t="s">
        <v>250</v>
      </c>
      <c r="M64" t="s">
        <v>4992</v>
      </c>
      <c r="N64" t="s">
        <v>5107</v>
      </c>
      <c r="O64" t="str" cm="1">
        <f t="array" ref="O64">_xlfn.IFS(
  TEXT(TRIM(N64),"00000")="NULL", "Missing/Unknown",
  OR(TEXT(TRIM(N64),"00000")="89101", TEXT(TRIM(N64),"00000")="89104", TEXT(TRIM(N64),"00000")="89106", TEXT(TRIM(N64),"00000")="89102", TEXT(TRIM(N64),"00000")="89107", TEXT(TRIM(N64),"00000")="89108"), "Urban Core",
  OR(TEXT(TRIM(N64),"00000")="89110", TEXT(TRIM(N64),"00000")="89115", TEXT(TRIM(N64),"00000")="89121", TEXT(TRIM(N64),"00000")="89122", TEXT(TRIM(N64),"00000")="89142", TEXT(TRIM(N64),"00000")="89156"), "East Valley",
  OR(TEXT(TRIM(N64),"00000")="89030", TEXT(TRIM(N64),"00000")="89031", TEXT(TRIM(N64),"00000")="89032", TEXT(TRIM(N64),"00000")="89086", TEXT(TRIM(N64),"00000")="89084", TEXT(TRIM(N64),"00000")="89081"), "North LV",
  OR(TEXT(TRIM(N64),"00000")="89109", TEXT(TRIM(N64),"00000")="89103", TEXT(TRIM(N64),"00000")="89119", TEXT(TRIM(N64),"00000")="89123", TEXT(TRIM(N64),"00000")="89169", TEXT(TRIM(N64),"00000")="89118"), "South/Strip",
  OR(TEXT(TRIM(N64),"00000")="89074", TEXT(TRIM(N64),"00000")="89014", TEXT(TRIM(N64),"00000")="89015", TEXT(TRIM(N64),"00000")="89011", TEXT(TRIM(N64),"00000")="89012"), "Suburban SE",
  OR(TEXT(TRIM(N64),"00000")="89117", TEXT(TRIM(N64),"00000")="89128", TEXT(TRIM(N64),"00000")="89135", TEXT(TRIM(N64),"00000")="89144", TEXT(TRIM(N64),"00000")="89145", TEXT(TRIM(N64),"00000")="89147"), "West Valley",
  TRUE, "Other"
)</f>
        <v>South/Strip</v>
      </c>
      <c r="P64" t="s">
        <v>3813</v>
      </c>
      <c r="Q64" t="str">
        <f t="shared" si="2"/>
        <v>Vehicle-related</v>
      </c>
      <c r="R64" t="s">
        <v>4992</v>
      </c>
      <c r="S64" t="s">
        <v>5107</v>
      </c>
      <c r="T64" t="str" cm="1">
        <f t="array" ref="T64">_xlfn.IFS(
  TEXT(TRIM(S64),"00000")="NULL", "Missing/Unknown",
  OR(TEXT(TRIM(S64),"00000")="89101", TEXT(TRIM(S64),"00000")="89104", TEXT(TRIM(S64),"00000")="89106", TEXT(TRIM(S64),"00000")="89102", TEXT(TRIM(S64),"00000")="89107", TEXT(TRIM(S64),"00000")="89108"), "Urban Core",
  OR(TEXT(TRIM(S64),"00000")="89110", TEXT(TRIM(S64),"00000")="89115", TEXT(TRIM(S64),"00000")="89121", TEXT(TRIM(S64),"00000")="89122", TEXT(TRIM(S64),"00000")="89142", TEXT(TRIM(S64),"00000")="89156"), "East Valley",
  OR(TEXT(TRIM(S64),"00000")="89030", TEXT(TRIM(S64),"00000")="89031", TEXT(TRIM(S64),"00000")="89032", TEXT(TRIM(S64),"00000")="89086", TEXT(TRIM(S64),"00000")="89084", TEXT(TRIM(S64),"00000")="89081"), "North LV",
  OR(TEXT(TRIM(S64),"00000")="89109", TEXT(TRIM(S64),"00000")="89103", TEXT(TRIM(S64),"00000")="89119", TEXT(TRIM(S64),"00000")="89123", TEXT(TRIM(S64),"00000")="89169", TEXT(TRIM(S64),"00000")="89118"), "South/Strip",
  OR(TEXT(TRIM(S64),"00000")="89074", TEXT(TRIM(S64),"00000")="89014", TEXT(TRIM(S64),"00000")="89015", TEXT(TRIM(S64),"00000")="89011", TEXT(TRIM(S64),"00000")="89012"), "Suburban SE",
  OR(TEXT(TRIM(S64),"00000")="89117", TEXT(TRIM(S64),"00000")="89128", TEXT(TRIM(S64),"00000")="89135", TEXT(TRIM(S64),"00000")="89144", TEXT(TRIM(S64),"00000")="89145", TEXT(TRIM(S64),"00000")="89147"), "West Valley",
  TRUE, "Other"
)</f>
        <v>South/Strip</v>
      </c>
      <c r="U64" t="s">
        <v>3813</v>
      </c>
      <c r="V64" t="str">
        <f t="shared" si="3"/>
        <v>Vehicle-related</v>
      </c>
    </row>
    <row r="65" spans="1:22">
      <c r="A65" t="s">
        <v>2535</v>
      </c>
      <c r="B65" t="s">
        <v>2536</v>
      </c>
      <c r="C65" s="1">
        <v>45520</v>
      </c>
      <c r="D65" s="4">
        <v>107.96</v>
      </c>
      <c r="E65">
        <v>30</v>
      </c>
      <c r="F65" t="str">
        <f t="shared" si="0"/>
        <v>30's</v>
      </c>
      <c r="G65" t="str" cm="1">
        <f t="array" ref="G65">_xlfn.IFS(
  F65="10's", "Child (5–12)",
  OR(F65="20's", F65="30's"), "Young Adult (20–39)",
  OR(F65="40's", F65="50's"), "Adult (40–59)",
  OR(F65="60's", F65="70's", F65="80's", F65="90's"), "Senior (60+)",
  TRUE, "Unknown"
)</f>
        <v>Young Adult (20–39)</v>
      </c>
      <c r="H65" t="s">
        <v>27</v>
      </c>
      <c r="I65" t="s">
        <v>4016</v>
      </c>
      <c r="J65" t="str">
        <f t="shared" si="1"/>
        <v>Methamphetamine-related</v>
      </c>
      <c r="K65" t="s">
        <v>54</v>
      </c>
      <c r="L65" t="s">
        <v>250</v>
      </c>
      <c r="N65" t="s">
        <v>5095</v>
      </c>
      <c r="O65" t="str" cm="1">
        <f t="array" ref="O65">_xlfn.IFS(
  TEXT(TRIM(N65),"00000")="NULL", "Missing/Unknown",
  OR(TEXT(TRIM(N65),"00000")="89101", TEXT(TRIM(N65),"00000")="89104", TEXT(TRIM(N65),"00000")="89106", TEXT(TRIM(N65),"00000")="89102", TEXT(TRIM(N65),"00000")="89107", TEXT(TRIM(N65),"00000")="89108"), "Urban Core",
  OR(TEXT(TRIM(N65),"00000")="89110", TEXT(TRIM(N65),"00000")="89115", TEXT(TRIM(N65),"00000")="89121", TEXT(TRIM(N65),"00000")="89122", TEXT(TRIM(N65),"00000")="89142", TEXT(TRIM(N65),"00000")="89156"), "East Valley",
  OR(TEXT(TRIM(N65),"00000")="89030", TEXT(TRIM(N65),"00000")="89031", TEXT(TRIM(N65),"00000")="89032", TEXT(TRIM(N65),"00000")="89086", TEXT(TRIM(N65),"00000")="89084", TEXT(TRIM(N65),"00000")="89081"), "North LV",
  OR(TEXT(TRIM(N65),"00000")="89109", TEXT(TRIM(N65),"00000")="89103", TEXT(TRIM(N65),"00000")="89119", TEXT(TRIM(N65),"00000")="89123", TEXT(TRIM(N65),"00000")="89169", TEXT(TRIM(N65),"00000")="89118"), "South/Strip",
  OR(TEXT(TRIM(N65),"00000")="89074", TEXT(TRIM(N65),"00000")="89014", TEXT(TRIM(N65),"00000")="89015", TEXT(TRIM(N65),"00000")="89011", TEXT(TRIM(N65),"00000")="89012"), "Suburban SE",
  OR(TEXT(TRIM(N65),"00000")="89117", TEXT(TRIM(N65),"00000")="89128", TEXT(TRIM(N65),"00000")="89135", TEXT(TRIM(N65),"00000")="89144", TEXT(TRIM(N65),"00000")="89145", TEXT(TRIM(N65),"00000")="89147"), "West Valley",
  TRUE, "Other"
)</f>
        <v>Missing/Unknown</v>
      </c>
      <c r="P65" t="s">
        <v>3298</v>
      </c>
      <c r="Q65" t="str">
        <f t="shared" si="2"/>
        <v>Outdoors/Public</v>
      </c>
      <c r="R65" t="s">
        <v>5053</v>
      </c>
      <c r="S65" t="s">
        <v>5110</v>
      </c>
      <c r="T65" t="str" cm="1">
        <f t="array" ref="T65">_xlfn.IFS(
  TEXT(TRIM(S65),"00000")="NULL", "Missing/Unknown",
  OR(TEXT(TRIM(S65),"00000")="89101", TEXT(TRIM(S65),"00000")="89104", TEXT(TRIM(S65),"00000")="89106", TEXT(TRIM(S65),"00000")="89102", TEXT(TRIM(S65),"00000")="89107", TEXT(TRIM(S65),"00000")="89108"), "Urban Core",
  OR(TEXT(TRIM(S65),"00000")="89110", TEXT(TRIM(S65),"00000")="89115", TEXT(TRIM(S65),"00000")="89121", TEXT(TRIM(S65),"00000")="89122", TEXT(TRIM(S65),"00000")="89142", TEXT(TRIM(S65),"00000")="89156"), "East Valley",
  OR(TEXT(TRIM(S65),"00000")="89030", TEXT(TRIM(S65),"00000")="89031", TEXT(TRIM(S65),"00000")="89032", TEXT(TRIM(S65),"00000")="89086", TEXT(TRIM(S65),"00000")="89084", TEXT(TRIM(S65),"00000")="89081"), "North LV",
  OR(TEXT(TRIM(S65),"00000")="89109", TEXT(TRIM(S65),"00000")="89103", TEXT(TRIM(S65),"00000")="89119", TEXT(TRIM(S65),"00000")="89123", TEXT(TRIM(S65),"00000")="89169", TEXT(TRIM(S65),"00000")="89118"), "South/Strip",
  OR(TEXT(TRIM(S65),"00000")="89074", TEXT(TRIM(S65),"00000")="89014", TEXT(TRIM(S65),"00000")="89015", TEXT(TRIM(S65),"00000")="89011", TEXT(TRIM(S65),"00000")="89012"), "Suburban SE",
  OR(TEXT(TRIM(S65),"00000")="89117", TEXT(TRIM(S65),"00000")="89128", TEXT(TRIM(S65),"00000")="89135", TEXT(TRIM(S65),"00000")="89144", TEXT(TRIM(S65),"00000")="89145", TEXT(TRIM(S65),"00000")="89147"), "West Valley",
  TRUE, "Other"
)</f>
        <v>Suburban SE</v>
      </c>
      <c r="U65" t="s">
        <v>2537</v>
      </c>
      <c r="V65" t="str">
        <f t="shared" si="3"/>
        <v>Medical Facility</v>
      </c>
    </row>
    <row r="66" spans="1:22">
      <c r="A66" t="s">
        <v>2898</v>
      </c>
      <c r="B66" t="s">
        <v>2899</v>
      </c>
      <c r="C66" s="1">
        <v>45519</v>
      </c>
      <c r="D66" s="4">
        <v>105.08</v>
      </c>
      <c r="E66">
        <v>58</v>
      </c>
      <c r="F66" t="str">
        <f t="shared" ref="F66:F129" si="4">_xlfn.CONCAT(INT(E66/10)*10, "'s")</f>
        <v>50's</v>
      </c>
      <c r="G66" t="str" cm="1">
        <f t="array" ref="G66">_xlfn.IFS(
  F66="10's", "Child (5–12)",
  OR(F66="20's", F66="30's"), "Young Adult (20–39)",
  OR(F66="40's", F66="50's"), "Adult (40–59)",
  OR(F66="60's", F66="70's", F66="80's", F66="90's"), "Senior (60+)",
  TRUE, "Unknown"
)</f>
        <v>Adult (40–59)</v>
      </c>
      <c r="H66" t="s">
        <v>841</v>
      </c>
      <c r="I66" t="s">
        <v>35</v>
      </c>
      <c r="J66" t="str">
        <f t="shared" ref="J66:J129" si="5">IF(ISNUMBER(SEARCH("heat", I66)) + ISNUMBER(SEARCH("hyperthermia", I66)) + ISNUMBER(SEARCH("heat stroke", I66)) + ISNUMBER(SEARCH("environmental", I66)), "Environmental Heat",
IF(ISNUMBER(SEARCH("meth", I66)), "Methamphetamine-related",
IF(ISNUMBER(SEARCH("fentanyl", I66)), "Fentanyl-related",
IF(ISNUMBER(SEARCH("cardio", I66)) + ISNUMBER(SEARCH("heart", I66)) + ISNUMBER(SEARCH("atherosclerotic", I66)) + ISNUMBER(SEARCH("hypertensive", I66)) + ISNUMBER(SEARCH("myocardial", I66)) + ISNUMBER(SEARCH("infarction", I66)), "Cardiovascular Disease",
IF(ISNUMBER(SEARCH("ethanol", I66)) + ISNUMBER(SEARCH("alcohol", I66)), "Ethanol-related",
IF(ISNUMBER(SEARCH("dehydration", I66)) + ISNUMBER(SEARCH("hypernatrem", I66)) + ISNUMBER(SEARCH("hyponatrem", I66)), "Dehydration / Electrolyte",
IF(ISNUMBER(SEARCH("intoxication", I66)) + ISNUMBER(SEARCH("toxicity", I66)) + ISNUMBER(SEARCH("overdose", I66)), "Mixed Drug Toxicity",
"Other / Unknown")))))))</f>
        <v>Environmental Heat</v>
      </c>
      <c r="K66" t="s">
        <v>2900</v>
      </c>
      <c r="L66" t="s">
        <v>1071</v>
      </c>
      <c r="M66" t="s">
        <v>4899</v>
      </c>
      <c r="N66" t="s">
        <v>5109</v>
      </c>
      <c r="O66" t="str" cm="1">
        <f t="array" ref="O66">_xlfn.IFS(
  TEXT(TRIM(N66),"00000")="NULL", "Missing/Unknown",
  OR(TEXT(TRIM(N66),"00000")="89101", TEXT(TRIM(N66),"00000")="89104", TEXT(TRIM(N66),"00000")="89106", TEXT(TRIM(N66),"00000")="89102", TEXT(TRIM(N66),"00000")="89107", TEXT(TRIM(N66),"00000")="89108"), "Urban Core",
  OR(TEXT(TRIM(N66),"00000")="89110", TEXT(TRIM(N66),"00000")="89115", TEXT(TRIM(N66),"00000")="89121", TEXT(TRIM(N66),"00000")="89122", TEXT(TRIM(N66),"00000")="89142", TEXT(TRIM(N66),"00000")="89156"), "East Valley",
  OR(TEXT(TRIM(N66),"00000")="89030", TEXT(TRIM(N66),"00000")="89031", TEXT(TRIM(N66),"00000")="89032", TEXT(TRIM(N66),"00000")="89086", TEXT(TRIM(N66),"00000")="89084", TEXT(TRIM(N66),"00000")="89081"), "North LV",
  OR(TEXT(TRIM(N66),"00000")="89109", TEXT(TRIM(N66),"00000")="89103", TEXT(TRIM(N66),"00000")="89119", TEXT(TRIM(N66),"00000")="89123", TEXT(TRIM(N66),"00000")="89169", TEXT(TRIM(N66),"00000")="89118"), "South/Strip",
  OR(TEXT(TRIM(N66),"00000")="89074", TEXT(TRIM(N66),"00000")="89014", TEXT(TRIM(N66),"00000")="89015", TEXT(TRIM(N66),"00000")="89011", TEXT(TRIM(N66),"00000")="89012"), "Suburban SE",
  OR(TEXT(TRIM(N66),"00000")="89117", TEXT(TRIM(N66),"00000")="89128", TEXT(TRIM(N66),"00000")="89135", TEXT(TRIM(N66),"00000")="89144", TEXT(TRIM(N66),"00000")="89145", TEXT(TRIM(N66),"00000")="89147"), "West Valley",
  TRUE, "Other"
)</f>
        <v>South/Strip</v>
      </c>
      <c r="P66" t="s">
        <v>1073</v>
      </c>
      <c r="Q66" t="str">
        <f t="shared" ref="Q66:Q129" si="6">IF(OR(ISNUMBER(SEARCH("outdoor", P66)), ISNUMBER(SEARCH("park", P66)), ISNUMBER(SEARCH("road", P66)), ISNUMBER(SEARCH("sidewalk", P66)), ISNUMBER(SEARCH("desert", P66)), ISNUMBER(SEARCH("tunnel", P66)), ISNUMBER(SEARCH("lot", P66)), ISNUMBER(SEARCH("lake", P66)), ISNUMBER(SEARCH("bus", P66)), ISNUMBER(SEARCH("shed", P66)), ISNUMBER(SEARCH("amusement", P66))), "Outdoors/Public",
IF(OR(ISNUMBER(SEARCH("home", P66)), ISNUMBER(SEARCH("residence", P66)), ISNUMBER(SEARCH("rv", P66)), ISNUMBER(SEARCH("tent", P66)), ISNUMBER(SEARCH("bedroom", P66)), ISNUMBER(SEARCH("garage", P66)), ISNUMBER(SEARCH("trailer", P66)), ISNUMBER(SEARCH("backyard", P66))), "Home/Residence",
IF(OR(ISNUMBER(SEARCH("vehicle", P66)), ISNUMBER(SEARCH("car", P66)), ISNUMBER(SEARCH("wash", P66))), "Vehicle-related",
IF(OR(ISNUMBER(SEARCH("business", P66)), ISNUMBER(SEARCH("school", P66)), ISNUMBER(SEARCH("hotel", P66)), ISNUMBER(SEARCH("construction", P66)), ISNUMBER(SEARCH("furniture", P66)), ISNUMBER(SEARCH("public", P66))), "Business/Commercial",
IF(OR(ISNUMBER(SEARCH("hospital", P66)), ISNUMBER(SEARCH("assisted", P66)), ISNUMBER(SEARCH("residential care", P66))), "Medical Facility",
IF(OR(ISNUMBER(SEARCH("shelter", P66)), ISNUMBER(SEARCH("jail", P66))), "Shelter/Temporary Housing",
"Other / Unknown"))))))</f>
        <v>Home/Residence</v>
      </c>
      <c r="R66" t="s">
        <v>4899</v>
      </c>
      <c r="S66" t="s">
        <v>5109</v>
      </c>
      <c r="T66" t="str" cm="1">
        <f t="array" ref="T66">_xlfn.IFS(
  TEXT(TRIM(S66),"00000")="NULL", "Missing/Unknown",
  OR(TEXT(TRIM(S66),"00000")="89101", TEXT(TRIM(S66),"00000")="89104", TEXT(TRIM(S66),"00000")="89106", TEXT(TRIM(S66),"00000")="89102", TEXT(TRIM(S66),"00000")="89107", TEXT(TRIM(S66),"00000")="89108"), "Urban Core",
  OR(TEXT(TRIM(S66),"00000")="89110", TEXT(TRIM(S66),"00000")="89115", TEXT(TRIM(S66),"00000")="89121", TEXT(TRIM(S66),"00000")="89122", TEXT(TRIM(S66),"00000")="89142", TEXT(TRIM(S66),"00000")="89156"), "East Valley",
  OR(TEXT(TRIM(S66),"00000")="89030", TEXT(TRIM(S66),"00000")="89031", TEXT(TRIM(S66),"00000")="89032", TEXT(TRIM(S66),"00000")="89086", TEXT(TRIM(S66),"00000")="89084", TEXT(TRIM(S66),"00000")="89081"), "North LV",
  OR(TEXT(TRIM(S66),"00000")="89109", TEXT(TRIM(S66),"00000")="89103", TEXT(TRIM(S66),"00000")="89119", TEXT(TRIM(S66),"00000")="89123", TEXT(TRIM(S66),"00000")="89169", TEXT(TRIM(S66),"00000")="89118"), "South/Strip",
  OR(TEXT(TRIM(S66),"00000")="89074", TEXT(TRIM(S66),"00000")="89014", TEXT(TRIM(S66),"00000")="89015", TEXT(TRIM(S66),"00000")="89011", TEXT(TRIM(S66),"00000")="89012"), "Suburban SE",
  OR(TEXT(TRIM(S66),"00000")="89117", TEXT(TRIM(S66),"00000")="89128", TEXT(TRIM(S66),"00000")="89135", TEXT(TRIM(S66),"00000")="89144", TEXT(TRIM(S66),"00000")="89145", TEXT(TRIM(S66),"00000")="89147"), "West Valley",
  TRUE, "Other"
)</f>
        <v>South/Strip</v>
      </c>
      <c r="U66" t="s">
        <v>1073</v>
      </c>
      <c r="V66" t="str">
        <f t="shared" ref="V66:V129" si="7">IF(OR(ISNUMBER(SEARCH("outdoor", U66)), ISNUMBER(SEARCH("park", U66)), ISNUMBER(SEARCH("road", U66)), ISNUMBER(SEARCH("sidewalk", U66)), ISNUMBER(SEARCH("desert", U66)), ISNUMBER(SEARCH("tunnel", U66)), ISNUMBER(SEARCH("lot", U66)), ISNUMBER(SEARCH("lake", U66)), ISNUMBER(SEARCH("bus", U66)), ISNUMBER(SEARCH("shed", U66)), ISNUMBER(SEARCH("amusement", U66))), "Outdoors/Public",
IF(OR(ISNUMBER(SEARCH("home", U66)), ISNUMBER(SEARCH("residence", U66)), ISNUMBER(SEARCH("rv", U66)), ISNUMBER(SEARCH("tent", U66)), ISNUMBER(SEARCH("bedroom", U66)), ISNUMBER(SEARCH("garage", U66)), ISNUMBER(SEARCH("trailer", U66)), ISNUMBER(SEARCH("backyard", U66))), "Home/Residence",
IF(OR(ISNUMBER(SEARCH("vehicle", U66)), ISNUMBER(SEARCH("wash", U66))), "Vehicle-related",
IF(OR(ISNUMBER(SEARCH("business", U66)), ISNUMBER(SEARCH("school", U66)), ISNUMBER(SEARCH("hotel", U66)), ISNUMBER(SEARCH("construction", U66)), ISNUMBER(SEARCH("furniture", U66)), ISNUMBER(SEARCH("public", U66))), "Business/Commercial",
IF(OR(ISNUMBER(SEARCH("hospital", U66)), ISNUMBER(SEARCH("assisted", U66)), ISNUMBER(SEARCH("residential care", U66)), ISNUMBER(SEARCH("emergency room", U66)), ISNUMBER(SEARCH("emergency", U66)), ISNUMBER(SEARCH("intensive care unit", U66)), ISNUMBER(SEARCH("icu", U66))), "Medical Facility",
IF(OR(ISNUMBER(SEARCH("shelter", U66)), ISNUMBER(SEARCH("jail", U66))), "Shelter/Temporary Housing",
"Other / Unknown"))))))</f>
        <v>Home/Residence</v>
      </c>
    </row>
    <row r="67" spans="1:22">
      <c r="A67" t="s">
        <v>3807</v>
      </c>
      <c r="B67" t="s">
        <v>3808</v>
      </c>
      <c r="C67" s="1">
        <v>45519</v>
      </c>
      <c r="D67" s="4">
        <v>105.08</v>
      </c>
      <c r="E67">
        <v>60</v>
      </c>
      <c r="F67" t="str">
        <f t="shared" si="4"/>
        <v>60's</v>
      </c>
      <c r="G67" t="str" cm="1">
        <f t="array" ref="G67">_xlfn.IFS(
  F67="10's", "Child (5–12)",
  OR(F67="20's", F67="30's"), "Young Adult (20–39)",
  OR(F67="40's", F67="50's"), "Adult (40–59)",
  OR(F67="60's", F67="70's", F67="80's", F67="90's"), "Senior (60+)",
  TRUE, "Unknown"
)</f>
        <v>Senior (60+)</v>
      </c>
      <c r="H67" t="s">
        <v>27</v>
      </c>
      <c r="I67" t="s">
        <v>172</v>
      </c>
      <c r="J67" t="str">
        <f t="shared" si="5"/>
        <v>Methamphetamine-related</v>
      </c>
      <c r="K67" t="s">
        <v>35</v>
      </c>
      <c r="L67" t="s">
        <v>1071</v>
      </c>
      <c r="M67" t="s">
        <v>5002</v>
      </c>
      <c r="N67" t="s">
        <v>5100</v>
      </c>
      <c r="O67" t="str" cm="1">
        <f t="array" ref="O67">_xlfn.IFS(
  TEXT(TRIM(N67),"00000")="NULL", "Missing/Unknown",
  OR(TEXT(TRIM(N67),"00000")="89101", TEXT(TRIM(N67),"00000")="89104", TEXT(TRIM(N67),"00000")="89106", TEXT(TRIM(N67),"00000")="89102", TEXT(TRIM(N67),"00000")="89107", TEXT(TRIM(N67),"00000")="89108"), "Urban Core",
  OR(TEXT(TRIM(N67),"00000")="89110", TEXT(TRIM(N67),"00000")="89115", TEXT(TRIM(N67),"00000")="89121", TEXT(TRIM(N67),"00000")="89122", TEXT(TRIM(N67),"00000")="89142", TEXT(TRIM(N67),"00000")="89156"), "East Valley",
  OR(TEXT(TRIM(N67),"00000")="89030", TEXT(TRIM(N67),"00000")="89031", TEXT(TRIM(N67),"00000")="89032", TEXT(TRIM(N67),"00000")="89086", TEXT(TRIM(N67),"00000")="89084", TEXT(TRIM(N67),"00000")="89081"), "North LV",
  OR(TEXT(TRIM(N67),"00000")="89109", TEXT(TRIM(N67),"00000")="89103", TEXT(TRIM(N67),"00000")="89119", TEXT(TRIM(N67),"00000")="89123", TEXT(TRIM(N67),"00000")="89169", TEXT(TRIM(N67),"00000")="89118"), "South/Strip",
  OR(TEXT(TRIM(N67),"00000")="89074", TEXT(TRIM(N67),"00000")="89014", TEXT(TRIM(N67),"00000")="89015", TEXT(TRIM(N67),"00000")="89011", TEXT(TRIM(N67),"00000")="89012"), "Suburban SE",
  OR(TEXT(TRIM(N67),"00000")="89117", TEXT(TRIM(N67),"00000")="89128", TEXT(TRIM(N67),"00000")="89135", TEXT(TRIM(N67),"00000")="89144", TEXT(TRIM(N67),"00000")="89145", TEXT(TRIM(N67),"00000")="89147"), "West Valley",
  TRUE, "Other"
)</f>
        <v>North LV</v>
      </c>
      <c r="P67" t="s">
        <v>3298</v>
      </c>
      <c r="Q67" t="str">
        <f t="shared" si="6"/>
        <v>Outdoors/Public</v>
      </c>
      <c r="R67" t="s">
        <v>5002</v>
      </c>
      <c r="S67" t="s">
        <v>5100</v>
      </c>
      <c r="T67" t="str" cm="1">
        <f t="array" ref="T67">_xlfn.IFS(
  TEXT(TRIM(S67),"00000")="NULL", "Missing/Unknown",
  OR(TEXT(TRIM(S67),"00000")="89101", TEXT(TRIM(S67),"00000")="89104", TEXT(TRIM(S67),"00000")="89106", TEXT(TRIM(S67),"00000")="89102", TEXT(TRIM(S67),"00000")="89107", TEXT(TRIM(S67),"00000")="89108"), "Urban Core",
  OR(TEXT(TRIM(S67),"00000")="89110", TEXT(TRIM(S67),"00000")="89115", TEXT(TRIM(S67),"00000")="89121", TEXT(TRIM(S67),"00000")="89122", TEXT(TRIM(S67),"00000")="89142", TEXT(TRIM(S67),"00000")="89156"), "East Valley",
  OR(TEXT(TRIM(S67),"00000")="89030", TEXT(TRIM(S67),"00000")="89031", TEXT(TRIM(S67),"00000")="89032", TEXT(TRIM(S67),"00000")="89086", TEXT(TRIM(S67),"00000")="89084", TEXT(TRIM(S67),"00000")="89081"), "North LV",
  OR(TEXT(TRIM(S67),"00000")="89109", TEXT(TRIM(S67),"00000")="89103", TEXT(TRIM(S67),"00000")="89119", TEXT(TRIM(S67),"00000")="89123", TEXT(TRIM(S67),"00000")="89169", TEXT(TRIM(S67),"00000")="89118"), "South/Strip",
  OR(TEXT(TRIM(S67),"00000")="89074", TEXT(TRIM(S67),"00000")="89014", TEXT(TRIM(S67),"00000")="89015", TEXT(TRIM(S67),"00000")="89011", TEXT(TRIM(S67),"00000")="89012"), "Suburban SE",
  OR(TEXT(TRIM(S67),"00000")="89117", TEXT(TRIM(S67),"00000")="89128", TEXT(TRIM(S67),"00000")="89135", TEXT(TRIM(S67),"00000")="89144", TEXT(TRIM(S67),"00000")="89145", TEXT(TRIM(S67),"00000")="89147"), "West Valley",
  TRUE, "Other"
)</f>
        <v>North LV</v>
      </c>
      <c r="U67" t="s">
        <v>3298</v>
      </c>
      <c r="V67" t="str">
        <f t="shared" si="7"/>
        <v>Outdoors/Public</v>
      </c>
    </row>
    <row r="68" spans="1:22">
      <c r="A68" t="s">
        <v>2532</v>
      </c>
      <c r="B68" t="s">
        <v>2533</v>
      </c>
      <c r="C68" s="1">
        <v>45519</v>
      </c>
      <c r="D68" s="4">
        <v>105.08</v>
      </c>
      <c r="E68">
        <v>48</v>
      </c>
      <c r="F68" t="str">
        <f t="shared" si="4"/>
        <v>40's</v>
      </c>
      <c r="G68" t="str" cm="1">
        <f t="array" ref="G68">_xlfn.IFS(
  F68="10's", "Child (5–12)",
  OR(F68="20's", F68="30's"), "Young Adult (20–39)",
  OR(F68="40's", F68="50's"), "Adult (40–59)",
  OR(F68="60's", F68="70's", F68="80's", F68="90's"), "Senior (60+)",
  TRUE, "Unknown"
)</f>
        <v>Adult (40–59)</v>
      </c>
      <c r="H68" t="s">
        <v>27</v>
      </c>
      <c r="I68" t="s">
        <v>4016</v>
      </c>
      <c r="J68" t="str">
        <f t="shared" si="5"/>
        <v>Methamphetamine-related</v>
      </c>
      <c r="K68" t="s">
        <v>54</v>
      </c>
      <c r="L68" t="s">
        <v>250</v>
      </c>
      <c r="M68" t="s">
        <v>4335</v>
      </c>
      <c r="N68" t="s">
        <v>5108</v>
      </c>
      <c r="O68" t="str" cm="1">
        <f t="array" ref="O68">_xlfn.IFS(
  TEXT(TRIM(N68),"00000")="NULL", "Missing/Unknown",
  OR(TEXT(TRIM(N68),"00000")="89101", TEXT(TRIM(N68),"00000")="89104", TEXT(TRIM(N68),"00000")="89106", TEXT(TRIM(N68),"00000")="89102", TEXT(TRIM(N68),"00000")="89107", TEXT(TRIM(N68),"00000")="89108"), "Urban Core",
  OR(TEXT(TRIM(N68),"00000")="89110", TEXT(TRIM(N68),"00000")="89115", TEXT(TRIM(N68),"00000")="89121", TEXT(TRIM(N68),"00000")="89122", TEXT(TRIM(N68),"00000")="89142", TEXT(TRIM(N68),"00000")="89156"), "East Valley",
  OR(TEXT(TRIM(N68),"00000")="89030", TEXT(TRIM(N68),"00000")="89031", TEXT(TRIM(N68),"00000")="89032", TEXT(TRIM(N68),"00000")="89086", TEXT(TRIM(N68),"00000")="89084", TEXT(TRIM(N68),"00000")="89081"), "North LV",
  OR(TEXT(TRIM(N68),"00000")="89109", TEXT(TRIM(N68),"00000")="89103", TEXT(TRIM(N68),"00000")="89119", TEXT(TRIM(N68),"00000")="89123", TEXT(TRIM(N68),"00000")="89169", TEXT(TRIM(N68),"00000")="89118"), "South/Strip",
  OR(TEXT(TRIM(N68),"00000")="89074", TEXT(TRIM(N68),"00000")="89014", TEXT(TRIM(N68),"00000")="89015", TEXT(TRIM(N68),"00000")="89011", TEXT(TRIM(N68),"00000")="89012"), "Suburban SE",
  OR(TEXT(TRIM(N68),"00000")="89117", TEXT(TRIM(N68),"00000")="89128", TEXT(TRIM(N68),"00000")="89135", TEXT(TRIM(N68),"00000")="89144", TEXT(TRIM(N68),"00000")="89145", TEXT(TRIM(N68),"00000")="89147"), "West Valley",
  TRUE, "Other"
)</f>
        <v>East Valley</v>
      </c>
      <c r="P68" t="s">
        <v>3298</v>
      </c>
      <c r="Q68" t="str">
        <f t="shared" si="6"/>
        <v>Outdoors/Public</v>
      </c>
      <c r="R68" t="s">
        <v>4335</v>
      </c>
      <c r="S68" t="s">
        <v>5108</v>
      </c>
      <c r="T68" t="str" cm="1">
        <f t="array" ref="T68">_xlfn.IFS(
  TEXT(TRIM(S68),"00000")="NULL", "Missing/Unknown",
  OR(TEXT(TRIM(S68),"00000")="89101", TEXT(TRIM(S68),"00000")="89104", TEXT(TRIM(S68),"00000")="89106", TEXT(TRIM(S68),"00000")="89102", TEXT(TRIM(S68),"00000")="89107", TEXT(TRIM(S68),"00000")="89108"), "Urban Core",
  OR(TEXT(TRIM(S68),"00000")="89110", TEXT(TRIM(S68),"00000")="89115", TEXT(TRIM(S68),"00000")="89121", TEXT(TRIM(S68),"00000")="89122", TEXT(TRIM(S68),"00000")="89142", TEXT(TRIM(S68),"00000")="89156"), "East Valley",
  OR(TEXT(TRIM(S68),"00000")="89030", TEXT(TRIM(S68),"00000")="89031", TEXT(TRIM(S68),"00000")="89032", TEXT(TRIM(S68),"00000")="89086", TEXT(TRIM(S68),"00000")="89084", TEXT(TRIM(S68),"00000")="89081"), "North LV",
  OR(TEXT(TRIM(S68),"00000")="89109", TEXT(TRIM(S68),"00000")="89103", TEXT(TRIM(S68),"00000")="89119", TEXT(TRIM(S68),"00000")="89123", TEXT(TRIM(S68),"00000")="89169", TEXT(TRIM(S68),"00000")="89118"), "South/Strip",
  OR(TEXT(TRIM(S68),"00000")="89074", TEXT(TRIM(S68),"00000")="89014", TEXT(TRIM(S68),"00000")="89015", TEXT(TRIM(S68),"00000")="89011", TEXT(TRIM(S68),"00000")="89012"), "Suburban SE",
  OR(TEXT(TRIM(S68),"00000")="89117", TEXT(TRIM(S68),"00000")="89128", TEXT(TRIM(S68),"00000")="89135", TEXT(TRIM(S68),"00000")="89144", TEXT(TRIM(S68),"00000")="89145", TEXT(TRIM(S68),"00000")="89147"), "West Valley",
  TRUE, "Other"
)</f>
        <v>East Valley</v>
      </c>
      <c r="U68" t="s">
        <v>3298</v>
      </c>
      <c r="V68" t="str">
        <f t="shared" si="7"/>
        <v>Outdoors/Public</v>
      </c>
    </row>
    <row r="69" spans="1:22">
      <c r="A69" t="s">
        <v>2707</v>
      </c>
      <c r="B69" t="s">
        <v>2708</v>
      </c>
      <c r="C69" s="1">
        <v>45517</v>
      </c>
      <c r="D69" s="4">
        <v>104</v>
      </c>
      <c r="E69">
        <v>66</v>
      </c>
      <c r="F69" t="str">
        <f t="shared" si="4"/>
        <v>60's</v>
      </c>
      <c r="G69" t="str" cm="1">
        <f t="array" ref="G69">_xlfn.IFS(
  F69="10's", "Child (5–12)",
  OR(F69="20's", F69="30's"), "Young Adult (20–39)",
  OR(F69="40's", F69="50's"), "Adult (40–59)",
  OR(F69="60's", F69="70's", F69="80's", F69="90's"), "Senior (60+)",
  TRUE, "Unknown"
)</f>
        <v>Senior (60+)</v>
      </c>
      <c r="H69" t="s">
        <v>841</v>
      </c>
      <c r="I69" t="s">
        <v>4023</v>
      </c>
      <c r="J69" t="str">
        <f t="shared" si="5"/>
        <v>Ethanol-related</v>
      </c>
      <c r="K69" t="s">
        <v>2606</v>
      </c>
      <c r="L69" t="s">
        <v>1071</v>
      </c>
      <c r="M69" t="s">
        <v>4900</v>
      </c>
      <c r="N69" t="s">
        <v>5113</v>
      </c>
      <c r="O69" t="str" cm="1">
        <f t="array" ref="O69">_xlfn.IFS(
  TEXT(TRIM(N69),"00000")="NULL", "Missing/Unknown",
  OR(TEXT(TRIM(N69),"00000")="89101", TEXT(TRIM(N69),"00000")="89104", TEXT(TRIM(N69),"00000")="89106", TEXT(TRIM(N69),"00000")="89102", TEXT(TRIM(N69),"00000")="89107", TEXT(TRIM(N69),"00000")="89108"), "Urban Core",
  OR(TEXT(TRIM(N69),"00000")="89110", TEXT(TRIM(N69),"00000")="89115", TEXT(TRIM(N69),"00000")="89121", TEXT(TRIM(N69),"00000")="89122", TEXT(TRIM(N69),"00000")="89142", TEXT(TRIM(N69),"00000")="89156"), "East Valley",
  OR(TEXT(TRIM(N69),"00000")="89030", TEXT(TRIM(N69),"00000")="89031", TEXT(TRIM(N69),"00000")="89032", TEXT(TRIM(N69),"00000")="89086", TEXT(TRIM(N69),"00000")="89084", TEXT(TRIM(N69),"00000")="89081"), "North LV",
  OR(TEXT(TRIM(N69),"00000")="89109", TEXT(TRIM(N69),"00000")="89103", TEXT(TRIM(N69),"00000")="89119", TEXT(TRIM(N69),"00000")="89123", TEXT(TRIM(N69),"00000")="89169", TEXT(TRIM(N69),"00000")="89118"), "South/Strip",
  OR(TEXT(TRIM(N69),"00000")="89074", TEXT(TRIM(N69),"00000")="89014", TEXT(TRIM(N69),"00000")="89015", TEXT(TRIM(N69),"00000")="89011", TEXT(TRIM(N69),"00000")="89012"), "Suburban SE",
  OR(TEXT(TRIM(N69),"00000")="89117", TEXT(TRIM(N69),"00000")="89128", TEXT(TRIM(N69),"00000")="89135", TEXT(TRIM(N69),"00000")="89144", TEXT(TRIM(N69),"00000")="89145", TEXT(TRIM(N69),"00000")="89147"), "West Valley",
  TRUE, "Other"
)</f>
        <v>Suburban SE</v>
      </c>
      <c r="P69" t="s">
        <v>1073</v>
      </c>
      <c r="Q69" t="str">
        <f t="shared" si="6"/>
        <v>Home/Residence</v>
      </c>
      <c r="R69" t="s">
        <v>4900</v>
      </c>
      <c r="S69" t="s">
        <v>5113</v>
      </c>
      <c r="T69" t="str" cm="1">
        <f t="array" ref="T69">_xlfn.IFS(
  TEXT(TRIM(S69),"00000")="NULL", "Missing/Unknown",
  OR(TEXT(TRIM(S69),"00000")="89101", TEXT(TRIM(S69),"00000")="89104", TEXT(TRIM(S69),"00000")="89106", TEXT(TRIM(S69),"00000")="89102", TEXT(TRIM(S69),"00000")="89107", TEXT(TRIM(S69),"00000")="89108"), "Urban Core",
  OR(TEXT(TRIM(S69),"00000")="89110", TEXT(TRIM(S69),"00000")="89115", TEXT(TRIM(S69),"00000")="89121", TEXT(TRIM(S69),"00000")="89122", TEXT(TRIM(S69),"00000")="89142", TEXT(TRIM(S69),"00000")="89156"), "East Valley",
  OR(TEXT(TRIM(S69),"00000")="89030", TEXT(TRIM(S69),"00000")="89031", TEXT(TRIM(S69),"00000")="89032", TEXT(TRIM(S69),"00000")="89086", TEXT(TRIM(S69),"00000")="89084", TEXT(TRIM(S69),"00000")="89081"), "North LV",
  OR(TEXT(TRIM(S69),"00000")="89109", TEXT(TRIM(S69),"00000")="89103", TEXT(TRIM(S69),"00000")="89119", TEXT(TRIM(S69),"00000")="89123", TEXT(TRIM(S69),"00000")="89169", TEXT(TRIM(S69),"00000")="89118"), "South/Strip",
  OR(TEXT(TRIM(S69),"00000")="89074", TEXT(TRIM(S69),"00000")="89014", TEXT(TRIM(S69),"00000")="89015", TEXT(TRIM(S69),"00000")="89011", TEXT(TRIM(S69),"00000")="89012"), "Suburban SE",
  OR(TEXT(TRIM(S69),"00000")="89117", TEXT(TRIM(S69),"00000")="89128", TEXT(TRIM(S69),"00000")="89135", TEXT(TRIM(S69),"00000")="89144", TEXT(TRIM(S69),"00000")="89145", TEXT(TRIM(S69),"00000")="89147"), "West Valley",
  TRUE, "Other"
)</f>
        <v>Suburban SE</v>
      </c>
      <c r="U69" t="s">
        <v>1073</v>
      </c>
      <c r="V69" t="str">
        <f t="shared" si="7"/>
        <v>Home/Residence</v>
      </c>
    </row>
    <row r="70" spans="1:22">
      <c r="A70" t="s">
        <v>3959</v>
      </c>
      <c r="B70" t="s">
        <v>3960</v>
      </c>
      <c r="C70" s="1">
        <v>45517</v>
      </c>
      <c r="D70" s="4">
        <v>104</v>
      </c>
      <c r="E70">
        <v>38</v>
      </c>
      <c r="F70" t="str">
        <f t="shared" si="4"/>
        <v>30's</v>
      </c>
      <c r="G70" t="str" cm="1">
        <f t="array" ref="G70">_xlfn.IFS(
  F70="10's", "Child (5–12)",
  OR(F70="20's", F70="30's"), "Young Adult (20–39)",
  OR(F70="40's", F70="50's"), "Adult (40–59)",
  OR(F70="60's", F70="70's", F70="80's", F70="90's"), "Senior (60+)",
  TRUE, "Unknown"
)</f>
        <v>Young Adult (20–39)</v>
      </c>
      <c r="H70" t="s">
        <v>4310</v>
      </c>
      <c r="I70" t="s">
        <v>4024</v>
      </c>
      <c r="J70" t="str">
        <f t="shared" si="5"/>
        <v>Other / Unknown</v>
      </c>
      <c r="K70" t="s">
        <v>3961</v>
      </c>
      <c r="L70" t="s">
        <v>1071</v>
      </c>
      <c r="M70" t="s">
        <v>4901</v>
      </c>
      <c r="N70" t="s">
        <v>5120</v>
      </c>
      <c r="O70" t="str" cm="1">
        <f t="array" ref="O70">_xlfn.IFS(
  TEXT(TRIM(N70),"00000")="NULL", "Missing/Unknown",
  OR(TEXT(TRIM(N70),"00000")="89101", TEXT(TRIM(N70),"00000")="89104", TEXT(TRIM(N70),"00000")="89106", TEXT(TRIM(N70),"00000")="89102", TEXT(TRIM(N70),"00000")="89107", TEXT(TRIM(N70),"00000")="89108"), "Urban Core",
  OR(TEXT(TRIM(N70),"00000")="89110", TEXT(TRIM(N70),"00000")="89115", TEXT(TRIM(N70),"00000")="89121", TEXT(TRIM(N70),"00000")="89122", TEXT(TRIM(N70),"00000")="89142", TEXT(TRIM(N70),"00000")="89156"), "East Valley",
  OR(TEXT(TRIM(N70),"00000")="89030", TEXT(TRIM(N70),"00000")="89031", TEXT(TRIM(N70),"00000")="89032", TEXT(TRIM(N70),"00000")="89086", TEXT(TRIM(N70),"00000")="89084", TEXT(TRIM(N70),"00000")="89081"), "North LV",
  OR(TEXT(TRIM(N70),"00000")="89109", TEXT(TRIM(N70),"00000")="89103", TEXT(TRIM(N70),"00000")="89119", TEXT(TRIM(N70),"00000")="89123", TEXT(TRIM(N70),"00000")="89169", TEXT(TRIM(N70),"00000")="89118"), "South/Strip",
  OR(TEXT(TRIM(N70),"00000")="89074", TEXT(TRIM(N70),"00000")="89014", TEXT(TRIM(N70),"00000")="89015", TEXT(TRIM(N70),"00000")="89011", TEXT(TRIM(N70),"00000")="89012"), "Suburban SE",
  OR(TEXT(TRIM(N70),"00000")="89117", TEXT(TRIM(N70),"00000")="89128", TEXT(TRIM(N70),"00000")="89135", TEXT(TRIM(N70),"00000")="89144", TEXT(TRIM(N70),"00000")="89145", TEXT(TRIM(N70),"00000")="89147"), "West Valley",
  TRUE, "Other"
)</f>
        <v>Suburban SE</v>
      </c>
      <c r="P70" t="s">
        <v>1073</v>
      </c>
      <c r="Q70" t="str">
        <f t="shared" si="6"/>
        <v>Home/Residence</v>
      </c>
      <c r="R70" t="s">
        <v>4901</v>
      </c>
      <c r="S70" t="s">
        <v>5120</v>
      </c>
      <c r="T70" t="str" cm="1">
        <f t="array" ref="T70">_xlfn.IFS(
  TEXT(TRIM(S70),"00000")="NULL", "Missing/Unknown",
  OR(TEXT(TRIM(S70),"00000")="89101", TEXT(TRIM(S70),"00000")="89104", TEXT(TRIM(S70),"00000")="89106", TEXT(TRIM(S70),"00000")="89102", TEXT(TRIM(S70),"00000")="89107", TEXT(TRIM(S70),"00000")="89108"), "Urban Core",
  OR(TEXT(TRIM(S70),"00000")="89110", TEXT(TRIM(S70),"00000")="89115", TEXT(TRIM(S70),"00000")="89121", TEXT(TRIM(S70),"00000")="89122", TEXT(TRIM(S70),"00000")="89142", TEXT(TRIM(S70),"00000")="89156"), "East Valley",
  OR(TEXT(TRIM(S70),"00000")="89030", TEXT(TRIM(S70),"00000")="89031", TEXT(TRIM(S70),"00000")="89032", TEXT(TRIM(S70),"00000")="89086", TEXT(TRIM(S70),"00000")="89084", TEXT(TRIM(S70),"00000")="89081"), "North LV",
  OR(TEXT(TRIM(S70),"00000")="89109", TEXT(TRIM(S70),"00000")="89103", TEXT(TRIM(S70),"00000")="89119", TEXT(TRIM(S70),"00000")="89123", TEXT(TRIM(S70),"00000")="89169", TEXT(TRIM(S70),"00000")="89118"), "South/Strip",
  OR(TEXT(TRIM(S70),"00000")="89074", TEXT(TRIM(S70),"00000")="89014", TEXT(TRIM(S70),"00000")="89015", TEXT(TRIM(S70),"00000")="89011", TEXT(TRIM(S70),"00000")="89012"), "Suburban SE",
  OR(TEXT(TRIM(S70),"00000")="89117", TEXT(TRIM(S70),"00000")="89128", TEXT(TRIM(S70),"00000")="89135", TEXT(TRIM(S70),"00000")="89144", TEXT(TRIM(S70),"00000")="89145", TEXT(TRIM(S70),"00000")="89147"), "West Valley",
  TRUE, "Other"
)</f>
        <v>Suburban SE</v>
      </c>
      <c r="U70" t="s">
        <v>1073</v>
      </c>
      <c r="V70" t="str">
        <f t="shared" si="7"/>
        <v>Home/Residence</v>
      </c>
    </row>
    <row r="71" spans="1:22">
      <c r="A71" t="s">
        <v>3247</v>
      </c>
      <c r="B71" t="s">
        <v>3248</v>
      </c>
      <c r="C71" s="1">
        <v>45517</v>
      </c>
      <c r="D71" s="4">
        <v>104</v>
      </c>
      <c r="E71">
        <v>63</v>
      </c>
      <c r="F71" t="str">
        <f t="shared" si="4"/>
        <v>60's</v>
      </c>
      <c r="G71" t="str" cm="1">
        <f t="array" ref="G71">_xlfn.IFS(
  F71="10's", "Child (5–12)",
  OR(F71="20's", F71="30's"), "Young Adult (20–39)",
  OR(F71="40's", F71="50's"), "Adult (40–59)",
  OR(F71="60's", F71="70's", F71="80's", F71="90's"), "Senior (60+)",
  TRUE, "Unknown"
)</f>
        <v>Senior (60+)</v>
      </c>
      <c r="H71" t="s">
        <v>841</v>
      </c>
      <c r="I71" t="s">
        <v>54</v>
      </c>
      <c r="J71" t="str">
        <f t="shared" si="5"/>
        <v>Environmental Heat</v>
      </c>
      <c r="K71" t="s">
        <v>4152</v>
      </c>
      <c r="L71" t="s">
        <v>1071</v>
      </c>
      <c r="N71" t="s">
        <v>5095</v>
      </c>
      <c r="O71" t="str" cm="1">
        <f t="array" ref="O71">_xlfn.IFS(
  TEXT(TRIM(N71),"00000")="NULL", "Missing/Unknown",
  OR(TEXT(TRIM(N71),"00000")="89101", TEXT(TRIM(N71),"00000")="89104", TEXT(TRIM(N71),"00000")="89106", TEXT(TRIM(N71),"00000")="89102", TEXT(TRIM(N71),"00000")="89107", TEXT(TRIM(N71),"00000")="89108"), "Urban Core",
  OR(TEXT(TRIM(N71),"00000")="89110", TEXT(TRIM(N71),"00000")="89115", TEXT(TRIM(N71),"00000")="89121", TEXT(TRIM(N71),"00000")="89122", TEXT(TRIM(N71),"00000")="89142", TEXT(TRIM(N71),"00000")="89156"), "East Valley",
  OR(TEXT(TRIM(N71),"00000")="89030", TEXT(TRIM(N71),"00000")="89031", TEXT(TRIM(N71),"00000")="89032", TEXT(TRIM(N71),"00000")="89086", TEXT(TRIM(N71),"00000")="89084", TEXT(TRIM(N71),"00000")="89081"), "North LV",
  OR(TEXT(TRIM(N71),"00000")="89109", TEXT(TRIM(N71),"00000")="89103", TEXT(TRIM(N71),"00000")="89119", TEXT(TRIM(N71),"00000")="89123", TEXT(TRIM(N71),"00000")="89169", TEXT(TRIM(N71),"00000")="89118"), "South/Strip",
  OR(TEXT(TRIM(N71),"00000")="89074", TEXT(TRIM(N71),"00000")="89014", TEXT(TRIM(N71),"00000")="89015", TEXT(TRIM(N71),"00000")="89011", TEXT(TRIM(N71),"00000")="89012"), "Suburban SE",
  OR(TEXT(TRIM(N71),"00000")="89117", TEXT(TRIM(N71),"00000")="89128", TEXT(TRIM(N71),"00000")="89135", TEXT(TRIM(N71),"00000")="89144", TEXT(TRIM(N71),"00000")="89145", TEXT(TRIM(N71),"00000")="89147"), "West Valley",
  TRUE, "Other"
)</f>
        <v>Missing/Unknown</v>
      </c>
      <c r="P71" t="s">
        <v>3298</v>
      </c>
      <c r="Q71" t="str">
        <f t="shared" si="6"/>
        <v>Outdoors/Public</v>
      </c>
      <c r="R71" t="s">
        <v>5056</v>
      </c>
      <c r="S71" t="s">
        <v>5127</v>
      </c>
      <c r="T71" t="str" cm="1">
        <f t="array" ref="T71">_xlfn.IFS(
  TEXT(TRIM(S71),"00000")="NULL", "Missing/Unknown",
  OR(TEXT(TRIM(S71),"00000")="89101", TEXT(TRIM(S71),"00000")="89104", TEXT(TRIM(S71),"00000")="89106", TEXT(TRIM(S71),"00000")="89102", TEXT(TRIM(S71),"00000")="89107", TEXT(TRIM(S71),"00000")="89108"), "Urban Core",
  OR(TEXT(TRIM(S71),"00000")="89110", TEXT(TRIM(S71),"00000")="89115", TEXT(TRIM(S71),"00000")="89121", TEXT(TRIM(S71),"00000")="89122", TEXT(TRIM(S71),"00000")="89142", TEXT(TRIM(S71),"00000")="89156"), "East Valley",
  OR(TEXT(TRIM(S71),"00000")="89030", TEXT(TRIM(S71),"00000")="89031", TEXT(TRIM(S71),"00000")="89032", TEXT(TRIM(S71),"00000")="89086", TEXT(TRIM(S71),"00000")="89084", TEXT(TRIM(S71),"00000")="89081"), "North LV",
  OR(TEXT(TRIM(S71),"00000")="89109", TEXT(TRIM(S71),"00000")="89103", TEXT(TRIM(S71),"00000")="89119", TEXT(TRIM(S71),"00000")="89123", TEXT(TRIM(S71),"00000")="89169", TEXT(TRIM(S71),"00000")="89118"), "South/Strip",
  OR(TEXT(TRIM(S71),"00000")="89074", TEXT(TRIM(S71),"00000")="89014", TEXT(TRIM(S71),"00000")="89015", TEXT(TRIM(S71),"00000")="89011", TEXT(TRIM(S71),"00000")="89012"), "Suburban SE",
  OR(TEXT(TRIM(S71),"00000")="89117", TEXT(TRIM(S71),"00000")="89128", TEXT(TRIM(S71),"00000")="89135", TEXT(TRIM(S71),"00000")="89144", TEXT(TRIM(S71),"00000")="89145", TEXT(TRIM(S71),"00000")="89147"), "West Valley",
  TRUE, "Other"
)</f>
        <v>Other</v>
      </c>
      <c r="U71" t="s">
        <v>4304</v>
      </c>
      <c r="V71" t="str">
        <f t="shared" si="7"/>
        <v>Home/Residence</v>
      </c>
    </row>
    <row r="72" spans="1:22">
      <c r="A72" t="s">
        <v>3997</v>
      </c>
      <c r="B72" t="s">
        <v>3998</v>
      </c>
      <c r="C72" s="1">
        <v>45517</v>
      </c>
      <c r="D72" s="4">
        <v>104</v>
      </c>
      <c r="E72">
        <v>40</v>
      </c>
      <c r="F72" t="str">
        <f t="shared" si="4"/>
        <v>40's</v>
      </c>
      <c r="G72" t="str" cm="1">
        <f t="array" ref="G72">_xlfn.IFS(
  F72="10's", "Child (5–12)",
  OR(F72="20's", F72="30's"), "Young Adult (20–39)",
  OR(F72="40's", F72="50's"), "Adult (40–59)",
  OR(F72="60's", F72="70's", F72="80's", F72="90's"), "Senior (60+)",
  TRUE, "Unknown"
)</f>
        <v>Adult (40–59)</v>
      </c>
      <c r="H72" t="s">
        <v>841</v>
      </c>
      <c r="I72" t="s">
        <v>4025</v>
      </c>
      <c r="J72" t="str">
        <f t="shared" si="5"/>
        <v>Methamphetamine-related</v>
      </c>
      <c r="K72" t="s">
        <v>1635</v>
      </c>
      <c r="L72" t="s">
        <v>250</v>
      </c>
      <c r="M72" t="s">
        <v>4336</v>
      </c>
      <c r="N72" t="s">
        <v>5101</v>
      </c>
      <c r="O72" t="str" cm="1">
        <f t="array" ref="O72">_xlfn.IFS(
  TEXT(TRIM(N72),"00000")="NULL", "Missing/Unknown",
  OR(TEXT(TRIM(N72),"00000")="89101", TEXT(TRIM(N72),"00000")="89104", TEXT(TRIM(N72),"00000")="89106", TEXT(TRIM(N72),"00000")="89102", TEXT(TRIM(N72),"00000")="89107", TEXT(TRIM(N72),"00000")="89108"), "Urban Core",
  OR(TEXT(TRIM(N72),"00000")="89110", TEXT(TRIM(N72),"00000")="89115", TEXT(TRIM(N72),"00000")="89121", TEXT(TRIM(N72),"00000")="89122", TEXT(TRIM(N72),"00000")="89142", TEXT(TRIM(N72),"00000")="89156"), "East Valley",
  OR(TEXT(TRIM(N72),"00000")="89030", TEXT(TRIM(N72),"00000")="89031", TEXT(TRIM(N72),"00000")="89032", TEXT(TRIM(N72),"00000")="89086", TEXT(TRIM(N72),"00000")="89084", TEXT(TRIM(N72),"00000")="89081"), "North LV",
  OR(TEXT(TRIM(N72),"00000")="89109", TEXT(TRIM(N72),"00000")="89103", TEXT(TRIM(N72),"00000")="89119", TEXT(TRIM(N72),"00000")="89123", TEXT(TRIM(N72),"00000")="89169", TEXT(TRIM(N72),"00000")="89118"), "South/Strip",
  OR(TEXT(TRIM(N72),"00000")="89074", TEXT(TRIM(N72),"00000")="89014", TEXT(TRIM(N72),"00000")="89015", TEXT(TRIM(N72),"00000")="89011", TEXT(TRIM(N72),"00000")="89012"), "Suburban SE",
  OR(TEXT(TRIM(N72),"00000")="89117", TEXT(TRIM(N72),"00000")="89128", TEXT(TRIM(N72),"00000")="89135", TEXT(TRIM(N72),"00000")="89144", TEXT(TRIM(N72),"00000")="89145", TEXT(TRIM(N72),"00000")="89147"), "West Valley",
  TRUE, "Other"
)</f>
        <v>Urban Core</v>
      </c>
      <c r="P72" t="s">
        <v>3298</v>
      </c>
      <c r="Q72" t="str">
        <f t="shared" si="6"/>
        <v>Outdoors/Public</v>
      </c>
      <c r="R72" t="s">
        <v>4336</v>
      </c>
      <c r="S72" t="s">
        <v>5101</v>
      </c>
      <c r="T72" t="str" cm="1">
        <f t="array" ref="T72">_xlfn.IFS(
  TEXT(TRIM(S72),"00000")="NULL", "Missing/Unknown",
  OR(TEXT(TRIM(S72),"00000")="89101", TEXT(TRIM(S72),"00000")="89104", TEXT(TRIM(S72),"00000")="89106", TEXT(TRIM(S72),"00000")="89102", TEXT(TRIM(S72),"00000")="89107", TEXT(TRIM(S72),"00000")="89108"), "Urban Core",
  OR(TEXT(TRIM(S72),"00000")="89110", TEXT(TRIM(S72),"00000")="89115", TEXT(TRIM(S72),"00000")="89121", TEXT(TRIM(S72),"00000")="89122", TEXT(TRIM(S72),"00000")="89142", TEXT(TRIM(S72),"00000")="89156"), "East Valley",
  OR(TEXT(TRIM(S72),"00000")="89030", TEXT(TRIM(S72),"00000")="89031", TEXT(TRIM(S72),"00000")="89032", TEXT(TRIM(S72),"00000")="89086", TEXT(TRIM(S72),"00000")="89084", TEXT(TRIM(S72),"00000")="89081"), "North LV",
  OR(TEXT(TRIM(S72),"00000")="89109", TEXT(TRIM(S72),"00000")="89103", TEXT(TRIM(S72),"00000")="89119", TEXT(TRIM(S72),"00000")="89123", TEXT(TRIM(S72),"00000")="89169", TEXT(TRIM(S72),"00000")="89118"), "South/Strip",
  OR(TEXT(TRIM(S72),"00000")="89074", TEXT(TRIM(S72),"00000")="89014", TEXT(TRIM(S72),"00000")="89015", TEXT(TRIM(S72),"00000")="89011", TEXT(TRIM(S72),"00000")="89012"), "Suburban SE",
  OR(TEXT(TRIM(S72),"00000")="89117", TEXT(TRIM(S72),"00000")="89128", TEXT(TRIM(S72),"00000")="89135", TEXT(TRIM(S72),"00000")="89144", TEXT(TRIM(S72),"00000")="89145", TEXT(TRIM(S72),"00000")="89147"), "West Valley",
  TRUE, "Other"
)</f>
        <v>Urban Core</v>
      </c>
      <c r="U72" t="s">
        <v>3298</v>
      </c>
      <c r="V72" t="str">
        <f t="shared" si="7"/>
        <v>Outdoors/Public</v>
      </c>
    </row>
    <row r="73" spans="1:22">
      <c r="A73" t="s">
        <v>3463</v>
      </c>
      <c r="B73" t="s">
        <v>3464</v>
      </c>
      <c r="C73" s="1">
        <v>45516</v>
      </c>
      <c r="D73" s="4">
        <v>104</v>
      </c>
      <c r="E73">
        <v>77</v>
      </c>
      <c r="F73" t="str">
        <f t="shared" si="4"/>
        <v>70's</v>
      </c>
      <c r="G73" t="str" cm="1">
        <f t="array" ref="G73">_xlfn.IFS(
  F73="10's", "Child (5–12)",
  OR(F73="20's", F73="30's"), "Young Adult (20–39)",
  OR(F73="40's", F73="50's"), "Adult (40–59)",
  OR(F73="60's", F73="70's", F73="80's", F73="90's"), "Senior (60+)",
  TRUE, "Unknown"
)</f>
        <v>Senior (60+)</v>
      </c>
      <c r="H73" t="s">
        <v>841</v>
      </c>
      <c r="I73" t="s">
        <v>4012</v>
      </c>
      <c r="J73" t="str">
        <f t="shared" si="5"/>
        <v>Cardiovascular Disease</v>
      </c>
      <c r="K73" t="s">
        <v>54</v>
      </c>
      <c r="L73" t="s">
        <v>1071</v>
      </c>
      <c r="M73" t="s">
        <v>4903</v>
      </c>
      <c r="N73" t="s">
        <v>5109</v>
      </c>
      <c r="O73" t="str" cm="1">
        <f t="array" ref="O73">_xlfn.IFS(
  TEXT(TRIM(N73),"00000")="NULL", "Missing/Unknown",
  OR(TEXT(TRIM(N73),"00000")="89101", TEXT(TRIM(N73),"00000")="89104", TEXT(TRIM(N73),"00000")="89106", TEXT(TRIM(N73),"00000")="89102", TEXT(TRIM(N73),"00000")="89107", TEXT(TRIM(N73),"00000")="89108"), "Urban Core",
  OR(TEXT(TRIM(N73),"00000")="89110", TEXT(TRIM(N73),"00000")="89115", TEXT(TRIM(N73),"00000")="89121", TEXT(TRIM(N73),"00000")="89122", TEXT(TRIM(N73),"00000")="89142", TEXT(TRIM(N73),"00000")="89156"), "East Valley",
  OR(TEXT(TRIM(N73),"00000")="89030", TEXT(TRIM(N73),"00000")="89031", TEXT(TRIM(N73),"00000")="89032", TEXT(TRIM(N73),"00000")="89086", TEXT(TRIM(N73),"00000")="89084", TEXT(TRIM(N73),"00000")="89081"), "North LV",
  OR(TEXT(TRIM(N73),"00000")="89109", TEXT(TRIM(N73),"00000")="89103", TEXT(TRIM(N73),"00000")="89119", TEXT(TRIM(N73),"00000")="89123", TEXT(TRIM(N73),"00000")="89169", TEXT(TRIM(N73),"00000")="89118"), "South/Strip",
  OR(TEXT(TRIM(N73),"00000")="89074", TEXT(TRIM(N73),"00000")="89014", TEXT(TRIM(N73),"00000")="89015", TEXT(TRIM(N73),"00000")="89011", TEXT(TRIM(N73),"00000")="89012"), "Suburban SE",
  OR(TEXT(TRIM(N73),"00000")="89117", TEXT(TRIM(N73),"00000")="89128", TEXT(TRIM(N73),"00000")="89135", TEXT(TRIM(N73),"00000")="89144", TEXT(TRIM(N73),"00000")="89145", TEXT(TRIM(N73),"00000")="89147"), "West Valley",
  TRUE, "Other"
)</f>
        <v>South/Strip</v>
      </c>
      <c r="P73" t="s">
        <v>1073</v>
      </c>
      <c r="Q73" t="str">
        <f t="shared" si="6"/>
        <v>Home/Residence</v>
      </c>
      <c r="R73" t="s">
        <v>4903</v>
      </c>
      <c r="S73" t="s">
        <v>5109</v>
      </c>
      <c r="T73" t="str" cm="1">
        <f t="array" ref="T73">_xlfn.IFS(
  TEXT(TRIM(S73),"00000")="NULL", "Missing/Unknown",
  OR(TEXT(TRIM(S73),"00000")="89101", TEXT(TRIM(S73),"00000")="89104", TEXT(TRIM(S73),"00000")="89106", TEXT(TRIM(S73),"00000")="89102", TEXT(TRIM(S73),"00000")="89107", TEXT(TRIM(S73),"00000")="89108"), "Urban Core",
  OR(TEXT(TRIM(S73),"00000")="89110", TEXT(TRIM(S73),"00000")="89115", TEXT(TRIM(S73),"00000")="89121", TEXT(TRIM(S73),"00000")="89122", TEXT(TRIM(S73),"00000")="89142", TEXT(TRIM(S73),"00000")="89156"), "East Valley",
  OR(TEXT(TRIM(S73),"00000")="89030", TEXT(TRIM(S73),"00000")="89031", TEXT(TRIM(S73),"00000")="89032", TEXT(TRIM(S73),"00000")="89086", TEXT(TRIM(S73),"00000")="89084", TEXT(TRIM(S73),"00000")="89081"), "North LV",
  OR(TEXT(TRIM(S73),"00000")="89109", TEXT(TRIM(S73),"00000")="89103", TEXT(TRIM(S73),"00000")="89119", TEXT(TRIM(S73),"00000")="89123", TEXT(TRIM(S73),"00000")="89169", TEXT(TRIM(S73),"00000")="89118"), "South/Strip",
  OR(TEXT(TRIM(S73),"00000")="89074", TEXT(TRIM(S73),"00000")="89014", TEXT(TRIM(S73),"00000")="89015", TEXT(TRIM(S73),"00000")="89011", TEXT(TRIM(S73),"00000")="89012"), "Suburban SE",
  OR(TEXT(TRIM(S73),"00000")="89117", TEXT(TRIM(S73),"00000")="89128", TEXT(TRIM(S73),"00000")="89135", TEXT(TRIM(S73),"00000")="89144", TEXT(TRIM(S73),"00000")="89145", TEXT(TRIM(S73),"00000")="89147"), "West Valley",
  TRUE, "Other"
)</f>
        <v>South/Strip</v>
      </c>
      <c r="U73" t="s">
        <v>1073</v>
      </c>
      <c r="V73" t="str">
        <f t="shared" si="7"/>
        <v>Home/Residence</v>
      </c>
    </row>
    <row r="74" spans="1:22">
      <c r="A74" t="s">
        <v>2894</v>
      </c>
      <c r="B74" t="s">
        <v>2895</v>
      </c>
      <c r="C74" s="1">
        <v>45516</v>
      </c>
      <c r="D74" s="4">
        <v>104</v>
      </c>
      <c r="E74">
        <v>75</v>
      </c>
      <c r="F74" t="str">
        <f t="shared" si="4"/>
        <v>70's</v>
      </c>
      <c r="G74" t="str" cm="1">
        <f t="array" ref="G74">_xlfn.IFS(
  F74="10's", "Child (5–12)",
  OR(F74="20's", F74="30's"), "Young Adult (20–39)",
  OR(F74="40's", F74="50's"), "Adult (40–59)",
  OR(F74="60's", F74="70's", F74="80's", F74="90's"), "Senior (60+)",
  TRUE, "Unknown"
)</f>
        <v>Senior (60+)</v>
      </c>
      <c r="H74" t="s">
        <v>841</v>
      </c>
      <c r="I74" t="s">
        <v>35</v>
      </c>
      <c r="J74" t="str">
        <f t="shared" si="5"/>
        <v>Environmental Heat</v>
      </c>
      <c r="K74" t="s">
        <v>28</v>
      </c>
      <c r="L74" t="s">
        <v>250</v>
      </c>
      <c r="M74" t="s">
        <v>4963</v>
      </c>
      <c r="N74" t="s">
        <v>5098</v>
      </c>
      <c r="O74" t="str" cm="1">
        <f t="array" ref="O74">_xlfn.IFS(
  TEXT(TRIM(N74),"00000")="NULL", "Missing/Unknown",
  OR(TEXT(TRIM(N74),"00000")="89101", TEXT(TRIM(N74),"00000")="89104", TEXT(TRIM(N74),"00000")="89106", TEXT(TRIM(N74),"00000")="89102", TEXT(TRIM(N74),"00000")="89107", TEXT(TRIM(N74),"00000")="89108"), "Urban Core",
  OR(TEXT(TRIM(N74),"00000")="89110", TEXT(TRIM(N74),"00000")="89115", TEXT(TRIM(N74),"00000")="89121", TEXT(TRIM(N74),"00000")="89122", TEXT(TRIM(N74),"00000")="89142", TEXT(TRIM(N74),"00000")="89156"), "East Valley",
  OR(TEXT(TRIM(N74),"00000")="89030", TEXT(TRIM(N74),"00000")="89031", TEXT(TRIM(N74),"00000")="89032", TEXT(TRIM(N74),"00000")="89086", TEXT(TRIM(N74),"00000")="89084", TEXT(TRIM(N74),"00000")="89081"), "North LV",
  OR(TEXT(TRIM(N74),"00000")="89109", TEXT(TRIM(N74),"00000")="89103", TEXT(TRIM(N74),"00000")="89119", TEXT(TRIM(N74),"00000")="89123", TEXT(TRIM(N74),"00000")="89169", TEXT(TRIM(N74),"00000")="89118"), "South/Strip",
  OR(TEXT(TRIM(N74),"00000")="89074", TEXT(TRIM(N74),"00000")="89014", TEXT(TRIM(N74),"00000")="89015", TEXT(TRIM(N74),"00000")="89011", TEXT(TRIM(N74),"00000")="89012"), "Suburban SE",
  OR(TEXT(TRIM(N74),"00000")="89117", TEXT(TRIM(N74),"00000")="89128", TEXT(TRIM(N74),"00000")="89135", TEXT(TRIM(N74),"00000")="89144", TEXT(TRIM(N74),"00000")="89145", TEXT(TRIM(N74),"00000")="89147"), "West Valley",
  TRUE, "Other"
)</f>
        <v>Urban Core</v>
      </c>
      <c r="P74" t="s">
        <v>2897</v>
      </c>
      <c r="Q74" t="str">
        <f t="shared" si="6"/>
        <v>Home/Residence</v>
      </c>
      <c r="R74" t="s">
        <v>4963</v>
      </c>
      <c r="S74" t="s">
        <v>5098</v>
      </c>
      <c r="T74" t="str" cm="1">
        <f t="array" ref="T74">_xlfn.IFS(
  TEXT(TRIM(S74),"00000")="NULL", "Missing/Unknown",
  OR(TEXT(TRIM(S74),"00000")="89101", TEXT(TRIM(S74),"00000")="89104", TEXT(TRIM(S74),"00000")="89106", TEXT(TRIM(S74),"00000")="89102", TEXT(TRIM(S74),"00000")="89107", TEXT(TRIM(S74),"00000")="89108"), "Urban Core",
  OR(TEXT(TRIM(S74),"00000")="89110", TEXT(TRIM(S74),"00000")="89115", TEXT(TRIM(S74),"00000")="89121", TEXT(TRIM(S74),"00000")="89122", TEXT(TRIM(S74),"00000")="89142", TEXT(TRIM(S74),"00000")="89156"), "East Valley",
  OR(TEXT(TRIM(S74),"00000")="89030", TEXT(TRIM(S74),"00000")="89031", TEXT(TRIM(S74),"00000")="89032", TEXT(TRIM(S74),"00000")="89086", TEXT(TRIM(S74),"00000")="89084", TEXT(TRIM(S74),"00000")="89081"), "North LV",
  OR(TEXT(TRIM(S74),"00000")="89109", TEXT(TRIM(S74),"00000")="89103", TEXT(TRIM(S74),"00000")="89119", TEXT(TRIM(S74),"00000")="89123", TEXT(TRIM(S74),"00000")="89169", TEXT(TRIM(S74),"00000")="89118"), "South/Strip",
  OR(TEXT(TRIM(S74),"00000")="89074", TEXT(TRIM(S74),"00000")="89014", TEXT(TRIM(S74),"00000")="89015", TEXT(TRIM(S74),"00000")="89011", TEXT(TRIM(S74),"00000")="89012"), "Suburban SE",
  OR(TEXT(TRIM(S74),"00000")="89117", TEXT(TRIM(S74),"00000")="89128", TEXT(TRIM(S74),"00000")="89135", TEXT(TRIM(S74),"00000")="89144", TEXT(TRIM(S74),"00000")="89145", TEXT(TRIM(S74),"00000")="89147"), "West Valley",
  TRUE, "Other"
)</f>
        <v>Urban Core</v>
      </c>
      <c r="U74" t="s">
        <v>2897</v>
      </c>
      <c r="V74" t="str">
        <f t="shared" si="7"/>
        <v>Home/Residence</v>
      </c>
    </row>
    <row r="75" spans="1:22">
      <c r="A75" t="s">
        <v>2584</v>
      </c>
      <c r="B75" t="s">
        <v>2585</v>
      </c>
      <c r="C75" s="1">
        <v>45516</v>
      </c>
      <c r="D75" s="4">
        <v>104</v>
      </c>
      <c r="E75">
        <v>72</v>
      </c>
      <c r="F75" t="str">
        <f t="shared" si="4"/>
        <v>70's</v>
      </c>
      <c r="G75" t="str" cm="1">
        <f t="array" ref="G75">_xlfn.IFS(
  F75="10's", "Child (5–12)",
  OR(F75="20's", F75="30's"), "Young Adult (20–39)",
  OR(F75="40's", F75="50's"), "Adult (40–59)",
  OR(F75="60's", F75="70's", F75="80's", F75="90's"), "Senior (60+)",
  TRUE, "Unknown"
)</f>
        <v>Senior (60+)</v>
      </c>
      <c r="H75" t="s">
        <v>841</v>
      </c>
      <c r="I75" t="s">
        <v>1582</v>
      </c>
      <c r="J75" t="str">
        <f t="shared" si="5"/>
        <v>Cardiovascular Disease</v>
      </c>
      <c r="K75" t="s">
        <v>35</v>
      </c>
      <c r="L75" t="s">
        <v>1071</v>
      </c>
      <c r="M75" t="s">
        <v>5003</v>
      </c>
      <c r="N75" t="s">
        <v>5101</v>
      </c>
      <c r="O75" t="str" cm="1">
        <f t="array" ref="O75">_xlfn.IFS(
  TEXT(TRIM(N75),"00000")="NULL", "Missing/Unknown",
  OR(TEXT(TRIM(N75),"00000")="89101", TEXT(TRIM(N75),"00000")="89104", TEXT(TRIM(N75),"00000")="89106", TEXT(TRIM(N75),"00000")="89102", TEXT(TRIM(N75),"00000")="89107", TEXT(TRIM(N75),"00000")="89108"), "Urban Core",
  OR(TEXT(TRIM(N75),"00000")="89110", TEXT(TRIM(N75),"00000")="89115", TEXT(TRIM(N75),"00000")="89121", TEXT(TRIM(N75),"00000")="89122", TEXT(TRIM(N75),"00000")="89142", TEXT(TRIM(N75),"00000")="89156"), "East Valley",
  OR(TEXT(TRIM(N75),"00000")="89030", TEXT(TRIM(N75),"00000")="89031", TEXT(TRIM(N75),"00000")="89032", TEXT(TRIM(N75),"00000")="89086", TEXT(TRIM(N75),"00000")="89084", TEXT(TRIM(N75),"00000")="89081"), "North LV",
  OR(TEXT(TRIM(N75),"00000")="89109", TEXT(TRIM(N75),"00000")="89103", TEXT(TRIM(N75),"00000")="89119", TEXT(TRIM(N75),"00000")="89123", TEXT(TRIM(N75),"00000")="89169", TEXT(TRIM(N75),"00000")="89118"), "South/Strip",
  OR(TEXT(TRIM(N75),"00000")="89074", TEXT(TRIM(N75),"00000")="89014", TEXT(TRIM(N75),"00000")="89015", TEXT(TRIM(N75),"00000")="89011", TEXT(TRIM(N75),"00000")="89012"), "Suburban SE",
  OR(TEXT(TRIM(N75),"00000")="89117", TEXT(TRIM(N75),"00000")="89128", TEXT(TRIM(N75),"00000")="89135", TEXT(TRIM(N75),"00000")="89144", TEXT(TRIM(N75),"00000")="89145", TEXT(TRIM(N75),"00000")="89147"), "West Valley",
  TRUE, "Other"
)</f>
        <v>Urban Core</v>
      </c>
      <c r="P75" t="s">
        <v>3298</v>
      </c>
      <c r="Q75" t="str">
        <f t="shared" si="6"/>
        <v>Outdoors/Public</v>
      </c>
      <c r="R75" t="s">
        <v>5003</v>
      </c>
      <c r="S75" t="s">
        <v>5101</v>
      </c>
      <c r="T75" t="str" cm="1">
        <f t="array" ref="T75">_xlfn.IFS(
  TEXT(TRIM(S75),"00000")="NULL", "Missing/Unknown",
  OR(TEXT(TRIM(S75),"00000")="89101", TEXT(TRIM(S75),"00000")="89104", TEXT(TRIM(S75),"00000")="89106", TEXT(TRIM(S75),"00000")="89102", TEXT(TRIM(S75),"00000")="89107", TEXT(TRIM(S75),"00000")="89108"), "Urban Core",
  OR(TEXT(TRIM(S75),"00000")="89110", TEXT(TRIM(S75),"00000")="89115", TEXT(TRIM(S75),"00000")="89121", TEXT(TRIM(S75),"00000")="89122", TEXT(TRIM(S75),"00000")="89142", TEXT(TRIM(S75),"00000")="89156"), "East Valley",
  OR(TEXT(TRIM(S75),"00000")="89030", TEXT(TRIM(S75),"00000")="89031", TEXT(TRIM(S75),"00000")="89032", TEXT(TRIM(S75),"00000")="89086", TEXT(TRIM(S75),"00000")="89084", TEXT(TRIM(S75),"00000")="89081"), "North LV",
  OR(TEXT(TRIM(S75),"00000")="89109", TEXT(TRIM(S75),"00000")="89103", TEXT(TRIM(S75),"00000")="89119", TEXT(TRIM(S75),"00000")="89123", TEXT(TRIM(S75),"00000")="89169", TEXT(TRIM(S75),"00000")="89118"), "South/Strip",
  OR(TEXT(TRIM(S75),"00000")="89074", TEXT(TRIM(S75),"00000")="89014", TEXT(TRIM(S75),"00000")="89015", TEXT(TRIM(S75),"00000")="89011", TEXT(TRIM(S75),"00000")="89012"), "Suburban SE",
  OR(TEXT(TRIM(S75),"00000")="89117", TEXT(TRIM(S75),"00000")="89128", TEXT(TRIM(S75),"00000")="89135", TEXT(TRIM(S75),"00000")="89144", TEXT(TRIM(S75),"00000")="89145", TEXT(TRIM(S75),"00000")="89147"), "West Valley",
  TRUE, "Other"
)</f>
        <v>Urban Core</v>
      </c>
      <c r="U75" t="s">
        <v>3298</v>
      </c>
      <c r="V75" t="str">
        <f t="shared" si="7"/>
        <v>Outdoors/Public</v>
      </c>
    </row>
    <row r="76" spans="1:22">
      <c r="A76" t="s">
        <v>2401</v>
      </c>
      <c r="B76" t="s">
        <v>2402</v>
      </c>
      <c r="C76" s="1">
        <v>45516</v>
      </c>
      <c r="D76" s="4">
        <v>104</v>
      </c>
      <c r="E76">
        <v>79</v>
      </c>
      <c r="F76" t="str">
        <f t="shared" si="4"/>
        <v>70's</v>
      </c>
      <c r="G76" t="str" cm="1">
        <f t="array" ref="G76">_xlfn.IFS(
  F76="10's", "Child (5–12)",
  OR(F76="20's", F76="30's"), "Young Adult (20–39)",
  OR(F76="40's", F76="50's"), "Adult (40–59)",
  OR(F76="60's", F76="70's", F76="80's", F76="90's"), "Senior (60+)",
  TRUE, "Unknown"
)</f>
        <v>Senior (60+)</v>
      </c>
      <c r="H76" t="s">
        <v>841</v>
      </c>
      <c r="I76" t="s">
        <v>4026</v>
      </c>
      <c r="J76" t="str">
        <f t="shared" si="5"/>
        <v>Methamphetamine-related</v>
      </c>
      <c r="K76" t="s">
        <v>54</v>
      </c>
      <c r="L76" t="s">
        <v>1071</v>
      </c>
      <c r="M76" t="s">
        <v>4665</v>
      </c>
      <c r="N76" t="s">
        <v>5107</v>
      </c>
      <c r="O76" t="str" cm="1">
        <f t="array" ref="O76">_xlfn.IFS(
  TEXT(TRIM(N76),"00000")="NULL", "Missing/Unknown",
  OR(TEXT(TRIM(N76),"00000")="89101", TEXT(TRIM(N76),"00000")="89104", TEXT(TRIM(N76),"00000")="89106", TEXT(TRIM(N76),"00000")="89102", TEXT(TRIM(N76),"00000")="89107", TEXT(TRIM(N76),"00000")="89108"), "Urban Core",
  OR(TEXT(TRIM(N76),"00000")="89110", TEXT(TRIM(N76),"00000")="89115", TEXT(TRIM(N76),"00000")="89121", TEXT(TRIM(N76),"00000")="89122", TEXT(TRIM(N76),"00000")="89142", TEXT(TRIM(N76),"00000")="89156"), "East Valley",
  OR(TEXT(TRIM(N76),"00000")="89030", TEXT(TRIM(N76),"00000")="89031", TEXT(TRIM(N76),"00000")="89032", TEXT(TRIM(N76),"00000")="89086", TEXT(TRIM(N76),"00000")="89084", TEXT(TRIM(N76),"00000")="89081"), "North LV",
  OR(TEXT(TRIM(N76),"00000")="89109", TEXT(TRIM(N76),"00000")="89103", TEXT(TRIM(N76),"00000")="89119", TEXT(TRIM(N76),"00000")="89123", TEXT(TRIM(N76),"00000")="89169", TEXT(TRIM(N76),"00000")="89118"), "South/Strip",
  OR(TEXT(TRIM(N76),"00000")="89074", TEXT(TRIM(N76),"00000")="89014", TEXT(TRIM(N76),"00000")="89015", TEXT(TRIM(N76),"00000")="89011", TEXT(TRIM(N76),"00000")="89012"), "Suburban SE",
  OR(TEXT(TRIM(N76),"00000")="89117", TEXT(TRIM(N76),"00000")="89128", TEXT(TRIM(N76),"00000")="89135", TEXT(TRIM(N76),"00000")="89144", TEXT(TRIM(N76),"00000")="89145", TEXT(TRIM(N76),"00000")="89147"), "West Valley",
  TRUE, "Other"
)</f>
        <v>South/Strip</v>
      </c>
      <c r="P76" t="s">
        <v>3298</v>
      </c>
      <c r="Q76" t="str">
        <f t="shared" si="6"/>
        <v>Outdoors/Public</v>
      </c>
      <c r="R76" t="s">
        <v>4665</v>
      </c>
      <c r="S76" t="s">
        <v>5107</v>
      </c>
      <c r="T76" t="str" cm="1">
        <f t="array" ref="T76">_xlfn.IFS(
  TEXT(TRIM(S76),"00000")="NULL", "Missing/Unknown",
  OR(TEXT(TRIM(S76),"00000")="89101", TEXT(TRIM(S76),"00000")="89104", TEXT(TRIM(S76),"00000")="89106", TEXT(TRIM(S76),"00000")="89102", TEXT(TRIM(S76),"00000")="89107", TEXT(TRIM(S76),"00000")="89108"), "Urban Core",
  OR(TEXT(TRIM(S76),"00000")="89110", TEXT(TRIM(S76),"00000")="89115", TEXT(TRIM(S76),"00000")="89121", TEXT(TRIM(S76),"00000")="89122", TEXT(TRIM(S76),"00000")="89142", TEXT(TRIM(S76),"00000")="89156"), "East Valley",
  OR(TEXT(TRIM(S76),"00000")="89030", TEXT(TRIM(S76),"00000")="89031", TEXT(TRIM(S76),"00000")="89032", TEXT(TRIM(S76),"00000")="89086", TEXT(TRIM(S76),"00000")="89084", TEXT(TRIM(S76),"00000")="89081"), "North LV",
  OR(TEXT(TRIM(S76),"00000")="89109", TEXT(TRIM(S76),"00000")="89103", TEXT(TRIM(S76),"00000")="89119", TEXT(TRIM(S76),"00000")="89123", TEXT(TRIM(S76),"00000")="89169", TEXT(TRIM(S76),"00000")="89118"), "South/Strip",
  OR(TEXT(TRIM(S76),"00000")="89074", TEXT(TRIM(S76),"00000")="89014", TEXT(TRIM(S76),"00000")="89015", TEXT(TRIM(S76),"00000")="89011", TEXT(TRIM(S76),"00000")="89012"), "Suburban SE",
  OR(TEXT(TRIM(S76),"00000")="89117", TEXT(TRIM(S76),"00000")="89128", TEXT(TRIM(S76),"00000")="89135", TEXT(TRIM(S76),"00000")="89144", TEXT(TRIM(S76),"00000")="89145", TEXT(TRIM(S76),"00000")="89147"), "West Valley",
  TRUE, "Other"
)</f>
        <v>South/Strip</v>
      </c>
      <c r="U76" t="s">
        <v>3298</v>
      </c>
      <c r="V76" t="str">
        <f t="shared" si="7"/>
        <v>Outdoors/Public</v>
      </c>
    </row>
    <row r="77" spans="1:22">
      <c r="A77" t="s">
        <v>3244</v>
      </c>
      <c r="B77" t="s">
        <v>3245</v>
      </c>
      <c r="C77" s="1">
        <v>45516</v>
      </c>
      <c r="D77" s="4">
        <v>104</v>
      </c>
      <c r="E77">
        <v>81</v>
      </c>
      <c r="F77" t="str">
        <f t="shared" si="4"/>
        <v>80's</v>
      </c>
      <c r="G77" t="str" cm="1">
        <f t="array" ref="G77">_xlfn.IFS(
  F77="10's", "Child (5–12)",
  OR(F77="20's", F77="30's"), "Young Adult (20–39)",
  OR(F77="40's", F77="50's"), "Adult (40–59)",
  OR(F77="60's", F77="70's", F77="80's", F77="90's"), "Senior (60+)",
  TRUE, "Unknown"
)</f>
        <v>Senior (60+)</v>
      </c>
      <c r="H77" t="s">
        <v>841</v>
      </c>
      <c r="I77" t="s">
        <v>54</v>
      </c>
      <c r="J77" t="str">
        <f t="shared" si="5"/>
        <v>Environmental Heat</v>
      </c>
      <c r="K77" t="s">
        <v>63</v>
      </c>
      <c r="L77" t="s">
        <v>1071</v>
      </c>
      <c r="M77" t="s">
        <v>4902</v>
      </c>
      <c r="N77" t="s">
        <v>5121</v>
      </c>
      <c r="O77" t="str" cm="1">
        <f t="array" ref="O77">_xlfn.IFS(
  TEXT(TRIM(N77),"00000")="NULL", "Missing/Unknown",
  OR(TEXT(TRIM(N77),"00000")="89101", TEXT(TRIM(N77),"00000")="89104", TEXT(TRIM(N77),"00000")="89106", TEXT(TRIM(N77),"00000")="89102", TEXT(TRIM(N77),"00000")="89107", TEXT(TRIM(N77),"00000")="89108"), "Urban Core",
  OR(TEXT(TRIM(N77),"00000")="89110", TEXT(TRIM(N77),"00000")="89115", TEXT(TRIM(N77),"00000")="89121", TEXT(TRIM(N77),"00000")="89122", TEXT(TRIM(N77),"00000")="89142", TEXT(TRIM(N77),"00000")="89156"), "East Valley",
  OR(TEXT(TRIM(N77),"00000")="89030", TEXT(TRIM(N77),"00000")="89031", TEXT(TRIM(N77),"00000")="89032", TEXT(TRIM(N77),"00000")="89086", TEXT(TRIM(N77),"00000")="89084", TEXT(TRIM(N77),"00000")="89081"), "North LV",
  OR(TEXT(TRIM(N77),"00000")="89109", TEXT(TRIM(N77),"00000")="89103", TEXT(TRIM(N77),"00000")="89119", TEXT(TRIM(N77),"00000")="89123", TEXT(TRIM(N77),"00000")="89169", TEXT(TRIM(N77),"00000")="89118"), "South/Strip",
  OR(TEXT(TRIM(N77),"00000")="89074", TEXT(TRIM(N77),"00000")="89014", TEXT(TRIM(N77),"00000")="89015", TEXT(TRIM(N77),"00000")="89011", TEXT(TRIM(N77),"00000")="89012"), "Suburban SE",
  OR(TEXT(TRIM(N77),"00000")="89117", TEXT(TRIM(N77),"00000")="89128", TEXT(TRIM(N77),"00000")="89135", TEXT(TRIM(N77),"00000")="89144", TEXT(TRIM(N77),"00000")="89145", TEXT(TRIM(N77),"00000")="89147"), "West Valley",
  TRUE, "Other"
)</f>
        <v>East Valley</v>
      </c>
      <c r="P77" t="s">
        <v>1073</v>
      </c>
      <c r="Q77" t="str">
        <f t="shared" si="6"/>
        <v>Home/Residence</v>
      </c>
      <c r="R77" t="s">
        <v>4902</v>
      </c>
      <c r="S77" t="s">
        <v>5121</v>
      </c>
      <c r="T77" t="str" cm="1">
        <f t="array" ref="T77">_xlfn.IFS(
  TEXT(TRIM(S77),"00000")="NULL", "Missing/Unknown",
  OR(TEXT(TRIM(S77),"00000")="89101", TEXT(TRIM(S77),"00000")="89104", TEXT(TRIM(S77),"00000")="89106", TEXT(TRIM(S77),"00000")="89102", TEXT(TRIM(S77),"00000")="89107", TEXT(TRIM(S77),"00000")="89108"), "Urban Core",
  OR(TEXT(TRIM(S77),"00000")="89110", TEXT(TRIM(S77),"00000")="89115", TEXT(TRIM(S77),"00000")="89121", TEXT(TRIM(S77),"00000")="89122", TEXT(TRIM(S77),"00000")="89142", TEXT(TRIM(S77),"00000")="89156"), "East Valley",
  OR(TEXT(TRIM(S77),"00000")="89030", TEXT(TRIM(S77),"00000")="89031", TEXT(TRIM(S77),"00000")="89032", TEXT(TRIM(S77),"00000")="89086", TEXT(TRIM(S77),"00000")="89084", TEXT(TRIM(S77),"00000")="89081"), "North LV",
  OR(TEXT(TRIM(S77),"00000")="89109", TEXT(TRIM(S77),"00000")="89103", TEXT(TRIM(S77),"00000")="89119", TEXT(TRIM(S77),"00000")="89123", TEXT(TRIM(S77),"00000")="89169", TEXT(TRIM(S77),"00000")="89118"), "South/Strip",
  OR(TEXT(TRIM(S77),"00000")="89074", TEXT(TRIM(S77),"00000")="89014", TEXT(TRIM(S77),"00000")="89015", TEXT(TRIM(S77),"00000")="89011", TEXT(TRIM(S77),"00000")="89012"), "Suburban SE",
  OR(TEXT(TRIM(S77),"00000")="89117", TEXT(TRIM(S77),"00000")="89128", TEXT(TRIM(S77),"00000")="89135", TEXT(TRIM(S77),"00000")="89144", TEXT(TRIM(S77),"00000")="89145", TEXT(TRIM(S77),"00000")="89147"), "West Valley",
  TRUE, "Other"
)</f>
        <v>East Valley</v>
      </c>
      <c r="U77" t="s">
        <v>1073</v>
      </c>
      <c r="V77" t="str">
        <f t="shared" si="7"/>
        <v>Home/Residence</v>
      </c>
    </row>
    <row r="78" spans="1:22">
      <c r="A78" t="s">
        <v>2511</v>
      </c>
      <c r="B78" t="s">
        <v>2512</v>
      </c>
      <c r="C78" s="1">
        <v>45516</v>
      </c>
      <c r="D78" s="4">
        <v>104</v>
      </c>
      <c r="E78">
        <v>64</v>
      </c>
      <c r="F78" t="str">
        <f t="shared" si="4"/>
        <v>60's</v>
      </c>
      <c r="G78" t="str" cm="1">
        <f t="array" ref="G78">_xlfn.IFS(
  F78="10's", "Child (5–12)",
  OR(F78="20's", F78="30's"), "Young Adult (20–39)",
  OR(F78="40's", F78="50's"), "Adult (40–59)",
  OR(F78="60's", F78="70's", F78="80's", F78="90's"), "Senior (60+)",
  TRUE, "Unknown"
)</f>
        <v>Senior (60+)</v>
      </c>
      <c r="H78" t="s">
        <v>841</v>
      </c>
      <c r="I78" t="s">
        <v>34</v>
      </c>
      <c r="J78" t="str">
        <f t="shared" si="5"/>
        <v>Methamphetamine-related</v>
      </c>
      <c r="K78" t="s">
        <v>54</v>
      </c>
      <c r="L78" t="s">
        <v>250</v>
      </c>
      <c r="M78" t="s">
        <v>4336</v>
      </c>
      <c r="N78" t="s">
        <v>5101</v>
      </c>
      <c r="O78" t="str" cm="1">
        <f t="array" ref="O78">_xlfn.IFS(
  TEXT(TRIM(N78),"00000")="NULL", "Missing/Unknown",
  OR(TEXT(TRIM(N78),"00000")="89101", TEXT(TRIM(N78),"00000")="89104", TEXT(TRIM(N78),"00000")="89106", TEXT(TRIM(N78),"00000")="89102", TEXT(TRIM(N78),"00000")="89107", TEXT(TRIM(N78),"00000")="89108"), "Urban Core",
  OR(TEXT(TRIM(N78),"00000")="89110", TEXT(TRIM(N78),"00000")="89115", TEXT(TRIM(N78),"00000")="89121", TEXT(TRIM(N78),"00000")="89122", TEXT(TRIM(N78),"00000")="89142", TEXT(TRIM(N78),"00000")="89156"), "East Valley",
  OR(TEXT(TRIM(N78),"00000")="89030", TEXT(TRIM(N78),"00000")="89031", TEXT(TRIM(N78),"00000")="89032", TEXT(TRIM(N78),"00000")="89086", TEXT(TRIM(N78),"00000")="89084", TEXT(TRIM(N78),"00000")="89081"), "North LV",
  OR(TEXT(TRIM(N78),"00000")="89109", TEXT(TRIM(N78),"00000")="89103", TEXT(TRIM(N78),"00000")="89119", TEXT(TRIM(N78),"00000")="89123", TEXT(TRIM(N78),"00000")="89169", TEXT(TRIM(N78),"00000")="89118"), "South/Strip",
  OR(TEXT(TRIM(N78),"00000")="89074", TEXT(TRIM(N78),"00000")="89014", TEXT(TRIM(N78),"00000")="89015", TEXT(TRIM(N78),"00000")="89011", TEXT(TRIM(N78),"00000")="89012"), "Suburban SE",
  OR(TEXT(TRIM(N78),"00000")="89117", TEXT(TRIM(N78),"00000")="89128", TEXT(TRIM(N78),"00000")="89135", TEXT(TRIM(N78),"00000")="89144", TEXT(TRIM(N78),"00000")="89145", TEXT(TRIM(N78),"00000")="89147"), "West Valley",
  TRUE, "Other"
)</f>
        <v>Urban Core</v>
      </c>
      <c r="P78" t="s">
        <v>3298</v>
      </c>
      <c r="Q78" t="str">
        <f t="shared" si="6"/>
        <v>Outdoors/Public</v>
      </c>
      <c r="R78" t="s">
        <v>4336</v>
      </c>
      <c r="S78" t="s">
        <v>5101</v>
      </c>
      <c r="T78" t="str" cm="1">
        <f t="array" ref="T78">_xlfn.IFS(
  TEXT(TRIM(S78),"00000")="NULL", "Missing/Unknown",
  OR(TEXT(TRIM(S78),"00000")="89101", TEXT(TRIM(S78),"00000")="89104", TEXT(TRIM(S78),"00000")="89106", TEXT(TRIM(S78),"00000")="89102", TEXT(TRIM(S78),"00000")="89107", TEXT(TRIM(S78),"00000")="89108"), "Urban Core",
  OR(TEXT(TRIM(S78),"00000")="89110", TEXT(TRIM(S78),"00000")="89115", TEXT(TRIM(S78),"00000")="89121", TEXT(TRIM(S78),"00000")="89122", TEXT(TRIM(S78),"00000")="89142", TEXT(TRIM(S78),"00000")="89156"), "East Valley",
  OR(TEXT(TRIM(S78),"00000")="89030", TEXT(TRIM(S78),"00000")="89031", TEXT(TRIM(S78),"00000")="89032", TEXT(TRIM(S78),"00000")="89086", TEXT(TRIM(S78),"00000")="89084", TEXT(TRIM(S78),"00000")="89081"), "North LV",
  OR(TEXT(TRIM(S78),"00000")="89109", TEXT(TRIM(S78),"00000")="89103", TEXT(TRIM(S78),"00000")="89119", TEXT(TRIM(S78),"00000")="89123", TEXT(TRIM(S78),"00000")="89169", TEXT(TRIM(S78),"00000")="89118"), "South/Strip",
  OR(TEXT(TRIM(S78),"00000")="89074", TEXT(TRIM(S78),"00000")="89014", TEXT(TRIM(S78),"00000")="89015", TEXT(TRIM(S78),"00000")="89011", TEXT(TRIM(S78),"00000")="89012"), "Suburban SE",
  OR(TEXT(TRIM(S78),"00000")="89117", TEXT(TRIM(S78),"00000")="89128", TEXT(TRIM(S78),"00000")="89135", TEXT(TRIM(S78),"00000")="89144", TEXT(TRIM(S78),"00000")="89145", TEXT(TRIM(S78),"00000")="89147"), "West Valley",
  TRUE, "Other"
)</f>
        <v>Urban Core</v>
      </c>
      <c r="U78" t="s">
        <v>3298</v>
      </c>
      <c r="V78" t="str">
        <f t="shared" si="7"/>
        <v>Outdoors/Public</v>
      </c>
    </row>
    <row r="79" spans="1:22">
      <c r="A79" t="s">
        <v>4000</v>
      </c>
      <c r="B79" t="s">
        <v>4001</v>
      </c>
      <c r="C79" s="1">
        <v>45516</v>
      </c>
      <c r="D79" s="4">
        <v>104</v>
      </c>
      <c r="E79">
        <v>70</v>
      </c>
      <c r="F79" t="str">
        <f t="shared" si="4"/>
        <v>70's</v>
      </c>
      <c r="G79" t="str" cm="1">
        <f t="array" ref="G79">_xlfn.IFS(
  F79="10's", "Child (5–12)",
  OR(F79="20's", F79="30's"), "Young Adult (20–39)",
  OR(F79="40's", F79="50's"), "Adult (40–59)",
  OR(F79="60's", F79="70's", F79="80's", F79="90's"), "Senior (60+)",
  TRUE, "Unknown"
)</f>
        <v>Senior (60+)</v>
      </c>
      <c r="H79" t="s">
        <v>841</v>
      </c>
      <c r="I79" t="s">
        <v>4028</v>
      </c>
      <c r="J79" t="str">
        <f t="shared" si="5"/>
        <v>Other / Unknown</v>
      </c>
      <c r="K79" t="s">
        <v>54</v>
      </c>
      <c r="L79" t="s">
        <v>250</v>
      </c>
      <c r="N79" t="s">
        <v>5095</v>
      </c>
      <c r="O79" t="str" cm="1">
        <f t="array" ref="O79">_xlfn.IFS(
  TEXT(TRIM(N79),"00000")="NULL", "Missing/Unknown",
  OR(TEXT(TRIM(N79),"00000")="89101", TEXT(TRIM(N79),"00000")="89104", TEXT(TRIM(N79),"00000")="89106", TEXT(TRIM(N79),"00000")="89102", TEXT(TRIM(N79),"00000")="89107", TEXT(TRIM(N79),"00000")="89108"), "Urban Core",
  OR(TEXT(TRIM(N79),"00000")="89110", TEXT(TRIM(N79),"00000")="89115", TEXT(TRIM(N79),"00000")="89121", TEXT(TRIM(N79),"00000")="89122", TEXT(TRIM(N79),"00000")="89142", TEXT(TRIM(N79),"00000")="89156"), "East Valley",
  OR(TEXT(TRIM(N79),"00000")="89030", TEXT(TRIM(N79),"00000")="89031", TEXT(TRIM(N79),"00000")="89032", TEXT(TRIM(N79),"00000")="89086", TEXT(TRIM(N79),"00000")="89084", TEXT(TRIM(N79),"00000")="89081"), "North LV",
  OR(TEXT(TRIM(N79),"00000")="89109", TEXT(TRIM(N79),"00000")="89103", TEXT(TRIM(N79),"00000")="89119", TEXT(TRIM(N79),"00000")="89123", TEXT(TRIM(N79),"00000")="89169", TEXT(TRIM(N79),"00000")="89118"), "South/Strip",
  OR(TEXT(TRIM(N79),"00000")="89074", TEXT(TRIM(N79),"00000")="89014", TEXT(TRIM(N79),"00000")="89015", TEXT(TRIM(N79),"00000")="89011", TEXT(TRIM(N79),"00000")="89012"), "Suburban SE",
  OR(TEXT(TRIM(N79),"00000")="89117", TEXT(TRIM(N79),"00000")="89128", TEXT(TRIM(N79),"00000")="89135", TEXT(TRIM(N79),"00000")="89144", TEXT(TRIM(N79),"00000")="89145", TEXT(TRIM(N79),"00000")="89147"), "West Valley",
  TRUE, "Other"
)</f>
        <v>Missing/Unknown</v>
      </c>
      <c r="P79" t="s">
        <v>3298</v>
      </c>
      <c r="Q79" t="str">
        <f t="shared" si="6"/>
        <v>Outdoors/Public</v>
      </c>
      <c r="S79" t="s">
        <v>5095</v>
      </c>
      <c r="T79" t="str" cm="1">
        <f t="array" ref="T79">_xlfn.IFS(
  TEXT(TRIM(S79),"00000")="NULL", "Missing/Unknown",
  OR(TEXT(TRIM(S79),"00000")="89101", TEXT(TRIM(S79),"00000")="89104", TEXT(TRIM(S79),"00000")="89106", TEXT(TRIM(S79),"00000")="89102", TEXT(TRIM(S79),"00000")="89107", TEXT(TRIM(S79),"00000")="89108"), "Urban Core",
  OR(TEXT(TRIM(S79),"00000")="89110", TEXT(TRIM(S79),"00000")="89115", TEXT(TRIM(S79),"00000")="89121", TEXT(TRIM(S79),"00000")="89122", TEXT(TRIM(S79),"00000")="89142", TEXT(TRIM(S79),"00000")="89156"), "East Valley",
  OR(TEXT(TRIM(S79),"00000")="89030", TEXT(TRIM(S79),"00000")="89031", TEXT(TRIM(S79),"00000")="89032", TEXT(TRIM(S79),"00000")="89086", TEXT(TRIM(S79),"00000")="89084", TEXT(TRIM(S79),"00000")="89081"), "North LV",
  OR(TEXT(TRIM(S79),"00000")="89109", TEXT(TRIM(S79),"00000")="89103", TEXT(TRIM(S79),"00000")="89119", TEXT(TRIM(S79),"00000")="89123", TEXT(TRIM(S79),"00000")="89169", TEXT(TRIM(S79),"00000")="89118"), "South/Strip",
  OR(TEXT(TRIM(S79),"00000")="89074", TEXT(TRIM(S79),"00000")="89014", TEXT(TRIM(S79),"00000")="89015", TEXT(TRIM(S79),"00000")="89011", TEXT(TRIM(S79),"00000")="89012"), "Suburban SE",
  OR(TEXT(TRIM(S79),"00000")="89117", TEXT(TRIM(S79),"00000")="89128", TEXT(TRIM(S79),"00000")="89135", TEXT(TRIM(S79),"00000")="89144", TEXT(TRIM(S79),"00000")="89145", TEXT(TRIM(S79),"00000")="89147"), "West Valley",
  TRUE, "Other"
)</f>
        <v>Missing/Unknown</v>
      </c>
      <c r="U79" t="s">
        <v>4003</v>
      </c>
      <c r="V79" t="str">
        <f t="shared" si="7"/>
        <v>Outdoors/Public</v>
      </c>
    </row>
    <row r="80" spans="1:22">
      <c r="A80" t="s">
        <v>3239</v>
      </c>
      <c r="B80" t="s">
        <v>3240</v>
      </c>
      <c r="C80" s="1">
        <v>45515</v>
      </c>
      <c r="D80" s="4">
        <v>104</v>
      </c>
      <c r="E80">
        <v>77</v>
      </c>
      <c r="F80" t="str">
        <f t="shared" si="4"/>
        <v>70's</v>
      </c>
      <c r="G80" t="str" cm="1">
        <f t="array" ref="G80">_xlfn.IFS(
  F80="10's", "Child (5–12)",
  OR(F80="20's", F80="30's"), "Young Adult (20–39)",
  OR(F80="40's", F80="50's"), "Adult (40–59)",
  OR(F80="60's", F80="70's", F80="80's", F80="90's"), "Senior (60+)",
  TRUE, "Unknown"
)</f>
        <v>Senior (60+)</v>
      </c>
      <c r="H80" t="s">
        <v>4309</v>
      </c>
      <c r="I80" t="s">
        <v>54</v>
      </c>
      <c r="J80" t="str">
        <f t="shared" si="5"/>
        <v>Environmental Heat</v>
      </c>
      <c r="K80" t="s">
        <v>3242</v>
      </c>
      <c r="L80" t="s">
        <v>1071</v>
      </c>
      <c r="M80" t="s">
        <v>4904</v>
      </c>
      <c r="N80" t="s">
        <v>5113</v>
      </c>
      <c r="O80" t="str" cm="1">
        <f t="array" ref="O80">_xlfn.IFS(
  TEXT(TRIM(N80),"00000")="NULL", "Missing/Unknown",
  OR(TEXT(TRIM(N80),"00000")="89101", TEXT(TRIM(N80),"00000")="89104", TEXT(TRIM(N80),"00000")="89106", TEXT(TRIM(N80),"00000")="89102", TEXT(TRIM(N80),"00000")="89107", TEXT(TRIM(N80),"00000")="89108"), "Urban Core",
  OR(TEXT(TRIM(N80),"00000")="89110", TEXT(TRIM(N80),"00000")="89115", TEXT(TRIM(N80),"00000")="89121", TEXT(TRIM(N80),"00000")="89122", TEXT(TRIM(N80),"00000")="89142", TEXT(TRIM(N80),"00000")="89156"), "East Valley",
  OR(TEXT(TRIM(N80),"00000")="89030", TEXT(TRIM(N80),"00000")="89031", TEXT(TRIM(N80),"00000")="89032", TEXT(TRIM(N80),"00000")="89086", TEXT(TRIM(N80),"00000")="89084", TEXT(TRIM(N80),"00000")="89081"), "North LV",
  OR(TEXT(TRIM(N80),"00000")="89109", TEXT(TRIM(N80),"00000")="89103", TEXT(TRIM(N80),"00000")="89119", TEXT(TRIM(N80),"00000")="89123", TEXT(TRIM(N80),"00000")="89169", TEXT(TRIM(N80),"00000")="89118"), "South/Strip",
  OR(TEXT(TRIM(N80),"00000")="89074", TEXT(TRIM(N80),"00000")="89014", TEXT(TRIM(N80),"00000")="89015", TEXT(TRIM(N80),"00000")="89011", TEXT(TRIM(N80),"00000")="89012"), "Suburban SE",
  OR(TEXT(TRIM(N80),"00000")="89117", TEXT(TRIM(N80),"00000")="89128", TEXT(TRIM(N80),"00000")="89135", TEXT(TRIM(N80),"00000")="89144", TEXT(TRIM(N80),"00000")="89145", TEXT(TRIM(N80),"00000")="89147"), "West Valley",
  TRUE, "Other"
)</f>
        <v>Suburban SE</v>
      </c>
      <c r="P80" t="s">
        <v>1073</v>
      </c>
      <c r="Q80" t="str">
        <f t="shared" si="6"/>
        <v>Home/Residence</v>
      </c>
      <c r="R80" t="s">
        <v>4904</v>
      </c>
      <c r="S80" t="s">
        <v>5113</v>
      </c>
      <c r="T80" t="str" cm="1">
        <f t="array" ref="T80">_xlfn.IFS(
  TEXT(TRIM(S80),"00000")="NULL", "Missing/Unknown",
  OR(TEXT(TRIM(S80),"00000")="89101", TEXT(TRIM(S80),"00000")="89104", TEXT(TRIM(S80),"00000")="89106", TEXT(TRIM(S80),"00000")="89102", TEXT(TRIM(S80),"00000")="89107", TEXT(TRIM(S80),"00000")="89108"), "Urban Core",
  OR(TEXT(TRIM(S80),"00000")="89110", TEXT(TRIM(S80),"00000")="89115", TEXT(TRIM(S80),"00000")="89121", TEXT(TRIM(S80),"00000")="89122", TEXT(TRIM(S80),"00000")="89142", TEXT(TRIM(S80),"00000")="89156"), "East Valley",
  OR(TEXT(TRIM(S80),"00000")="89030", TEXT(TRIM(S80),"00000")="89031", TEXT(TRIM(S80),"00000")="89032", TEXT(TRIM(S80),"00000")="89086", TEXT(TRIM(S80),"00000")="89084", TEXT(TRIM(S80),"00000")="89081"), "North LV",
  OR(TEXT(TRIM(S80),"00000")="89109", TEXT(TRIM(S80),"00000")="89103", TEXT(TRIM(S80),"00000")="89119", TEXT(TRIM(S80),"00000")="89123", TEXT(TRIM(S80),"00000")="89169", TEXT(TRIM(S80),"00000")="89118"), "South/Strip",
  OR(TEXT(TRIM(S80),"00000")="89074", TEXT(TRIM(S80),"00000")="89014", TEXT(TRIM(S80),"00000")="89015", TEXT(TRIM(S80),"00000")="89011", TEXT(TRIM(S80),"00000")="89012"), "Suburban SE",
  OR(TEXT(TRIM(S80),"00000")="89117", TEXT(TRIM(S80),"00000")="89128", TEXT(TRIM(S80),"00000")="89135", TEXT(TRIM(S80),"00000")="89144", TEXT(TRIM(S80),"00000")="89145", TEXT(TRIM(S80),"00000")="89147"), "West Valley",
  TRUE, "Other"
)</f>
        <v>Suburban SE</v>
      </c>
      <c r="U80" t="s">
        <v>1073</v>
      </c>
      <c r="V80" t="str">
        <f t="shared" si="7"/>
        <v>Home/Residence</v>
      </c>
    </row>
    <row r="81" spans="1:22">
      <c r="A81" t="s">
        <v>3728</v>
      </c>
      <c r="B81" t="s">
        <v>3729</v>
      </c>
      <c r="C81" s="1">
        <v>45515</v>
      </c>
      <c r="D81" s="4">
        <v>104</v>
      </c>
      <c r="E81">
        <v>63</v>
      </c>
      <c r="F81" t="str">
        <f t="shared" si="4"/>
        <v>60's</v>
      </c>
      <c r="G81" t="str" cm="1">
        <f t="array" ref="G81">_xlfn.IFS(
  F81="10's", "Child (5–12)",
  OR(F81="20's", F81="30's"), "Young Adult (20–39)",
  OR(F81="40's", F81="50's"), "Adult (40–59)",
  OR(F81="60's", F81="70's", F81="80's", F81="90's"), "Senior (60+)",
  TRUE, "Unknown"
)</f>
        <v>Senior (60+)</v>
      </c>
      <c r="H81" t="s">
        <v>778</v>
      </c>
      <c r="I81" t="s">
        <v>135</v>
      </c>
      <c r="J81" t="str">
        <f t="shared" si="5"/>
        <v>Methamphetamine-related</v>
      </c>
      <c r="K81" t="s">
        <v>35</v>
      </c>
      <c r="L81" t="s">
        <v>250</v>
      </c>
      <c r="M81" t="s">
        <v>4603</v>
      </c>
      <c r="N81" t="s">
        <v>5101</v>
      </c>
      <c r="O81" t="str" cm="1">
        <f t="array" ref="O81">_xlfn.IFS(
  TEXT(TRIM(N81),"00000")="NULL", "Missing/Unknown",
  OR(TEXT(TRIM(N81),"00000")="89101", TEXT(TRIM(N81),"00000")="89104", TEXT(TRIM(N81),"00000")="89106", TEXT(TRIM(N81),"00000")="89102", TEXT(TRIM(N81),"00000")="89107", TEXT(TRIM(N81),"00000")="89108"), "Urban Core",
  OR(TEXT(TRIM(N81),"00000")="89110", TEXT(TRIM(N81),"00000")="89115", TEXT(TRIM(N81),"00000")="89121", TEXT(TRIM(N81),"00000")="89122", TEXT(TRIM(N81),"00000")="89142", TEXT(TRIM(N81),"00000")="89156"), "East Valley",
  OR(TEXT(TRIM(N81),"00000")="89030", TEXT(TRIM(N81),"00000")="89031", TEXT(TRIM(N81),"00000")="89032", TEXT(TRIM(N81),"00000")="89086", TEXT(TRIM(N81),"00000")="89084", TEXT(TRIM(N81),"00000")="89081"), "North LV",
  OR(TEXT(TRIM(N81),"00000")="89109", TEXT(TRIM(N81),"00000")="89103", TEXT(TRIM(N81),"00000")="89119", TEXT(TRIM(N81),"00000")="89123", TEXT(TRIM(N81),"00000")="89169", TEXT(TRIM(N81),"00000")="89118"), "South/Strip",
  OR(TEXT(TRIM(N81),"00000")="89074", TEXT(TRIM(N81),"00000")="89014", TEXT(TRIM(N81),"00000")="89015", TEXT(TRIM(N81),"00000")="89011", TEXT(TRIM(N81),"00000")="89012"), "Suburban SE",
  OR(TEXT(TRIM(N81),"00000")="89117", TEXT(TRIM(N81),"00000")="89128", TEXT(TRIM(N81),"00000")="89135", TEXT(TRIM(N81),"00000")="89144", TEXT(TRIM(N81),"00000")="89145", TEXT(TRIM(N81),"00000")="89147"), "West Valley",
  TRUE, "Other"
)</f>
        <v>Urban Core</v>
      </c>
      <c r="P81" t="s">
        <v>1042</v>
      </c>
      <c r="Q81" t="str">
        <f t="shared" si="6"/>
        <v>Business/Commercial</v>
      </c>
      <c r="R81" t="s">
        <v>4603</v>
      </c>
      <c r="S81" t="s">
        <v>5101</v>
      </c>
      <c r="T81" t="str" cm="1">
        <f t="array" ref="T81">_xlfn.IFS(
  TEXT(TRIM(S81),"00000")="NULL", "Missing/Unknown",
  OR(TEXT(TRIM(S81),"00000")="89101", TEXT(TRIM(S81),"00000")="89104", TEXT(TRIM(S81),"00000")="89106", TEXT(TRIM(S81),"00000")="89102", TEXT(TRIM(S81),"00000")="89107", TEXT(TRIM(S81),"00000")="89108"), "Urban Core",
  OR(TEXT(TRIM(S81),"00000")="89110", TEXT(TRIM(S81),"00000")="89115", TEXT(TRIM(S81),"00000")="89121", TEXT(TRIM(S81),"00000")="89122", TEXT(TRIM(S81),"00000")="89142", TEXT(TRIM(S81),"00000")="89156"), "East Valley",
  OR(TEXT(TRIM(S81),"00000")="89030", TEXT(TRIM(S81),"00000")="89031", TEXT(TRIM(S81),"00000")="89032", TEXT(TRIM(S81),"00000")="89086", TEXT(TRIM(S81),"00000")="89084", TEXT(TRIM(S81),"00000")="89081"), "North LV",
  OR(TEXT(TRIM(S81),"00000")="89109", TEXT(TRIM(S81),"00000")="89103", TEXT(TRIM(S81),"00000")="89119", TEXT(TRIM(S81),"00000")="89123", TEXT(TRIM(S81),"00000")="89169", TEXT(TRIM(S81),"00000")="89118"), "South/Strip",
  OR(TEXT(TRIM(S81),"00000")="89074", TEXT(TRIM(S81),"00000")="89014", TEXT(TRIM(S81),"00000")="89015", TEXT(TRIM(S81),"00000")="89011", TEXT(TRIM(S81),"00000")="89012"), "Suburban SE",
  OR(TEXT(TRIM(S81),"00000")="89117", TEXT(TRIM(S81),"00000")="89128", TEXT(TRIM(S81),"00000")="89135", TEXT(TRIM(S81),"00000")="89144", TEXT(TRIM(S81),"00000")="89145", TEXT(TRIM(S81),"00000")="89147"), "West Valley",
  TRUE, "Other"
)</f>
        <v>Urban Core</v>
      </c>
      <c r="U81" t="s">
        <v>1042</v>
      </c>
      <c r="V81" t="str">
        <f t="shared" si="7"/>
        <v>Business/Commercial</v>
      </c>
    </row>
    <row r="82" spans="1:22">
      <c r="A82" t="s">
        <v>3947</v>
      </c>
      <c r="B82" t="s">
        <v>3948</v>
      </c>
      <c r="C82" s="1">
        <v>45514</v>
      </c>
      <c r="D82" s="4">
        <v>107.96</v>
      </c>
      <c r="E82">
        <v>79</v>
      </c>
      <c r="F82" t="str">
        <f t="shared" si="4"/>
        <v>70's</v>
      </c>
      <c r="G82" t="str" cm="1">
        <f t="array" ref="G82">_xlfn.IFS(
  F82="10's", "Child (5–12)",
  OR(F82="20's", F82="30's"), "Young Adult (20–39)",
  OR(F82="40's", F82="50's"), "Adult (40–59)",
  OR(F82="60's", F82="70's", F82="80's", F82="90's"), "Senior (60+)",
  TRUE, "Unknown"
)</f>
        <v>Senior (60+)</v>
      </c>
      <c r="H82" t="s">
        <v>841</v>
      </c>
      <c r="I82" t="s">
        <v>4030</v>
      </c>
      <c r="J82" t="str">
        <f t="shared" si="5"/>
        <v>Environmental Heat</v>
      </c>
      <c r="K82" t="s">
        <v>58</v>
      </c>
      <c r="L82" t="s">
        <v>3945</v>
      </c>
      <c r="N82" t="s">
        <v>5095</v>
      </c>
      <c r="O82" t="str" cm="1">
        <f t="array" ref="O82">_xlfn.IFS(
  TEXT(TRIM(N82),"00000")="NULL", "Missing/Unknown",
  OR(TEXT(TRIM(N82),"00000")="89101", TEXT(TRIM(N82),"00000")="89104", TEXT(TRIM(N82),"00000")="89106", TEXT(TRIM(N82),"00000")="89102", TEXT(TRIM(N82),"00000")="89107", TEXT(TRIM(N82),"00000")="89108"), "Urban Core",
  OR(TEXT(TRIM(N82),"00000")="89110", TEXT(TRIM(N82),"00000")="89115", TEXT(TRIM(N82),"00000")="89121", TEXT(TRIM(N82),"00000")="89122", TEXT(TRIM(N82),"00000")="89142", TEXT(TRIM(N82),"00000")="89156"), "East Valley",
  OR(TEXT(TRIM(N82),"00000")="89030", TEXT(TRIM(N82),"00000")="89031", TEXT(TRIM(N82),"00000")="89032", TEXT(TRIM(N82),"00000")="89086", TEXT(TRIM(N82),"00000")="89084", TEXT(TRIM(N82),"00000")="89081"), "North LV",
  OR(TEXT(TRIM(N82),"00000")="89109", TEXT(TRIM(N82),"00000")="89103", TEXT(TRIM(N82),"00000")="89119", TEXT(TRIM(N82),"00000")="89123", TEXT(TRIM(N82),"00000")="89169", TEXT(TRIM(N82),"00000")="89118"), "South/Strip",
  OR(TEXT(TRIM(N82),"00000")="89074", TEXT(TRIM(N82),"00000")="89014", TEXT(TRIM(N82),"00000")="89015", TEXT(TRIM(N82),"00000")="89011", TEXT(TRIM(N82),"00000")="89012"), "Suburban SE",
  OR(TEXT(TRIM(N82),"00000")="89117", TEXT(TRIM(N82),"00000")="89128", TEXT(TRIM(N82),"00000")="89135", TEXT(TRIM(N82),"00000")="89144", TEXT(TRIM(N82),"00000")="89145", TEXT(TRIM(N82),"00000")="89147"), "West Valley",
  TRUE, "Other"
)</f>
        <v>Missing/Unknown</v>
      </c>
      <c r="P82" t="s">
        <v>3298</v>
      </c>
      <c r="Q82" t="str">
        <f t="shared" si="6"/>
        <v>Outdoors/Public</v>
      </c>
      <c r="R82" t="s">
        <v>5058</v>
      </c>
      <c r="S82" t="s">
        <v>5123</v>
      </c>
      <c r="T82" t="str" cm="1">
        <f t="array" ref="T82">_xlfn.IFS(
  TEXT(TRIM(S82),"00000")="NULL", "Missing/Unknown",
  OR(TEXT(TRIM(S82),"00000")="89101", TEXT(TRIM(S82),"00000")="89104", TEXT(TRIM(S82),"00000")="89106", TEXT(TRIM(S82),"00000")="89102", TEXT(TRIM(S82),"00000")="89107", TEXT(TRIM(S82),"00000")="89108"), "Urban Core",
  OR(TEXT(TRIM(S82),"00000")="89110", TEXT(TRIM(S82),"00000")="89115", TEXT(TRIM(S82),"00000")="89121", TEXT(TRIM(S82),"00000")="89122", TEXT(TRIM(S82),"00000")="89142", TEXT(TRIM(S82),"00000")="89156"), "East Valley",
  OR(TEXT(TRIM(S82),"00000")="89030", TEXT(TRIM(S82),"00000")="89031", TEXT(TRIM(S82),"00000")="89032", TEXT(TRIM(S82),"00000")="89086", TEXT(TRIM(S82),"00000")="89084", TEXT(TRIM(S82),"00000")="89081"), "North LV",
  OR(TEXT(TRIM(S82),"00000")="89109", TEXT(TRIM(S82),"00000")="89103", TEXT(TRIM(S82),"00000")="89119", TEXT(TRIM(S82),"00000")="89123", TEXT(TRIM(S82),"00000")="89169", TEXT(TRIM(S82),"00000")="89118"), "South/Strip",
  OR(TEXT(TRIM(S82),"00000")="89074", TEXT(TRIM(S82),"00000")="89014", TEXT(TRIM(S82),"00000")="89015", TEXT(TRIM(S82),"00000")="89011", TEXT(TRIM(S82),"00000")="89012"), "Suburban SE",
  OR(TEXT(TRIM(S82),"00000")="89117", TEXT(TRIM(S82),"00000")="89128", TEXT(TRIM(S82),"00000")="89135", TEXT(TRIM(S82),"00000")="89144", TEXT(TRIM(S82),"00000")="89145", TEXT(TRIM(S82),"00000")="89147"), "West Valley",
  TRUE, "Other"
)</f>
        <v>South/Strip</v>
      </c>
      <c r="U82" t="s">
        <v>4304</v>
      </c>
      <c r="V82" t="str">
        <f t="shared" si="7"/>
        <v>Home/Residence</v>
      </c>
    </row>
    <row r="83" spans="1:22">
      <c r="A83" t="s">
        <v>2648</v>
      </c>
      <c r="B83" t="s">
        <v>2649</v>
      </c>
      <c r="C83" s="1">
        <v>45514</v>
      </c>
      <c r="D83" s="4">
        <v>107.96</v>
      </c>
      <c r="E83">
        <v>77</v>
      </c>
      <c r="F83" t="str">
        <f t="shared" si="4"/>
        <v>70's</v>
      </c>
      <c r="G83" t="str" cm="1">
        <f t="array" ref="G83">_xlfn.IFS(
  F83="10's", "Child (5–12)",
  OR(F83="20's", F83="30's"), "Young Adult (20–39)",
  OR(F83="40's", F83="50's"), "Adult (40–59)",
  OR(F83="60's", F83="70's", F83="80's", F83="90's"), "Senior (60+)",
  TRUE, "Unknown"
)</f>
        <v>Senior (60+)</v>
      </c>
      <c r="H83" t="s">
        <v>250</v>
      </c>
      <c r="I83" t="s">
        <v>63</v>
      </c>
      <c r="J83" t="str">
        <f t="shared" si="5"/>
        <v>Cardiovascular Disease</v>
      </c>
      <c r="K83" t="s">
        <v>4153</v>
      </c>
      <c r="L83" t="s">
        <v>250</v>
      </c>
      <c r="M83" t="s">
        <v>5005</v>
      </c>
      <c r="N83" t="s">
        <v>5122</v>
      </c>
      <c r="O83" t="str" cm="1">
        <f t="array" ref="O83">_xlfn.IFS(
  TEXT(TRIM(N83),"00000")="NULL", "Missing/Unknown",
  OR(TEXT(TRIM(N83),"00000")="89101", TEXT(TRIM(N83),"00000")="89104", TEXT(TRIM(N83),"00000")="89106", TEXT(TRIM(N83),"00000")="89102", TEXT(TRIM(N83),"00000")="89107", TEXT(TRIM(N83),"00000")="89108"), "Urban Core",
  OR(TEXT(TRIM(N83),"00000")="89110", TEXT(TRIM(N83),"00000")="89115", TEXT(TRIM(N83),"00000")="89121", TEXT(TRIM(N83),"00000")="89122", TEXT(TRIM(N83),"00000")="89142", TEXT(TRIM(N83),"00000")="89156"), "East Valley",
  OR(TEXT(TRIM(N83),"00000")="89030", TEXT(TRIM(N83),"00000")="89031", TEXT(TRIM(N83),"00000")="89032", TEXT(TRIM(N83),"00000")="89086", TEXT(TRIM(N83),"00000")="89084", TEXT(TRIM(N83),"00000")="89081"), "North LV",
  OR(TEXT(TRIM(N83),"00000")="89109", TEXT(TRIM(N83),"00000")="89103", TEXT(TRIM(N83),"00000")="89119", TEXT(TRIM(N83),"00000")="89123", TEXT(TRIM(N83),"00000")="89169", TEXT(TRIM(N83),"00000")="89118"), "South/Strip",
  OR(TEXT(TRIM(N83),"00000")="89074", TEXT(TRIM(N83),"00000")="89014", TEXT(TRIM(N83),"00000")="89015", TEXT(TRIM(N83),"00000")="89011", TEXT(TRIM(N83),"00000")="89012"), "Suburban SE",
  OR(TEXT(TRIM(N83),"00000")="89117", TEXT(TRIM(N83),"00000")="89128", TEXT(TRIM(N83),"00000")="89135", TEXT(TRIM(N83),"00000")="89144", TEXT(TRIM(N83),"00000")="89145", TEXT(TRIM(N83),"00000")="89147"), "West Valley",
  TRUE, "Other"
)</f>
        <v>East Valley</v>
      </c>
      <c r="P83" t="s">
        <v>3298</v>
      </c>
      <c r="Q83" t="str">
        <f t="shared" si="6"/>
        <v>Outdoors/Public</v>
      </c>
      <c r="R83" t="s">
        <v>5005</v>
      </c>
      <c r="S83" t="s">
        <v>5122</v>
      </c>
      <c r="T83" t="str" cm="1">
        <f t="array" ref="T83">_xlfn.IFS(
  TEXT(TRIM(S83),"00000")="NULL", "Missing/Unknown",
  OR(TEXT(TRIM(S83),"00000")="89101", TEXT(TRIM(S83),"00000")="89104", TEXT(TRIM(S83),"00000")="89106", TEXT(TRIM(S83),"00000")="89102", TEXT(TRIM(S83),"00000")="89107", TEXT(TRIM(S83),"00000")="89108"), "Urban Core",
  OR(TEXT(TRIM(S83),"00000")="89110", TEXT(TRIM(S83),"00000")="89115", TEXT(TRIM(S83),"00000")="89121", TEXT(TRIM(S83),"00000")="89122", TEXT(TRIM(S83),"00000")="89142", TEXT(TRIM(S83),"00000")="89156"), "East Valley",
  OR(TEXT(TRIM(S83),"00000")="89030", TEXT(TRIM(S83),"00000")="89031", TEXT(TRIM(S83),"00000")="89032", TEXT(TRIM(S83),"00000")="89086", TEXT(TRIM(S83),"00000")="89084", TEXT(TRIM(S83),"00000")="89081"), "North LV",
  OR(TEXT(TRIM(S83),"00000")="89109", TEXT(TRIM(S83),"00000")="89103", TEXT(TRIM(S83),"00000")="89119", TEXT(TRIM(S83),"00000")="89123", TEXT(TRIM(S83),"00000")="89169", TEXT(TRIM(S83),"00000")="89118"), "South/Strip",
  OR(TEXT(TRIM(S83),"00000")="89074", TEXT(TRIM(S83),"00000")="89014", TEXT(TRIM(S83),"00000")="89015", TEXT(TRIM(S83),"00000")="89011", TEXT(TRIM(S83),"00000")="89012"), "Suburban SE",
  OR(TEXT(TRIM(S83),"00000")="89117", TEXT(TRIM(S83),"00000")="89128", TEXT(TRIM(S83),"00000")="89135", TEXT(TRIM(S83),"00000")="89144", TEXT(TRIM(S83),"00000")="89145", TEXT(TRIM(S83),"00000")="89147"), "West Valley",
  TRUE, "Other"
)</f>
        <v>East Valley</v>
      </c>
      <c r="U83" t="s">
        <v>3298</v>
      </c>
      <c r="V83" t="str">
        <f t="shared" si="7"/>
        <v>Outdoors/Public</v>
      </c>
    </row>
    <row r="84" spans="1:22">
      <c r="A84" t="s">
        <v>2508</v>
      </c>
      <c r="B84" t="s">
        <v>2509</v>
      </c>
      <c r="C84" s="1">
        <v>45514</v>
      </c>
      <c r="D84" s="4">
        <v>107.96</v>
      </c>
      <c r="E84">
        <v>42</v>
      </c>
      <c r="F84" t="str">
        <f t="shared" si="4"/>
        <v>40's</v>
      </c>
      <c r="G84" t="str" cm="1">
        <f t="array" ref="G84">_xlfn.IFS(
  F84="10's", "Child (5–12)",
  OR(F84="20's", F84="30's"), "Young Adult (20–39)",
  OR(F84="40's", F84="50's"), "Adult (40–59)",
  OR(F84="60's", F84="70's", F84="80's", F84="90's"), "Senior (60+)",
  TRUE, "Unknown"
)</f>
        <v>Adult (40–59)</v>
      </c>
      <c r="H84" t="s">
        <v>778</v>
      </c>
      <c r="I84" t="s">
        <v>34</v>
      </c>
      <c r="J84" t="str">
        <f t="shared" si="5"/>
        <v>Methamphetamine-related</v>
      </c>
      <c r="K84" t="s">
        <v>54</v>
      </c>
      <c r="L84" t="s">
        <v>250</v>
      </c>
      <c r="M84" t="s">
        <v>5004</v>
      </c>
      <c r="N84" t="s">
        <v>5108</v>
      </c>
      <c r="O84" t="str" cm="1">
        <f t="array" ref="O84">_xlfn.IFS(
  TEXT(TRIM(N84),"00000")="NULL", "Missing/Unknown",
  OR(TEXT(TRIM(N84),"00000")="89101", TEXT(TRIM(N84),"00000")="89104", TEXT(TRIM(N84),"00000")="89106", TEXT(TRIM(N84),"00000")="89102", TEXT(TRIM(N84),"00000")="89107", TEXT(TRIM(N84),"00000")="89108"), "Urban Core",
  OR(TEXT(TRIM(N84),"00000")="89110", TEXT(TRIM(N84),"00000")="89115", TEXT(TRIM(N84),"00000")="89121", TEXT(TRIM(N84),"00000")="89122", TEXT(TRIM(N84),"00000")="89142", TEXT(TRIM(N84),"00000")="89156"), "East Valley",
  OR(TEXT(TRIM(N84),"00000")="89030", TEXT(TRIM(N84),"00000")="89031", TEXT(TRIM(N84),"00000")="89032", TEXT(TRIM(N84),"00000")="89086", TEXT(TRIM(N84),"00000")="89084", TEXT(TRIM(N84),"00000")="89081"), "North LV",
  OR(TEXT(TRIM(N84),"00000")="89109", TEXT(TRIM(N84),"00000")="89103", TEXT(TRIM(N84),"00000")="89119", TEXT(TRIM(N84),"00000")="89123", TEXT(TRIM(N84),"00000")="89169", TEXT(TRIM(N84),"00000")="89118"), "South/Strip",
  OR(TEXT(TRIM(N84),"00000")="89074", TEXT(TRIM(N84),"00000")="89014", TEXT(TRIM(N84),"00000")="89015", TEXT(TRIM(N84),"00000")="89011", TEXT(TRIM(N84),"00000")="89012"), "Suburban SE",
  OR(TEXT(TRIM(N84),"00000")="89117", TEXT(TRIM(N84),"00000")="89128", TEXT(TRIM(N84),"00000")="89135", TEXT(TRIM(N84),"00000")="89144", TEXT(TRIM(N84),"00000")="89145", TEXT(TRIM(N84),"00000")="89147"), "West Valley",
  TRUE, "Other"
)</f>
        <v>East Valley</v>
      </c>
      <c r="P84" t="s">
        <v>3298</v>
      </c>
      <c r="Q84" t="str">
        <f t="shared" si="6"/>
        <v>Outdoors/Public</v>
      </c>
      <c r="R84" t="s">
        <v>5004</v>
      </c>
      <c r="S84" t="s">
        <v>5108</v>
      </c>
      <c r="T84" t="str" cm="1">
        <f t="array" ref="T84">_xlfn.IFS(
  TEXT(TRIM(S84),"00000")="NULL", "Missing/Unknown",
  OR(TEXT(TRIM(S84),"00000")="89101", TEXT(TRIM(S84),"00000")="89104", TEXT(TRIM(S84),"00000")="89106", TEXT(TRIM(S84),"00000")="89102", TEXT(TRIM(S84),"00000")="89107", TEXT(TRIM(S84),"00000")="89108"), "Urban Core",
  OR(TEXT(TRIM(S84),"00000")="89110", TEXT(TRIM(S84),"00000")="89115", TEXT(TRIM(S84),"00000")="89121", TEXT(TRIM(S84),"00000")="89122", TEXT(TRIM(S84),"00000")="89142", TEXT(TRIM(S84),"00000")="89156"), "East Valley",
  OR(TEXT(TRIM(S84),"00000")="89030", TEXT(TRIM(S84),"00000")="89031", TEXT(TRIM(S84),"00000")="89032", TEXT(TRIM(S84),"00000")="89086", TEXT(TRIM(S84),"00000")="89084", TEXT(TRIM(S84),"00000")="89081"), "North LV",
  OR(TEXT(TRIM(S84),"00000")="89109", TEXT(TRIM(S84),"00000")="89103", TEXT(TRIM(S84),"00000")="89119", TEXT(TRIM(S84),"00000")="89123", TEXT(TRIM(S84),"00000")="89169", TEXT(TRIM(S84),"00000")="89118"), "South/Strip",
  OR(TEXT(TRIM(S84),"00000")="89074", TEXT(TRIM(S84),"00000")="89014", TEXT(TRIM(S84),"00000")="89015", TEXT(TRIM(S84),"00000")="89011", TEXT(TRIM(S84),"00000")="89012"), "Suburban SE",
  OR(TEXT(TRIM(S84),"00000")="89117", TEXT(TRIM(S84),"00000")="89128", TEXT(TRIM(S84),"00000")="89135", TEXT(TRIM(S84),"00000")="89144", TEXT(TRIM(S84),"00000")="89145", TEXT(TRIM(S84),"00000")="89147"), "West Valley",
  TRUE, "Other"
)</f>
        <v>East Valley</v>
      </c>
      <c r="U84" t="s">
        <v>3298</v>
      </c>
      <c r="V84" t="str">
        <f t="shared" si="7"/>
        <v>Outdoors/Public</v>
      </c>
    </row>
    <row r="85" spans="1:22">
      <c r="A85" t="s">
        <v>3725</v>
      </c>
      <c r="B85" t="s">
        <v>3726</v>
      </c>
      <c r="C85" s="1">
        <v>45514</v>
      </c>
      <c r="D85" s="4">
        <v>107.96</v>
      </c>
      <c r="E85">
        <v>35</v>
      </c>
      <c r="F85" t="str">
        <f t="shared" si="4"/>
        <v>30's</v>
      </c>
      <c r="G85" t="str" cm="1">
        <f t="array" ref="G85">_xlfn.IFS(
  F85="10's", "Child (5–12)",
  OR(F85="20's", F85="30's"), "Young Adult (20–39)",
  OR(F85="40's", F85="50's"), "Adult (40–59)",
  OR(F85="60's", F85="70's", F85="80's", F85="90's"), "Senior (60+)",
  TRUE, "Unknown"
)</f>
        <v>Young Adult (20–39)</v>
      </c>
      <c r="H85" t="s">
        <v>778</v>
      </c>
      <c r="I85" t="s">
        <v>135</v>
      </c>
      <c r="J85" t="str">
        <f t="shared" si="5"/>
        <v>Methamphetamine-related</v>
      </c>
      <c r="K85" t="s">
        <v>35</v>
      </c>
      <c r="L85" t="s">
        <v>250</v>
      </c>
      <c r="M85" t="s">
        <v>4336</v>
      </c>
      <c r="N85" t="s">
        <v>5101</v>
      </c>
      <c r="O85" t="str" cm="1">
        <f t="array" ref="O85">_xlfn.IFS(
  TEXT(TRIM(N85),"00000")="NULL", "Missing/Unknown",
  OR(TEXT(TRIM(N85),"00000")="89101", TEXT(TRIM(N85),"00000")="89104", TEXT(TRIM(N85),"00000")="89106", TEXT(TRIM(N85),"00000")="89102", TEXT(TRIM(N85),"00000")="89107", TEXT(TRIM(N85),"00000")="89108"), "Urban Core",
  OR(TEXT(TRIM(N85),"00000")="89110", TEXT(TRIM(N85),"00000")="89115", TEXT(TRIM(N85),"00000")="89121", TEXT(TRIM(N85),"00000")="89122", TEXT(TRIM(N85),"00000")="89142", TEXT(TRIM(N85),"00000")="89156"), "East Valley",
  OR(TEXT(TRIM(N85),"00000")="89030", TEXT(TRIM(N85),"00000")="89031", TEXT(TRIM(N85),"00000")="89032", TEXT(TRIM(N85),"00000")="89086", TEXT(TRIM(N85),"00000")="89084", TEXT(TRIM(N85),"00000")="89081"), "North LV",
  OR(TEXT(TRIM(N85),"00000")="89109", TEXT(TRIM(N85),"00000")="89103", TEXT(TRIM(N85),"00000")="89119", TEXT(TRIM(N85),"00000")="89123", TEXT(TRIM(N85),"00000")="89169", TEXT(TRIM(N85),"00000")="89118"), "South/Strip",
  OR(TEXT(TRIM(N85),"00000")="89074", TEXT(TRIM(N85),"00000")="89014", TEXT(TRIM(N85),"00000")="89015", TEXT(TRIM(N85),"00000")="89011", TEXT(TRIM(N85),"00000")="89012"), "Suburban SE",
  OR(TEXT(TRIM(N85),"00000")="89117", TEXT(TRIM(N85),"00000")="89128", TEXT(TRIM(N85),"00000")="89135", TEXT(TRIM(N85),"00000")="89144", TEXT(TRIM(N85),"00000")="89145", TEXT(TRIM(N85),"00000")="89147"), "West Valley",
  TRUE, "Other"
)</f>
        <v>Urban Core</v>
      </c>
      <c r="P85" t="s">
        <v>3298</v>
      </c>
      <c r="Q85" t="str">
        <f t="shared" si="6"/>
        <v>Outdoors/Public</v>
      </c>
      <c r="R85" t="s">
        <v>4336</v>
      </c>
      <c r="S85" t="s">
        <v>5101</v>
      </c>
      <c r="T85" t="str" cm="1">
        <f t="array" ref="T85">_xlfn.IFS(
  TEXT(TRIM(S85),"00000")="NULL", "Missing/Unknown",
  OR(TEXT(TRIM(S85),"00000")="89101", TEXT(TRIM(S85),"00000")="89104", TEXT(TRIM(S85),"00000")="89106", TEXT(TRIM(S85),"00000")="89102", TEXT(TRIM(S85),"00000")="89107", TEXT(TRIM(S85),"00000")="89108"), "Urban Core",
  OR(TEXT(TRIM(S85),"00000")="89110", TEXT(TRIM(S85),"00000")="89115", TEXT(TRIM(S85),"00000")="89121", TEXT(TRIM(S85),"00000")="89122", TEXT(TRIM(S85),"00000")="89142", TEXT(TRIM(S85),"00000")="89156"), "East Valley",
  OR(TEXT(TRIM(S85),"00000")="89030", TEXT(TRIM(S85),"00000")="89031", TEXT(TRIM(S85),"00000")="89032", TEXT(TRIM(S85),"00000")="89086", TEXT(TRIM(S85),"00000")="89084", TEXT(TRIM(S85),"00000")="89081"), "North LV",
  OR(TEXT(TRIM(S85),"00000")="89109", TEXT(TRIM(S85),"00000")="89103", TEXT(TRIM(S85),"00000")="89119", TEXT(TRIM(S85),"00000")="89123", TEXT(TRIM(S85),"00000")="89169", TEXT(TRIM(S85),"00000")="89118"), "South/Strip",
  OR(TEXT(TRIM(S85),"00000")="89074", TEXT(TRIM(S85),"00000")="89014", TEXT(TRIM(S85),"00000")="89015", TEXT(TRIM(S85),"00000")="89011", TEXT(TRIM(S85),"00000")="89012"), "Suburban SE",
  OR(TEXT(TRIM(S85),"00000")="89117", TEXT(TRIM(S85),"00000")="89128", TEXT(TRIM(S85),"00000")="89135", TEXT(TRIM(S85),"00000")="89144", TEXT(TRIM(S85),"00000")="89145", TEXT(TRIM(S85),"00000")="89147"), "West Valley",
  TRUE, "Other"
)</f>
        <v>Urban Core</v>
      </c>
      <c r="U85" t="s">
        <v>3298</v>
      </c>
      <c r="V85" t="str">
        <f t="shared" si="7"/>
        <v>Outdoors/Public</v>
      </c>
    </row>
    <row r="86" spans="1:22">
      <c r="A86" t="s">
        <v>3234</v>
      </c>
      <c r="B86" t="s">
        <v>3235</v>
      </c>
      <c r="C86" s="1">
        <v>45514</v>
      </c>
      <c r="D86" s="4">
        <v>107.96</v>
      </c>
      <c r="E86">
        <v>70</v>
      </c>
      <c r="F86" t="str">
        <f t="shared" si="4"/>
        <v>70's</v>
      </c>
      <c r="G86" t="str" cm="1">
        <f t="array" ref="G86">_xlfn.IFS(
  F86="10's", "Child (5–12)",
  OR(F86="20's", F86="30's"), "Young Adult (20–39)",
  OR(F86="40's", F86="50's"), "Adult (40–59)",
  OR(F86="60's", F86="70's", F86="80's", F86="90's"), "Senior (60+)",
  TRUE, "Unknown"
)</f>
        <v>Senior (60+)</v>
      </c>
      <c r="H86" t="s">
        <v>778</v>
      </c>
      <c r="I86" t="s">
        <v>54</v>
      </c>
      <c r="J86" t="str">
        <f t="shared" si="5"/>
        <v>Environmental Heat</v>
      </c>
      <c r="K86" t="s">
        <v>98</v>
      </c>
      <c r="L86" t="s">
        <v>250</v>
      </c>
      <c r="M86" t="s">
        <v>4586</v>
      </c>
      <c r="N86" t="s">
        <v>5123</v>
      </c>
      <c r="O86" t="str" cm="1">
        <f t="array" ref="O86">_xlfn.IFS(
  TEXT(TRIM(N86),"00000")="NULL", "Missing/Unknown",
  OR(TEXT(TRIM(N86),"00000")="89101", TEXT(TRIM(N86),"00000")="89104", TEXT(TRIM(N86),"00000")="89106", TEXT(TRIM(N86),"00000")="89102", TEXT(TRIM(N86),"00000")="89107", TEXT(TRIM(N86),"00000")="89108"), "Urban Core",
  OR(TEXT(TRIM(N86),"00000")="89110", TEXT(TRIM(N86),"00000")="89115", TEXT(TRIM(N86),"00000")="89121", TEXT(TRIM(N86),"00000")="89122", TEXT(TRIM(N86),"00000")="89142", TEXT(TRIM(N86),"00000")="89156"), "East Valley",
  OR(TEXT(TRIM(N86),"00000")="89030", TEXT(TRIM(N86),"00000")="89031", TEXT(TRIM(N86),"00000")="89032", TEXT(TRIM(N86),"00000")="89086", TEXT(TRIM(N86),"00000")="89084", TEXT(TRIM(N86),"00000")="89081"), "North LV",
  OR(TEXT(TRIM(N86),"00000")="89109", TEXT(TRIM(N86),"00000")="89103", TEXT(TRIM(N86),"00000")="89119", TEXT(TRIM(N86),"00000")="89123", TEXT(TRIM(N86),"00000")="89169", TEXT(TRIM(N86),"00000")="89118"), "South/Strip",
  OR(TEXT(TRIM(N86),"00000")="89074", TEXT(TRIM(N86),"00000")="89014", TEXT(TRIM(N86),"00000")="89015", TEXT(TRIM(N86),"00000")="89011", TEXT(TRIM(N86),"00000")="89012"), "Suburban SE",
  OR(TEXT(TRIM(N86),"00000")="89117", TEXT(TRIM(N86),"00000")="89128", TEXT(TRIM(N86),"00000")="89135", TEXT(TRIM(N86),"00000")="89144", TEXT(TRIM(N86),"00000")="89145", TEXT(TRIM(N86),"00000")="89147"), "West Valley",
  TRUE, "Other"
)</f>
        <v>South/Strip</v>
      </c>
      <c r="P86" t="s">
        <v>3298</v>
      </c>
      <c r="Q86" t="str">
        <f t="shared" si="6"/>
        <v>Outdoors/Public</v>
      </c>
      <c r="R86" t="s">
        <v>4586</v>
      </c>
      <c r="S86" t="s">
        <v>5123</v>
      </c>
      <c r="T86" t="str" cm="1">
        <f t="array" ref="T86">_xlfn.IFS(
  TEXT(TRIM(S86),"00000")="NULL", "Missing/Unknown",
  OR(TEXT(TRIM(S86),"00000")="89101", TEXT(TRIM(S86),"00000")="89104", TEXT(TRIM(S86),"00000")="89106", TEXT(TRIM(S86),"00000")="89102", TEXT(TRIM(S86),"00000")="89107", TEXT(TRIM(S86),"00000")="89108"), "Urban Core",
  OR(TEXT(TRIM(S86),"00000")="89110", TEXT(TRIM(S86),"00000")="89115", TEXT(TRIM(S86),"00000")="89121", TEXT(TRIM(S86),"00000")="89122", TEXT(TRIM(S86),"00000")="89142", TEXT(TRIM(S86),"00000")="89156"), "East Valley",
  OR(TEXT(TRIM(S86),"00000")="89030", TEXT(TRIM(S86),"00000")="89031", TEXT(TRIM(S86),"00000")="89032", TEXT(TRIM(S86),"00000")="89086", TEXT(TRIM(S86),"00000")="89084", TEXT(TRIM(S86),"00000")="89081"), "North LV",
  OR(TEXT(TRIM(S86),"00000")="89109", TEXT(TRIM(S86),"00000")="89103", TEXT(TRIM(S86),"00000")="89119", TEXT(TRIM(S86),"00000")="89123", TEXT(TRIM(S86),"00000")="89169", TEXT(TRIM(S86),"00000")="89118"), "South/Strip",
  OR(TEXT(TRIM(S86),"00000")="89074", TEXT(TRIM(S86),"00000")="89014", TEXT(TRIM(S86),"00000")="89015", TEXT(TRIM(S86),"00000")="89011", TEXT(TRIM(S86),"00000")="89012"), "Suburban SE",
  OR(TEXT(TRIM(S86),"00000")="89117", TEXT(TRIM(S86),"00000")="89128", TEXT(TRIM(S86),"00000")="89135", TEXT(TRIM(S86),"00000")="89144", TEXT(TRIM(S86),"00000")="89145", TEXT(TRIM(S86),"00000")="89147"), "West Valley",
  TRUE, "Other"
)</f>
        <v>South/Strip</v>
      </c>
      <c r="U86" t="s">
        <v>3298</v>
      </c>
      <c r="V86" t="str">
        <f t="shared" si="7"/>
        <v>Outdoors/Public</v>
      </c>
    </row>
    <row r="87" spans="1:22">
      <c r="A87" t="s">
        <v>3749</v>
      </c>
      <c r="B87" t="s">
        <v>3750</v>
      </c>
      <c r="C87" s="1">
        <v>45514</v>
      </c>
      <c r="D87" s="4">
        <v>107.96</v>
      </c>
      <c r="E87">
        <v>45</v>
      </c>
      <c r="F87" t="str">
        <f t="shared" si="4"/>
        <v>40's</v>
      </c>
      <c r="G87" t="str" cm="1">
        <f t="array" ref="G87">_xlfn.IFS(
  F87="10's", "Child (5–12)",
  OR(F87="20's", F87="30's"), "Young Adult (20–39)",
  OR(F87="40's", F87="50's"), "Adult (40–59)",
  OR(F87="60's", F87="70's", F87="80's", F87="90's"), "Senior (60+)",
  TRUE, "Unknown"
)</f>
        <v>Adult (40–59)</v>
      </c>
      <c r="H87" t="s">
        <v>27</v>
      </c>
      <c r="I87" t="s">
        <v>135</v>
      </c>
      <c r="J87" t="str">
        <f t="shared" si="5"/>
        <v>Methamphetamine-related</v>
      </c>
      <c r="K87" t="s">
        <v>35</v>
      </c>
      <c r="L87" t="s">
        <v>1071</v>
      </c>
      <c r="M87" t="s">
        <v>4597</v>
      </c>
      <c r="N87" t="s">
        <v>5101</v>
      </c>
      <c r="O87" t="str" cm="1">
        <f t="array" ref="O87">_xlfn.IFS(
  TEXT(TRIM(N87),"00000")="NULL", "Missing/Unknown",
  OR(TEXT(TRIM(N87),"00000")="89101", TEXT(TRIM(N87),"00000")="89104", TEXT(TRIM(N87),"00000")="89106", TEXT(TRIM(N87),"00000")="89102", TEXT(TRIM(N87),"00000")="89107", TEXT(TRIM(N87),"00000")="89108"), "Urban Core",
  OR(TEXT(TRIM(N87),"00000")="89110", TEXT(TRIM(N87),"00000")="89115", TEXT(TRIM(N87),"00000")="89121", TEXT(TRIM(N87),"00000")="89122", TEXT(TRIM(N87),"00000")="89142", TEXT(TRIM(N87),"00000")="89156"), "East Valley",
  OR(TEXT(TRIM(N87),"00000")="89030", TEXT(TRIM(N87),"00000")="89031", TEXT(TRIM(N87),"00000")="89032", TEXT(TRIM(N87),"00000")="89086", TEXT(TRIM(N87),"00000")="89084", TEXT(TRIM(N87),"00000")="89081"), "North LV",
  OR(TEXT(TRIM(N87),"00000")="89109", TEXT(TRIM(N87),"00000")="89103", TEXT(TRIM(N87),"00000")="89119", TEXT(TRIM(N87),"00000")="89123", TEXT(TRIM(N87),"00000")="89169", TEXT(TRIM(N87),"00000")="89118"), "South/Strip",
  OR(TEXT(TRIM(N87),"00000")="89074", TEXT(TRIM(N87),"00000")="89014", TEXT(TRIM(N87),"00000")="89015", TEXT(TRIM(N87),"00000")="89011", TEXT(TRIM(N87),"00000")="89012"), "Suburban SE",
  OR(TEXT(TRIM(N87),"00000")="89117", TEXT(TRIM(N87),"00000")="89128", TEXT(TRIM(N87),"00000")="89135", TEXT(TRIM(N87),"00000")="89144", TEXT(TRIM(N87),"00000")="89145", TEXT(TRIM(N87),"00000")="89147"), "West Valley",
  TRUE, "Other"
)</f>
        <v>Urban Core</v>
      </c>
      <c r="P87" t="s">
        <v>3298</v>
      </c>
      <c r="Q87" t="str">
        <f t="shared" si="6"/>
        <v>Outdoors/Public</v>
      </c>
      <c r="R87" t="s">
        <v>4713</v>
      </c>
      <c r="S87" t="s">
        <v>5125</v>
      </c>
      <c r="T87" t="str" cm="1">
        <f t="array" ref="T87">_xlfn.IFS(
  TEXT(TRIM(S87),"00000")="NULL", "Missing/Unknown",
  OR(TEXT(TRIM(S87),"00000")="89101", TEXT(TRIM(S87),"00000")="89104", TEXT(TRIM(S87),"00000")="89106", TEXT(TRIM(S87),"00000")="89102", TEXT(TRIM(S87),"00000")="89107", TEXT(TRIM(S87),"00000")="89108"), "Urban Core",
  OR(TEXT(TRIM(S87),"00000")="89110", TEXT(TRIM(S87),"00000")="89115", TEXT(TRIM(S87),"00000")="89121", TEXT(TRIM(S87),"00000")="89122", TEXT(TRIM(S87),"00000")="89142", TEXT(TRIM(S87),"00000")="89156"), "East Valley",
  OR(TEXT(TRIM(S87),"00000")="89030", TEXT(TRIM(S87),"00000")="89031", TEXT(TRIM(S87),"00000")="89032", TEXT(TRIM(S87),"00000")="89086", TEXT(TRIM(S87),"00000")="89084", TEXT(TRIM(S87),"00000")="89081"), "North LV",
  OR(TEXT(TRIM(S87),"00000")="89109", TEXT(TRIM(S87),"00000")="89103", TEXT(TRIM(S87),"00000")="89119", TEXT(TRIM(S87),"00000")="89123", TEXT(TRIM(S87),"00000")="89169", TEXT(TRIM(S87),"00000")="89118"), "South/Strip",
  OR(TEXT(TRIM(S87),"00000")="89074", TEXT(TRIM(S87),"00000")="89014", TEXT(TRIM(S87),"00000")="89015", TEXT(TRIM(S87),"00000")="89011", TEXT(TRIM(S87),"00000")="89012"), "Suburban SE",
  OR(TEXT(TRIM(S87),"00000")="89117", TEXT(TRIM(S87),"00000")="89128", TEXT(TRIM(S87),"00000")="89135", TEXT(TRIM(S87),"00000")="89144", TEXT(TRIM(S87),"00000")="89145", TEXT(TRIM(S87),"00000")="89147"), "West Valley",
  TRUE, "Other"
)</f>
        <v>South/Strip</v>
      </c>
      <c r="U87" t="s">
        <v>2413</v>
      </c>
      <c r="V87" t="str">
        <f t="shared" si="7"/>
        <v>Medical Facility</v>
      </c>
    </row>
    <row r="88" spans="1:22">
      <c r="A88" t="s">
        <v>2416</v>
      </c>
      <c r="B88" t="s">
        <v>2417</v>
      </c>
      <c r="C88" s="1">
        <v>45514</v>
      </c>
      <c r="D88" s="4">
        <v>107.96</v>
      </c>
      <c r="E88">
        <v>48</v>
      </c>
      <c r="F88" t="str">
        <f t="shared" si="4"/>
        <v>40's</v>
      </c>
      <c r="G88" t="str" cm="1">
        <f t="array" ref="G88">_xlfn.IFS(
  F88="10's", "Child (5–12)",
  OR(F88="20's", F88="30's"), "Young Adult (20–39)",
  OR(F88="40's", F88="50's"), "Adult (40–59)",
  OR(F88="60's", F88="70's", F88="80's", F88="90's"), "Senior (60+)",
  TRUE, "Unknown"
)</f>
        <v>Adult (40–59)</v>
      </c>
      <c r="H88" t="s">
        <v>841</v>
      </c>
      <c r="I88" t="s">
        <v>4029</v>
      </c>
      <c r="J88" t="str">
        <f t="shared" si="5"/>
        <v>Methamphetamine-related</v>
      </c>
      <c r="K88" t="s">
        <v>54</v>
      </c>
      <c r="L88" t="s">
        <v>250</v>
      </c>
      <c r="M88" t="s">
        <v>4609</v>
      </c>
      <c r="N88" t="s">
        <v>5115</v>
      </c>
      <c r="O88" t="str" cm="1">
        <f t="array" ref="O88">_xlfn.IFS(
  TEXT(TRIM(N88),"00000")="NULL", "Missing/Unknown",
  OR(TEXT(TRIM(N88),"00000")="89101", TEXT(TRIM(N88),"00000")="89104", TEXT(TRIM(N88),"00000")="89106", TEXT(TRIM(N88),"00000")="89102", TEXT(TRIM(N88),"00000")="89107", TEXT(TRIM(N88),"00000")="89108"), "Urban Core",
  OR(TEXT(TRIM(N88),"00000")="89110", TEXT(TRIM(N88),"00000")="89115", TEXT(TRIM(N88),"00000")="89121", TEXT(TRIM(N88),"00000")="89122", TEXT(TRIM(N88),"00000")="89142", TEXT(TRIM(N88),"00000")="89156"), "East Valley",
  OR(TEXT(TRIM(N88),"00000")="89030", TEXT(TRIM(N88),"00000")="89031", TEXT(TRIM(N88),"00000")="89032", TEXT(TRIM(N88),"00000")="89086", TEXT(TRIM(N88),"00000")="89084", TEXT(TRIM(N88),"00000")="89081"), "North LV",
  OR(TEXT(TRIM(N88),"00000")="89109", TEXT(TRIM(N88),"00000")="89103", TEXT(TRIM(N88),"00000")="89119", TEXT(TRIM(N88),"00000")="89123", TEXT(TRIM(N88),"00000")="89169", TEXT(TRIM(N88),"00000")="89118"), "South/Strip",
  OR(TEXT(TRIM(N88),"00000")="89074", TEXT(TRIM(N88),"00000")="89014", TEXT(TRIM(N88),"00000")="89015", TEXT(TRIM(N88),"00000")="89011", TEXT(TRIM(N88),"00000")="89012"), "Suburban SE",
  OR(TEXT(TRIM(N88),"00000")="89117", TEXT(TRIM(N88),"00000")="89128", TEXT(TRIM(N88),"00000")="89135", TEXT(TRIM(N88),"00000")="89144", TEXT(TRIM(N88),"00000")="89145", TEXT(TRIM(N88),"00000")="89147"), "West Valley",
  TRUE, "Other"
)</f>
        <v>Other</v>
      </c>
      <c r="P88" t="s">
        <v>271</v>
      </c>
      <c r="Q88" t="str">
        <f t="shared" si="6"/>
        <v>Home/Residence</v>
      </c>
      <c r="R88" t="s">
        <v>4609</v>
      </c>
      <c r="S88" t="s">
        <v>5115</v>
      </c>
      <c r="T88" t="str" cm="1">
        <f t="array" ref="T88">_xlfn.IFS(
  TEXT(TRIM(S88),"00000")="NULL", "Missing/Unknown",
  OR(TEXT(TRIM(S88),"00000")="89101", TEXT(TRIM(S88),"00000")="89104", TEXT(TRIM(S88),"00000")="89106", TEXT(TRIM(S88),"00000")="89102", TEXT(TRIM(S88),"00000")="89107", TEXT(TRIM(S88),"00000")="89108"), "Urban Core",
  OR(TEXT(TRIM(S88),"00000")="89110", TEXT(TRIM(S88),"00000")="89115", TEXT(TRIM(S88),"00000")="89121", TEXT(TRIM(S88),"00000")="89122", TEXT(TRIM(S88),"00000")="89142", TEXT(TRIM(S88),"00000")="89156"), "East Valley",
  OR(TEXT(TRIM(S88),"00000")="89030", TEXT(TRIM(S88),"00000")="89031", TEXT(TRIM(S88),"00000")="89032", TEXT(TRIM(S88),"00000")="89086", TEXT(TRIM(S88),"00000")="89084", TEXT(TRIM(S88),"00000")="89081"), "North LV",
  OR(TEXT(TRIM(S88),"00000")="89109", TEXT(TRIM(S88),"00000")="89103", TEXT(TRIM(S88),"00000")="89119", TEXT(TRIM(S88),"00000")="89123", TEXT(TRIM(S88),"00000")="89169", TEXT(TRIM(S88),"00000")="89118"), "South/Strip",
  OR(TEXT(TRIM(S88),"00000")="89074", TEXT(TRIM(S88),"00000")="89014", TEXT(TRIM(S88),"00000")="89015", TEXT(TRIM(S88),"00000")="89011", TEXT(TRIM(S88),"00000")="89012"), "Suburban SE",
  OR(TEXT(TRIM(S88),"00000")="89117", TEXT(TRIM(S88),"00000")="89128", TEXT(TRIM(S88),"00000")="89135", TEXT(TRIM(S88),"00000")="89144", TEXT(TRIM(S88),"00000")="89145", TEXT(TRIM(S88),"00000")="89147"), "West Valley",
  TRUE, "Other"
)</f>
        <v>Other</v>
      </c>
      <c r="U88" t="s">
        <v>271</v>
      </c>
      <c r="V88" t="str">
        <f t="shared" si="7"/>
        <v>Home/Residence</v>
      </c>
    </row>
    <row r="89" spans="1:22">
      <c r="A89" t="s">
        <v>2831</v>
      </c>
      <c r="B89" t="s">
        <v>2832</v>
      </c>
      <c r="C89" s="1">
        <v>45513</v>
      </c>
      <c r="D89" s="4">
        <v>102.92</v>
      </c>
      <c r="E89">
        <v>76</v>
      </c>
      <c r="F89" t="str">
        <f t="shared" si="4"/>
        <v>70's</v>
      </c>
      <c r="G89" t="str" cm="1">
        <f t="array" ref="G89">_xlfn.IFS(
  F89="10's", "Child (5–12)",
  OR(F89="20's", F89="30's"), "Young Adult (20–39)",
  OR(F89="40's", F89="50's"), "Adult (40–59)",
  OR(F89="60's", F89="70's", F89="80's", F89="90's"), "Senior (60+)",
  TRUE, "Unknown"
)</f>
        <v>Senior (60+)</v>
      </c>
      <c r="H89" t="s">
        <v>778</v>
      </c>
      <c r="I89" t="s">
        <v>4031</v>
      </c>
      <c r="J89" t="str">
        <f t="shared" si="5"/>
        <v>Other / Unknown</v>
      </c>
      <c r="K89" t="s">
        <v>54</v>
      </c>
      <c r="L89" t="s">
        <v>1071</v>
      </c>
      <c r="M89" t="s">
        <v>4905</v>
      </c>
      <c r="N89" t="s">
        <v>5098</v>
      </c>
      <c r="O89" t="str" cm="1">
        <f t="array" ref="O89">_xlfn.IFS(
  TEXT(TRIM(N89),"00000")="NULL", "Missing/Unknown",
  OR(TEXT(TRIM(N89),"00000")="89101", TEXT(TRIM(N89),"00000")="89104", TEXT(TRIM(N89),"00000")="89106", TEXT(TRIM(N89),"00000")="89102", TEXT(TRIM(N89),"00000")="89107", TEXT(TRIM(N89),"00000")="89108"), "Urban Core",
  OR(TEXT(TRIM(N89),"00000")="89110", TEXT(TRIM(N89),"00000")="89115", TEXT(TRIM(N89),"00000")="89121", TEXT(TRIM(N89),"00000")="89122", TEXT(TRIM(N89),"00000")="89142", TEXT(TRIM(N89),"00000")="89156"), "East Valley",
  OR(TEXT(TRIM(N89),"00000")="89030", TEXT(TRIM(N89),"00000")="89031", TEXT(TRIM(N89),"00000")="89032", TEXT(TRIM(N89),"00000")="89086", TEXT(TRIM(N89),"00000")="89084", TEXT(TRIM(N89),"00000")="89081"), "North LV",
  OR(TEXT(TRIM(N89),"00000")="89109", TEXT(TRIM(N89),"00000")="89103", TEXT(TRIM(N89),"00000")="89119", TEXT(TRIM(N89),"00000")="89123", TEXT(TRIM(N89),"00000")="89169", TEXT(TRIM(N89),"00000")="89118"), "South/Strip",
  OR(TEXT(TRIM(N89),"00000")="89074", TEXT(TRIM(N89),"00000")="89014", TEXT(TRIM(N89),"00000")="89015", TEXT(TRIM(N89),"00000")="89011", TEXT(TRIM(N89),"00000")="89012"), "Suburban SE",
  OR(TEXT(TRIM(N89),"00000")="89117", TEXT(TRIM(N89),"00000")="89128", TEXT(TRIM(N89),"00000")="89135", TEXT(TRIM(N89),"00000")="89144", TEXT(TRIM(N89),"00000")="89145", TEXT(TRIM(N89),"00000")="89147"), "West Valley",
  TRUE, "Other"
)</f>
        <v>Urban Core</v>
      </c>
      <c r="P89" t="s">
        <v>1073</v>
      </c>
      <c r="Q89" t="str">
        <f t="shared" si="6"/>
        <v>Home/Residence</v>
      </c>
      <c r="R89" t="s">
        <v>4905</v>
      </c>
      <c r="S89" t="s">
        <v>5098</v>
      </c>
      <c r="T89" t="str" cm="1">
        <f t="array" ref="T89">_xlfn.IFS(
  TEXT(TRIM(S89),"00000")="NULL", "Missing/Unknown",
  OR(TEXT(TRIM(S89),"00000")="89101", TEXT(TRIM(S89),"00000")="89104", TEXT(TRIM(S89),"00000")="89106", TEXT(TRIM(S89),"00000")="89102", TEXT(TRIM(S89),"00000")="89107", TEXT(TRIM(S89),"00000")="89108"), "Urban Core",
  OR(TEXT(TRIM(S89),"00000")="89110", TEXT(TRIM(S89),"00000")="89115", TEXT(TRIM(S89),"00000")="89121", TEXT(TRIM(S89),"00000")="89122", TEXT(TRIM(S89),"00000")="89142", TEXT(TRIM(S89),"00000")="89156"), "East Valley",
  OR(TEXT(TRIM(S89),"00000")="89030", TEXT(TRIM(S89),"00000")="89031", TEXT(TRIM(S89),"00000")="89032", TEXT(TRIM(S89),"00000")="89086", TEXT(TRIM(S89),"00000")="89084", TEXT(TRIM(S89),"00000")="89081"), "North LV",
  OR(TEXT(TRIM(S89),"00000")="89109", TEXT(TRIM(S89),"00000")="89103", TEXT(TRIM(S89),"00000")="89119", TEXT(TRIM(S89),"00000")="89123", TEXT(TRIM(S89),"00000")="89169", TEXT(TRIM(S89),"00000")="89118"), "South/Strip",
  OR(TEXT(TRIM(S89),"00000")="89074", TEXT(TRIM(S89),"00000")="89014", TEXT(TRIM(S89),"00000")="89015", TEXT(TRIM(S89),"00000")="89011", TEXT(TRIM(S89),"00000")="89012"), "Suburban SE",
  OR(TEXT(TRIM(S89),"00000")="89117", TEXT(TRIM(S89),"00000")="89128", TEXT(TRIM(S89),"00000")="89135", TEXT(TRIM(S89),"00000")="89144", TEXT(TRIM(S89),"00000")="89145", TEXT(TRIM(S89),"00000")="89147"), "West Valley",
  TRUE, "Other"
)</f>
        <v>Urban Core</v>
      </c>
      <c r="U89" t="s">
        <v>1073</v>
      </c>
      <c r="V89" t="str">
        <f t="shared" si="7"/>
        <v>Home/Residence</v>
      </c>
    </row>
    <row r="90" spans="1:22">
      <c r="A90" t="s">
        <v>3231</v>
      </c>
      <c r="B90" t="s">
        <v>3232</v>
      </c>
      <c r="C90" s="1">
        <v>45513</v>
      </c>
      <c r="D90" s="4">
        <v>102.92</v>
      </c>
      <c r="E90">
        <v>33</v>
      </c>
      <c r="F90" t="str">
        <f t="shared" si="4"/>
        <v>30's</v>
      </c>
      <c r="G90" t="str" cm="1">
        <f t="array" ref="G90">_xlfn.IFS(
  F90="10's", "Child (5–12)",
  OR(F90="20's", F90="30's"), "Young Adult (20–39)",
  OR(F90="40's", F90="50's"), "Adult (40–59)",
  OR(F90="60's", F90="70's", F90="80's", F90="90's"), "Senior (60+)",
  TRUE, "Unknown"
)</f>
        <v>Young Adult (20–39)</v>
      </c>
      <c r="H90" t="s">
        <v>778</v>
      </c>
      <c r="I90" t="s">
        <v>54</v>
      </c>
      <c r="J90" t="str">
        <f t="shared" si="5"/>
        <v>Environmental Heat</v>
      </c>
      <c r="K90" t="s">
        <v>34</v>
      </c>
      <c r="L90" t="s">
        <v>250</v>
      </c>
      <c r="M90" t="s">
        <v>5008</v>
      </c>
      <c r="N90" t="s">
        <v>5098</v>
      </c>
      <c r="O90" t="str" cm="1">
        <f t="array" ref="O90">_xlfn.IFS(
  TEXT(TRIM(N90),"00000")="NULL", "Missing/Unknown",
  OR(TEXT(TRIM(N90),"00000")="89101", TEXT(TRIM(N90),"00000")="89104", TEXT(TRIM(N90),"00000")="89106", TEXT(TRIM(N90),"00000")="89102", TEXT(TRIM(N90),"00000")="89107", TEXT(TRIM(N90),"00000")="89108"), "Urban Core",
  OR(TEXT(TRIM(N90),"00000")="89110", TEXT(TRIM(N90),"00000")="89115", TEXT(TRIM(N90),"00000")="89121", TEXT(TRIM(N90),"00000")="89122", TEXT(TRIM(N90),"00000")="89142", TEXT(TRIM(N90),"00000")="89156"), "East Valley",
  OR(TEXT(TRIM(N90),"00000")="89030", TEXT(TRIM(N90),"00000")="89031", TEXT(TRIM(N90),"00000")="89032", TEXT(TRIM(N90),"00000")="89086", TEXT(TRIM(N90),"00000")="89084", TEXT(TRIM(N90),"00000")="89081"), "North LV",
  OR(TEXT(TRIM(N90),"00000")="89109", TEXT(TRIM(N90),"00000")="89103", TEXT(TRIM(N90),"00000")="89119", TEXT(TRIM(N90),"00000")="89123", TEXT(TRIM(N90),"00000")="89169", TEXT(TRIM(N90),"00000")="89118"), "South/Strip",
  OR(TEXT(TRIM(N90),"00000")="89074", TEXT(TRIM(N90),"00000")="89014", TEXT(TRIM(N90),"00000")="89015", TEXT(TRIM(N90),"00000")="89011", TEXT(TRIM(N90),"00000")="89012"), "Suburban SE",
  OR(TEXT(TRIM(N90),"00000")="89117", TEXT(TRIM(N90),"00000")="89128", TEXT(TRIM(N90),"00000")="89135", TEXT(TRIM(N90),"00000")="89144", TEXT(TRIM(N90),"00000")="89145", TEXT(TRIM(N90),"00000")="89147"), "West Valley",
  TRUE, "Other"
)</f>
        <v>Urban Core</v>
      </c>
      <c r="P90" t="s">
        <v>3298</v>
      </c>
      <c r="Q90" t="str">
        <f t="shared" si="6"/>
        <v>Outdoors/Public</v>
      </c>
      <c r="R90" t="s">
        <v>5008</v>
      </c>
      <c r="S90" t="s">
        <v>5098</v>
      </c>
      <c r="T90" t="str" cm="1">
        <f t="array" ref="T90">_xlfn.IFS(
  TEXT(TRIM(S90),"00000")="NULL", "Missing/Unknown",
  OR(TEXT(TRIM(S90),"00000")="89101", TEXT(TRIM(S90),"00000")="89104", TEXT(TRIM(S90),"00000")="89106", TEXT(TRIM(S90),"00000")="89102", TEXT(TRIM(S90),"00000")="89107", TEXT(TRIM(S90),"00000")="89108"), "Urban Core",
  OR(TEXT(TRIM(S90),"00000")="89110", TEXT(TRIM(S90),"00000")="89115", TEXT(TRIM(S90),"00000")="89121", TEXT(TRIM(S90),"00000")="89122", TEXT(TRIM(S90),"00000")="89142", TEXT(TRIM(S90),"00000")="89156"), "East Valley",
  OR(TEXT(TRIM(S90),"00000")="89030", TEXT(TRIM(S90),"00000")="89031", TEXT(TRIM(S90),"00000")="89032", TEXT(TRIM(S90),"00000")="89086", TEXT(TRIM(S90),"00000")="89084", TEXT(TRIM(S90),"00000")="89081"), "North LV",
  OR(TEXT(TRIM(S90),"00000")="89109", TEXT(TRIM(S90),"00000")="89103", TEXT(TRIM(S90),"00000")="89119", TEXT(TRIM(S90),"00000")="89123", TEXT(TRIM(S90),"00000")="89169", TEXT(TRIM(S90),"00000")="89118"), "South/Strip",
  OR(TEXT(TRIM(S90),"00000")="89074", TEXT(TRIM(S90),"00000")="89014", TEXT(TRIM(S90),"00000")="89015", TEXT(TRIM(S90),"00000")="89011", TEXT(TRIM(S90),"00000")="89012"), "Suburban SE",
  OR(TEXT(TRIM(S90),"00000")="89117", TEXT(TRIM(S90),"00000")="89128", TEXT(TRIM(S90),"00000")="89135", TEXT(TRIM(S90),"00000")="89144", TEXT(TRIM(S90),"00000")="89145", TEXT(TRIM(S90),"00000")="89147"), "West Valley",
  TRUE, "Other"
)</f>
        <v>Urban Core</v>
      </c>
      <c r="U90" t="s">
        <v>3298</v>
      </c>
      <c r="V90" t="str">
        <f t="shared" si="7"/>
        <v>Outdoors/Public</v>
      </c>
    </row>
    <row r="91" spans="1:22">
      <c r="A91" t="s">
        <v>3312</v>
      </c>
      <c r="B91" t="s">
        <v>3313</v>
      </c>
      <c r="C91" s="1">
        <v>45513</v>
      </c>
      <c r="D91" s="4">
        <v>102.92</v>
      </c>
      <c r="E91">
        <v>73</v>
      </c>
      <c r="F91" t="str">
        <f t="shared" si="4"/>
        <v>70's</v>
      </c>
      <c r="G91" t="str" cm="1">
        <f t="array" ref="G91">_xlfn.IFS(
  F91="10's", "Child (5–12)",
  OR(F91="20's", F91="30's"), "Young Adult (20–39)",
  OR(F91="40's", F91="50's"), "Adult (40–59)",
  OR(F91="60's", F91="70's", F91="80's", F91="90's"), "Senior (60+)",
  TRUE, "Unknown"
)</f>
        <v>Senior (60+)</v>
      </c>
      <c r="H91" t="s">
        <v>841</v>
      </c>
      <c r="I91" t="s">
        <v>163</v>
      </c>
      <c r="J91" t="str">
        <f t="shared" si="5"/>
        <v>Environmental Heat</v>
      </c>
      <c r="K91" t="s">
        <v>4154</v>
      </c>
      <c r="L91" t="s">
        <v>1071</v>
      </c>
      <c r="M91" t="s">
        <v>4502</v>
      </c>
      <c r="N91" t="s">
        <v>5107</v>
      </c>
      <c r="O91" t="str" cm="1">
        <f t="array" ref="O91">_xlfn.IFS(
  TEXT(TRIM(N91),"00000")="NULL", "Missing/Unknown",
  OR(TEXT(TRIM(N91),"00000")="89101", TEXT(TRIM(N91),"00000")="89104", TEXT(TRIM(N91),"00000")="89106", TEXT(TRIM(N91),"00000")="89102", TEXT(TRIM(N91),"00000")="89107", TEXT(TRIM(N91),"00000")="89108"), "Urban Core",
  OR(TEXT(TRIM(N91),"00000")="89110", TEXT(TRIM(N91),"00000")="89115", TEXT(TRIM(N91),"00000")="89121", TEXT(TRIM(N91),"00000")="89122", TEXT(TRIM(N91),"00000")="89142", TEXT(TRIM(N91),"00000")="89156"), "East Valley",
  OR(TEXT(TRIM(N91),"00000")="89030", TEXT(TRIM(N91),"00000")="89031", TEXT(TRIM(N91),"00000")="89032", TEXT(TRIM(N91),"00000")="89086", TEXT(TRIM(N91),"00000")="89084", TEXT(TRIM(N91),"00000")="89081"), "North LV",
  OR(TEXT(TRIM(N91),"00000")="89109", TEXT(TRIM(N91),"00000")="89103", TEXT(TRIM(N91),"00000")="89119", TEXT(TRIM(N91),"00000")="89123", TEXT(TRIM(N91),"00000")="89169", TEXT(TRIM(N91),"00000")="89118"), "South/Strip",
  OR(TEXT(TRIM(N91),"00000")="89074", TEXT(TRIM(N91),"00000")="89014", TEXT(TRIM(N91),"00000")="89015", TEXT(TRIM(N91),"00000")="89011", TEXT(TRIM(N91),"00000")="89012"), "Suburban SE",
  OR(TEXT(TRIM(N91),"00000")="89117", TEXT(TRIM(N91),"00000")="89128", TEXT(TRIM(N91),"00000")="89135", TEXT(TRIM(N91),"00000")="89144", TEXT(TRIM(N91),"00000")="89145", TEXT(TRIM(N91),"00000")="89147"), "West Valley",
  TRUE, "Other"
)</f>
        <v>South/Strip</v>
      </c>
      <c r="P91" t="s">
        <v>1073</v>
      </c>
      <c r="Q91" t="str">
        <f t="shared" si="6"/>
        <v>Home/Residence</v>
      </c>
      <c r="R91" t="s">
        <v>5058</v>
      </c>
      <c r="S91" t="s">
        <v>5123</v>
      </c>
      <c r="T91" t="str" cm="1">
        <f t="array" ref="T91">_xlfn.IFS(
  TEXT(TRIM(S91),"00000")="NULL", "Missing/Unknown",
  OR(TEXT(TRIM(S91),"00000")="89101", TEXT(TRIM(S91),"00000")="89104", TEXT(TRIM(S91),"00000")="89106", TEXT(TRIM(S91),"00000")="89102", TEXT(TRIM(S91),"00000")="89107", TEXT(TRIM(S91),"00000")="89108"), "Urban Core",
  OR(TEXT(TRIM(S91),"00000")="89110", TEXT(TRIM(S91),"00000")="89115", TEXT(TRIM(S91),"00000")="89121", TEXT(TRIM(S91),"00000")="89122", TEXT(TRIM(S91),"00000")="89142", TEXT(TRIM(S91),"00000")="89156"), "East Valley",
  OR(TEXT(TRIM(S91),"00000")="89030", TEXT(TRIM(S91),"00000")="89031", TEXT(TRIM(S91),"00000")="89032", TEXT(TRIM(S91),"00000")="89086", TEXT(TRIM(S91),"00000")="89084", TEXT(TRIM(S91),"00000")="89081"), "North LV",
  OR(TEXT(TRIM(S91),"00000")="89109", TEXT(TRIM(S91),"00000")="89103", TEXT(TRIM(S91),"00000")="89119", TEXT(TRIM(S91),"00000")="89123", TEXT(TRIM(S91),"00000")="89169", TEXT(TRIM(S91),"00000")="89118"), "South/Strip",
  OR(TEXT(TRIM(S91),"00000")="89074", TEXT(TRIM(S91),"00000")="89014", TEXT(TRIM(S91),"00000")="89015", TEXT(TRIM(S91),"00000")="89011", TEXT(TRIM(S91),"00000")="89012"), "Suburban SE",
  OR(TEXT(TRIM(S91),"00000")="89117", TEXT(TRIM(S91),"00000")="89128", TEXT(TRIM(S91),"00000")="89135", TEXT(TRIM(S91),"00000")="89144", TEXT(TRIM(S91),"00000")="89145", TEXT(TRIM(S91),"00000")="89147"), "West Valley",
  TRUE, "Other"
)</f>
        <v>South/Strip</v>
      </c>
      <c r="U91" t="s">
        <v>109</v>
      </c>
      <c r="V91" t="str">
        <f t="shared" si="7"/>
        <v>Other / Unknown</v>
      </c>
    </row>
    <row r="92" spans="1:22">
      <c r="A92" t="s">
        <v>2645</v>
      </c>
      <c r="B92" t="s">
        <v>2646</v>
      </c>
      <c r="C92" s="1">
        <v>45513</v>
      </c>
      <c r="D92" s="4">
        <v>102.92</v>
      </c>
      <c r="E92">
        <v>53</v>
      </c>
      <c r="F92" t="str">
        <f t="shared" si="4"/>
        <v>50's</v>
      </c>
      <c r="G92" t="str" cm="1">
        <f t="array" ref="G92">_xlfn.IFS(
  F92="10's", "Child (5–12)",
  OR(F92="20's", F92="30's"), "Young Adult (20–39)",
  OR(F92="40's", F92="50's"), "Adult (40–59)",
  OR(F92="60's", F92="70's", F92="80's", F92="90's"), "Senior (60+)",
  TRUE, "Unknown"
)</f>
        <v>Adult (40–59)</v>
      </c>
      <c r="H92" t="s">
        <v>4309</v>
      </c>
      <c r="I92" t="s">
        <v>63</v>
      </c>
      <c r="J92" t="str">
        <f t="shared" si="5"/>
        <v>Cardiovascular Disease</v>
      </c>
      <c r="K92" t="s">
        <v>54</v>
      </c>
      <c r="L92" t="s">
        <v>1071</v>
      </c>
      <c r="M92" t="s">
        <v>5007</v>
      </c>
      <c r="N92" t="s">
        <v>5124</v>
      </c>
      <c r="O92" t="str" cm="1">
        <f t="array" ref="O92">_xlfn.IFS(
  TEXT(TRIM(N92),"00000")="NULL", "Missing/Unknown",
  OR(TEXT(TRIM(N92),"00000")="89101", TEXT(TRIM(N92),"00000")="89104", TEXT(TRIM(N92),"00000")="89106", TEXT(TRIM(N92),"00000")="89102", TEXT(TRIM(N92),"00000")="89107", TEXT(TRIM(N92),"00000")="89108"), "Urban Core",
  OR(TEXT(TRIM(N92),"00000")="89110", TEXT(TRIM(N92),"00000")="89115", TEXT(TRIM(N92),"00000")="89121", TEXT(TRIM(N92),"00000")="89122", TEXT(TRIM(N92),"00000")="89142", TEXT(TRIM(N92),"00000")="89156"), "East Valley",
  OR(TEXT(TRIM(N92),"00000")="89030", TEXT(TRIM(N92),"00000")="89031", TEXT(TRIM(N92),"00000")="89032", TEXT(TRIM(N92),"00000")="89086", TEXT(TRIM(N92),"00000")="89084", TEXT(TRIM(N92),"00000")="89081"), "North LV",
  OR(TEXT(TRIM(N92),"00000")="89109", TEXT(TRIM(N92),"00000")="89103", TEXT(TRIM(N92),"00000")="89119", TEXT(TRIM(N92),"00000")="89123", TEXT(TRIM(N92),"00000")="89169", TEXT(TRIM(N92),"00000")="89118"), "South/Strip",
  OR(TEXT(TRIM(N92),"00000")="89074", TEXT(TRIM(N92),"00000")="89014", TEXT(TRIM(N92),"00000")="89015", TEXT(TRIM(N92),"00000")="89011", TEXT(TRIM(N92),"00000")="89012"), "Suburban SE",
  OR(TEXT(TRIM(N92),"00000")="89117", TEXT(TRIM(N92),"00000")="89128", TEXT(TRIM(N92),"00000")="89135", TEXT(TRIM(N92),"00000")="89144", TEXT(TRIM(N92),"00000")="89145", TEXT(TRIM(N92),"00000")="89147"), "West Valley",
  TRUE, "Other"
)</f>
        <v>North LV</v>
      </c>
      <c r="P92" t="s">
        <v>3298</v>
      </c>
      <c r="Q92" t="str">
        <f t="shared" si="6"/>
        <v>Outdoors/Public</v>
      </c>
      <c r="R92" t="s">
        <v>5007</v>
      </c>
      <c r="S92" t="s">
        <v>5124</v>
      </c>
      <c r="T92" t="str" cm="1">
        <f t="array" ref="T92">_xlfn.IFS(
  TEXT(TRIM(S92),"00000")="NULL", "Missing/Unknown",
  OR(TEXT(TRIM(S92),"00000")="89101", TEXT(TRIM(S92),"00000")="89104", TEXT(TRIM(S92),"00000")="89106", TEXT(TRIM(S92),"00000")="89102", TEXT(TRIM(S92),"00000")="89107", TEXT(TRIM(S92),"00000")="89108"), "Urban Core",
  OR(TEXT(TRIM(S92),"00000")="89110", TEXT(TRIM(S92),"00000")="89115", TEXT(TRIM(S92),"00000")="89121", TEXT(TRIM(S92),"00000")="89122", TEXT(TRIM(S92),"00000")="89142", TEXT(TRIM(S92),"00000")="89156"), "East Valley",
  OR(TEXT(TRIM(S92),"00000")="89030", TEXT(TRIM(S92),"00000")="89031", TEXT(TRIM(S92),"00000")="89032", TEXT(TRIM(S92),"00000")="89086", TEXT(TRIM(S92),"00000")="89084", TEXT(TRIM(S92),"00000")="89081"), "North LV",
  OR(TEXT(TRIM(S92),"00000")="89109", TEXT(TRIM(S92),"00000")="89103", TEXT(TRIM(S92),"00000")="89119", TEXT(TRIM(S92),"00000")="89123", TEXT(TRIM(S92),"00000")="89169", TEXT(TRIM(S92),"00000")="89118"), "South/Strip",
  OR(TEXT(TRIM(S92),"00000")="89074", TEXT(TRIM(S92),"00000")="89014", TEXT(TRIM(S92),"00000")="89015", TEXT(TRIM(S92),"00000")="89011", TEXT(TRIM(S92),"00000")="89012"), "Suburban SE",
  OR(TEXT(TRIM(S92),"00000")="89117", TEXT(TRIM(S92),"00000")="89128", TEXT(TRIM(S92),"00000")="89135", TEXT(TRIM(S92),"00000")="89144", TEXT(TRIM(S92),"00000")="89145", TEXT(TRIM(S92),"00000")="89147"), "West Valley",
  TRUE, "Other"
)</f>
        <v>North LV</v>
      </c>
      <c r="U92" t="s">
        <v>3298</v>
      </c>
      <c r="V92" t="str">
        <f t="shared" si="7"/>
        <v>Outdoors/Public</v>
      </c>
    </row>
    <row r="93" spans="1:22">
      <c r="A93" t="s">
        <v>2643</v>
      </c>
      <c r="B93" t="s">
        <v>2644</v>
      </c>
      <c r="C93" s="1">
        <v>45513</v>
      </c>
      <c r="D93" s="4">
        <v>102.92</v>
      </c>
      <c r="E93">
        <v>79</v>
      </c>
      <c r="F93" t="str">
        <f t="shared" si="4"/>
        <v>70's</v>
      </c>
      <c r="G93" t="str" cm="1">
        <f t="array" ref="G93">_xlfn.IFS(
  F93="10's", "Child (5–12)",
  OR(F93="20's", F93="30's"), "Young Adult (20–39)",
  OR(F93="40's", F93="50's"), "Adult (40–59)",
  OR(F93="60's", F93="70's", F93="80's", F93="90's"), "Senior (60+)",
  TRUE, "Unknown"
)</f>
        <v>Senior (60+)</v>
      </c>
      <c r="H93" t="s">
        <v>841</v>
      </c>
      <c r="I93" t="s">
        <v>63</v>
      </c>
      <c r="J93" t="str">
        <f t="shared" si="5"/>
        <v>Cardiovascular Disease</v>
      </c>
      <c r="K93" t="s">
        <v>54</v>
      </c>
      <c r="L93" t="s">
        <v>250</v>
      </c>
      <c r="N93" t="s">
        <v>5095</v>
      </c>
      <c r="O93" t="str" cm="1">
        <f t="array" ref="O93">_xlfn.IFS(
  TEXT(TRIM(N93),"00000")="NULL", "Missing/Unknown",
  OR(TEXT(TRIM(N93),"00000")="89101", TEXT(TRIM(N93),"00000")="89104", TEXT(TRIM(N93),"00000")="89106", TEXT(TRIM(N93),"00000")="89102", TEXT(TRIM(N93),"00000")="89107", TEXT(TRIM(N93),"00000")="89108"), "Urban Core",
  OR(TEXT(TRIM(N93),"00000")="89110", TEXT(TRIM(N93),"00000")="89115", TEXT(TRIM(N93),"00000")="89121", TEXT(TRIM(N93),"00000")="89122", TEXT(TRIM(N93),"00000")="89142", TEXT(TRIM(N93),"00000")="89156"), "East Valley",
  OR(TEXT(TRIM(N93),"00000")="89030", TEXT(TRIM(N93),"00000")="89031", TEXT(TRIM(N93),"00000")="89032", TEXT(TRIM(N93),"00000")="89086", TEXT(TRIM(N93),"00000")="89084", TEXT(TRIM(N93),"00000")="89081"), "North LV",
  OR(TEXT(TRIM(N93),"00000")="89109", TEXT(TRIM(N93),"00000")="89103", TEXT(TRIM(N93),"00000")="89119", TEXT(TRIM(N93),"00000")="89123", TEXT(TRIM(N93),"00000")="89169", TEXT(TRIM(N93),"00000")="89118"), "South/Strip",
  OR(TEXT(TRIM(N93),"00000")="89074", TEXT(TRIM(N93),"00000")="89014", TEXT(TRIM(N93),"00000")="89015", TEXT(TRIM(N93),"00000")="89011", TEXT(TRIM(N93),"00000")="89012"), "Suburban SE",
  OR(TEXT(TRIM(N93),"00000")="89117", TEXT(TRIM(N93),"00000")="89128", TEXT(TRIM(N93),"00000")="89135", TEXT(TRIM(N93),"00000")="89144", TEXT(TRIM(N93),"00000")="89145", TEXT(TRIM(N93),"00000")="89147"), "West Valley",
  TRUE, "Other"
)</f>
        <v>Missing/Unknown</v>
      </c>
      <c r="P93" t="s">
        <v>1073</v>
      </c>
      <c r="Q93" t="str">
        <f t="shared" si="6"/>
        <v>Home/Residence</v>
      </c>
      <c r="S93" t="s">
        <v>5095</v>
      </c>
      <c r="T93" t="str" cm="1">
        <f t="array" ref="T93">_xlfn.IFS(
  TEXT(TRIM(S93),"00000")="NULL", "Missing/Unknown",
  OR(TEXT(TRIM(S93),"00000")="89101", TEXT(TRIM(S93),"00000")="89104", TEXT(TRIM(S93),"00000")="89106", TEXT(TRIM(S93),"00000")="89102", TEXT(TRIM(S93),"00000")="89107", TEXT(TRIM(S93),"00000")="89108"), "Urban Core",
  OR(TEXT(TRIM(S93),"00000")="89110", TEXT(TRIM(S93),"00000")="89115", TEXT(TRIM(S93),"00000")="89121", TEXT(TRIM(S93),"00000")="89122", TEXT(TRIM(S93),"00000")="89142", TEXT(TRIM(S93),"00000")="89156"), "East Valley",
  OR(TEXT(TRIM(S93),"00000")="89030", TEXT(TRIM(S93),"00000")="89031", TEXT(TRIM(S93),"00000")="89032", TEXT(TRIM(S93),"00000")="89086", TEXT(TRIM(S93),"00000")="89084", TEXT(TRIM(S93),"00000")="89081"), "North LV",
  OR(TEXT(TRIM(S93),"00000")="89109", TEXT(TRIM(S93),"00000")="89103", TEXT(TRIM(S93),"00000")="89119", TEXT(TRIM(S93),"00000")="89123", TEXT(TRIM(S93),"00000")="89169", TEXT(TRIM(S93),"00000")="89118"), "South/Strip",
  OR(TEXT(TRIM(S93),"00000")="89074", TEXT(TRIM(S93),"00000")="89014", TEXT(TRIM(S93),"00000")="89015", TEXT(TRIM(S93),"00000")="89011", TEXT(TRIM(S93),"00000")="89012"), "Suburban SE",
  OR(TEXT(TRIM(S93),"00000")="89117", TEXT(TRIM(S93),"00000")="89128", TEXT(TRIM(S93),"00000")="89135", TEXT(TRIM(S93),"00000")="89144", TEXT(TRIM(S93),"00000")="89145", TEXT(TRIM(S93),"00000")="89147"), "West Valley",
  TRUE, "Other"
)</f>
        <v>Missing/Unknown</v>
      </c>
      <c r="U93" t="s">
        <v>1073</v>
      </c>
      <c r="V93" t="str">
        <f t="shared" si="7"/>
        <v>Home/Residence</v>
      </c>
    </row>
    <row r="94" spans="1:22">
      <c r="A94" t="s">
        <v>3227</v>
      </c>
      <c r="B94" t="s">
        <v>3228</v>
      </c>
      <c r="C94" s="1">
        <v>45512</v>
      </c>
      <c r="D94" s="4">
        <v>102.92</v>
      </c>
      <c r="E94">
        <v>70</v>
      </c>
      <c r="F94" t="str">
        <f t="shared" si="4"/>
        <v>70's</v>
      </c>
      <c r="G94" t="str" cm="1">
        <f t="array" ref="G94">_xlfn.IFS(
  F94="10's", "Child (5–12)",
  OR(F94="20's", F94="30's"), "Young Adult (20–39)",
  OR(F94="40's", F94="50's"), "Adult (40–59)",
  OR(F94="60's", F94="70's", F94="80's", F94="90's"), "Senior (60+)",
  TRUE, "Unknown"
)</f>
        <v>Senior (60+)</v>
      </c>
      <c r="H94" t="s">
        <v>841</v>
      </c>
      <c r="I94" t="s">
        <v>54</v>
      </c>
      <c r="J94" t="str">
        <f t="shared" si="5"/>
        <v>Environmental Heat</v>
      </c>
      <c r="K94" t="s">
        <v>4156</v>
      </c>
      <c r="L94" t="s">
        <v>250</v>
      </c>
      <c r="M94" t="s">
        <v>4668</v>
      </c>
      <c r="N94" t="s">
        <v>5096</v>
      </c>
      <c r="O94" t="str" cm="1">
        <f t="array" ref="O94">_xlfn.IFS(
  TEXT(TRIM(N94),"00000")="NULL", "Missing/Unknown",
  OR(TEXT(TRIM(N94),"00000")="89101", TEXT(TRIM(N94),"00000")="89104", TEXT(TRIM(N94),"00000")="89106", TEXT(TRIM(N94),"00000")="89102", TEXT(TRIM(N94),"00000")="89107", TEXT(TRIM(N94),"00000")="89108"), "Urban Core",
  OR(TEXT(TRIM(N94),"00000")="89110", TEXT(TRIM(N94),"00000")="89115", TEXT(TRIM(N94),"00000")="89121", TEXT(TRIM(N94),"00000")="89122", TEXT(TRIM(N94),"00000")="89142", TEXT(TRIM(N94),"00000")="89156"), "East Valley",
  OR(TEXT(TRIM(N94),"00000")="89030", TEXT(TRIM(N94),"00000")="89031", TEXT(TRIM(N94),"00000")="89032", TEXT(TRIM(N94),"00000")="89086", TEXT(TRIM(N94),"00000")="89084", TEXT(TRIM(N94),"00000")="89081"), "North LV",
  OR(TEXT(TRIM(N94),"00000")="89109", TEXT(TRIM(N94),"00000")="89103", TEXT(TRIM(N94),"00000")="89119", TEXT(TRIM(N94),"00000")="89123", TEXT(TRIM(N94),"00000")="89169", TEXT(TRIM(N94),"00000")="89118"), "South/Strip",
  OR(TEXT(TRIM(N94),"00000")="89074", TEXT(TRIM(N94),"00000")="89014", TEXT(TRIM(N94),"00000")="89015", TEXT(TRIM(N94),"00000")="89011", TEXT(TRIM(N94),"00000")="89012"), "Suburban SE",
  OR(TEXT(TRIM(N94),"00000")="89117", TEXT(TRIM(N94),"00000")="89128", TEXT(TRIM(N94),"00000")="89135", TEXT(TRIM(N94),"00000")="89144", TEXT(TRIM(N94),"00000")="89145", TEXT(TRIM(N94),"00000")="89147"), "West Valley",
  TRUE, "Other"
)</f>
        <v>South/Strip</v>
      </c>
      <c r="P94" t="s">
        <v>3298</v>
      </c>
      <c r="Q94" t="str">
        <f t="shared" si="6"/>
        <v>Outdoors/Public</v>
      </c>
      <c r="R94" t="s">
        <v>4668</v>
      </c>
      <c r="S94" t="s">
        <v>5096</v>
      </c>
      <c r="T94" t="str" cm="1">
        <f t="array" ref="T94">_xlfn.IFS(
  TEXT(TRIM(S94),"00000")="NULL", "Missing/Unknown",
  OR(TEXT(TRIM(S94),"00000")="89101", TEXT(TRIM(S94),"00000")="89104", TEXT(TRIM(S94),"00000")="89106", TEXT(TRIM(S94),"00000")="89102", TEXT(TRIM(S94),"00000")="89107", TEXT(TRIM(S94),"00000")="89108"), "Urban Core",
  OR(TEXT(TRIM(S94),"00000")="89110", TEXT(TRIM(S94),"00000")="89115", TEXT(TRIM(S94),"00000")="89121", TEXT(TRIM(S94),"00000")="89122", TEXT(TRIM(S94),"00000")="89142", TEXT(TRIM(S94),"00000")="89156"), "East Valley",
  OR(TEXT(TRIM(S94),"00000")="89030", TEXT(TRIM(S94),"00000")="89031", TEXT(TRIM(S94),"00000")="89032", TEXT(TRIM(S94),"00000")="89086", TEXT(TRIM(S94),"00000")="89084", TEXT(TRIM(S94),"00000")="89081"), "North LV",
  OR(TEXT(TRIM(S94),"00000")="89109", TEXT(TRIM(S94),"00000")="89103", TEXT(TRIM(S94),"00000")="89119", TEXT(TRIM(S94),"00000")="89123", TEXT(TRIM(S94),"00000")="89169", TEXT(TRIM(S94),"00000")="89118"), "South/Strip",
  OR(TEXT(TRIM(S94),"00000")="89074", TEXT(TRIM(S94),"00000")="89014", TEXT(TRIM(S94),"00000")="89015", TEXT(TRIM(S94),"00000")="89011", TEXT(TRIM(S94),"00000")="89012"), "Suburban SE",
  OR(TEXT(TRIM(S94),"00000")="89117", TEXT(TRIM(S94),"00000")="89128", TEXT(TRIM(S94),"00000")="89135", TEXT(TRIM(S94),"00000")="89144", TEXT(TRIM(S94),"00000")="89145", TEXT(TRIM(S94),"00000")="89147"), "West Valley",
  TRUE, "Other"
)</f>
        <v>South/Strip</v>
      </c>
      <c r="U94" t="s">
        <v>3298</v>
      </c>
      <c r="V94" t="str">
        <f t="shared" si="7"/>
        <v>Outdoors/Public</v>
      </c>
    </row>
    <row r="95" spans="1:22">
      <c r="A95" t="s">
        <v>3223</v>
      </c>
      <c r="B95" t="s">
        <v>3224</v>
      </c>
      <c r="C95" s="1">
        <v>45512</v>
      </c>
      <c r="D95" s="4">
        <v>102.92</v>
      </c>
      <c r="E95">
        <v>56</v>
      </c>
      <c r="F95" t="str">
        <f t="shared" si="4"/>
        <v>50's</v>
      </c>
      <c r="G95" t="str" cm="1">
        <f t="array" ref="G95">_xlfn.IFS(
  F95="10's", "Child (5–12)",
  OR(F95="20's", F95="30's"), "Young Adult (20–39)",
  OR(F95="40's", F95="50's"), "Adult (40–59)",
  OR(F95="60's", F95="70's", F95="80's", F95="90's"), "Senior (60+)",
  TRUE, "Unknown"
)</f>
        <v>Adult (40–59)</v>
      </c>
      <c r="H95" t="s">
        <v>841</v>
      </c>
      <c r="I95" t="s">
        <v>54</v>
      </c>
      <c r="J95" t="str">
        <f t="shared" si="5"/>
        <v>Environmental Heat</v>
      </c>
      <c r="K95" t="s">
        <v>4155</v>
      </c>
      <c r="L95" t="s">
        <v>250</v>
      </c>
      <c r="M95" t="s">
        <v>4667</v>
      </c>
      <c r="N95" t="s">
        <v>5123</v>
      </c>
      <c r="O95" t="str" cm="1">
        <f t="array" ref="O95">_xlfn.IFS(
  TEXT(TRIM(N95),"00000")="NULL", "Missing/Unknown",
  OR(TEXT(TRIM(N95),"00000")="89101", TEXT(TRIM(N95),"00000")="89104", TEXT(TRIM(N95),"00000")="89106", TEXT(TRIM(N95),"00000")="89102", TEXT(TRIM(N95),"00000")="89107", TEXT(TRIM(N95),"00000")="89108"), "Urban Core",
  OR(TEXT(TRIM(N95),"00000")="89110", TEXT(TRIM(N95),"00000")="89115", TEXT(TRIM(N95),"00000")="89121", TEXT(TRIM(N95),"00000")="89122", TEXT(TRIM(N95),"00000")="89142", TEXT(TRIM(N95),"00000")="89156"), "East Valley",
  OR(TEXT(TRIM(N95),"00000")="89030", TEXT(TRIM(N95),"00000")="89031", TEXT(TRIM(N95),"00000")="89032", TEXT(TRIM(N95),"00000")="89086", TEXT(TRIM(N95),"00000")="89084", TEXT(TRIM(N95),"00000")="89081"), "North LV",
  OR(TEXT(TRIM(N95),"00000")="89109", TEXT(TRIM(N95),"00000")="89103", TEXT(TRIM(N95),"00000")="89119", TEXT(TRIM(N95),"00000")="89123", TEXT(TRIM(N95),"00000")="89169", TEXT(TRIM(N95),"00000")="89118"), "South/Strip",
  OR(TEXT(TRIM(N95),"00000")="89074", TEXT(TRIM(N95),"00000")="89014", TEXT(TRIM(N95),"00000")="89015", TEXT(TRIM(N95),"00000")="89011", TEXT(TRIM(N95),"00000")="89012"), "Suburban SE",
  OR(TEXT(TRIM(N95),"00000")="89117", TEXT(TRIM(N95),"00000")="89128", TEXT(TRIM(N95),"00000")="89135", TEXT(TRIM(N95),"00000")="89144", TEXT(TRIM(N95),"00000")="89145", TEXT(TRIM(N95),"00000")="89147"), "West Valley",
  TRUE, "Other"
)</f>
        <v>South/Strip</v>
      </c>
      <c r="P95" t="s">
        <v>3298</v>
      </c>
      <c r="Q95" t="str">
        <f t="shared" si="6"/>
        <v>Outdoors/Public</v>
      </c>
      <c r="R95" t="s">
        <v>4667</v>
      </c>
      <c r="S95" t="s">
        <v>5123</v>
      </c>
      <c r="T95" t="str" cm="1">
        <f t="array" ref="T95">_xlfn.IFS(
  TEXT(TRIM(S95),"00000")="NULL", "Missing/Unknown",
  OR(TEXT(TRIM(S95),"00000")="89101", TEXT(TRIM(S95),"00000")="89104", TEXT(TRIM(S95),"00000")="89106", TEXT(TRIM(S95),"00000")="89102", TEXT(TRIM(S95),"00000")="89107", TEXT(TRIM(S95),"00000")="89108"), "Urban Core",
  OR(TEXT(TRIM(S95),"00000")="89110", TEXT(TRIM(S95),"00000")="89115", TEXT(TRIM(S95),"00000")="89121", TEXT(TRIM(S95),"00000")="89122", TEXT(TRIM(S95),"00000")="89142", TEXT(TRIM(S95),"00000")="89156"), "East Valley",
  OR(TEXT(TRIM(S95),"00000")="89030", TEXT(TRIM(S95),"00000")="89031", TEXT(TRIM(S95),"00000")="89032", TEXT(TRIM(S95),"00000")="89086", TEXT(TRIM(S95),"00000")="89084", TEXT(TRIM(S95),"00000")="89081"), "North LV",
  OR(TEXT(TRIM(S95),"00000")="89109", TEXT(TRIM(S95),"00000")="89103", TEXT(TRIM(S95),"00000")="89119", TEXT(TRIM(S95),"00000")="89123", TEXT(TRIM(S95),"00000")="89169", TEXT(TRIM(S95),"00000")="89118"), "South/Strip",
  OR(TEXT(TRIM(S95),"00000")="89074", TEXT(TRIM(S95),"00000")="89014", TEXT(TRIM(S95),"00000")="89015", TEXT(TRIM(S95),"00000")="89011", TEXT(TRIM(S95),"00000")="89012"), "Suburban SE",
  OR(TEXT(TRIM(S95),"00000")="89117", TEXT(TRIM(S95),"00000")="89128", TEXT(TRIM(S95),"00000")="89135", TEXT(TRIM(S95),"00000")="89144", TEXT(TRIM(S95),"00000")="89145", TEXT(TRIM(S95),"00000")="89147"), "West Valley",
  TRUE, "Other"
)</f>
        <v>South/Strip</v>
      </c>
      <c r="U95" t="s">
        <v>3298</v>
      </c>
      <c r="V95" t="str">
        <f t="shared" si="7"/>
        <v>Outdoors/Public</v>
      </c>
    </row>
    <row r="96" spans="1:22">
      <c r="A96" t="s">
        <v>2657</v>
      </c>
      <c r="B96" t="s">
        <v>2658</v>
      </c>
      <c r="C96" s="1">
        <v>45512</v>
      </c>
      <c r="D96" s="4">
        <v>102.92</v>
      </c>
      <c r="E96">
        <v>80</v>
      </c>
      <c r="F96" t="str">
        <f t="shared" si="4"/>
        <v>80's</v>
      </c>
      <c r="G96" t="str" cm="1">
        <f t="array" ref="G96">_xlfn.IFS(
  F96="10's", "Child (5–12)",
  OR(F96="20's", F96="30's"), "Young Adult (20–39)",
  OR(F96="40's", F96="50's"), "Adult (40–59)",
  OR(F96="60's", F96="70's", F96="80's", F96="90's"), "Senior (60+)",
  TRUE, "Unknown"
)</f>
        <v>Senior (60+)</v>
      </c>
      <c r="H96" t="s">
        <v>841</v>
      </c>
      <c r="I96" t="s">
        <v>63</v>
      </c>
      <c r="J96" t="str">
        <f t="shared" si="5"/>
        <v>Cardiovascular Disease</v>
      </c>
      <c r="K96" t="s">
        <v>54</v>
      </c>
      <c r="L96" t="s">
        <v>1071</v>
      </c>
      <c r="M96" t="s">
        <v>5009</v>
      </c>
      <c r="N96" t="s">
        <v>5108</v>
      </c>
      <c r="O96" t="str" cm="1">
        <f t="array" ref="O96">_xlfn.IFS(
  TEXT(TRIM(N96),"00000")="NULL", "Missing/Unknown",
  OR(TEXT(TRIM(N96),"00000")="89101", TEXT(TRIM(N96),"00000")="89104", TEXT(TRIM(N96),"00000")="89106", TEXT(TRIM(N96),"00000")="89102", TEXT(TRIM(N96),"00000")="89107", TEXT(TRIM(N96),"00000")="89108"), "Urban Core",
  OR(TEXT(TRIM(N96),"00000")="89110", TEXT(TRIM(N96),"00000")="89115", TEXT(TRIM(N96),"00000")="89121", TEXT(TRIM(N96),"00000")="89122", TEXT(TRIM(N96),"00000")="89142", TEXT(TRIM(N96),"00000")="89156"), "East Valley",
  OR(TEXT(TRIM(N96),"00000")="89030", TEXT(TRIM(N96),"00000")="89031", TEXT(TRIM(N96),"00000")="89032", TEXT(TRIM(N96),"00000")="89086", TEXT(TRIM(N96),"00000")="89084", TEXT(TRIM(N96),"00000")="89081"), "North LV",
  OR(TEXT(TRIM(N96),"00000")="89109", TEXT(TRIM(N96),"00000")="89103", TEXT(TRIM(N96),"00000")="89119", TEXT(TRIM(N96),"00000")="89123", TEXT(TRIM(N96),"00000")="89169", TEXT(TRIM(N96),"00000")="89118"), "South/Strip",
  OR(TEXT(TRIM(N96),"00000")="89074", TEXT(TRIM(N96),"00000")="89014", TEXT(TRIM(N96),"00000")="89015", TEXT(TRIM(N96),"00000")="89011", TEXT(TRIM(N96),"00000")="89012"), "Suburban SE",
  OR(TEXT(TRIM(N96),"00000")="89117", TEXT(TRIM(N96),"00000")="89128", TEXT(TRIM(N96),"00000")="89135", TEXT(TRIM(N96),"00000")="89144", TEXT(TRIM(N96),"00000")="89145", TEXT(TRIM(N96),"00000")="89147"), "West Valley",
  TRUE, "Other"
)</f>
        <v>East Valley</v>
      </c>
      <c r="P96" t="s">
        <v>3298</v>
      </c>
      <c r="Q96" t="str">
        <f t="shared" si="6"/>
        <v>Outdoors/Public</v>
      </c>
      <c r="R96" t="s">
        <v>5009</v>
      </c>
      <c r="S96" t="s">
        <v>5108</v>
      </c>
      <c r="T96" t="str" cm="1">
        <f t="array" ref="T96">_xlfn.IFS(
  TEXT(TRIM(S96),"00000")="NULL", "Missing/Unknown",
  OR(TEXT(TRIM(S96),"00000")="89101", TEXT(TRIM(S96),"00000")="89104", TEXT(TRIM(S96),"00000")="89106", TEXT(TRIM(S96),"00000")="89102", TEXT(TRIM(S96),"00000")="89107", TEXT(TRIM(S96),"00000")="89108"), "Urban Core",
  OR(TEXT(TRIM(S96),"00000")="89110", TEXT(TRIM(S96),"00000")="89115", TEXT(TRIM(S96),"00000")="89121", TEXT(TRIM(S96),"00000")="89122", TEXT(TRIM(S96),"00000")="89142", TEXT(TRIM(S96),"00000")="89156"), "East Valley",
  OR(TEXT(TRIM(S96),"00000")="89030", TEXT(TRIM(S96),"00000")="89031", TEXT(TRIM(S96),"00000")="89032", TEXT(TRIM(S96),"00000")="89086", TEXT(TRIM(S96),"00000")="89084", TEXT(TRIM(S96),"00000")="89081"), "North LV",
  OR(TEXT(TRIM(S96),"00000")="89109", TEXT(TRIM(S96),"00000")="89103", TEXT(TRIM(S96),"00000")="89119", TEXT(TRIM(S96),"00000")="89123", TEXT(TRIM(S96),"00000")="89169", TEXT(TRIM(S96),"00000")="89118"), "South/Strip",
  OR(TEXT(TRIM(S96),"00000")="89074", TEXT(TRIM(S96),"00000")="89014", TEXT(TRIM(S96),"00000")="89015", TEXT(TRIM(S96),"00000")="89011", TEXT(TRIM(S96),"00000")="89012"), "Suburban SE",
  OR(TEXT(TRIM(S96),"00000")="89117", TEXT(TRIM(S96),"00000")="89128", TEXT(TRIM(S96),"00000")="89135", TEXT(TRIM(S96),"00000")="89144", TEXT(TRIM(S96),"00000")="89145", TEXT(TRIM(S96),"00000")="89147"), "West Valley",
  TRUE, "Other"
)</f>
        <v>East Valley</v>
      </c>
      <c r="U96" t="s">
        <v>3298</v>
      </c>
      <c r="V96" t="str">
        <f t="shared" si="7"/>
        <v>Outdoors/Public</v>
      </c>
    </row>
    <row r="97" spans="1:22">
      <c r="A97" t="s">
        <v>3220</v>
      </c>
      <c r="B97" t="s">
        <v>3221</v>
      </c>
      <c r="C97" s="1">
        <v>45512</v>
      </c>
      <c r="D97" s="4">
        <v>102.92</v>
      </c>
      <c r="E97">
        <v>29</v>
      </c>
      <c r="F97" t="str">
        <f t="shared" si="4"/>
        <v>20's</v>
      </c>
      <c r="G97" t="str" cm="1">
        <f t="array" ref="G97">_xlfn.IFS(
  F97="10's", "Child (5–12)",
  OR(F97="20's", F97="30's"), "Young Adult (20–39)",
  OR(F97="40's", F97="50's"), "Adult (40–59)",
  OR(F97="60's", F97="70's", F97="80's", F97="90's"), "Senior (60+)",
  TRUE, "Unknown"
)</f>
        <v>Young Adult (20–39)</v>
      </c>
      <c r="H97" t="s">
        <v>841</v>
      </c>
      <c r="I97" t="s">
        <v>54</v>
      </c>
      <c r="J97" t="str">
        <f t="shared" si="5"/>
        <v>Environmental Heat</v>
      </c>
      <c r="K97" t="s">
        <v>98</v>
      </c>
      <c r="L97" t="s">
        <v>250</v>
      </c>
      <c r="M97" t="s">
        <v>4872</v>
      </c>
      <c r="N97" t="s">
        <v>5098</v>
      </c>
      <c r="O97" t="str" cm="1">
        <f t="array" ref="O97">_xlfn.IFS(
  TEXT(TRIM(N97),"00000")="NULL", "Missing/Unknown",
  OR(TEXT(TRIM(N97),"00000")="89101", TEXT(TRIM(N97),"00000")="89104", TEXT(TRIM(N97),"00000")="89106", TEXT(TRIM(N97),"00000")="89102", TEXT(TRIM(N97),"00000")="89107", TEXT(TRIM(N97),"00000")="89108"), "Urban Core",
  OR(TEXT(TRIM(N97),"00000")="89110", TEXT(TRIM(N97),"00000")="89115", TEXT(TRIM(N97),"00000")="89121", TEXT(TRIM(N97),"00000")="89122", TEXT(TRIM(N97),"00000")="89142", TEXT(TRIM(N97),"00000")="89156"), "East Valley",
  OR(TEXT(TRIM(N97),"00000")="89030", TEXT(TRIM(N97),"00000")="89031", TEXT(TRIM(N97),"00000")="89032", TEXT(TRIM(N97),"00000")="89086", TEXT(TRIM(N97),"00000")="89084", TEXT(TRIM(N97),"00000")="89081"), "North LV",
  OR(TEXT(TRIM(N97),"00000")="89109", TEXT(TRIM(N97),"00000")="89103", TEXT(TRIM(N97),"00000")="89119", TEXT(TRIM(N97),"00000")="89123", TEXT(TRIM(N97),"00000")="89169", TEXT(TRIM(N97),"00000")="89118"), "South/Strip",
  OR(TEXT(TRIM(N97),"00000")="89074", TEXT(TRIM(N97),"00000")="89014", TEXT(TRIM(N97),"00000")="89015", TEXT(TRIM(N97),"00000")="89011", TEXT(TRIM(N97),"00000")="89012"), "Suburban SE",
  OR(TEXT(TRIM(N97),"00000")="89117", TEXT(TRIM(N97),"00000")="89128", TEXT(TRIM(N97),"00000")="89135", TEXT(TRIM(N97),"00000")="89144", TEXT(TRIM(N97),"00000")="89145", TEXT(TRIM(N97),"00000")="89147"), "West Valley",
  TRUE, "Other"
)</f>
        <v>Urban Core</v>
      </c>
      <c r="P97" t="s">
        <v>24</v>
      </c>
      <c r="Q97" t="str">
        <f t="shared" si="6"/>
        <v>Outdoors/Public</v>
      </c>
      <c r="R97" t="s">
        <v>4872</v>
      </c>
      <c r="S97" t="s">
        <v>5098</v>
      </c>
      <c r="T97" t="str" cm="1">
        <f t="array" ref="T97">_xlfn.IFS(
  TEXT(TRIM(S97),"00000")="NULL", "Missing/Unknown",
  OR(TEXT(TRIM(S97),"00000")="89101", TEXT(TRIM(S97),"00000")="89104", TEXT(TRIM(S97),"00000")="89106", TEXT(TRIM(S97),"00000")="89102", TEXT(TRIM(S97),"00000")="89107", TEXT(TRIM(S97),"00000")="89108"), "Urban Core",
  OR(TEXT(TRIM(S97),"00000")="89110", TEXT(TRIM(S97),"00000")="89115", TEXT(TRIM(S97),"00000")="89121", TEXT(TRIM(S97),"00000")="89122", TEXT(TRIM(S97),"00000")="89142", TEXT(TRIM(S97),"00000")="89156"), "East Valley",
  OR(TEXT(TRIM(S97),"00000")="89030", TEXT(TRIM(S97),"00000")="89031", TEXT(TRIM(S97),"00000")="89032", TEXT(TRIM(S97),"00000")="89086", TEXT(TRIM(S97),"00000")="89084", TEXT(TRIM(S97),"00000")="89081"), "North LV",
  OR(TEXT(TRIM(S97),"00000")="89109", TEXT(TRIM(S97),"00000")="89103", TEXT(TRIM(S97),"00000")="89119", TEXT(TRIM(S97),"00000")="89123", TEXT(TRIM(S97),"00000")="89169", TEXT(TRIM(S97),"00000")="89118"), "South/Strip",
  OR(TEXT(TRIM(S97),"00000")="89074", TEXT(TRIM(S97),"00000")="89014", TEXT(TRIM(S97),"00000")="89015", TEXT(TRIM(S97),"00000")="89011", TEXT(TRIM(S97),"00000")="89012"), "Suburban SE",
  OR(TEXT(TRIM(S97),"00000")="89117", TEXT(TRIM(S97),"00000")="89128", TEXT(TRIM(S97),"00000")="89135", TEXT(TRIM(S97),"00000")="89144", TEXT(TRIM(S97),"00000")="89145", TEXT(TRIM(S97),"00000")="89147"), "West Valley",
  TRUE, "Other"
)</f>
        <v>Urban Core</v>
      </c>
      <c r="U97" t="s">
        <v>24</v>
      </c>
      <c r="V97" t="str">
        <f t="shared" si="7"/>
        <v>Outdoors/Public</v>
      </c>
    </row>
    <row r="98" spans="1:22">
      <c r="A98" t="s">
        <v>2529</v>
      </c>
      <c r="B98" t="s">
        <v>2530</v>
      </c>
      <c r="C98" s="1">
        <v>45512</v>
      </c>
      <c r="D98" s="4">
        <v>102.92</v>
      </c>
      <c r="E98">
        <v>72</v>
      </c>
      <c r="F98" t="str">
        <f t="shared" si="4"/>
        <v>70's</v>
      </c>
      <c r="G98" t="str" cm="1">
        <f t="array" ref="G98">_xlfn.IFS(
  F98="10's", "Child (5–12)",
  OR(F98="20's", F98="30's"), "Young Adult (20–39)",
  OR(F98="40's", F98="50's"), "Adult (40–59)",
  OR(F98="60's", F98="70's", F98="80's", F98="90's"), "Senior (60+)",
  TRUE, "Unknown"
)</f>
        <v>Senior (60+)</v>
      </c>
      <c r="H98" t="s">
        <v>778</v>
      </c>
      <c r="I98" t="s">
        <v>4016</v>
      </c>
      <c r="J98" t="str">
        <f t="shared" si="5"/>
        <v>Methamphetamine-related</v>
      </c>
      <c r="K98" t="s">
        <v>54</v>
      </c>
      <c r="L98" t="s">
        <v>250</v>
      </c>
      <c r="M98" t="s">
        <v>4666</v>
      </c>
      <c r="N98" t="s">
        <v>5101</v>
      </c>
      <c r="O98" t="str" cm="1">
        <f t="array" ref="O98">_xlfn.IFS(
  TEXT(TRIM(N98),"00000")="NULL", "Missing/Unknown",
  OR(TEXT(TRIM(N98),"00000")="89101", TEXT(TRIM(N98),"00000")="89104", TEXT(TRIM(N98),"00000")="89106", TEXT(TRIM(N98),"00000")="89102", TEXT(TRIM(N98),"00000")="89107", TEXT(TRIM(N98),"00000")="89108"), "Urban Core",
  OR(TEXT(TRIM(N98),"00000")="89110", TEXT(TRIM(N98),"00000")="89115", TEXT(TRIM(N98),"00000")="89121", TEXT(TRIM(N98),"00000")="89122", TEXT(TRIM(N98),"00000")="89142", TEXT(TRIM(N98),"00000")="89156"), "East Valley",
  OR(TEXT(TRIM(N98),"00000")="89030", TEXT(TRIM(N98),"00000")="89031", TEXT(TRIM(N98),"00000")="89032", TEXT(TRIM(N98),"00000")="89086", TEXT(TRIM(N98),"00000")="89084", TEXT(TRIM(N98),"00000")="89081"), "North LV",
  OR(TEXT(TRIM(N98),"00000")="89109", TEXT(TRIM(N98),"00000")="89103", TEXT(TRIM(N98),"00000")="89119", TEXT(TRIM(N98),"00000")="89123", TEXT(TRIM(N98),"00000")="89169", TEXT(TRIM(N98),"00000")="89118"), "South/Strip",
  OR(TEXT(TRIM(N98),"00000")="89074", TEXT(TRIM(N98),"00000")="89014", TEXT(TRIM(N98),"00000")="89015", TEXT(TRIM(N98),"00000")="89011", TEXT(TRIM(N98),"00000")="89012"), "Suburban SE",
  OR(TEXT(TRIM(N98),"00000")="89117", TEXT(TRIM(N98),"00000")="89128", TEXT(TRIM(N98),"00000")="89135", TEXT(TRIM(N98),"00000")="89144", TEXT(TRIM(N98),"00000")="89145", TEXT(TRIM(N98),"00000")="89147"), "West Valley",
  TRUE, "Other"
)</f>
        <v>Urban Core</v>
      </c>
      <c r="P98" t="s">
        <v>3298</v>
      </c>
      <c r="Q98" t="str">
        <f t="shared" si="6"/>
        <v>Outdoors/Public</v>
      </c>
      <c r="R98" t="s">
        <v>4666</v>
      </c>
      <c r="S98" t="s">
        <v>5101</v>
      </c>
      <c r="T98" t="str" cm="1">
        <f t="array" ref="T98">_xlfn.IFS(
  TEXT(TRIM(S98),"00000")="NULL", "Missing/Unknown",
  OR(TEXT(TRIM(S98),"00000")="89101", TEXT(TRIM(S98),"00000")="89104", TEXT(TRIM(S98),"00000")="89106", TEXT(TRIM(S98),"00000")="89102", TEXT(TRIM(S98),"00000")="89107", TEXT(TRIM(S98),"00000")="89108"), "Urban Core",
  OR(TEXT(TRIM(S98),"00000")="89110", TEXT(TRIM(S98),"00000")="89115", TEXT(TRIM(S98),"00000")="89121", TEXT(TRIM(S98),"00000")="89122", TEXT(TRIM(S98),"00000")="89142", TEXT(TRIM(S98),"00000")="89156"), "East Valley",
  OR(TEXT(TRIM(S98),"00000")="89030", TEXT(TRIM(S98),"00000")="89031", TEXT(TRIM(S98),"00000")="89032", TEXT(TRIM(S98),"00000")="89086", TEXT(TRIM(S98),"00000")="89084", TEXT(TRIM(S98),"00000")="89081"), "North LV",
  OR(TEXT(TRIM(S98),"00000")="89109", TEXT(TRIM(S98),"00000")="89103", TEXT(TRIM(S98),"00000")="89119", TEXT(TRIM(S98),"00000")="89123", TEXT(TRIM(S98),"00000")="89169", TEXT(TRIM(S98),"00000")="89118"), "South/Strip",
  OR(TEXT(TRIM(S98),"00000")="89074", TEXT(TRIM(S98),"00000")="89014", TEXT(TRIM(S98),"00000")="89015", TEXT(TRIM(S98),"00000")="89011", TEXT(TRIM(S98),"00000")="89012"), "Suburban SE",
  OR(TEXT(TRIM(S98),"00000")="89117", TEXT(TRIM(S98),"00000")="89128", TEXT(TRIM(S98),"00000")="89135", TEXT(TRIM(S98),"00000")="89144", TEXT(TRIM(S98),"00000")="89145", TEXT(TRIM(S98),"00000")="89147"), "West Valley",
  TRUE, "Other"
)</f>
        <v>Urban Core</v>
      </c>
      <c r="U98" t="s">
        <v>3298</v>
      </c>
      <c r="V98" t="str">
        <f t="shared" si="7"/>
        <v>Outdoors/Public</v>
      </c>
    </row>
    <row r="99" spans="1:22">
      <c r="A99" t="s">
        <v>3461</v>
      </c>
      <c r="B99" t="s">
        <v>3462</v>
      </c>
      <c r="C99" s="1">
        <v>45512</v>
      </c>
      <c r="D99" s="4">
        <v>102.92</v>
      </c>
      <c r="E99">
        <v>90</v>
      </c>
      <c r="F99" t="str">
        <f t="shared" si="4"/>
        <v>90's</v>
      </c>
      <c r="G99" t="str" cm="1">
        <f t="array" ref="G99">_xlfn.IFS(
  F99="10's", "Child (5–12)",
  OR(F99="20's", F99="30's"), "Young Adult (20–39)",
  OR(F99="40's", F99="50's"), "Adult (40–59)",
  OR(F99="60's", F99="70's", F99="80's", F99="90's"), "Senior (60+)",
  TRUE, "Unknown"
)</f>
        <v>Senior (60+)</v>
      </c>
      <c r="H99" t="s">
        <v>841</v>
      </c>
      <c r="I99" t="s">
        <v>4012</v>
      </c>
      <c r="J99" t="str">
        <f t="shared" si="5"/>
        <v>Cardiovascular Disease</v>
      </c>
      <c r="K99" t="s">
        <v>54</v>
      </c>
      <c r="L99" t="s">
        <v>250</v>
      </c>
      <c r="N99" t="s">
        <v>5095</v>
      </c>
      <c r="O99" t="str" cm="1">
        <f t="array" ref="O99">_xlfn.IFS(
  TEXT(TRIM(N99),"00000")="NULL", "Missing/Unknown",
  OR(TEXT(TRIM(N99),"00000")="89101", TEXT(TRIM(N99),"00000")="89104", TEXT(TRIM(N99),"00000")="89106", TEXT(TRIM(N99),"00000")="89102", TEXT(TRIM(N99),"00000")="89107", TEXT(TRIM(N99),"00000")="89108"), "Urban Core",
  OR(TEXT(TRIM(N99),"00000")="89110", TEXT(TRIM(N99),"00000")="89115", TEXT(TRIM(N99),"00000")="89121", TEXT(TRIM(N99),"00000")="89122", TEXT(TRIM(N99),"00000")="89142", TEXT(TRIM(N99),"00000")="89156"), "East Valley",
  OR(TEXT(TRIM(N99),"00000")="89030", TEXT(TRIM(N99),"00000")="89031", TEXT(TRIM(N99),"00000")="89032", TEXT(TRIM(N99),"00000")="89086", TEXT(TRIM(N99),"00000")="89084", TEXT(TRIM(N99),"00000")="89081"), "North LV",
  OR(TEXT(TRIM(N99),"00000")="89109", TEXT(TRIM(N99),"00000")="89103", TEXT(TRIM(N99),"00000")="89119", TEXT(TRIM(N99),"00000")="89123", TEXT(TRIM(N99),"00000")="89169", TEXT(TRIM(N99),"00000")="89118"), "South/Strip",
  OR(TEXT(TRIM(N99),"00000")="89074", TEXT(TRIM(N99),"00000")="89014", TEXT(TRIM(N99),"00000")="89015", TEXT(TRIM(N99),"00000")="89011", TEXT(TRIM(N99),"00000")="89012"), "Suburban SE",
  OR(TEXT(TRIM(N99),"00000")="89117", TEXT(TRIM(N99),"00000")="89128", TEXT(TRIM(N99),"00000")="89135", TEXT(TRIM(N99),"00000")="89144", TEXT(TRIM(N99),"00000")="89145", TEXT(TRIM(N99),"00000")="89147"), "West Valley",
  TRUE, "Other"
)</f>
        <v>Missing/Unknown</v>
      </c>
      <c r="P99" t="s">
        <v>1073</v>
      </c>
      <c r="Q99" t="str">
        <f t="shared" si="6"/>
        <v>Home/Residence</v>
      </c>
      <c r="S99" t="s">
        <v>5095</v>
      </c>
      <c r="T99" t="str" cm="1">
        <f t="array" ref="T99">_xlfn.IFS(
  TEXT(TRIM(S99),"00000")="NULL", "Missing/Unknown",
  OR(TEXT(TRIM(S99),"00000")="89101", TEXT(TRIM(S99),"00000")="89104", TEXT(TRIM(S99),"00000")="89106", TEXT(TRIM(S99),"00000")="89102", TEXT(TRIM(S99),"00000")="89107", TEXT(TRIM(S99),"00000")="89108"), "Urban Core",
  OR(TEXT(TRIM(S99),"00000")="89110", TEXT(TRIM(S99),"00000")="89115", TEXT(TRIM(S99),"00000")="89121", TEXT(TRIM(S99),"00000")="89122", TEXT(TRIM(S99),"00000")="89142", TEXT(TRIM(S99),"00000")="89156"), "East Valley",
  OR(TEXT(TRIM(S99),"00000")="89030", TEXT(TRIM(S99),"00000")="89031", TEXT(TRIM(S99),"00000")="89032", TEXT(TRIM(S99),"00000")="89086", TEXT(TRIM(S99),"00000")="89084", TEXT(TRIM(S99),"00000")="89081"), "North LV",
  OR(TEXT(TRIM(S99),"00000")="89109", TEXT(TRIM(S99),"00000")="89103", TEXT(TRIM(S99),"00000")="89119", TEXT(TRIM(S99),"00000")="89123", TEXT(TRIM(S99),"00000")="89169", TEXT(TRIM(S99),"00000")="89118"), "South/Strip",
  OR(TEXT(TRIM(S99),"00000")="89074", TEXT(TRIM(S99),"00000")="89014", TEXT(TRIM(S99),"00000")="89015", TEXT(TRIM(S99),"00000")="89011", TEXT(TRIM(S99),"00000")="89012"), "Suburban SE",
  OR(TEXT(TRIM(S99),"00000")="89117", TEXT(TRIM(S99),"00000")="89128", TEXT(TRIM(S99),"00000")="89135", TEXT(TRIM(S99),"00000")="89144", TEXT(TRIM(S99),"00000")="89145", TEXT(TRIM(S99),"00000")="89147"), "West Valley",
  TRUE, "Other"
)</f>
        <v>Missing/Unknown</v>
      </c>
      <c r="U99" t="s">
        <v>1073</v>
      </c>
      <c r="V99" t="str">
        <f t="shared" si="7"/>
        <v>Home/Residence</v>
      </c>
    </row>
    <row r="100" spans="1:22">
      <c r="A100" t="s">
        <v>2641</v>
      </c>
      <c r="B100" t="s">
        <v>2642</v>
      </c>
      <c r="C100" s="1">
        <v>45512</v>
      </c>
      <c r="D100" s="4">
        <v>102.92</v>
      </c>
      <c r="E100">
        <v>88</v>
      </c>
      <c r="F100" t="str">
        <f t="shared" si="4"/>
        <v>80's</v>
      </c>
      <c r="G100" t="str" cm="1">
        <f t="array" ref="G100">_xlfn.IFS(
  F100="10's", "Child (5–12)",
  OR(F100="20's", F100="30's"), "Young Adult (20–39)",
  OR(F100="40's", F100="50's"), "Adult (40–59)",
  OR(F100="60's", F100="70's", F100="80's", F100="90's"), "Senior (60+)",
  TRUE, "Unknown"
)</f>
        <v>Senior (60+)</v>
      </c>
      <c r="H100" t="s">
        <v>841</v>
      </c>
      <c r="I100" t="s">
        <v>63</v>
      </c>
      <c r="J100" t="str">
        <f t="shared" si="5"/>
        <v>Cardiovascular Disease</v>
      </c>
      <c r="K100" t="s">
        <v>54</v>
      </c>
      <c r="L100" t="s">
        <v>250</v>
      </c>
      <c r="N100" t="s">
        <v>5095</v>
      </c>
      <c r="O100" t="str" cm="1">
        <f t="array" ref="O100">_xlfn.IFS(
  TEXT(TRIM(N100),"00000")="NULL", "Missing/Unknown",
  OR(TEXT(TRIM(N100),"00000")="89101", TEXT(TRIM(N100),"00000")="89104", TEXT(TRIM(N100),"00000")="89106", TEXT(TRIM(N100),"00000")="89102", TEXT(TRIM(N100),"00000")="89107", TEXT(TRIM(N100),"00000")="89108"), "Urban Core",
  OR(TEXT(TRIM(N100),"00000")="89110", TEXT(TRIM(N100),"00000")="89115", TEXT(TRIM(N100),"00000")="89121", TEXT(TRIM(N100),"00000")="89122", TEXT(TRIM(N100),"00000")="89142", TEXT(TRIM(N100),"00000")="89156"), "East Valley",
  OR(TEXT(TRIM(N100),"00000")="89030", TEXT(TRIM(N100),"00000")="89031", TEXT(TRIM(N100),"00000")="89032", TEXT(TRIM(N100),"00000")="89086", TEXT(TRIM(N100),"00000")="89084", TEXT(TRIM(N100),"00000")="89081"), "North LV",
  OR(TEXT(TRIM(N100),"00000")="89109", TEXT(TRIM(N100),"00000")="89103", TEXT(TRIM(N100),"00000")="89119", TEXT(TRIM(N100),"00000")="89123", TEXT(TRIM(N100),"00000")="89169", TEXT(TRIM(N100),"00000")="89118"), "South/Strip",
  OR(TEXT(TRIM(N100),"00000")="89074", TEXT(TRIM(N100),"00000")="89014", TEXT(TRIM(N100),"00000")="89015", TEXT(TRIM(N100),"00000")="89011", TEXT(TRIM(N100),"00000")="89012"), "Suburban SE",
  OR(TEXT(TRIM(N100),"00000")="89117", TEXT(TRIM(N100),"00000")="89128", TEXT(TRIM(N100),"00000")="89135", TEXT(TRIM(N100),"00000")="89144", TEXT(TRIM(N100),"00000")="89145", TEXT(TRIM(N100),"00000")="89147"), "West Valley",
  TRUE, "Other"
)</f>
        <v>Missing/Unknown</v>
      </c>
      <c r="P100" t="s">
        <v>3298</v>
      </c>
      <c r="Q100" t="str">
        <f t="shared" si="6"/>
        <v>Outdoors/Public</v>
      </c>
      <c r="S100" t="s">
        <v>5095</v>
      </c>
      <c r="T100" t="str" cm="1">
        <f t="array" ref="T100">_xlfn.IFS(
  TEXT(TRIM(S100),"00000")="NULL", "Missing/Unknown",
  OR(TEXT(TRIM(S100),"00000")="89101", TEXT(TRIM(S100),"00000")="89104", TEXT(TRIM(S100),"00000")="89106", TEXT(TRIM(S100),"00000")="89102", TEXT(TRIM(S100),"00000")="89107", TEXT(TRIM(S100),"00000")="89108"), "Urban Core",
  OR(TEXT(TRIM(S100),"00000")="89110", TEXT(TRIM(S100),"00000")="89115", TEXT(TRIM(S100),"00000")="89121", TEXT(TRIM(S100),"00000")="89122", TEXT(TRIM(S100),"00000")="89142", TEXT(TRIM(S100),"00000")="89156"), "East Valley",
  OR(TEXT(TRIM(S100),"00000")="89030", TEXT(TRIM(S100),"00000")="89031", TEXT(TRIM(S100),"00000")="89032", TEXT(TRIM(S100),"00000")="89086", TEXT(TRIM(S100),"00000")="89084", TEXT(TRIM(S100),"00000")="89081"), "North LV",
  OR(TEXT(TRIM(S100),"00000")="89109", TEXT(TRIM(S100),"00000")="89103", TEXT(TRIM(S100),"00000")="89119", TEXT(TRIM(S100),"00000")="89123", TEXT(TRIM(S100),"00000")="89169", TEXT(TRIM(S100),"00000")="89118"), "South/Strip",
  OR(TEXT(TRIM(S100),"00000")="89074", TEXT(TRIM(S100),"00000")="89014", TEXT(TRIM(S100),"00000")="89015", TEXT(TRIM(S100),"00000")="89011", TEXT(TRIM(S100),"00000")="89012"), "Suburban SE",
  OR(TEXT(TRIM(S100),"00000")="89117", TEXT(TRIM(S100),"00000")="89128", TEXT(TRIM(S100),"00000")="89135", TEXT(TRIM(S100),"00000")="89144", TEXT(TRIM(S100),"00000")="89145", TEXT(TRIM(S100),"00000")="89147"), "West Valley",
  TRUE, "Other"
)</f>
        <v>Missing/Unknown</v>
      </c>
      <c r="U100" t="s">
        <v>3298</v>
      </c>
      <c r="V100" t="str">
        <f t="shared" si="7"/>
        <v>Outdoors/Public</v>
      </c>
    </row>
    <row r="101" spans="1:22">
      <c r="A101" t="s">
        <v>2714</v>
      </c>
      <c r="B101" t="s">
        <v>2715</v>
      </c>
      <c r="C101" s="1">
        <v>45512</v>
      </c>
      <c r="D101" s="4">
        <v>102.92</v>
      </c>
      <c r="E101">
        <v>53</v>
      </c>
      <c r="F101" t="str">
        <f t="shared" si="4"/>
        <v>50's</v>
      </c>
      <c r="G101" t="str" cm="1">
        <f t="array" ref="G101">_xlfn.IFS(
  F101="10's", "Child (5–12)",
  OR(F101="20's", F101="30's"), "Young Adult (20–39)",
  OR(F101="40's", F101="50's"), "Adult (40–59)",
  OR(F101="60's", F101="70's", F101="80's", F101="90's"), "Senior (60+)",
  TRUE, "Unknown"
)</f>
        <v>Adult (40–59)</v>
      </c>
      <c r="H101" t="s">
        <v>27</v>
      </c>
      <c r="I101" t="s">
        <v>4032</v>
      </c>
      <c r="J101" t="str">
        <f t="shared" si="5"/>
        <v>Ethanol-related</v>
      </c>
      <c r="K101" t="s">
        <v>2717</v>
      </c>
      <c r="L101" t="s">
        <v>250</v>
      </c>
      <c r="N101" t="s">
        <v>5095</v>
      </c>
      <c r="O101" t="str" cm="1">
        <f t="array" ref="O101">_xlfn.IFS(
  TEXT(TRIM(N101),"00000")="NULL", "Missing/Unknown",
  OR(TEXT(TRIM(N101),"00000")="89101", TEXT(TRIM(N101),"00000")="89104", TEXT(TRIM(N101),"00000")="89106", TEXT(TRIM(N101),"00000")="89102", TEXT(TRIM(N101),"00000")="89107", TEXT(TRIM(N101),"00000")="89108"), "Urban Core",
  OR(TEXT(TRIM(N101),"00000")="89110", TEXT(TRIM(N101),"00000")="89115", TEXT(TRIM(N101),"00000")="89121", TEXT(TRIM(N101),"00000")="89122", TEXT(TRIM(N101),"00000")="89142", TEXT(TRIM(N101),"00000")="89156"), "East Valley",
  OR(TEXT(TRIM(N101),"00000")="89030", TEXT(TRIM(N101),"00000")="89031", TEXT(TRIM(N101),"00000")="89032", TEXT(TRIM(N101),"00000")="89086", TEXT(TRIM(N101),"00000")="89084", TEXT(TRIM(N101),"00000")="89081"), "North LV",
  OR(TEXT(TRIM(N101),"00000")="89109", TEXT(TRIM(N101),"00000")="89103", TEXT(TRIM(N101),"00000")="89119", TEXT(TRIM(N101),"00000")="89123", TEXT(TRIM(N101),"00000")="89169", TEXT(TRIM(N101),"00000")="89118"), "South/Strip",
  OR(TEXT(TRIM(N101),"00000")="89074", TEXT(TRIM(N101),"00000")="89014", TEXT(TRIM(N101),"00000")="89015", TEXT(TRIM(N101),"00000")="89011", TEXT(TRIM(N101),"00000")="89012"), "Suburban SE",
  OR(TEXT(TRIM(N101),"00000")="89117", TEXT(TRIM(N101),"00000")="89128", TEXT(TRIM(N101),"00000")="89135", TEXT(TRIM(N101),"00000")="89144", TEXT(TRIM(N101),"00000")="89145", TEXT(TRIM(N101),"00000")="89147"), "West Valley",
  TRUE, "Other"
)</f>
        <v>Missing/Unknown</v>
      </c>
      <c r="P101" t="s">
        <v>3298</v>
      </c>
      <c r="Q101" t="str">
        <f t="shared" si="6"/>
        <v>Outdoors/Public</v>
      </c>
      <c r="S101" t="s">
        <v>5095</v>
      </c>
      <c r="T101" t="str" cm="1">
        <f t="array" ref="T101">_xlfn.IFS(
  TEXT(TRIM(S101),"00000")="NULL", "Missing/Unknown",
  OR(TEXT(TRIM(S101),"00000")="89101", TEXT(TRIM(S101),"00000")="89104", TEXT(TRIM(S101),"00000")="89106", TEXT(TRIM(S101),"00000")="89102", TEXT(TRIM(S101),"00000")="89107", TEXT(TRIM(S101),"00000")="89108"), "Urban Core",
  OR(TEXT(TRIM(S101),"00000")="89110", TEXT(TRIM(S101),"00000")="89115", TEXT(TRIM(S101),"00000")="89121", TEXT(TRIM(S101),"00000")="89122", TEXT(TRIM(S101),"00000")="89142", TEXT(TRIM(S101),"00000")="89156"), "East Valley",
  OR(TEXT(TRIM(S101),"00000")="89030", TEXT(TRIM(S101),"00000")="89031", TEXT(TRIM(S101),"00000")="89032", TEXT(TRIM(S101),"00000")="89086", TEXT(TRIM(S101),"00000")="89084", TEXT(TRIM(S101),"00000")="89081"), "North LV",
  OR(TEXT(TRIM(S101),"00000")="89109", TEXT(TRIM(S101),"00000")="89103", TEXT(TRIM(S101),"00000")="89119", TEXT(TRIM(S101),"00000")="89123", TEXT(TRIM(S101),"00000")="89169", TEXT(TRIM(S101),"00000")="89118"), "South/Strip",
  OR(TEXT(TRIM(S101),"00000")="89074", TEXT(TRIM(S101),"00000")="89014", TEXT(TRIM(S101),"00000")="89015", TEXT(TRIM(S101),"00000")="89011", TEXT(TRIM(S101),"00000")="89012"), "Suburban SE",
  OR(TEXT(TRIM(S101),"00000")="89117", TEXT(TRIM(S101),"00000")="89128", TEXT(TRIM(S101),"00000")="89135", TEXT(TRIM(S101),"00000")="89144", TEXT(TRIM(S101),"00000")="89145", TEXT(TRIM(S101),"00000")="89147"), "West Valley",
  TRUE, "Other"
)</f>
        <v>Missing/Unknown</v>
      </c>
      <c r="U101" t="s">
        <v>3298</v>
      </c>
      <c r="V101" t="str">
        <f t="shared" si="7"/>
        <v>Outdoors/Public</v>
      </c>
    </row>
    <row r="102" spans="1:22">
      <c r="A102" t="s">
        <v>2557</v>
      </c>
      <c r="B102" t="s">
        <v>2558</v>
      </c>
      <c r="C102" s="1">
        <v>45511</v>
      </c>
      <c r="D102" s="4">
        <v>107.06</v>
      </c>
      <c r="E102">
        <v>22</v>
      </c>
      <c r="F102" t="str">
        <f t="shared" si="4"/>
        <v>20's</v>
      </c>
      <c r="G102" t="str" cm="1">
        <f t="array" ref="G102">_xlfn.IFS(
  F102="10's", "Child (5–12)",
  OR(F102="20's", F102="30's"), "Young Adult (20–39)",
  OR(F102="40's", F102="50's"), "Adult (40–59)",
  OR(F102="60's", F102="70's", F102="80's", F102="90's"), "Senior (60+)",
  TRUE, "Unknown"
)</f>
        <v>Young Adult (20–39)</v>
      </c>
      <c r="H102" t="s">
        <v>841</v>
      </c>
      <c r="I102" t="s">
        <v>4035</v>
      </c>
      <c r="J102" t="str">
        <f t="shared" si="5"/>
        <v>Methamphetamine-related</v>
      </c>
      <c r="K102" t="s">
        <v>54</v>
      </c>
      <c r="L102" t="s">
        <v>250</v>
      </c>
      <c r="M102" t="s">
        <v>4670</v>
      </c>
      <c r="N102" t="s">
        <v>5123</v>
      </c>
      <c r="O102" t="str" cm="1">
        <f t="array" ref="O102">_xlfn.IFS(
  TEXT(TRIM(N102),"00000")="NULL", "Missing/Unknown",
  OR(TEXT(TRIM(N102),"00000")="89101", TEXT(TRIM(N102),"00000")="89104", TEXT(TRIM(N102),"00000")="89106", TEXT(TRIM(N102),"00000")="89102", TEXT(TRIM(N102),"00000")="89107", TEXT(TRIM(N102),"00000")="89108"), "Urban Core",
  OR(TEXT(TRIM(N102),"00000")="89110", TEXT(TRIM(N102),"00000")="89115", TEXT(TRIM(N102),"00000")="89121", TEXT(TRIM(N102),"00000")="89122", TEXT(TRIM(N102),"00000")="89142", TEXT(TRIM(N102),"00000")="89156"), "East Valley",
  OR(TEXT(TRIM(N102),"00000")="89030", TEXT(TRIM(N102),"00000")="89031", TEXT(TRIM(N102),"00000")="89032", TEXT(TRIM(N102),"00000")="89086", TEXT(TRIM(N102),"00000")="89084", TEXT(TRIM(N102),"00000")="89081"), "North LV",
  OR(TEXT(TRIM(N102),"00000")="89109", TEXT(TRIM(N102),"00000")="89103", TEXT(TRIM(N102),"00000")="89119", TEXT(TRIM(N102),"00000")="89123", TEXT(TRIM(N102),"00000")="89169", TEXT(TRIM(N102),"00000")="89118"), "South/Strip",
  OR(TEXT(TRIM(N102),"00000")="89074", TEXT(TRIM(N102),"00000")="89014", TEXT(TRIM(N102),"00000")="89015", TEXT(TRIM(N102),"00000")="89011", TEXT(TRIM(N102),"00000")="89012"), "Suburban SE",
  OR(TEXT(TRIM(N102),"00000")="89117", TEXT(TRIM(N102),"00000")="89128", TEXT(TRIM(N102),"00000")="89135", TEXT(TRIM(N102),"00000")="89144", TEXT(TRIM(N102),"00000")="89145", TEXT(TRIM(N102),"00000")="89147"), "West Valley",
  TRUE, "Other"
)</f>
        <v>South/Strip</v>
      </c>
      <c r="P102" t="s">
        <v>3298</v>
      </c>
      <c r="Q102" t="str">
        <f t="shared" si="6"/>
        <v>Outdoors/Public</v>
      </c>
      <c r="R102" t="s">
        <v>4670</v>
      </c>
      <c r="S102" t="s">
        <v>5123</v>
      </c>
      <c r="T102" t="str" cm="1">
        <f t="array" ref="T102">_xlfn.IFS(
  TEXT(TRIM(S102),"00000")="NULL", "Missing/Unknown",
  OR(TEXT(TRIM(S102),"00000")="89101", TEXT(TRIM(S102),"00000")="89104", TEXT(TRIM(S102),"00000")="89106", TEXT(TRIM(S102),"00000")="89102", TEXT(TRIM(S102),"00000")="89107", TEXT(TRIM(S102),"00000")="89108"), "Urban Core",
  OR(TEXT(TRIM(S102),"00000")="89110", TEXT(TRIM(S102),"00000")="89115", TEXT(TRIM(S102),"00000")="89121", TEXT(TRIM(S102),"00000")="89122", TEXT(TRIM(S102),"00000")="89142", TEXT(TRIM(S102),"00000")="89156"), "East Valley",
  OR(TEXT(TRIM(S102),"00000")="89030", TEXT(TRIM(S102),"00000")="89031", TEXT(TRIM(S102),"00000")="89032", TEXT(TRIM(S102),"00000")="89086", TEXT(TRIM(S102),"00000")="89084", TEXT(TRIM(S102),"00000")="89081"), "North LV",
  OR(TEXT(TRIM(S102),"00000")="89109", TEXT(TRIM(S102),"00000")="89103", TEXT(TRIM(S102),"00000")="89119", TEXT(TRIM(S102),"00000")="89123", TEXT(TRIM(S102),"00000")="89169", TEXT(TRIM(S102),"00000")="89118"), "South/Strip",
  OR(TEXT(TRIM(S102),"00000")="89074", TEXT(TRIM(S102),"00000")="89014", TEXT(TRIM(S102),"00000")="89015", TEXT(TRIM(S102),"00000")="89011", TEXT(TRIM(S102),"00000")="89012"), "Suburban SE",
  OR(TEXT(TRIM(S102),"00000")="89117", TEXT(TRIM(S102),"00000")="89128", TEXT(TRIM(S102),"00000")="89135", TEXT(TRIM(S102),"00000")="89144", TEXT(TRIM(S102),"00000")="89145", TEXT(TRIM(S102),"00000")="89147"), "West Valley",
  TRUE, "Other"
)</f>
        <v>South/Strip</v>
      </c>
      <c r="U102" t="s">
        <v>3298</v>
      </c>
      <c r="V102" t="str">
        <f t="shared" si="7"/>
        <v>Outdoors/Public</v>
      </c>
    </row>
    <row r="103" spans="1:22">
      <c r="A103" t="s">
        <v>3216</v>
      </c>
      <c r="B103" t="s">
        <v>3217</v>
      </c>
      <c r="C103" s="1">
        <v>45511</v>
      </c>
      <c r="D103" s="4">
        <v>107.06</v>
      </c>
      <c r="E103">
        <v>65</v>
      </c>
      <c r="F103" t="str">
        <f t="shared" si="4"/>
        <v>60's</v>
      </c>
      <c r="G103" t="str" cm="1">
        <f t="array" ref="G103">_xlfn.IFS(
  F103="10's", "Child (5–12)",
  OR(F103="20's", F103="30's"), "Young Adult (20–39)",
  OR(F103="40's", F103="50's"), "Adult (40–59)",
  OR(F103="60's", F103="70's", F103="80's", F103="90's"), "Senior (60+)",
  TRUE, "Unknown"
)</f>
        <v>Senior (60+)</v>
      </c>
      <c r="H103" t="s">
        <v>841</v>
      </c>
      <c r="I103" t="s">
        <v>54</v>
      </c>
      <c r="J103" t="str">
        <f t="shared" si="5"/>
        <v>Environmental Heat</v>
      </c>
      <c r="K103" t="s">
        <v>3218</v>
      </c>
      <c r="L103" t="s">
        <v>250</v>
      </c>
      <c r="M103" t="s">
        <v>4873</v>
      </c>
      <c r="N103" t="s">
        <v>5125</v>
      </c>
      <c r="O103" t="str" cm="1">
        <f t="array" ref="O103">_xlfn.IFS(
  TEXT(TRIM(N103),"00000")="NULL", "Missing/Unknown",
  OR(TEXT(TRIM(N103),"00000")="89101", TEXT(TRIM(N103),"00000")="89104", TEXT(TRIM(N103),"00000")="89106", TEXT(TRIM(N103),"00000")="89102", TEXT(TRIM(N103),"00000")="89107", TEXT(TRIM(N103),"00000")="89108"), "Urban Core",
  OR(TEXT(TRIM(N103),"00000")="89110", TEXT(TRIM(N103),"00000")="89115", TEXT(TRIM(N103),"00000")="89121", TEXT(TRIM(N103),"00000")="89122", TEXT(TRIM(N103),"00000")="89142", TEXT(TRIM(N103),"00000")="89156"), "East Valley",
  OR(TEXT(TRIM(N103),"00000")="89030", TEXT(TRIM(N103),"00000")="89031", TEXT(TRIM(N103),"00000")="89032", TEXT(TRIM(N103),"00000")="89086", TEXT(TRIM(N103),"00000")="89084", TEXT(TRIM(N103),"00000")="89081"), "North LV",
  OR(TEXT(TRIM(N103),"00000")="89109", TEXT(TRIM(N103),"00000")="89103", TEXT(TRIM(N103),"00000")="89119", TEXT(TRIM(N103),"00000")="89123", TEXT(TRIM(N103),"00000")="89169", TEXT(TRIM(N103),"00000")="89118"), "South/Strip",
  OR(TEXT(TRIM(N103),"00000")="89074", TEXT(TRIM(N103),"00000")="89014", TEXT(TRIM(N103),"00000")="89015", TEXT(TRIM(N103),"00000")="89011", TEXT(TRIM(N103),"00000")="89012"), "Suburban SE",
  OR(TEXT(TRIM(N103),"00000")="89117", TEXT(TRIM(N103),"00000")="89128", TEXT(TRIM(N103),"00000")="89135", TEXT(TRIM(N103),"00000")="89144", TEXT(TRIM(N103),"00000")="89145", TEXT(TRIM(N103),"00000")="89147"), "West Valley",
  TRUE, "Other"
)</f>
        <v>South/Strip</v>
      </c>
      <c r="P103" t="s">
        <v>24</v>
      </c>
      <c r="Q103" t="str">
        <f t="shared" si="6"/>
        <v>Outdoors/Public</v>
      </c>
      <c r="R103" t="s">
        <v>4873</v>
      </c>
      <c r="S103" t="s">
        <v>5125</v>
      </c>
      <c r="T103" t="str" cm="1">
        <f t="array" ref="T103">_xlfn.IFS(
  TEXT(TRIM(S103),"00000")="NULL", "Missing/Unknown",
  OR(TEXT(TRIM(S103),"00000")="89101", TEXT(TRIM(S103),"00000")="89104", TEXT(TRIM(S103),"00000")="89106", TEXT(TRIM(S103),"00000")="89102", TEXT(TRIM(S103),"00000")="89107", TEXT(TRIM(S103),"00000")="89108"), "Urban Core",
  OR(TEXT(TRIM(S103),"00000")="89110", TEXT(TRIM(S103),"00000")="89115", TEXT(TRIM(S103),"00000")="89121", TEXT(TRIM(S103),"00000")="89122", TEXT(TRIM(S103),"00000")="89142", TEXT(TRIM(S103),"00000")="89156"), "East Valley",
  OR(TEXT(TRIM(S103),"00000")="89030", TEXT(TRIM(S103),"00000")="89031", TEXT(TRIM(S103),"00000")="89032", TEXT(TRIM(S103),"00000")="89086", TEXT(TRIM(S103),"00000")="89084", TEXT(TRIM(S103),"00000")="89081"), "North LV",
  OR(TEXT(TRIM(S103),"00000")="89109", TEXT(TRIM(S103),"00000")="89103", TEXT(TRIM(S103),"00000")="89119", TEXT(TRIM(S103),"00000")="89123", TEXT(TRIM(S103),"00000")="89169", TEXT(TRIM(S103),"00000")="89118"), "South/Strip",
  OR(TEXT(TRIM(S103),"00000")="89074", TEXT(TRIM(S103),"00000")="89014", TEXT(TRIM(S103),"00000")="89015", TEXT(TRIM(S103),"00000")="89011", TEXT(TRIM(S103),"00000")="89012"), "Suburban SE",
  OR(TEXT(TRIM(S103),"00000")="89117", TEXT(TRIM(S103),"00000")="89128", TEXT(TRIM(S103),"00000")="89135", TEXT(TRIM(S103),"00000")="89144", TEXT(TRIM(S103),"00000")="89145", TEXT(TRIM(S103),"00000")="89147"), "West Valley",
  TRUE, "Other"
)</f>
        <v>South/Strip</v>
      </c>
      <c r="U103" t="s">
        <v>24</v>
      </c>
      <c r="V103" t="str">
        <f t="shared" si="7"/>
        <v>Outdoors/Public</v>
      </c>
    </row>
    <row r="104" spans="1:22">
      <c r="A104" t="s">
        <v>3804</v>
      </c>
      <c r="B104" t="s">
        <v>3805</v>
      </c>
      <c r="C104" s="1">
        <v>45511</v>
      </c>
      <c r="D104" s="4">
        <v>107.06</v>
      </c>
      <c r="E104">
        <v>62</v>
      </c>
      <c r="F104" t="str">
        <f t="shared" si="4"/>
        <v>60's</v>
      </c>
      <c r="G104" t="str" cm="1">
        <f t="array" ref="G104">_xlfn.IFS(
  F104="10's", "Child (5–12)",
  OR(F104="20's", F104="30's"), "Young Adult (20–39)",
  OR(F104="40's", F104="50's"), "Adult (40–59)",
  OR(F104="60's", F104="70's", F104="80's", F104="90's"), "Senior (60+)",
  TRUE, "Unknown"
)</f>
        <v>Senior (60+)</v>
      </c>
      <c r="H104" t="s">
        <v>841</v>
      </c>
      <c r="I104" t="s">
        <v>172</v>
      </c>
      <c r="J104" t="str">
        <f t="shared" si="5"/>
        <v>Methamphetamine-related</v>
      </c>
      <c r="K104" t="s">
        <v>54</v>
      </c>
      <c r="L104" t="s">
        <v>1071</v>
      </c>
      <c r="M104" t="s">
        <v>4906</v>
      </c>
      <c r="N104" t="s">
        <v>5108</v>
      </c>
      <c r="O104" t="str" cm="1">
        <f t="array" ref="O104">_xlfn.IFS(
  TEXT(TRIM(N104),"00000")="NULL", "Missing/Unknown",
  OR(TEXT(TRIM(N104),"00000")="89101", TEXT(TRIM(N104),"00000")="89104", TEXT(TRIM(N104),"00000")="89106", TEXT(TRIM(N104),"00000")="89102", TEXT(TRIM(N104),"00000")="89107", TEXT(TRIM(N104),"00000")="89108"), "Urban Core",
  OR(TEXT(TRIM(N104),"00000")="89110", TEXT(TRIM(N104),"00000")="89115", TEXT(TRIM(N104),"00000")="89121", TEXT(TRIM(N104),"00000")="89122", TEXT(TRIM(N104),"00000")="89142", TEXT(TRIM(N104),"00000")="89156"), "East Valley",
  OR(TEXT(TRIM(N104),"00000")="89030", TEXT(TRIM(N104),"00000")="89031", TEXT(TRIM(N104),"00000")="89032", TEXT(TRIM(N104),"00000")="89086", TEXT(TRIM(N104),"00000")="89084", TEXT(TRIM(N104),"00000")="89081"), "North LV",
  OR(TEXT(TRIM(N104),"00000")="89109", TEXT(TRIM(N104),"00000")="89103", TEXT(TRIM(N104),"00000")="89119", TEXT(TRIM(N104),"00000")="89123", TEXT(TRIM(N104),"00000")="89169", TEXT(TRIM(N104),"00000")="89118"), "South/Strip",
  OR(TEXT(TRIM(N104),"00000")="89074", TEXT(TRIM(N104),"00000")="89014", TEXT(TRIM(N104),"00000")="89015", TEXT(TRIM(N104),"00000")="89011", TEXT(TRIM(N104),"00000")="89012"), "Suburban SE",
  OR(TEXT(TRIM(N104),"00000")="89117", TEXT(TRIM(N104),"00000")="89128", TEXT(TRIM(N104),"00000")="89135", TEXT(TRIM(N104),"00000")="89144", TEXT(TRIM(N104),"00000")="89145", TEXT(TRIM(N104),"00000")="89147"), "West Valley",
  TRUE, "Other"
)</f>
        <v>East Valley</v>
      </c>
      <c r="P104" t="s">
        <v>1073</v>
      </c>
      <c r="Q104" t="str">
        <f t="shared" si="6"/>
        <v>Home/Residence</v>
      </c>
      <c r="R104" t="s">
        <v>4906</v>
      </c>
      <c r="S104" t="s">
        <v>5108</v>
      </c>
      <c r="T104" t="str" cm="1">
        <f t="array" ref="T104">_xlfn.IFS(
  TEXT(TRIM(S104),"00000")="NULL", "Missing/Unknown",
  OR(TEXT(TRIM(S104),"00000")="89101", TEXT(TRIM(S104),"00000")="89104", TEXT(TRIM(S104),"00000")="89106", TEXT(TRIM(S104),"00000")="89102", TEXT(TRIM(S104),"00000")="89107", TEXT(TRIM(S104),"00000")="89108"), "Urban Core",
  OR(TEXT(TRIM(S104),"00000")="89110", TEXT(TRIM(S104),"00000")="89115", TEXT(TRIM(S104),"00000")="89121", TEXT(TRIM(S104),"00000")="89122", TEXT(TRIM(S104),"00000")="89142", TEXT(TRIM(S104),"00000")="89156"), "East Valley",
  OR(TEXT(TRIM(S104),"00000")="89030", TEXT(TRIM(S104),"00000")="89031", TEXT(TRIM(S104),"00000")="89032", TEXT(TRIM(S104),"00000")="89086", TEXT(TRIM(S104),"00000")="89084", TEXT(TRIM(S104),"00000")="89081"), "North LV",
  OR(TEXT(TRIM(S104),"00000")="89109", TEXT(TRIM(S104),"00000")="89103", TEXT(TRIM(S104),"00000")="89119", TEXT(TRIM(S104),"00000")="89123", TEXT(TRIM(S104),"00000")="89169", TEXT(TRIM(S104),"00000")="89118"), "South/Strip",
  OR(TEXT(TRIM(S104),"00000")="89074", TEXT(TRIM(S104),"00000")="89014", TEXT(TRIM(S104),"00000")="89015", TEXT(TRIM(S104),"00000")="89011", TEXT(TRIM(S104),"00000")="89012"), "Suburban SE",
  OR(TEXT(TRIM(S104),"00000")="89117", TEXT(TRIM(S104),"00000")="89128", TEXT(TRIM(S104),"00000")="89135", TEXT(TRIM(S104),"00000")="89144", TEXT(TRIM(S104),"00000")="89145", TEXT(TRIM(S104),"00000")="89147"), "West Valley",
  TRUE, "Other"
)</f>
        <v>East Valley</v>
      </c>
      <c r="U104" t="s">
        <v>1073</v>
      </c>
      <c r="V104" t="str">
        <f t="shared" si="7"/>
        <v>Home/Residence</v>
      </c>
    </row>
    <row r="105" spans="1:22">
      <c r="A105" t="s">
        <v>2526</v>
      </c>
      <c r="B105" t="s">
        <v>2527</v>
      </c>
      <c r="C105" s="1">
        <v>45511</v>
      </c>
      <c r="D105" s="4">
        <v>107.06</v>
      </c>
      <c r="E105">
        <v>36</v>
      </c>
      <c r="F105" t="str">
        <f t="shared" si="4"/>
        <v>30's</v>
      </c>
      <c r="G105" t="str" cm="1">
        <f t="array" ref="G105">_xlfn.IFS(
  F105="10's", "Child (5–12)",
  OR(F105="20's", F105="30's"), "Young Adult (20–39)",
  OR(F105="40's", F105="50's"), "Adult (40–59)",
  OR(F105="60's", F105="70's", F105="80's", F105="90's"), "Senior (60+)",
  TRUE, "Unknown"
)</f>
        <v>Young Adult (20–39)</v>
      </c>
      <c r="H105" t="s">
        <v>778</v>
      </c>
      <c r="I105" t="s">
        <v>4016</v>
      </c>
      <c r="J105" t="str">
        <f t="shared" si="5"/>
        <v>Methamphetamine-related</v>
      </c>
      <c r="K105" t="s">
        <v>54</v>
      </c>
      <c r="L105" t="s">
        <v>250</v>
      </c>
      <c r="M105" t="s">
        <v>4669</v>
      </c>
      <c r="N105" t="s">
        <v>5123</v>
      </c>
      <c r="O105" t="str" cm="1">
        <f t="array" ref="O105">_xlfn.IFS(
  TEXT(TRIM(N105),"00000")="NULL", "Missing/Unknown",
  OR(TEXT(TRIM(N105),"00000")="89101", TEXT(TRIM(N105),"00000")="89104", TEXT(TRIM(N105),"00000")="89106", TEXT(TRIM(N105),"00000")="89102", TEXT(TRIM(N105),"00000")="89107", TEXT(TRIM(N105),"00000")="89108"), "Urban Core",
  OR(TEXT(TRIM(N105),"00000")="89110", TEXT(TRIM(N105),"00000")="89115", TEXT(TRIM(N105),"00000")="89121", TEXT(TRIM(N105),"00000")="89122", TEXT(TRIM(N105),"00000")="89142", TEXT(TRIM(N105),"00000")="89156"), "East Valley",
  OR(TEXT(TRIM(N105),"00000")="89030", TEXT(TRIM(N105),"00000")="89031", TEXT(TRIM(N105),"00000")="89032", TEXT(TRIM(N105),"00000")="89086", TEXT(TRIM(N105),"00000")="89084", TEXT(TRIM(N105),"00000")="89081"), "North LV",
  OR(TEXT(TRIM(N105),"00000")="89109", TEXT(TRIM(N105),"00000")="89103", TEXT(TRIM(N105),"00000")="89119", TEXT(TRIM(N105),"00000")="89123", TEXT(TRIM(N105),"00000")="89169", TEXT(TRIM(N105),"00000")="89118"), "South/Strip",
  OR(TEXT(TRIM(N105),"00000")="89074", TEXT(TRIM(N105),"00000")="89014", TEXT(TRIM(N105),"00000")="89015", TEXT(TRIM(N105),"00000")="89011", TEXT(TRIM(N105),"00000")="89012"), "Suburban SE",
  OR(TEXT(TRIM(N105),"00000")="89117", TEXT(TRIM(N105),"00000")="89128", TEXT(TRIM(N105),"00000")="89135", TEXT(TRIM(N105),"00000")="89144", TEXT(TRIM(N105),"00000")="89145", TEXT(TRIM(N105),"00000")="89147"), "West Valley",
  TRUE, "Other"
)</f>
        <v>South/Strip</v>
      </c>
      <c r="P105" t="s">
        <v>3298</v>
      </c>
      <c r="Q105" t="str">
        <f t="shared" si="6"/>
        <v>Outdoors/Public</v>
      </c>
      <c r="R105" t="s">
        <v>4669</v>
      </c>
      <c r="S105" t="s">
        <v>5123</v>
      </c>
      <c r="T105" t="str" cm="1">
        <f t="array" ref="T105">_xlfn.IFS(
  TEXT(TRIM(S105),"00000")="NULL", "Missing/Unknown",
  OR(TEXT(TRIM(S105),"00000")="89101", TEXT(TRIM(S105),"00000")="89104", TEXT(TRIM(S105),"00000")="89106", TEXT(TRIM(S105),"00000")="89102", TEXT(TRIM(S105),"00000")="89107", TEXT(TRIM(S105),"00000")="89108"), "Urban Core",
  OR(TEXT(TRIM(S105),"00000")="89110", TEXT(TRIM(S105),"00000")="89115", TEXT(TRIM(S105),"00000")="89121", TEXT(TRIM(S105),"00000")="89122", TEXT(TRIM(S105),"00000")="89142", TEXT(TRIM(S105),"00000")="89156"), "East Valley",
  OR(TEXT(TRIM(S105),"00000")="89030", TEXT(TRIM(S105),"00000")="89031", TEXT(TRIM(S105),"00000")="89032", TEXT(TRIM(S105),"00000")="89086", TEXT(TRIM(S105),"00000")="89084", TEXT(TRIM(S105),"00000")="89081"), "North LV",
  OR(TEXT(TRIM(S105),"00000")="89109", TEXT(TRIM(S105),"00000")="89103", TEXT(TRIM(S105),"00000")="89119", TEXT(TRIM(S105),"00000")="89123", TEXT(TRIM(S105),"00000")="89169", TEXT(TRIM(S105),"00000")="89118"), "South/Strip",
  OR(TEXT(TRIM(S105),"00000")="89074", TEXT(TRIM(S105),"00000")="89014", TEXT(TRIM(S105),"00000")="89015", TEXT(TRIM(S105),"00000")="89011", TEXT(TRIM(S105),"00000")="89012"), "Suburban SE",
  OR(TEXT(TRIM(S105),"00000")="89117", TEXT(TRIM(S105),"00000")="89128", TEXT(TRIM(S105),"00000")="89135", TEXT(TRIM(S105),"00000")="89144", TEXT(TRIM(S105),"00000")="89145", TEXT(TRIM(S105),"00000")="89147"), "West Valley",
  TRUE, "Other"
)</f>
        <v>South/Strip</v>
      </c>
      <c r="U105" t="s">
        <v>3298</v>
      </c>
      <c r="V105" t="str">
        <f t="shared" si="7"/>
        <v>Outdoors/Public</v>
      </c>
    </row>
    <row r="106" spans="1:22">
      <c r="A106" t="s">
        <v>3402</v>
      </c>
      <c r="B106" t="s">
        <v>3403</v>
      </c>
      <c r="C106" s="1">
        <v>45511</v>
      </c>
      <c r="D106" s="4">
        <v>107.06</v>
      </c>
      <c r="E106">
        <v>47</v>
      </c>
      <c r="F106" t="str">
        <f t="shared" si="4"/>
        <v>40's</v>
      </c>
      <c r="G106" t="str" cm="1">
        <f t="array" ref="G106">_xlfn.IFS(
  F106="10's", "Child (5–12)",
  OR(F106="20's", F106="30's"), "Young Adult (20–39)",
  OR(F106="40's", F106="50's"), "Adult (40–59)",
  OR(F106="60's", F106="70's", F106="80's", F106="90's"), "Senior (60+)",
  TRUE, "Unknown"
)</f>
        <v>Adult (40–59)</v>
      </c>
      <c r="H106" t="s">
        <v>778</v>
      </c>
      <c r="I106" t="s">
        <v>660</v>
      </c>
      <c r="J106" t="str">
        <f t="shared" si="5"/>
        <v>Environmental Heat</v>
      </c>
      <c r="K106" t="s">
        <v>98</v>
      </c>
      <c r="L106" t="s">
        <v>250</v>
      </c>
      <c r="N106" t="s">
        <v>5095</v>
      </c>
      <c r="O106" t="str" cm="1">
        <f t="array" ref="O106">_xlfn.IFS(
  TEXT(TRIM(N106),"00000")="NULL", "Missing/Unknown",
  OR(TEXT(TRIM(N106),"00000")="89101", TEXT(TRIM(N106),"00000")="89104", TEXT(TRIM(N106),"00000")="89106", TEXT(TRIM(N106),"00000")="89102", TEXT(TRIM(N106),"00000")="89107", TEXT(TRIM(N106),"00000")="89108"), "Urban Core",
  OR(TEXT(TRIM(N106),"00000")="89110", TEXT(TRIM(N106),"00000")="89115", TEXT(TRIM(N106),"00000")="89121", TEXT(TRIM(N106),"00000")="89122", TEXT(TRIM(N106),"00000")="89142", TEXT(TRIM(N106),"00000")="89156"), "East Valley",
  OR(TEXT(TRIM(N106),"00000")="89030", TEXT(TRIM(N106),"00000")="89031", TEXT(TRIM(N106),"00000")="89032", TEXT(TRIM(N106),"00000")="89086", TEXT(TRIM(N106),"00000")="89084", TEXT(TRIM(N106),"00000")="89081"), "North LV",
  OR(TEXT(TRIM(N106),"00000")="89109", TEXT(TRIM(N106),"00000")="89103", TEXT(TRIM(N106),"00000")="89119", TEXT(TRIM(N106),"00000")="89123", TEXT(TRIM(N106),"00000")="89169", TEXT(TRIM(N106),"00000")="89118"), "South/Strip",
  OR(TEXT(TRIM(N106),"00000")="89074", TEXT(TRIM(N106),"00000")="89014", TEXT(TRIM(N106),"00000")="89015", TEXT(TRIM(N106),"00000")="89011", TEXT(TRIM(N106),"00000")="89012"), "Suburban SE",
  OR(TEXT(TRIM(N106),"00000")="89117", TEXT(TRIM(N106),"00000")="89128", TEXT(TRIM(N106),"00000")="89135", TEXT(TRIM(N106),"00000")="89144", TEXT(TRIM(N106),"00000")="89145", TEXT(TRIM(N106),"00000")="89147"), "West Valley",
  TRUE, "Other"
)</f>
        <v>Missing/Unknown</v>
      </c>
      <c r="P106" t="s">
        <v>3298</v>
      </c>
      <c r="Q106" t="str">
        <f t="shared" si="6"/>
        <v>Outdoors/Public</v>
      </c>
      <c r="R106" t="s">
        <v>4713</v>
      </c>
      <c r="S106" t="s">
        <v>5125</v>
      </c>
      <c r="T106" t="str" cm="1">
        <f t="array" ref="T106">_xlfn.IFS(
  TEXT(TRIM(S106),"00000")="NULL", "Missing/Unknown",
  OR(TEXT(TRIM(S106),"00000")="89101", TEXT(TRIM(S106),"00000")="89104", TEXT(TRIM(S106),"00000")="89106", TEXT(TRIM(S106),"00000")="89102", TEXT(TRIM(S106),"00000")="89107", TEXT(TRIM(S106),"00000")="89108"), "Urban Core",
  OR(TEXT(TRIM(S106),"00000")="89110", TEXT(TRIM(S106),"00000")="89115", TEXT(TRIM(S106),"00000")="89121", TEXT(TRIM(S106),"00000")="89122", TEXT(TRIM(S106),"00000")="89142", TEXT(TRIM(S106),"00000")="89156"), "East Valley",
  OR(TEXT(TRIM(S106),"00000")="89030", TEXT(TRIM(S106),"00000")="89031", TEXT(TRIM(S106),"00000")="89032", TEXT(TRIM(S106),"00000")="89086", TEXT(TRIM(S106),"00000")="89084", TEXT(TRIM(S106),"00000")="89081"), "North LV",
  OR(TEXT(TRIM(S106),"00000")="89109", TEXT(TRIM(S106),"00000")="89103", TEXT(TRIM(S106),"00000")="89119", TEXT(TRIM(S106),"00000")="89123", TEXT(TRIM(S106),"00000")="89169", TEXT(TRIM(S106),"00000")="89118"), "South/Strip",
  OR(TEXT(TRIM(S106),"00000")="89074", TEXT(TRIM(S106),"00000")="89014", TEXT(TRIM(S106),"00000")="89015", TEXT(TRIM(S106),"00000")="89011", TEXT(TRIM(S106),"00000")="89012"), "Suburban SE",
  OR(TEXT(TRIM(S106),"00000")="89117", TEXT(TRIM(S106),"00000")="89128", TEXT(TRIM(S106),"00000")="89135", TEXT(TRIM(S106),"00000")="89144", TEXT(TRIM(S106),"00000")="89145", TEXT(TRIM(S106),"00000")="89147"), "West Valley",
  TRUE, "Other"
)</f>
        <v>South/Strip</v>
      </c>
      <c r="U106" t="s">
        <v>4306</v>
      </c>
      <c r="V106" t="str">
        <f t="shared" si="7"/>
        <v>Medical Facility</v>
      </c>
    </row>
    <row r="107" spans="1:22">
      <c r="A107" t="s">
        <v>2514</v>
      </c>
      <c r="B107" t="s">
        <v>2515</v>
      </c>
      <c r="C107" s="1">
        <v>45511</v>
      </c>
      <c r="D107" s="4">
        <v>107.06</v>
      </c>
      <c r="E107">
        <v>53</v>
      </c>
      <c r="F107" t="str">
        <f t="shared" si="4"/>
        <v>50's</v>
      </c>
      <c r="G107" t="str" cm="1">
        <f t="array" ref="G107">_xlfn.IFS(
  F107="10's", "Child (5–12)",
  OR(F107="20's", F107="30's"), "Young Adult (20–39)",
  OR(F107="40's", F107="50's"), "Adult (40–59)",
  OR(F107="60's", F107="70's", F107="80's", F107="90's"), "Senior (60+)",
  TRUE, "Unknown"
)</f>
        <v>Adult (40–59)</v>
      </c>
      <c r="H107" t="s">
        <v>778</v>
      </c>
      <c r="I107" t="s">
        <v>4033</v>
      </c>
      <c r="J107" t="str">
        <f t="shared" si="5"/>
        <v>Methamphetamine-related</v>
      </c>
      <c r="K107" t="s">
        <v>54</v>
      </c>
      <c r="L107" t="s">
        <v>250</v>
      </c>
      <c r="N107" t="s">
        <v>5095</v>
      </c>
      <c r="O107" t="str" cm="1">
        <f t="array" ref="O107">_xlfn.IFS(
  TEXT(TRIM(N107),"00000")="NULL", "Missing/Unknown",
  OR(TEXT(TRIM(N107),"00000")="89101", TEXT(TRIM(N107),"00000")="89104", TEXT(TRIM(N107),"00000")="89106", TEXT(TRIM(N107),"00000")="89102", TEXT(TRIM(N107),"00000")="89107", TEXT(TRIM(N107),"00000")="89108"), "Urban Core",
  OR(TEXT(TRIM(N107),"00000")="89110", TEXT(TRIM(N107),"00000")="89115", TEXT(TRIM(N107),"00000")="89121", TEXT(TRIM(N107),"00000")="89122", TEXT(TRIM(N107),"00000")="89142", TEXT(TRIM(N107),"00000")="89156"), "East Valley",
  OR(TEXT(TRIM(N107),"00000")="89030", TEXT(TRIM(N107),"00000")="89031", TEXT(TRIM(N107),"00000")="89032", TEXT(TRIM(N107),"00000")="89086", TEXT(TRIM(N107),"00000")="89084", TEXT(TRIM(N107),"00000")="89081"), "North LV",
  OR(TEXT(TRIM(N107),"00000")="89109", TEXT(TRIM(N107),"00000")="89103", TEXT(TRIM(N107),"00000")="89119", TEXT(TRIM(N107),"00000")="89123", TEXT(TRIM(N107),"00000")="89169", TEXT(TRIM(N107),"00000")="89118"), "South/Strip",
  OR(TEXT(TRIM(N107),"00000")="89074", TEXT(TRIM(N107),"00000")="89014", TEXT(TRIM(N107),"00000")="89015", TEXT(TRIM(N107),"00000")="89011", TEXT(TRIM(N107),"00000")="89012"), "Suburban SE",
  OR(TEXT(TRIM(N107),"00000")="89117", TEXT(TRIM(N107),"00000")="89128", TEXT(TRIM(N107),"00000")="89135", TEXT(TRIM(N107),"00000")="89144", TEXT(TRIM(N107),"00000")="89145", TEXT(TRIM(N107),"00000")="89147"), "West Valley",
  TRUE, "Other"
)</f>
        <v>Missing/Unknown</v>
      </c>
      <c r="P107" t="s">
        <v>3298</v>
      </c>
      <c r="Q107" t="str">
        <f t="shared" si="6"/>
        <v>Outdoors/Public</v>
      </c>
      <c r="S107" t="s">
        <v>5095</v>
      </c>
      <c r="T107" t="str" cm="1">
        <f t="array" ref="T107">_xlfn.IFS(
  TEXT(TRIM(S107),"00000")="NULL", "Missing/Unknown",
  OR(TEXT(TRIM(S107),"00000")="89101", TEXT(TRIM(S107),"00000")="89104", TEXT(TRIM(S107),"00000")="89106", TEXT(TRIM(S107),"00000")="89102", TEXT(TRIM(S107),"00000")="89107", TEXT(TRIM(S107),"00000")="89108"), "Urban Core",
  OR(TEXT(TRIM(S107),"00000")="89110", TEXT(TRIM(S107),"00000")="89115", TEXT(TRIM(S107),"00000")="89121", TEXT(TRIM(S107),"00000")="89122", TEXT(TRIM(S107),"00000")="89142", TEXT(TRIM(S107),"00000")="89156"), "East Valley",
  OR(TEXT(TRIM(S107),"00000")="89030", TEXT(TRIM(S107),"00000")="89031", TEXT(TRIM(S107),"00000")="89032", TEXT(TRIM(S107),"00000")="89086", TEXT(TRIM(S107),"00000")="89084", TEXT(TRIM(S107),"00000")="89081"), "North LV",
  OR(TEXT(TRIM(S107),"00000")="89109", TEXT(TRIM(S107),"00000")="89103", TEXT(TRIM(S107),"00000")="89119", TEXT(TRIM(S107),"00000")="89123", TEXT(TRIM(S107),"00000")="89169", TEXT(TRIM(S107),"00000")="89118"), "South/Strip",
  OR(TEXT(TRIM(S107),"00000")="89074", TEXT(TRIM(S107),"00000")="89014", TEXT(TRIM(S107),"00000")="89015", TEXT(TRIM(S107),"00000")="89011", TEXT(TRIM(S107),"00000")="89012"), "Suburban SE",
  OR(TEXT(TRIM(S107),"00000")="89117", TEXT(TRIM(S107),"00000")="89128", TEXT(TRIM(S107),"00000")="89135", TEXT(TRIM(S107),"00000")="89144", TEXT(TRIM(S107),"00000")="89145", TEXT(TRIM(S107),"00000")="89147"), "West Valley",
  TRUE, "Other"
)</f>
        <v>Missing/Unknown</v>
      </c>
      <c r="U107" t="s">
        <v>3298</v>
      </c>
      <c r="V107" t="str">
        <f t="shared" si="7"/>
        <v>Outdoors/Public</v>
      </c>
    </row>
    <row r="108" spans="1:22">
      <c r="A108" t="s">
        <v>2549</v>
      </c>
      <c r="B108" t="s">
        <v>2550</v>
      </c>
      <c r="C108" s="1">
        <v>45511</v>
      </c>
      <c r="D108" s="4">
        <v>107.06</v>
      </c>
      <c r="E108">
        <v>63</v>
      </c>
      <c r="F108" t="str">
        <f t="shared" si="4"/>
        <v>60's</v>
      </c>
      <c r="G108" t="str" cm="1">
        <f t="array" ref="G108">_xlfn.IFS(
  F108="10's", "Child (5–12)",
  OR(F108="20's", F108="30's"), "Young Adult (20–39)",
  OR(F108="40's", F108="50's"), "Adult (40–59)",
  OR(F108="60's", F108="70's", F108="80's", F108="90's"), "Senior (60+)",
  TRUE, "Unknown"
)</f>
        <v>Senior (60+)</v>
      </c>
      <c r="H108" t="s">
        <v>841</v>
      </c>
      <c r="I108" t="s">
        <v>4034</v>
      </c>
      <c r="J108" t="str">
        <f t="shared" si="5"/>
        <v>Methamphetamine-related</v>
      </c>
      <c r="K108" t="s">
        <v>54</v>
      </c>
      <c r="L108" t="s">
        <v>250</v>
      </c>
      <c r="N108" t="s">
        <v>5095</v>
      </c>
      <c r="O108" t="str" cm="1">
        <f t="array" ref="O108">_xlfn.IFS(
  TEXT(TRIM(N108),"00000")="NULL", "Missing/Unknown",
  OR(TEXT(TRIM(N108),"00000")="89101", TEXT(TRIM(N108),"00000")="89104", TEXT(TRIM(N108),"00000")="89106", TEXT(TRIM(N108),"00000")="89102", TEXT(TRIM(N108),"00000")="89107", TEXT(TRIM(N108),"00000")="89108"), "Urban Core",
  OR(TEXT(TRIM(N108),"00000")="89110", TEXT(TRIM(N108),"00000")="89115", TEXT(TRIM(N108),"00000")="89121", TEXT(TRIM(N108),"00000")="89122", TEXT(TRIM(N108),"00000")="89142", TEXT(TRIM(N108),"00000")="89156"), "East Valley",
  OR(TEXT(TRIM(N108),"00000")="89030", TEXT(TRIM(N108),"00000")="89031", TEXT(TRIM(N108),"00000")="89032", TEXT(TRIM(N108),"00000")="89086", TEXT(TRIM(N108),"00000")="89084", TEXT(TRIM(N108),"00000")="89081"), "North LV",
  OR(TEXT(TRIM(N108),"00000")="89109", TEXT(TRIM(N108),"00000")="89103", TEXT(TRIM(N108),"00000")="89119", TEXT(TRIM(N108),"00000")="89123", TEXT(TRIM(N108),"00000")="89169", TEXT(TRIM(N108),"00000")="89118"), "South/Strip",
  OR(TEXT(TRIM(N108),"00000")="89074", TEXT(TRIM(N108),"00000")="89014", TEXT(TRIM(N108),"00000")="89015", TEXT(TRIM(N108),"00000")="89011", TEXT(TRIM(N108),"00000")="89012"), "Suburban SE",
  OR(TEXT(TRIM(N108),"00000")="89117", TEXT(TRIM(N108),"00000")="89128", TEXT(TRIM(N108),"00000")="89135", TEXT(TRIM(N108),"00000")="89144", TEXT(TRIM(N108),"00000")="89145", TEXT(TRIM(N108),"00000")="89147"), "West Valley",
  TRUE, "Other"
)</f>
        <v>Missing/Unknown</v>
      </c>
      <c r="P108" t="s">
        <v>3298</v>
      </c>
      <c r="Q108" t="str">
        <f t="shared" si="6"/>
        <v>Outdoors/Public</v>
      </c>
      <c r="S108" t="s">
        <v>5095</v>
      </c>
      <c r="T108" t="str" cm="1">
        <f t="array" ref="T108">_xlfn.IFS(
  TEXT(TRIM(S108),"00000")="NULL", "Missing/Unknown",
  OR(TEXT(TRIM(S108),"00000")="89101", TEXT(TRIM(S108),"00000")="89104", TEXT(TRIM(S108),"00000")="89106", TEXT(TRIM(S108),"00000")="89102", TEXT(TRIM(S108),"00000")="89107", TEXT(TRIM(S108),"00000")="89108"), "Urban Core",
  OR(TEXT(TRIM(S108),"00000")="89110", TEXT(TRIM(S108),"00000")="89115", TEXT(TRIM(S108),"00000")="89121", TEXT(TRIM(S108),"00000")="89122", TEXT(TRIM(S108),"00000")="89142", TEXT(TRIM(S108),"00000")="89156"), "East Valley",
  OR(TEXT(TRIM(S108),"00000")="89030", TEXT(TRIM(S108),"00000")="89031", TEXT(TRIM(S108),"00000")="89032", TEXT(TRIM(S108),"00000")="89086", TEXT(TRIM(S108),"00000")="89084", TEXT(TRIM(S108),"00000")="89081"), "North LV",
  OR(TEXT(TRIM(S108),"00000")="89109", TEXT(TRIM(S108),"00000")="89103", TEXT(TRIM(S108),"00000")="89119", TEXT(TRIM(S108),"00000")="89123", TEXT(TRIM(S108),"00000")="89169", TEXT(TRIM(S108),"00000")="89118"), "South/Strip",
  OR(TEXT(TRIM(S108),"00000")="89074", TEXT(TRIM(S108),"00000")="89014", TEXT(TRIM(S108),"00000")="89015", TEXT(TRIM(S108),"00000")="89011", TEXT(TRIM(S108),"00000")="89012"), "Suburban SE",
  OR(TEXT(TRIM(S108),"00000")="89117", TEXT(TRIM(S108),"00000")="89128", TEXT(TRIM(S108),"00000")="89135", TEXT(TRIM(S108),"00000")="89144", TEXT(TRIM(S108),"00000")="89145", TEXT(TRIM(S108),"00000")="89147"), "West Valley",
  TRUE, "Other"
)</f>
        <v>Missing/Unknown</v>
      </c>
      <c r="U108" t="s">
        <v>3298</v>
      </c>
      <c r="V108" t="str">
        <f t="shared" si="7"/>
        <v>Outdoors/Public</v>
      </c>
    </row>
    <row r="109" spans="1:22">
      <c r="A109" t="s">
        <v>2635</v>
      </c>
      <c r="B109" t="s">
        <v>2636</v>
      </c>
      <c r="C109" s="1">
        <v>45511</v>
      </c>
      <c r="D109" s="4">
        <v>107.06</v>
      </c>
      <c r="E109">
        <v>82</v>
      </c>
      <c r="F109" t="str">
        <f t="shared" si="4"/>
        <v>80's</v>
      </c>
      <c r="G109" t="str" cm="1">
        <f t="array" ref="G109">_xlfn.IFS(
  F109="10's", "Child (5–12)",
  OR(F109="20's", F109="30's"), "Young Adult (20–39)",
  OR(F109="40's", F109="50's"), "Adult (40–59)",
  OR(F109="60's", F109="70's", F109="80's", F109="90's"), "Senior (60+)",
  TRUE, "Unknown"
)</f>
        <v>Senior (60+)</v>
      </c>
      <c r="H109" t="s">
        <v>841</v>
      </c>
      <c r="I109" t="s">
        <v>63</v>
      </c>
      <c r="J109" t="str">
        <f t="shared" si="5"/>
        <v>Cardiovascular Disease</v>
      </c>
      <c r="K109" t="s">
        <v>54</v>
      </c>
      <c r="L109" t="s">
        <v>1071</v>
      </c>
      <c r="N109" t="s">
        <v>5095</v>
      </c>
      <c r="O109" t="str" cm="1">
        <f t="array" ref="O109">_xlfn.IFS(
  TEXT(TRIM(N109),"00000")="NULL", "Missing/Unknown",
  OR(TEXT(TRIM(N109),"00000")="89101", TEXT(TRIM(N109),"00000")="89104", TEXT(TRIM(N109),"00000")="89106", TEXT(TRIM(N109),"00000")="89102", TEXT(TRIM(N109),"00000")="89107", TEXT(TRIM(N109),"00000")="89108"), "Urban Core",
  OR(TEXT(TRIM(N109),"00000")="89110", TEXT(TRIM(N109),"00000")="89115", TEXT(TRIM(N109),"00000")="89121", TEXT(TRIM(N109),"00000")="89122", TEXT(TRIM(N109),"00000")="89142", TEXT(TRIM(N109),"00000")="89156"), "East Valley",
  OR(TEXT(TRIM(N109),"00000")="89030", TEXT(TRIM(N109),"00000")="89031", TEXT(TRIM(N109),"00000")="89032", TEXT(TRIM(N109),"00000")="89086", TEXT(TRIM(N109),"00000")="89084", TEXT(TRIM(N109),"00000")="89081"), "North LV",
  OR(TEXT(TRIM(N109),"00000")="89109", TEXT(TRIM(N109),"00000")="89103", TEXT(TRIM(N109),"00000")="89119", TEXT(TRIM(N109),"00000")="89123", TEXT(TRIM(N109),"00000")="89169", TEXT(TRIM(N109),"00000")="89118"), "South/Strip",
  OR(TEXT(TRIM(N109),"00000")="89074", TEXT(TRIM(N109),"00000")="89014", TEXT(TRIM(N109),"00000")="89015", TEXT(TRIM(N109),"00000")="89011", TEXT(TRIM(N109),"00000")="89012"), "Suburban SE",
  OR(TEXT(TRIM(N109),"00000")="89117", TEXT(TRIM(N109),"00000")="89128", TEXT(TRIM(N109),"00000")="89135", TEXT(TRIM(N109),"00000")="89144", TEXT(TRIM(N109),"00000")="89145", TEXT(TRIM(N109),"00000")="89147"), "West Valley",
  TRUE, "Other"
)</f>
        <v>Missing/Unknown</v>
      </c>
      <c r="P109" t="s">
        <v>3298</v>
      </c>
      <c r="Q109" t="str">
        <f t="shared" si="6"/>
        <v>Outdoors/Public</v>
      </c>
      <c r="R109" t="s">
        <v>5084</v>
      </c>
      <c r="S109" t="s">
        <v>5120</v>
      </c>
      <c r="T109" t="str" cm="1">
        <f t="array" ref="T109">_xlfn.IFS(
  TEXT(TRIM(S109),"00000")="NULL", "Missing/Unknown",
  OR(TEXT(TRIM(S109),"00000")="89101", TEXT(TRIM(S109),"00000")="89104", TEXT(TRIM(S109),"00000")="89106", TEXT(TRIM(S109),"00000")="89102", TEXT(TRIM(S109),"00000")="89107", TEXT(TRIM(S109),"00000")="89108"), "Urban Core",
  OR(TEXT(TRIM(S109),"00000")="89110", TEXT(TRIM(S109),"00000")="89115", TEXT(TRIM(S109),"00000")="89121", TEXT(TRIM(S109),"00000")="89122", TEXT(TRIM(S109),"00000")="89142", TEXT(TRIM(S109),"00000")="89156"), "East Valley",
  OR(TEXT(TRIM(S109),"00000")="89030", TEXT(TRIM(S109),"00000")="89031", TEXT(TRIM(S109),"00000")="89032", TEXT(TRIM(S109),"00000")="89086", TEXT(TRIM(S109),"00000")="89084", TEXT(TRIM(S109),"00000")="89081"), "North LV",
  OR(TEXT(TRIM(S109),"00000")="89109", TEXT(TRIM(S109),"00000")="89103", TEXT(TRIM(S109),"00000")="89119", TEXT(TRIM(S109),"00000")="89123", TEXT(TRIM(S109),"00000")="89169", TEXT(TRIM(S109),"00000")="89118"), "South/Strip",
  OR(TEXT(TRIM(S109),"00000")="89074", TEXT(TRIM(S109),"00000")="89014", TEXT(TRIM(S109),"00000")="89015", TEXT(TRIM(S109),"00000")="89011", TEXT(TRIM(S109),"00000")="89012"), "Suburban SE",
  OR(TEXT(TRIM(S109),"00000")="89117", TEXT(TRIM(S109),"00000")="89128", TEXT(TRIM(S109),"00000")="89135", TEXT(TRIM(S109),"00000")="89144", TEXT(TRIM(S109),"00000")="89145", TEXT(TRIM(S109),"00000")="89147"), "West Valley",
  TRUE, "Other"
)</f>
        <v>Suburban SE</v>
      </c>
      <c r="U109" t="s">
        <v>3298</v>
      </c>
      <c r="V109" t="str">
        <f t="shared" si="7"/>
        <v>Outdoors/Public</v>
      </c>
    </row>
    <row r="110" spans="1:22">
      <c r="A110" t="s">
        <v>2638</v>
      </c>
      <c r="B110" t="s">
        <v>2639</v>
      </c>
      <c r="C110" s="1">
        <v>45511</v>
      </c>
      <c r="D110" s="4">
        <v>107.06</v>
      </c>
      <c r="E110">
        <v>75</v>
      </c>
      <c r="F110" t="str">
        <f t="shared" si="4"/>
        <v>70's</v>
      </c>
      <c r="G110" t="str" cm="1">
        <f t="array" ref="G110">_xlfn.IFS(
  F110="10's", "Child (5–12)",
  OR(F110="20's", F110="30's"), "Young Adult (20–39)",
  OR(F110="40's", F110="50's"), "Adult (40–59)",
  OR(F110="60's", F110="70's", F110="80's", F110="90's"), "Senior (60+)",
  TRUE, "Unknown"
)</f>
        <v>Senior (60+)</v>
      </c>
      <c r="H110" t="s">
        <v>778</v>
      </c>
      <c r="I110" t="s">
        <v>63</v>
      </c>
      <c r="J110" t="str">
        <f t="shared" si="5"/>
        <v>Cardiovascular Disease</v>
      </c>
      <c r="K110" t="s">
        <v>1696</v>
      </c>
      <c r="L110" t="s">
        <v>1071</v>
      </c>
      <c r="N110" t="s">
        <v>5095</v>
      </c>
      <c r="O110" t="str" cm="1">
        <f t="array" ref="O110">_xlfn.IFS(
  TEXT(TRIM(N110),"00000")="NULL", "Missing/Unknown",
  OR(TEXT(TRIM(N110),"00000")="89101", TEXT(TRIM(N110),"00000")="89104", TEXT(TRIM(N110),"00000")="89106", TEXT(TRIM(N110),"00000")="89102", TEXT(TRIM(N110),"00000")="89107", TEXT(TRIM(N110),"00000")="89108"), "Urban Core",
  OR(TEXT(TRIM(N110),"00000")="89110", TEXT(TRIM(N110),"00000")="89115", TEXT(TRIM(N110),"00000")="89121", TEXT(TRIM(N110),"00000")="89122", TEXT(TRIM(N110),"00000")="89142", TEXT(TRIM(N110),"00000")="89156"), "East Valley",
  OR(TEXT(TRIM(N110),"00000")="89030", TEXT(TRIM(N110),"00000")="89031", TEXT(TRIM(N110),"00000")="89032", TEXT(TRIM(N110),"00000")="89086", TEXT(TRIM(N110),"00000")="89084", TEXT(TRIM(N110),"00000")="89081"), "North LV",
  OR(TEXT(TRIM(N110),"00000")="89109", TEXT(TRIM(N110),"00000")="89103", TEXT(TRIM(N110),"00000")="89119", TEXT(TRIM(N110),"00000")="89123", TEXT(TRIM(N110),"00000")="89169", TEXT(TRIM(N110),"00000")="89118"), "South/Strip",
  OR(TEXT(TRIM(N110),"00000")="89074", TEXT(TRIM(N110),"00000")="89014", TEXT(TRIM(N110),"00000")="89015", TEXT(TRIM(N110),"00000")="89011", TEXT(TRIM(N110),"00000")="89012"), "Suburban SE",
  OR(TEXT(TRIM(N110),"00000")="89117", TEXT(TRIM(N110),"00000")="89128", TEXT(TRIM(N110),"00000")="89135", TEXT(TRIM(N110),"00000")="89144", TEXT(TRIM(N110),"00000")="89145", TEXT(TRIM(N110),"00000")="89147"), "West Valley",
  TRUE, "Other"
)</f>
        <v>Missing/Unknown</v>
      </c>
      <c r="P110" t="s">
        <v>3298</v>
      </c>
      <c r="Q110" t="str">
        <f t="shared" si="6"/>
        <v>Outdoors/Public</v>
      </c>
      <c r="R110" t="s">
        <v>5085</v>
      </c>
      <c r="S110" t="s">
        <v>5106</v>
      </c>
      <c r="T110" t="str" cm="1">
        <f t="array" ref="T110">_xlfn.IFS(
  TEXT(TRIM(S110),"00000")="NULL", "Missing/Unknown",
  OR(TEXT(TRIM(S110),"00000")="89101", TEXT(TRIM(S110),"00000")="89104", TEXT(TRIM(S110),"00000")="89106", TEXT(TRIM(S110),"00000")="89102", TEXT(TRIM(S110),"00000")="89107", TEXT(TRIM(S110),"00000")="89108"), "Urban Core",
  OR(TEXT(TRIM(S110),"00000")="89110", TEXT(TRIM(S110),"00000")="89115", TEXT(TRIM(S110),"00000")="89121", TEXT(TRIM(S110),"00000")="89122", TEXT(TRIM(S110),"00000")="89142", TEXT(TRIM(S110),"00000")="89156"), "East Valley",
  OR(TEXT(TRIM(S110),"00000")="89030", TEXT(TRIM(S110),"00000")="89031", TEXT(TRIM(S110),"00000")="89032", TEXT(TRIM(S110),"00000")="89086", TEXT(TRIM(S110),"00000")="89084", TEXT(TRIM(S110),"00000")="89081"), "North LV",
  OR(TEXT(TRIM(S110),"00000")="89109", TEXT(TRIM(S110),"00000")="89103", TEXT(TRIM(S110),"00000")="89119", TEXT(TRIM(S110),"00000")="89123", TEXT(TRIM(S110),"00000")="89169", TEXT(TRIM(S110),"00000")="89118"), "South/Strip",
  OR(TEXT(TRIM(S110),"00000")="89074", TEXT(TRIM(S110),"00000")="89014", TEXT(TRIM(S110),"00000")="89015", TEXT(TRIM(S110),"00000")="89011", TEXT(TRIM(S110),"00000")="89012"), "Suburban SE",
  OR(TEXT(TRIM(S110),"00000")="89117", TEXT(TRIM(S110),"00000")="89128", TEXT(TRIM(S110),"00000")="89135", TEXT(TRIM(S110),"00000")="89144", TEXT(TRIM(S110),"00000")="89145", TEXT(TRIM(S110),"00000")="89147"), "West Valley",
  TRUE, "Other"
)</f>
        <v>East Valley</v>
      </c>
      <c r="U110" t="s">
        <v>3298</v>
      </c>
      <c r="V110" t="str">
        <f t="shared" si="7"/>
        <v>Outdoors/Public</v>
      </c>
    </row>
    <row r="111" spans="1:22">
      <c r="A111" t="s">
        <v>2757</v>
      </c>
      <c r="B111" t="s">
        <v>2758</v>
      </c>
      <c r="C111" s="1">
        <v>45510</v>
      </c>
      <c r="D111" s="4">
        <v>113</v>
      </c>
      <c r="E111">
        <v>24</v>
      </c>
      <c r="F111" t="str">
        <f t="shared" si="4"/>
        <v>20's</v>
      </c>
      <c r="G111" t="str" cm="1">
        <f t="array" ref="G111">_xlfn.IFS(
  F111="10's", "Child (5–12)",
  OR(F111="20's", F111="30's"), "Young Adult (20–39)",
  OR(F111="40's", F111="50's"), "Adult (40–59)",
  OR(F111="60's", F111="70's", F111="80's", F111="90's"), "Senior (60+)",
  TRUE, "Unknown"
)</f>
        <v>Young Adult (20–39)</v>
      </c>
      <c r="H111" t="s">
        <v>27</v>
      </c>
      <c r="I111" t="s">
        <v>4036</v>
      </c>
      <c r="J111" t="str">
        <f t="shared" si="5"/>
        <v>Methamphetamine-related</v>
      </c>
      <c r="K111" t="s">
        <v>54</v>
      </c>
      <c r="L111" t="s">
        <v>250</v>
      </c>
      <c r="M111" t="s">
        <v>4630</v>
      </c>
      <c r="N111" t="s">
        <v>5098</v>
      </c>
      <c r="O111" t="str" cm="1">
        <f t="array" ref="O111">_xlfn.IFS(
  TEXT(TRIM(N111),"00000")="NULL", "Missing/Unknown",
  OR(TEXT(TRIM(N111),"00000")="89101", TEXT(TRIM(N111),"00000")="89104", TEXT(TRIM(N111),"00000")="89106", TEXT(TRIM(N111),"00000")="89102", TEXT(TRIM(N111),"00000")="89107", TEXT(TRIM(N111),"00000")="89108"), "Urban Core",
  OR(TEXT(TRIM(N111),"00000")="89110", TEXT(TRIM(N111),"00000")="89115", TEXT(TRIM(N111),"00000")="89121", TEXT(TRIM(N111),"00000")="89122", TEXT(TRIM(N111),"00000")="89142", TEXT(TRIM(N111),"00000")="89156"), "East Valley",
  OR(TEXT(TRIM(N111),"00000")="89030", TEXT(TRIM(N111),"00000")="89031", TEXT(TRIM(N111),"00000")="89032", TEXT(TRIM(N111),"00000")="89086", TEXT(TRIM(N111),"00000")="89084", TEXT(TRIM(N111),"00000")="89081"), "North LV",
  OR(TEXT(TRIM(N111),"00000")="89109", TEXT(TRIM(N111),"00000")="89103", TEXT(TRIM(N111),"00000")="89119", TEXT(TRIM(N111),"00000")="89123", TEXT(TRIM(N111),"00000")="89169", TEXT(TRIM(N111),"00000")="89118"), "South/Strip",
  OR(TEXT(TRIM(N111),"00000")="89074", TEXT(TRIM(N111),"00000")="89014", TEXT(TRIM(N111),"00000")="89015", TEXT(TRIM(N111),"00000")="89011", TEXT(TRIM(N111),"00000")="89012"), "Suburban SE",
  OR(TEXT(TRIM(N111),"00000")="89117", TEXT(TRIM(N111),"00000")="89128", TEXT(TRIM(N111),"00000")="89135", TEXT(TRIM(N111),"00000")="89144", TEXT(TRIM(N111),"00000")="89145", TEXT(TRIM(N111),"00000")="89147"), "West Valley",
  TRUE, "Other"
)</f>
        <v>Urban Core</v>
      </c>
      <c r="P111" t="s">
        <v>3298</v>
      </c>
      <c r="Q111" t="str">
        <f t="shared" si="6"/>
        <v>Outdoors/Public</v>
      </c>
      <c r="R111" t="s">
        <v>4630</v>
      </c>
      <c r="S111" t="s">
        <v>5098</v>
      </c>
      <c r="T111" t="str" cm="1">
        <f t="array" ref="T111">_xlfn.IFS(
  TEXT(TRIM(S111),"00000")="NULL", "Missing/Unknown",
  OR(TEXT(TRIM(S111),"00000")="89101", TEXT(TRIM(S111),"00000")="89104", TEXT(TRIM(S111),"00000")="89106", TEXT(TRIM(S111),"00000")="89102", TEXT(TRIM(S111),"00000")="89107", TEXT(TRIM(S111),"00000")="89108"), "Urban Core",
  OR(TEXT(TRIM(S111),"00000")="89110", TEXT(TRIM(S111),"00000")="89115", TEXT(TRIM(S111),"00000")="89121", TEXT(TRIM(S111),"00000")="89122", TEXT(TRIM(S111),"00000")="89142", TEXT(TRIM(S111),"00000")="89156"), "East Valley",
  OR(TEXT(TRIM(S111),"00000")="89030", TEXT(TRIM(S111),"00000")="89031", TEXT(TRIM(S111),"00000")="89032", TEXT(TRIM(S111),"00000")="89086", TEXT(TRIM(S111),"00000")="89084", TEXT(TRIM(S111),"00000")="89081"), "North LV",
  OR(TEXT(TRIM(S111),"00000")="89109", TEXT(TRIM(S111),"00000")="89103", TEXT(TRIM(S111),"00000")="89119", TEXT(TRIM(S111),"00000")="89123", TEXT(TRIM(S111),"00000")="89169", TEXT(TRIM(S111),"00000")="89118"), "South/Strip",
  OR(TEXT(TRIM(S111),"00000")="89074", TEXT(TRIM(S111),"00000")="89014", TEXT(TRIM(S111),"00000")="89015", TEXT(TRIM(S111),"00000")="89011", TEXT(TRIM(S111),"00000")="89012"), "Suburban SE",
  OR(TEXT(TRIM(S111),"00000")="89117", TEXT(TRIM(S111),"00000")="89128", TEXT(TRIM(S111),"00000")="89135", TEXT(TRIM(S111),"00000")="89144", TEXT(TRIM(S111),"00000")="89145", TEXT(TRIM(S111),"00000")="89147"), "West Valley",
  TRUE, "Other"
)</f>
        <v>Urban Core</v>
      </c>
      <c r="U111" t="s">
        <v>3298</v>
      </c>
      <c r="V111" t="str">
        <f t="shared" si="7"/>
        <v>Outdoors/Public</v>
      </c>
    </row>
    <row r="112" spans="1:22">
      <c r="A112" t="s">
        <v>2629</v>
      </c>
      <c r="B112" t="s">
        <v>2630</v>
      </c>
      <c r="C112" s="1">
        <v>45510</v>
      </c>
      <c r="D112" s="4">
        <v>113</v>
      </c>
      <c r="E112">
        <v>64</v>
      </c>
      <c r="F112" t="str">
        <f t="shared" si="4"/>
        <v>60's</v>
      </c>
      <c r="G112" t="str" cm="1">
        <f t="array" ref="G112">_xlfn.IFS(
  F112="10's", "Child (5–12)",
  OR(F112="20's", F112="30's"), "Young Adult (20–39)",
  OR(F112="40's", F112="50's"), "Adult (40–59)",
  OR(F112="60's", F112="70's", F112="80's", F112="90's"), "Senior (60+)",
  TRUE, "Unknown"
)</f>
        <v>Senior (60+)</v>
      </c>
      <c r="H112" t="s">
        <v>841</v>
      </c>
      <c r="I112" t="s">
        <v>63</v>
      </c>
      <c r="J112" t="str">
        <f t="shared" si="5"/>
        <v>Cardiovascular Disease</v>
      </c>
      <c r="K112" t="s">
        <v>54</v>
      </c>
      <c r="L112" t="s">
        <v>1071</v>
      </c>
      <c r="M112" t="s">
        <v>5010</v>
      </c>
      <c r="N112" t="s">
        <v>5126</v>
      </c>
      <c r="O112" t="str" cm="1">
        <f t="array" ref="O112">_xlfn.IFS(
  TEXT(TRIM(N112),"00000")="NULL", "Missing/Unknown",
  OR(TEXT(TRIM(N112),"00000")="89101", TEXT(TRIM(N112),"00000")="89104", TEXT(TRIM(N112),"00000")="89106", TEXT(TRIM(N112),"00000")="89102", TEXT(TRIM(N112),"00000")="89107", TEXT(TRIM(N112),"00000")="89108"), "Urban Core",
  OR(TEXT(TRIM(N112),"00000")="89110", TEXT(TRIM(N112),"00000")="89115", TEXT(TRIM(N112),"00000")="89121", TEXT(TRIM(N112),"00000")="89122", TEXT(TRIM(N112),"00000")="89142", TEXT(TRIM(N112),"00000")="89156"), "East Valley",
  OR(TEXT(TRIM(N112),"00000")="89030", TEXT(TRIM(N112),"00000")="89031", TEXT(TRIM(N112),"00000")="89032", TEXT(TRIM(N112),"00000")="89086", TEXT(TRIM(N112),"00000")="89084", TEXT(TRIM(N112),"00000")="89081"), "North LV",
  OR(TEXT(TRIM(N112),"00000")="89109", TEXT(TRIM(N112),"00000")="89103", TEXT(TRIM(N112),"00000")="89119", TEXT(TRIM(N112),"00000")="89123", TEXT(TRIM(N112),"00000")="89169", TEXT(TRIM(N112),"00000")="89118"), "South/Strip",
  OR(TEXT(TRIM(N112),"00000")="89074", TEXT(TRIM(N112),"00000")="89014", TEXT(TRIM(N112),"00000")="89015", TEXT(TRIM(N112),"00000")="89011", TEXT(TRIM(N112),"00000")="89012"), "Suburban SE",
  OR(TEXT(TRIM(N112),"00000")="89117", TEXT(TRIM(N112),"00000")="89128", TEXT(TRIM(N112),"00000")="89135", TEXT(TRIM(N112),"00000")="89144", TEXT(TRIM(N112),"00000")="89145", TEXT(TRIM(N112),"00000")="89147"), "West Valley",
  TRUE, "Other"
)</f>
        <v>Other</v>
      </c>
      <c r="P112" t="s">
        <v>3298</v>
      </c>
      <c r="Q112" t="str">
        <f t="shared" si="6"/>
        <v>Outdoors/Public</v>
      </c>
      <c r="R112" t="s">
        <v>5010</v>
      </c>
      <c r="S112" t="s">
        <v>5126</v>
      </c>
      <c r="T112" t="str" cm="1">
        <f t="array" ref="T112">_xlfn.IFS(
  TEXT(TRIM(S112),"00000")="NULL", "Missing/Unknown",
  OR(TEXT(TRIM(S112),"00000")="89101", TEXT(TRIM(S112),"00000")="89104", TEXT(TRIM(S112),"00000")="89106", TEXT(TRIM(S112),"00000")="89102", TEXT(TRIM(S112),"00000")="89107", TEXT(TRIM(S112),"00000")="89108"), "Urban Core",
  OR(TEXT(TRIM(S112),"00000")="89110", TEXT(TRIM(S112),"00000")="89115", TEXT(TRIM(S112),"00000")="89121", TEXT(TRIM(S112),"00000")="89122", TEXT(TRIM(S112),"00000")="89142", TEXT(TRIM(S112),"00000")="89156"), "East Valley",
  OR(TEXT(TRIM(S112),"00000")="89030", TEXT(TRIM(S112),"00000")="89031", TEXT(TRIM(S112),"00000")="89032", TEXT(TRIM(S112),"00000")="89086", TEXT(TRIM(S112),"00000")="89084", TEXT(TRIM(S112),"00000")="89081"), "North LV",
  OR(TEXT(TRIM(S112),"00000")="89109", TEXT(TRIM(S112),"00000")="89103", TEXT(TRIM(S112),"00000")="89119", TEXT(TRIM(S112),"00000")="89123", TEXT(TRIM(S112),"00000")="89169", TEXT(TRIM(S112),"00000")="89118"), "South/Strip",
  OR(TEXT(TRIM(S112),"00000")="89074", TEXT(TRIM(S112),"00000")="89014", TEXT(TRIM(S112),"00000")="89015", TEXT(TRIM(S112),"00000")="89011", TEXT(TRIM(S112),"00000")="89012"), "Suburban SE",
  OR(TEXT(TRIM(S112),"00000")="89117", TEXT(TRIM(S112),"00000")="89128", TEXT(TRIM(S112),"00000")="89135", TEXT(TRIM(S112),"00000")="89144", TEXT(TRIM(S112),"00000")="89145", TEXT(TRIM(S112),"00000")="89147"), "West Valley",
  TRUE, "Other"
)</f>
        <v>Other</v>
      </c>
      <c r="U112" t="s">
        <v>3298</v>
      </c>
      <c r="V112" t="str">
        <f t="shared" si="7"/>
        <v>Outdoors/Public</v>
      </c>
    </row>
    <row r="113" spans="1:22">
      <c r="A113" t="s">
        <v>2632</v>
      </c>
      <c r="B113" t="s">
        <v>2633</v>
      </c>
      <c r="C113" s="1">
        <v>45510</v>
      </c>
      <c r="D113" s="4">
        <v>113</v>
      </c>
      <c r="E113">
        <v>80</v>
      </c>
      <c r="F113" t="str">
        <f t="shared" si="4"/>
        <v>80's</v>
      </c>
      <c r="G113" t="str" cm="1">
        <f t="array" ref="G113">_xlfn.IFS(
  F113="10's", "Child (5–12)",
  OR(F113="20's", F113="30's"), "Young Adult (20–39)",
  OR(F113="40's", F113="50's"), "Adult (40–59)",
  OR(F113="60's", F113="70's", F113="80's", F113="90's"), "Senior (60+)",
  TRUE, "Unknown"
)</f>
        <v>Senior (60+)</v>
      </c>
      <c r="H113" t="s">
        <v>841</v>
      </c>
      <c r="I113" t="s">
        <v>63</v>
      </c>
      <c r="J113" t="str">
        <f t="shared" si="5"/>
        <v>Cardiovascular Disease</v>
      </c>
      <c r="K113" t="s">
        <v>54</v>
      </c>
      <c r="L113" t="s">
        <v>1071</v>
      </c>
      <c r="M113" t="s">
        <v>5011</v>
      </c>
      <c r="N113" t="s">
        <v>5125</v>
      </c>
      <c r="O113" t="str" cm="1">
        <f t="array" ref="O113">_xlfn.IFS(
  TEXT(TRIM(N113),"00000")="NULL", "Missing/Unknown",
  OR(TEXT(TRIM(N113),"00000")="89101", TEXT(TRIM(N113),"00000")="89104", TEXT(TRIM(N113),"00000")="89106", TEXT(TRIM(N113),"00000")="89102", TEXT(TRIM(N113),"00000")="89107", TEXT(TRIM(N113),"00000")="89108"), "Urban Core",
  OR(TEXT(TRIM(N113),"00000")="89110", TEXT(TRIM(N113),"00000")="89115", TEXT(TRIM(N113),"00000")="89121", TEXT(TRIM(N113),"00000")="89122", TEXT(TRIM(N113),"00000")="89142", TEXT(TRIM(N113),"00000")="89156"), "East Valley",
  OR(TEXT(TRIM(N113),"00000")="89030", TEXT(TRIM(N113),"00000")="89031", TEXT(TRIM(N113),"00000")="89032", TEXT(TRIM(N113),"00000")="89086", TEXT(TRIM(N113),"00000")="89084", TEXT(TRIM(N113),"00000")="89081"), "North LV",
  OR(TEXT(TRIM(N113),"00000")="89109", TEXT(TRIM(N113),"00000")="89103", TEXT(TRIM(N113),"00000")="89119", TEXT(TRIM(N113),"00000")="89123", TEXT(TRIM(N113),"00000")="89169", TEXT(TRIM(N113),"00000")="89118"), "South/Strip",
  OR(TEXT(TRIM(N113),"00000")="89074", TEXT(TRIM(N113),"00000")="89014", TEXT(TRIM(N113),"00000")="89015", TEXT(TRIM(N113),"00000")="89011", TEXT(TRIM(N113),"00000")="89012"), "Suburban SE",
  OR(TEXT(TRIM(N113),"00000")="89117", TEXT(TRIM(N113),"00000")="89128", TEXT(TRIM(N113),"00000")="89135", TEXT(TRIM(N113),"00000")="89144", TEXT(TRIM(N113),"00000")="89145", TEXT(TRIM(N113),"00000")="89147"), "West Valley",
  TRUE, "Other"
)</f>
        <v>South/Strip</v>
      </c>
      <c r="P113" t="s">
        <v>3298</v>
      </c>
      <c r="Q113" t="str">
        <f t="shared" si="6"/>
        <v>Outdoors/Public</v>
      </c>
      <c r="R113" t="s">
        <v>5011</v>
      </c>
      <c r="S113" t="s">
        <v>5125</v>
      </c>
      <c r="T113" t="str" cm="1">
        <f t="array" ref="T113">_xlfn.IFS(
  TEXT(TRIM(S113),"00000")="NULL", "Missing/Unknown",
  OR(TEXT(TRIM(S113),"00000")="89101", TEXT(TRIM(S113),"00000")="89104", TEXT(TRIM(S113),"00000")="89106", TEXT(TRIM(S113),"00000")="89102", TEXT(TRIM(S113),"00000")="89107", TEXT(TRIM(S113),"00000")="89108"), "Urban Core",
  OR(TEXT(TRIM(S113),"00000")="89110", TEXT(TRIM(S113),"00000")="89115", TEXT(TRIM(S113),"00000")="89121", TEXT(TRIM(S113),"00000")="89122", TEXT(TRIM(S113),"00000")="89142", TEXT(TRIM(S113),"00000")="89156"), "East Valley",
  OR(TEXT(TRIM(S113),"00000")="89030", TEXT(TRIM(S113),"00000")="89031", TEXT(TRIM(S113),"00000")="89032", TEXT(TRIM(S113),"00000")="89086", TEXT(TRIM(S113),"00000")="89084", TEXT(TRIM(S113),"00000")="89081"), "North LV",
  OR(TEXT(TRIM(S113),"00000")="89109", TEXT(TRIM(S113),"00000")="89103", TEXT(TRIM(S113),"00000")="89119", TEXT(TRIM(S113),"00000")="89123", TEXT(TRIM(S113),"00000")="89169", TEXT(TRIM(S113),"00000")="89118"), "South/Strip",
  OR(TEXT(TRIM(S113),"00000")="89074", TEXT(TRIM(S113),"00000")="89014", TEXT(TRIM(S113),"00000")="89015", TEXT(TRIM(S113),"00000")="89011", TEXT(TRIM(S113),"00000")="89012"), "Suburban SE",
  OR(TEXT(TRIM(S113),"00000")="89117", TEXT(TRIM(S113),"00000")="89128", TEXT(TRIM(S113),"00000")="89135", TEXT(TRIM(S113),"00000")="89144", TEXT(TRIM(S113),"00000")="89145", TEXT(TRIM(S113),"00000")="89147"), "West Valley",
  TRUE, "Other"
)</f>
        <v>South/Strip</v>
      </c>
      <c r="U113" t="s">
        <v>3298</v>
      </c>
      <c r="V113" t="str">
        <f t="shared" si="7"/>
        <v>Outdoors/Public</v>
      </c>
    </row>
    <row r="114" spans="1:22">
      <c r="A114" t="s">
        <v>2522</v>
      </c>
      <c r="B114" t="s">
        <v>2523</v>
      </c>
      <c r="C114" s="1">
        <v>45510</v>
      </c>
      <c r="D114" s="4">
        <v>113</v>
      </c>
      <c r="E114">
        <v>33</v>
      </c>
      <c r="F114" t="str">
        <f t="shared" si="4"/>
        <v>30's</v>
      </c>
      <c r="G114" t="str" cm="1">
        <f t="array" ref="G114">_xlfn.IFS(
  F114="10's", "Child (5–12)",
  OR(F114="20's", F114="30's"), "Young Adult (20–39)",
  OR(F114="40's", F114="50's"), "Adult (40–59)",
  OR(F114="60's", F114="70's", F114="80's", F114="90's"), "Senior (60+)",
  TRUE, "Unknown"
)</f>
        <v>Young Adult (20–39)</v>
      </c>
      <c r="H114" t="s">
        <v>841</v>
      </c>
      <c r="I114" t="s">
        <v>4016</v>
      </c>
      <c r="J114" t="str">
        <f t="shared" si="5"/>
        <v>Methamphetamine-related</v>
      </c>
      <c r="K114" t="s">
        <v>54</v>
      </c>
      <c r="L114" t="s">
        <v>250</v>
      </c>
      <c r="M114" t="s">
        <v>4338</v>
      </c>
      <c r="N114" t="s">
        <v>5097</v>
      </c>
      <c r="O114" t="str" cm="1">
        <f t="array" ref="O114">_xlfn.IFS(
  TEXT(TRIM(N114),"00000")="NULL", "Missing/Unknown",
  OR(TEXT(TRIM(N114),"00000")="89101", TEXT(TRIM(N114),"00000")="89104", TEXT(TRIM(N114),"00000")="89106", TEXT(TRIM(N114),"00000")="89102", TEXT(TRIM(N114),"00000")="89107", TEXT(TRIM(N114),"00000")="89108"), "Urban Core",
  OR(TEXT(TRIM(N114),"00000")="89110", TEXT(TRIM(N114),"00000")="89115", TEXT(TRIM(N114),"00000")="89121", TEXT(TRIM(N114),"00000")="89122", TEXT(TRIM(N114),"00000")="89142", TEXT(TRIM(N114),"00000")="89156"), "East Valley",
  OR(TEXT(TRIM(N114),"00000")="89030", TEXT(TRIM(N114),"00000")="89031", TEXT(TRIM(N114),"00000")="89032", TEXT(TRIM(N114),"00000")="89086", TEXT(TRIM(N114),"00000")="89084", TEXT(TRIM(N114),"00000")="89081"), "North LV",
  OR(TEXT(TRIM(N114),"00000")="89109", TEXT(TRIM(N114),"00000")="89103", TEXT(TRIM(N114),"00000")="89119", TEXT(TRIM(N114),"00000")="89123", TEXT(TRIM(N114),"00000")="89169", TEXT(TRIM(N114),"00000")="89118"), "South/Strip",
  OR(TEXT(TRIM(N114),"00000")="89074", TEXT(TRIM(N114),"00000")="89014", TEXT(TRIM(N114),"00000")="89015", TEXT(TRIM(N114),"00000")="89011", TEXT(TRIM(N114),"00000")="89012"), "Suburban SE",
  OR(TEXT(TRIM(N114),"00000")="89117", TEXT(TRIM(N114),"00000")="89128", TEXT(TRIM(N114),"00000")="89135", TEXT(TRIM(N114),"00000")="89144", TEXT(TRIM(N114),"00000")="89145", TEXT(TRIM(N114),"00000")="89147"), "West Valley",
  TRUE, "Other"
)</f>
        <v>Urban Core</v>
      </c>
      <c r="P114" t="s">
        <v>4297</v>
      </c>
      <c r="Q114" t="str">
        <f t="shared" si="6"/>
        <v>Home/Residence</v>
      </c>
      <c r="R114" t="s">
        <v>4338</v>
      </c>
      <c r="S114" t="s">
        <v>5097</v>
      </c>
      <c r="T114" t="str" cm="1">
        <f t="array" ref="T114">_xlfn.IFS(
  TEXT(TRIM(S114),"00000")="NULL", "Missing/Unknown",
  OR(TEXT(TRIM(S114),"00000")="89101", TEXT(TRIM(S114),"00000")="89104", TEXT(TRIM(S114),"00000")="89106", TEXT(TRIM(S114),"00000")="89102", TEXT(TRIM(S114),"00000")="89107", TEXT(TRIM(S114),"00000")="89108"), "Urban Core",
  OR(TEXT(TRIM(S114),"00000")="89110", TEXT(TRIM(S114),"00000")="89115", TEXT(TRIM(S114),"00000")="89121", TEXT(TRIM(S114),"00000")="89122", TEXT(TRIM(S114),"00000")="89142", TEXT(TRIM(S114),"00000")="89156"), "East Valley",
  OR(TEXT(TRIM(S114),"00000")="89030", TEXT(TRIM(S114),"00000")="89031", TEXT(TRIM(S114),"00000")="89032", TEXT(TRIM(S114),"00000")="89086", TEXT(TRIM(S114),"00000")="89084", TEXT(TRIM(S114),"00000")="89081"), "North LV",
  OR(TEXT(TRIM(S114),"00000")="89109", TEXT(TRIM(S114),"00000")="89103", TEXT(TRIM(S114),"00000")="89119", TEXT(TRIM(S114),"00000")="89123", TEXT(TRIM(S114),"00000")="89169", TEXT(TRIM(S114),"00000")="89118"), "South/Strip",
  OR(TEXT(TRIM(S114),"00000")="89074", TEXT(TRIM(S114),"00000")="89014", TEXT(TRIM(S114),"00000")="89015", TEXT(TRIM(S114),"00000")="89011", TEXT(TRIM(S114),"00000")="89012"), "Suburban SE",
  OR(TEXT(TRIM(S114),"00000")="89117", TEXT(TRIM(S114),"00000")="89128", TEXT(TRIM(S114),"00000")="89135", TEXT(TRIM(S114),"00000")="89144", TEXT(TRIM(S114),"00000")="89145", TEXT(TRIM(S114),"00000")="89147"), "West Valley",
  TRUE, "Other"
)</f>
        <v>Urban Core</v>
      </c>
      <c r="U114" t="s">
        <v>4297</v>
      </c>
      <c r="V114" t="str">
        <f t="shared" si="7"/>
        <v>Home/Residence</v>
      </c>
    </row>
    <row r="115" spans="1:22">
      <c r="A115" t="s">
        <v>3603</v>
      </c>
      <c r="B115" t="s">
        <v>3604</v>
      </c>
      <c r="C115" s="1">
        <v>45510</v>
      </c>
      <c r="D115" s="4">
        <v>113</v>
      </c>
      <c r="E115">
        <v>63</v>
      </c>
      <c r="F115" t="str">
        <f t="shared" si="4"/>
        <v>60's</v>
      </c>
      <c r="G115" t="str" cm="1">
        <f t="array" ref="G115">_xlfn.IFS(
  F115="10's", "Child (5–12)",
  OR(F115="20's", F115="30's"), "Young Adult (20–39)",
  OR(F115="40's", F115="50's"), "Adult (40–59)",
  OR(F115="60's", F115="70's", F115="80's", F115="90's"), "Senior (60+)",
  TRUE, "Unknown"
)</f>
        <v>Senior (60+)</v>
      </c>
      <c r="H115" t="s">
        <v>841</v>
      </c>
      <c r="I115" t="s">
        <v>97</v>
      </c>
      <c r="J115" t="str">
        <f t="shared" si="5"/>
        <v>Environmental Heat</v>
      </c>
      <c r="K115" t="s">
        <v>28</v>
      </c>
      <c r="L115" t="s">
        <v>1071</v>
      </c>
      <c r="M115" t="s">
        <v>4504</v>
      </c>
      <c r="N115" t="s">
        <v>5101</v>
      </c>
      <c r="O115" t="str" cm="1">
        <f t="array" ref="O115">_xlfn.IFS(
  TEXT(TRIM(N115),"00000")="NULL", "Missing/Unknown",
  OR(TEXT(TRIM(N115),"00000")="89101", TEXT(TRIM(N115),"00000")="89104", TEXT(TRIM(N115),"00000")="89106", TEXT(TRIM(N115),"00000")="89102", TEXT(TRIM(N115),"00000")="89107", TEXT(TRIM(N115),"00000")="89108"), "Urban Core",
  OR(TEXT(TRIM(N115),"00000")="89110", TEXT(TRIM(N115),"00000")="89115", TEXT(TRIM(N115),"00000")="89121", TEXT(TRIM(N115),"00000")="89122", TEXT(TRIM(N115),"00000")="89142", TEXT(TRIM(N115),"00000")="89156"), "East Valley",
  OR(TEXT(TRIM(N115),"00000")="89030", TEXT(TRIM(N115),"00000")="89031", TEXT(TRIM(N115),"00000")="89032", TEXT(TRIM(N115),"00000")="89086", TEXT(TRIM(N115),"00000")="89084", TEXT(TRIM(N115),"00000")="89081"), "North LV",
  OR(TEXT(TRIM(N115),"00000")="89109", TEXT(TRIM(N115),"00000")="89103", TEXT(TRIM(N115),"00000")="89119", TEXT(TRIM(N115),"00000")="89123", TEXT(TRIM(N115),"00000")="89169", TEXT(TRIM(N115),"00000")="89118"), "South/Strip",
  OR(TEXT(TRIM(N115),"00000")="89074", TEXT(TRIM(N115),"00000")="89014", TEXT(TRIM(N115),"00000")="89015", TEXT(TRIM(N115),"00000")="89011", TEXT(TRIM(N115),"00000")="89012"), "Suburban SE",
  OR(TEXT(TRIM(N115),"00000")="89117", TEXT(TRIM(N115),"00000")="89128", TEXT(TRIM(N115),"00000")="89135", TEXT(TRIM(N115),"00000")="89144", TEXT(TRIM(N115),"00000")="89145", TEXT(TRIM(N115),"00000")="89147"), "West Valley",
  TRUE, "Other"
)</f>
        <v>Urban Core</v>
      </c>
      <c r="P115" t="s">
        <v>3298</v>
      </c>
      <c r="Q115" t="str">
        <f t="shared" si="6"/>
        <v>Outdoors/Public</v>
      </c>
      <c r="R115" t="s">
        <v>5058</v>
      </c>
      <c r="S115" t="s">
        <v>5123</v>
      </c>
      <c r="T115" t="str" cm="1">
        <f t="array" ref="T115">_xlfn.IFS(
  TEXT(TRIM(S115),"00000")="NULL", "Missing/Unknown",
  OR(TEXT(TRIM(S115),"00000")="89101", TEXT(TRIM(S115),"00000")="89104", TEXT(TRIM(S115),"00000")="89106", TEXT(TRIM(S115),"00000")="89102", TEXT(TRIM(S115),"00000")="89107", TEXT(TRIM(S115),"00000")="89108"), "Urban Core",
  OR(TEXT(TRIM(S115),"00000")="89110", TEXT(TRIM(S115),"00000")="89115", TEXT(TRIM(S115),"00000")="89121", TEXT(TRIM(S115),"00000")="89122", TEXT(TRIM(S115),"00000")="89142", TEXT(TRIM(S115),"00000")="89156"), "East Valley",
  OR(TEXT(TRIM(S115),"00000")="89030", TEXT(TRIM(S115),"00000")="89031", TEXT(TRIM(S115),"00000")="89032", TEXT(TRIM(S115),"00000")="89086", TEXT(TRIM(S115),"00000")="89084", TEXT(TRIM(S115),"00000")="89081"), "North LV",
  OR(TEXT(TRIM(S115),"00000")="89109", TEXT(TRIM(S115),"00000")="89103", TEXT(TRIM(S115),"00000")="89119", TEXT(TRIM(S115),"00000")="89123", TEXT(TRIM(S115),"00000")="89169", TEXT(TRIM(S115),"00000")="89118"), "South/Strip",
  OR(TEXT(TRIM(S115),"00000")="89074", TEXT(TRIM(S115),"00000")="89014", TEXT(TRIM(S115),"00000")="89015", TEXT(TRIM(S115),"00000")="89011", TEXT(TRIM(S115),"00000")="89012"), "Suburban SE",
  OR(TEXT(TRIM(S115),"00000")="89117", TEXT(TRIM(S115),"00000")="89128", TEXT(TRIM(S115),"00000")="89135", TEXT(TRIM(S115),"00000")="89144", TEXT(TRIM(S115),"00000")="89145", TEXT(TRIM(S115),"00000")="89147"), "West Valley",
  TRUE, "Other"
)</f>
        <v>South/Strip</v>
      </c>
      <c r="U115" t="s">
        <v>3606</v>
      </c>
      <c r="V115" t="str">
        <f t="shared" si="7"/>
        <v>Other / Unknown</v>
      </c>
    </row>
    <row r="116" spans="1:22">
      <c r="A116" t="s">
        <v>3213</v>
      </c>
      <c r="B116" t="s">
        <v>3214</v>
      </c>
      <c r="C116" s="1">
        <v>45510</v>
      </c>
      <c r="D116" s="4">
        <v>113</v>
      </c>
      <c r="E116">
        <v>48</v>
      </c>
      <c r="F116" t="str">
        <f t="shared" si="4"/>
        <v>40's</v>
      </c>
      <c r="G116" t="str" cm="1">
        <f t="array" ref="G116">_xlfn.IFS(
  F116="10's", "Child (5–12)",
  OR(F116="20's", F116="30's"), "Young Adult (20–39)",
  OR(F116="40's", F116="50's"), "Adult (40–59)",
  OR(F116="60's", F116="70's", F116="80's", F116="90's"), "Senior (60+)",
  TRUE, "Unknown"
)</f>
        <v>Adult (40–59)</v>
      </c>
      <c r="H116" t="s">
        <v>841</v>
      </c>
      <c r="I116" t="s">
        <v>54</v>
      </c>
      <c r="J116" t="str">
        <f t="shared" si="5"/>
        <v>Environmental Heat</v>
      </c>
      <c r="K116" t="s">
        <v>98</v>
      </c>
      <c r="L116" t="s">
        <v>1071</v>
      </c>
      <c r="M116" t="s">
        <v>4939</v>
      </c>
      <c r="N116" t="s">
        <v>5120</v>
      </c>
      <c r="O116" t="str" cm="1">
        <f t="array" ref="O116">_xlfn.IFS(
  TEXT(TRIM(N116),"00000")="NULL", "Missing/Unknown",
  OR(TEXT(TRIM(N116),"00000")="89101", TEXT(TRIM(N116),"00000")="89104", TEXT(TRIM(N116),"00000")="89106", TEXT(TRIM(N116),"00000")="89102", TEXT(TRIM(N116),"00000")="89107", TEXT(TRIM(N116),"00000")="89108"), "Urban Core",
  OR(TEXT(TRIM(N116),"00000")="89110", TEXT(TRIM(N116),"00000")="89115", TEXT(TRIM(N116),"00000")="89121", TEXT(TRIM(N116),"00000")="89122", TEXT(TRIM(N116),"00000")="89142", TEXT(TRIM(N116),"00000")="89156"), "East Valley",
  OR(TEXT(TRIM(N116),"00000")="89030", TEXT(TRIM(N116),"00000")="89031", TEXT(TRIM(N116),"00000")="89032", TEXT(TRIM(N116),"00000")="89086", TEXT(TRIM(N116),"00000")="89084", TEXT(TRIM(N116),"00000")="89081"), "North LV",
  OR(TEXT(TRIM(N116),"00000")="89109", TEXT(TRIM(N116),"00000")="89103", TEXT(TRIM(N116),"00000")="89119", TEXT(TRIM(N116),"00000")="89123", TEXT(TRIM(N116),"00000")="89169", TEXT(TRIM(N116),"00000")="89118"), "South/Strip",
  OR(TEXT(TRIM(N116),"00000")="89074", TEXT(TRIM(N116),"00000")="89014", TEXT(TRIM(N116),"00000")="89015", TEXT(TRIM(N116),"00000")="89011", TEXT(TRIM(N116),"00000")="89012"), "Suburban SE",
  OR(TEXT(TRIM(N116),"00000")="89117", TEXT(TRIM(N116),"00000")="89128", TEXT(TRIM(N116),"00000")="89135", TEXT(TRIM(N116),"00000")="89144", TEXT(TRIM(N116),"00000")="89145", TEXT(TRIM(N116),"00000")="89147"), "West Valley",
  TRUE, "Other"
)</f>
        <v>Suburban SE</v>
      </c>
      <c r="P116" t="s">
        <v>1073</v>
      </c>
      <c r="Q116" t="str">
        <f t="shared" si="6"/>
        <v>Home/Residence</v>
      </c>
      <c r="R116" t="s">
        <v>4939</v>
      </c>
      <c r="S116" t="s">
        <v>5120</v>
      </c>
      <c r="T116" t="str" cm="1">
        <f t="array" ref="T116">_xlfn.IFS(
  TEXT(TRIM(S116),"00000")="NULL", "Missing/Unknown",
  OR(TEXT(TRIM(S116),"00000")="89101", TEXT(TRIM(S116),"00000")="89104", TEXT(TRIM(S116),"00000")="89106", TEXT(TRIM(S116),"00000")="89102", TEXT(TRIM(S116),"00000")="89107", TEXT(TRIM(S116),"00000")="89108"), "Urban Core",
  OR(TEXT(TRIM(S116),"00000")="89110", TEXT(TRIM(S116),"00000")="89115", TEXT(TRIM(S116),"00000")="89121", TEXT(TRIM(S116),"00000")="89122", TEXT(TRIM(S116),"00000")="89142", TEXT(TRIM(S116),"00000")="89156"), "East Valley",
  OR(TEXT(TRIM(S116),"00000")="89030", TEXT(TRIM(S116),"00000")="89031", TEXT(TRIM(S116),"00000")="89032", TEXT(TRIM(S116),"00000")="89086", TEXT(TRIM(S116),"00000")="89084", TEXT(TRIM(S116),"00000")="89081"), "North LV",
  OR(TEXT(TRIM(S116),"00000")="89109", TEXT(TRIM(S116),"00000")="89103", TEXT(TRIM(S116),"00000")="89119", TEXT(TRIM(S116),"00000")="89123", TEXT(TRIM(S116),"00000")="89169", TEXT(TRIM(S116),"00000")="89118"), "South/Strip",
  OR(TEXT(TRIM(S116),"00000")="89074", TEXT(TRIM(S116),"00000")="89014", TEXT(TRIM(S116),"00000")="89015", TEXT(TRIM(S116),"00000")="89011", TEXT(TRIM(S116),"00000")="89012"), "Suburban SE",
  OR(TEXT(TRIM(S116),"00000")="89117", TEXT(TRIM(S116),"00000")="89128", TEXT(TRIM(S116),"00000")="89135", TEXT(TRIM(S116),"00000")="89144", TEXT(TRIM(S116),"00000")="89145", TEXT(TRIM(S116),"00000")="89147"), "West Valley",
  TRUE, "Other"
)</f>
        <v>Suburban SE</v>
      </c>
      <c r="U116" t="s">
        <v>1073</v>
      </c>
      <c r="V116" t="str">
        <f t="shared" si="7"/>
        <v>Home/Residence</v>
      </c>
    </row>
    <row r="117" spans="1:22">
      <c r="A117" t="s">
        <v>3536</v>
      </c>
      <c r="B117" t="s">
        <v>3537</v>
      </c>
      <c r="C117" s="1">
        <v>45510</v>
      </c>
      <c r="D117" s="4">
        <v>113</v>
      </c>
      <c r="E117">
        <v>57</v>
      </c>
      <c r="F117" t="str">
        <f t="shared" si="4"/>
        <v>50's</v>
      </c>
      <c r="G117" t="str" cm="1">
        <f t="array" ref="G117">_xlfn.IFS(
  F117="10's", "Child (5–12)",
  OR(F117="20's", F117="30's"), "Young Adult (20–39)",
  OR(F117="40's", F117="50's"), "Adult (40–59)",
  OR(F117="60's", F117="70's", F117="80's", F117="90's"), "Senior (60+)",
  TRUE, "Unknown"
)</f>
        <v>Adult (40–59)</v>
      </c>
      <c r="H117" t="s">
        <v>4309</v>
      </c>
      <c r="I117" t="s">
        <v>28</v>
      </c>
      <c r="J117" t="str">
        <f t="shared" si="5"/>
        <v>Cardiovascular Disease</v>
      </c>
      <c r="K117" t="s">
        <v>4157</v>
      </c>
      <c r="L117" t="s">
        <v>1071</v>
      </c>
      <c r="M117" t="s">
        <v>4907</v>
      </c>
      <c r="N117" t="s">
        <v>5105</v>
      </c>
      <c r="O117" t="str" cm="1">
        <f t="array" ref="O117">_xlfn.IFS(
  TEXT(TRIM(N117),"00000")="NULL", "Missing/Unknown",
  OR(TEXT(TRIM(N117),"00000")="89101", TEXT(TRIM(N117),"00000")="89104", TEXT(TRIM(N117),"00000")="89106", TEXT(TRIM(N117),"00000")="89102", TEXT(TRIM(N117),"00000")="89107", TEXT(TRIM(N117),"00000")="89108"), "Urban Core",
  OR(TEXT(TRIM(N117),"00000")="89110", TEXT(TRIM(N117),"00000")="89115", TEXT(TRIM(N117),"00000")="89121", TEXT(TRIM(N117),"00000")="89122", TEXT(TRIM(N117),"00000")="89142", TEXT(TRIM(N117),"00000")="89156"), "East Valley",
  OR(TEXT(TRIM(N117),"00000")="89030", TEXT(TRIM(N117),"00000")="89031", TEXT(TRIM(N117),"00000")="89032", TEXT(TRIM(N117),"00000")="89086", TEXT(TRIM(N117),"00000")="89084", TEXT(TRIM(N117),"00000")="89081"), "North LV",
  OR(TEXT(TRIM(N117),"00000")="89109", TEXT(TRIM(N117),"00000")="89103", TEXT(TRIM(N117),"00000")="89119", TEXT(TRIM(N117),"00000")="89123", TEXT(TRIM(N117),"00000")="89169", TEXT(TRIM(N117),"00000")="89118"), "South/Strip",
  OR(TEXT(TRIM(N117),"00000")="89074", TEXT(TRIM(N117),"00000")="89014", TEXT(TRIM(N117),"00000")="89015", TEXT(TRIM(N117),"00000")="89011", TEXT(TRIM(N117),"00000")="89012"), "Suburban SE",
  OR(TEXT(TRIM(N117),"00000")="89117", TEXT(TRIM(N117),"00000")="89128", TEXT(TRIM(N117),"00000")="89135", TEXT(TRIM(N117),"00000")="89144", TEXT(TRIM(N117),"00000")="89145", TEXT(TRIM(N117),"00000")="89147"), "West Valley",
  TRUE, "Other"
)</f>
        <v>East Valley</v>
      </c>
      <c r="P117" t="s">
        <v>1073</v>
      </c>
      <c r="Q117" t="str">
        <f t="shared" si="6"/>
        <v>Home/Residence</v>
      </c>
      <c r="R117" t="s">
        <v>4907</v>
      </c>
      <c r="S117" t="s">
        <v>5105</v>
      </c>
      <c r="T117" t="str" cm="1">
        <f t="array" ref="T117">_xlfn.IFS(
  TEXT(TRIM(S117),"00000")="NULL", "Missing/Unknown",
  OR(TEXT(TRIM(S117),"00000")="89101", TEXT(TRIM(S117),"00000")="89104", TEXT(TRIM(S117),"00000")="89106", TEXT(TRIM(S117),"00000")="89102", TEXT(TRIM(S117),"00000")="89107", TEXT(TRIM(S117),"00000")="89108"), "Urban Core",
  OR(TEXT(TRIM(S117),"00000")="89110", TEXT(TRIM(S117),"00000")="89115", TEXT(TRIM(S117),"00000")="89121", TEXT(TRIM(S117),"00000")="89122", TEXT(TRIM(S117),"00000")="89142", TEXT(TRIM(S117),"00000")="89156"), "East Valley",
  OR(TEXT(TRIM(S117),"00000")="89030", TEXT(TRIM(S117),"00000")="89031", TEXT(TRIM(S117),"00000")="89032", TEXT(TRIM(S117),"00000")="89086", TEXT(TRIM(S117),"00000")="89084", TEXT(TRIM(S117),"00000")="89081"), "North LV",
  OR(TEXT(TRIM(S117),"00000")="89109", TEXT(TRIM(S117),"00000")="89103", TEXT(TRIM(S117),"00000")="89119", TEXT(TRIM(S117),"00000")="89123", TEXT(TRIM(S117),"00000")="89169", TEXT(TRIM(S117),"00000")="89118"), "South/Strip",
  OR(TEXT(TRIM(S117),"00000")="89074", TEXT(TRIM(S117),"00000")="89014", TEXT(TRIM(S117),"00000")="89015", TEXT(TRIM(S117),"00000")="89011", TEXT(TRIM(S117),"00000")="89012"), "Suburban SE",
  OR(TEXT(TRIM(S117),"00000")="89117", TEXT(TRIM(S117),"00000")="89128", TEXT(TRIM(S117),"00000")="89135", TEXT(TRIM(S117),"00000")="89144", TEXT(TRIM(S117),"00000")="89145", TEXT(TRIM(S117),"00000")="89147"), "West Valley",
  TRUE, "Other"
)</f>
        <v>East Valley</v>
      </c>
      <c r="U117" t="s">
        <v>1073</v>
      </c>
      <c r="V117" t="str">
        <f t="shared" si="7"/>
        <v>Home/Residence</v>
      </c>
    </row>
    <row r="118" spans="1:22">
      <c r="A118" t="s">
        <v>3596</v>
      </c>
      <c r="B118" t="s">
        <v>3597</v>
      </c>
      <c r="C118" s="1">
        <v>45510</v>
      </c>
      <c r="D118" s="4">
        <v>113</v>
      </c>
      <c r="E118">
        <v>66</v>
      </c>
      <c r="F118" t="str">
        <f t="shared" si="4"/>
        <v>60's</v>
      </c>
      <c r="G118" t="str" cm="1">
        <f t="array" ref="G118">_xlfn.IFS(
  F118="10's", "Child (5–12)",
  OR(F118="20's", F118="30's"), "Young Adult (20–39)",
  OR(F118="40's", F118="50's"), "Adult (40–59)",
  OR(F118="60's", F118="70's", F118="80's", F118="90's"), "Senior (60+)",
  TRUE, "Unknown"
)</f>
        <v>Senior (60+)</v>
      </c>
      <c r="H118" t="s">
        <v>841</v>
      </c>
      <c r="I118" t="s">
        <v>97</v>
      </c>
      <c r="J118" t="str">
        <f t="shared" si="5"/>
        <v>Environmental Heat</v>
      </c>
      <c r="K118" t="s">
        <v>181</v>
      </c>
      <c r="L118" t="s">
        <v>250</v>
      </c>
      <c r="M118" t="s">
        <v>4592</v>
      </c>
      <c r="N118" t="s">
        <v>5098</v>
      </c>
      <c r="O118" t="str" cm="1">
        <f t="array" ref="O118">_xlfn.IFS(
  TEXT(TRIM(N118),"00000")="NULL", "Missing/Unknown",
  OR(TEXT(TRIM(N118),"00000")="89101", TEXT(TRIM(N118),"00000")="89104", TEXT(TRIM(N118),"00000")="89106", TEXT(TRIM(N118),"00000")="89102", TEXT(TRIM(N118),"00000")="89107", TEXT(TRIM(N118),"00000")="89108"), "Urban Core",
  OR(TEXT(TRIM(N118),"00000")="89110", TEXT(TRIM(N118),"00000")="89115", TEXT(TRIM(N118),"00000")="89121", TEXT(TRIM(N118),"00000")="89122", TEXT(TRIM(N118),"00000")="89142", TEXT(TRIM(N118),"00000")="89156"), "East Valley",
  OR(TEXT(TRIM(N118),"00000")="89030", TEXT(TRIM(N118),"00000")="89031", TEXT(TRIM(N118),"00000")="89032", TEXT(TRIM(N118),"00000")="89086", TEXT(TRIM(N118),"00000")="89084", TEXT(TRIM(N118),"00000")="89081"), "North LV",
  OR(TEXT(TRIM(N118),"00000")="89109", TEXT(TRIM(N118),"00000")="89103", TEXT(TRIM(N118),"00000")="89119", TEXT(TRIM(N118),"00000")="89123", TEXT(TRIM(N118),"00000")="89169", TEXT(TRIM(N118),"00000")="89118"), "South/Strip",
  OR(TEXT(TRIM(N118),"00000")="89074", TEXT(TRIM(N118),"00000")="89014", TEXT(TRIM(N118),"00000")="89015", TEXT(TRIM(N118),"00000")="89011", TEXT(TRIM(N118),"00000")="89012"), "Suburban SE",
  OR(TEXT(TRIM(N118),"00000")="89117", TEXT(TRIM(N118),"00000")="89128", TEXT(TRIM(N118),"00000")="89135", TEXT(TRIM(N118),"00000")="89144", TEXT(TRIM(N118),"00000")="89145", TEXT(TRIM(N118),"00000")="89147"), "West Valley",
  TRUE, "Other"
)</f>
        <v>Urban Core</v>
      </c>
      <c r="P118" t="s">
        <v>4295</v>
      </c>
      <c r="Q118" t="str">
        <f t="shared" si="6"/>
        <v>Outdoors/Public</v>
      </c>
      <c r="R118" t="s">
        <v>4713</v>
      </c>
      <c r="S118" t="s">
        <v>5125</v>
      </c>
      <c r="T118" t="str" cm="1">
        <f t="array" ref="T118">_xlfn.IFS(
  TEXT(TRIM(S118),"00000")="NULL", "Missing/Unknown",
  OR(TEXT(TRIM(S118),"00000")="89101", TEXT(TRIM(S118),"00000")="89104", TEXT(TRIM(S118),"00000")="89106", TEXT(TRIM(S118),"00000")="89102", TEXT(TRIM(S118),"00000")="89107", TEXT(TRIM(S118),"00000")="89108"), "Urban Core",
  OR(TEXT(TRIM(S118),"00000")="89110", TEXT(TRIM(S118),"00000")="89115", TEXT(TRIM(S118),"00000")="89121", TEXT(TRIM(S118),"00000")="89122", TEXT(TRIM(S118),"00000")="89142", TEXT(TRIM(S118),"00000")="89156"), "East Valley",
  OR(TEXT(TRIM(S118),"00000")="89030", TEXT(TRIM(S118),"00000")="89031", TEXT(TRIM(S118),"00000")="89032", TEXT(TRIM(S118),"00000")="89086", TEXT(TRIM(S118),"00000")="89084", TEXT(TRIM(S118),"00000")="89081"), "North LV",
  OR(TEXT(TRIM(S118),"00000")="89109", TEXT(TRIM(S118),"00000")="89103", TEXT(TRIM(S118),"00000")="89119", TEXT(TRIM(S118),"00000")="89123", TEXT(TRIM(S118),"00000")="89169", TEXT(TRIM(S118),"00000")="89118"), "South/Strip",
  OR(TEXT(TRIM(S118),"00000")="89074", TEXT(TRIM(S118),"00000")="89014", TEXT(TRIM(S118),"00000")="89015", TEXT(TRIM(S118),"00000")="89011", TEXT(TRIM(S118),"00000")="89012"), "Suburban SE",
  OR(TEXT(TRIM(S118),"00000")="89117", TEXT(TRIM(S118),"00000")="89128", TEXT(TRIM(S118),"00000")="89135", TEXT(TRIM(S118),"00000")="89144", TEXT(TRIM(S118),"00000")="89145", TEXT(TRIM(S118),"00000")="89147"), "West Valley",
  TRUE, "Other"
)</f>
        <v>South/Strip</v>
      </c>
      <c r="U118" t="s">
        <v>2413</v>
      </c>
      <c r="V118" t="str">
        <f t="shared" si="7"/>
        <v>Medical Facility</v>
      </c>
    </row>
    <row r="119" spans="1:22">
      <c r="A119" t="s">
        <v>3593</v>
      </c>
      <c r="B119" t="s">
        <v>3594</v>
      </c>
      <c r="C119" s="1">
        <v>45509</v>
      </c>
      <c r="D119" s="4">
        <v>111.92</v>
      </c>
      <c r="E119">
        <v>52</v>
      </c>
      <c r="F119" t="str">
        <f t="shared" si="4"/>
        <v>50's</v>
      </c>
      <c r="G119" t="str" cm="1">
        <f t="array" ref="G119">_xlfn.IFS(
  F119="10's", "Child (5–12)",
  OR(F119="20's", F119="30's"), "Young Adult (20–39)",
  OR(F119="40's", F119="50's"), "Adult (40–59)",
  OR(F119="60's", F119="70's", F119="80's", F119="90's"), "Senior (60+)",
  TRUE, "Unknown"
)</f>
        <v>Adult (40–59)</v>
      </c>
      <c r="H119" t="s">
        <v>841</v>
      </c>
      <c r="I119" t="s">
        <v>97</v>
      </c>
      <c r="J119" t="str">
        <f t="shared" si="5"/>
        <v>Environmental Heat</v>
      </c>
      <c r="K119" t="s">
        <v>98</v>
      </c>
      <c r="L119" t="s">
        <v>250</v>
      </c>
      <c r="M119" t="s">
        <v>4594</v>
      </c>
      <c r="N119" t="s">
        <v>5100</v>
      </c>
      <c r="O119" t="str" cm="1">
        <f t="array" ref="O119">_xlfn.IFS(
  TEXT(TRIM(N119),"00000")="NULL", "Missing/Unknown",
  OR(TEXT(TRIM(N119),"00000")="89101", TEXT(TRIM(N119),"00000")="89104", TEXT(TRIM(N119),"00000")="89106", TEXT(TRIM(N119),"00000")="89102", TEXT(TRIM(N119),"00000")="89107", TEXT(TRIM(N119),"00000")="89108"), "Urban Core",
  OR(TEXT(TRIM(N119),"00000")="89110", TEXT(TRIM(N119),"00000")="89115", TEXT(TRIM(N119),"00000")="89121", TEXT(TRIM(N119),"00000")="89122", TEXT(TRIM(N119),"00000")="89142", TEXT(TRIM(N119),"00000")="89156"), "East Valley",
  OR(TEXT(TRIM(N119),"00000")="89030", TEXT(TRIM(N119),"00000")="89031", TEXT(TRIM(N119),"00000")="89032", TEXT(TRIM(N119),"00000")="89086", TEXT(TRIM(N119),"00000")="89084", TEXT(TRIM(N119),"00000")="89081"), "North LV",
  OR(TEXT(TRIM(N119),"00000")="89109", TEXT(TRIM(N119),"00000")="89103", TEXT(TRIM(N119),"00000")="89119", TEXT(TRIM(N119),"00000")="89123", TEXT(TRIM(N119),"00000")="89169", TEXT(TRIM(N119),"00000")="89118"), "South/Strip",
  OR(TEXT(TRIM(N119),"00000")="89074", TEXT(TRIM(N119),"00000")="89014", TEXT(TRIM(N119),"00000")="89015", TEXT(TRIM(N119),"00000")="89011", TEXT(TRIM(N119),"00000")="89012"), "Suburban SE",
  OR(TEXT(TRIM(N119),"00000")="89117", TEXT(TRIM(N119),"00000")="89128", TEXT(TRIM(N119),"00000")="89135", TEXT(TRIM(N119),"00000")="89144", TEXT(TRIM(N119),"00000")="89145", TEXT(TRIM(N119),"00000")="89147"), "West Valley",
  TRUE, "Other"
)</f>
        <v>North LV</v>
      </c>
      <c r="P119" t="s">
        <v>132</v>
      </c>
      <c r="Q119" t="str">
        <f t="shared" si="6"/>
        <v>Outdoors/Public</v>
      </c>
      <c r="R119" t="s">
        <v>4341</v>
      </c>
      <c r="S119" t="s">
        <v>5100</v>
      </c>
      <c r="T119" t="str" cm="1">
        <f t="array" ref="T119">_xlfn.IFS(
  TEXT(TRIM(S119),"00000")="NULL", "Missing/Unknown",
  OR(TEXT(TRIM(S119),"00000")="89101", TEXT(TRIM(S119),"00000")="89104", TEXT(TRIM(S119),"00000")="89106", TEXT(TRIM(S119),"00000")="89102", TEXT(TRIM(S119),"00000")="89107", TEXT(TRIM(S119),"00000")="89108"), "Urban Core",
  OR(TEXT(TRIM(S119),"00000")="89110", TEXT(TRIM(S119),"00000")="89115", TEXT(TRIM(S119),"00000")="89121", TEXT(TRIM(S119),"00000")="89122", TEXT(TRIM(S119),"00000")="89142", TEXT(TRIM(S119),"00000")="89156"), "East Valley",
  OR(TEXT(TRIM(S119),"00000")="89030", TEXT(TRIM(S119),"00000")="89031", TEXT(TRIM(S119),"00000")="89032", TEXT(TRIM(S119),"00000")="89086", TEXT(TRIM(S119),"00000")="89084", TEXT(TRIM(S119),"00000")="89081"), "North LV",
  OR(TEXT(TRIM(S119),"00000")="89109", TEXT(TRIM(S119),"00000")="89103", TEXT(TRIM(S119),"00000")="89119", TEXT(TRIM(S119),"00000")="89123", TEXT(TRIM(S119),"00000")="89169", TEXT(TRIM(S119),"00000")="89118"), "South/Strip",
  OR(TEXT(TRIM(S119),"00000")="89074", TEXT(TRIM(S119),"00000")="89014", TEXT(TRIM(S119),"00000")="89015", TEXT(TRIM(S119),"00000")="89011", TEXT(TRIM(S119),"00000")="89012"), "Suburban SE",
  OR(TEXT(TRIM(S119),"00000")="89117", TEXT(TRIM(S119),"00000")="89128", TEXT(TRIM(S119),"00000")="89135", TEXT(TRIM(S119),"00000")="89144", TEXT(TRIM(S119),"00000")="89145", TEXT(TRIM(S119),"00000")="89147"), "West Valley",
  TRUE, "Other"
)</f>
        <v>North LV</v>
      </c>
      <c r="U119" t="s">
        <v>2413</v>
      </c>
      <c r="V119" t="str">
        <f t="shared" si="7"/>
        <v>Medical Facility</v>
      </c>
    </row>
    <row r="120" spans="1:22">
      <c r="A120" t="s">
        <v>2813</v>
      </c>
      <c r="B120" t="s">
        <v>2814</v>
      </c>
      <c r="C120" s="1">
        <v>45509</v>
      </c>
      <c r="D120" s="4">
        <v>111.92</v>
      </c>
      <c r="E120">
        <v>70</v>
      </c>
      <c r="F120" t="str">
        <f t="shared" si="4"/>
        <v>70's</v>
      </c>
      <c r="G120" t="str" cm="1">
        <f t="array" ref="G120">_xlfn.IFS(
  F120="10's", "Child (5–12)",
  OR(F120="20's", F120="30's"), "Young Adult (20–39)",
  OR(F120="40's", F120="50's"), "Adult (40–59)",
  OR(F120="60's", F120="70's", F120="80's", F120="90's"), "Senior (60+)",
  TRUE, "Unknown"
)</f>
        <v>Senior (60+)</v>
      </c>
      <c r="H120" t="s">
        <v>4309</v>
      </c>
      <c r="I120" t="s">
        <v>2815</v>
      </c>
      <c r="J120" t="str">
        <f t="shared" si="5"/>
        <v>Other / Unknown</v>
      </c>
      <c r="K120" t="s">
        <v>4158</v>
      </c>
      <c r="L120" t="s">
        <v>1071</v>
      </c>
      <c r="M120" t="s">
        <v>4908</v>
      </c>
      <c r="N120" t="s">
        <v>5127</v>
      </c>
      <c r="O120" t="str" cm="1">
        <f t="array" ref="O120">_xlfn.IFS(
  TEXT(TRIM(N120),"00000")="NULL", "Missing/Unknown",
  OR(TEXT(TRIM(N120),"00000")="89101", TEXT(TRIM(N120),"00000")="89104", TEXT(TRIM(N120),"00000")="89106", TEXT(TRIM(N120),"00000")="89102", TEXT(TRIM(N120),"00000")="89107", TEXT(TRIM(N120),"00000")="89108"), "Urban Core",
  OR(TEXT(TRIM(N120),"00000")="89110", TEXT(TRIM(N120),"00000")="89115", TEXT(TRIM(N120),"00000")="89121", TEXT(TRIM(N120),"00000")="89122", TEXT(TRIM(N120),"00000")="89142", TEXT(TRIM(N120),"00000")="89156"), "East Valley",
  OR(TEXT(TRIM(N120),"00000")="89030", TEXT(TRIM(N120),"00000")="89031", TEXT(TRIM(N120),"00000")="89032", TEXT(TRIM(N120),"00000")="89086", TEXT(TRIM(N120),"00000")="89084", TEXT(TRIM(N120),"00000")="89081"), "North LV",
  OR(TEXT(TRIM(N120),"00000")="89109", TEXT(TRIM(N120),"00000")="89103", TEXT(TRIM(N120),"00000")="89119", TEXT(TRIM(N120),"00000")="89123", TEXT(TRIM(N120),"00000")="89169", TEXT(TRIM(N120),"00000")="89118"), "South/Strip",
  OR(TEXT(TRIM(N120),"00000")="89074", TEXT(TRIM(N120),"00000")="89014", TEXT(TRIM(N120),"00000")="89015", TEXT(TRIM(N120),"00000")="89011", TEXT(TRIM(N120),"00000")="89012"), "Suburban SE",
  OR(TEXT(TRIM(N120),"00000")="89117", TEXT(TRIM(N120),"00000")="89128", TEXT(TRIM(N120),"00000")="89135", TEXT(TRIM(N120),"00000")="89144", TEXT(TRIM(N120),"00000")="89145", TEXT(TRIM(N120),"00000")="89147"), "West Valley",
  TRUE, "Other"
)</f>
        <v>Other</v>
      </c>
      <c r="P120" t="s">
        <v>1073</v>
      </c>
      <c r="Q120" t="str">
        <f t="shared" si="6"/>
        <v>Home/Residence</v>
      </c>
      <c r="R120" t="s">
        <v>4908</v>
      </c>
      <c r="S120" t="s">
        <v>5127</v>
      </c>
      <c r="T120" t="str" cm="1">
        <f t="array" ref="T120">_xlfn.IFS(
  TEXT(TRIM(S120),"00000")="NULL", "Missing/Unknown",
  OR(TEXT(TRIM(S120),"00000")="89101", TEXT(TRIM(S120),"00000")="89104", TEXT(TRIM(S120),"00000")="89106", TEXT(TRIM(S120),"00000")="89102", TEXT(TRIM(S120),"00000")="89107", TEXT(TRIM(S120),"00000")="89108"), "Urban Core",
  OR(TEXT(TRIM(S120),"00000")="89110", TEXT(TRIM(S120),"00000")="89115", TEXT(TRIM(S120),"00000")="89121", TEXT(TRIM(S120),"00000")="89122", TEXT(TRIM(S120),"00000")="89142", TEXT(TRIM(S120),"00000")="89156"), "East Valley",
  OR(TEXT(TRIM(S120),"00000")="89030", TEXT(TRIM(S120),"00000")="89031", TEXT(TRIM(S120),"00000")="89032", TEXT(TRIM(S120),"00000")="89086", TEXT(TRIM(S120),"00000")="89084", TEXT(TRIM(S120),"00000")="89081"), "North LV",
  OR(TEXT(TRIM(S120),"00000")="89109", TEXT(TRIM(S120),"00000")="89103", TEXT(TRIM(S120),"00000")="89119", TEXT(TRIM(S120),"00000")="89123", TEXT(TRIM(S120),"00000")="89169", TEXT(TRIM(S120),"00000")="89118"), "South/Strip",
  OR(TEXT(TRIM(S120),"00000")="89074", TEXT(TRIM(S120),"00000")="89014", TEXT(TRIM(S120),"00000")="89015", TEXT(TRIM(S120),"00000")="89011", TEXT(TRIM(S120),"00000")="89012"), "Suburban SE",
  OR(TEXT(TRIM(S120),"00000")="89117", TEXT(TRIM(S120),"00000")="89128", TEXT(TRIM(S120),"00000")="89135", TEXT(TRIM(S120),"00000")="89144", TEXT(TRIM(S120),"00000")="89145", TEXT(TRIM(S120),"00000")="89147"), "West Valley",
  TRUE, "Other"
)</f>
        <v>Other</v>
      </c>
      <c r="U120" t="s">
        <v>1073</v>
      </c>
      <c r="V120" t="str">
        <f t="shared" si="7"/>
        <v>Home/Residence</v>
      </c>
    </row>
    <row r="121" spans="1:22">
      <c r="A121" t="s">
        <v>3616</v>
      </c>
      <c r="B121" t="s">
        <v>3617</v>
      </c>
      <c r="C121" s="1">
        <v>45509</v>
      </c>
      <c r="D121" s="4">
        <v>111.92</v>
      </c>
      <c r="E121">
        <v>93</v>
      </c>
      <c r="F121" t="str">
        <f t="shared" si="4"/>
        <v>90's</v>
      </c>
      <c r="G121" t="str" cm="1">
        <f t="array" ref="G121">_xlfn.IFS(
  F121="10's", "Child (5–12)",
  OR(F121="20's", F121="30's"), "Young Adult (20–39)",
  OR(F121="40's", F121="50's"), "Adult (40–59)",
  OR(F121="60's", F121="70's", F121="80's", F121="90's"), "Senior (60+)",
  TRUE, "Unknown"
)</f>
        <v>Senior (60+)</v>
      </c>
      <c r="H121" t="s">
        <v>841</v>
      </c>
      <c r="I121" t="s">
        <v>4037</v>
      </c>
      <c r="J121" t="str">
        <f t="shared" si="5"/>
        <v>Environmental Heat</v>
      </c>
      <c r="K121" t="s">
        <v>3619</v>
      </c>
      <c r="L121" t="s">
        <v>1071</v>
      </c>
      <c r="N121" t="s">
        <v>5095</v>
      </c>
      <c r="O121" t="str" cm="1">
        <f t="array" ref="O121">_xlfn.IFS(
  TEXT(TRIM(N121),"00000")="NULL", "Missing/Unknown",
  OR(TEXT(TRIM(N121),"00000")="89101", TEXT(TRIM(N121),"00000")="89104", TEXT(TRIM(N121),"00000")="89106", TEXT(TRIM(N121),"00000")="89102", TEXT(TRIM(N121),"00000")="89107", TEXT(TRIM(N121),"00000")="89108"), "Urban Core",
  OR(TEXT(TRIM(N121),"00000")="89110", TEXT(TRIM(N121),"00000")="89115", TEXT(TRIM(N121),"00000")="89121", TEXT(TRIM(N121),"00000")="89122", TEXT(TRIM(N121),"00000")="89142", TEXT(TRIM(N121),"00000")="89156"), "East Valley",
  OR(TEXT(TRIM(N121),"00000")="89030", TEXT(TRIM(N121),"00000")="89031", TEXT(TRIM(N121),"00000")="89032", TEXT(TRIM(N121),"00000")="89086", TEXT(TRIM(N121),"00000")="89084", TEXT(TRIM(N121),"00000")="89081"), "North LV",
  OR(TEXT(TRIM(N121),"00000")="89109", TEXT(TRIM(N121),"00000")="89103", TEXT(TRIM(N121),"00000")="89119", TEXT(TRIM(N121),"00000")="89123", TEXT(TRIM(N121),"00000")="89169", TEXT(TRIM(N121),"00000")="89118"), "South/Strip",
  OR(TEXT(TRIM(N121),"00000")="89074", TEXT(TRIM(N121),"00000")="89014", TEXT(TRIM(N121),"00000")="89015", TEXT(TRIM(N121),"00000")="89011", TEXT(TRIM(N121),"00000")="89012"), "Suburban SE",
  OR(TEXT(TRIM(N121),"00000")="89117", TEXT(TRIM(N121),"00000")="89128", TEXT(TRIM(N121),"00000")="89135", TEXT(TRIM(N121),"00000")="89144", TEXT(TRIM(N121),"00000")="89145", TEXT(TRIM(N121),"00000")="89147"), "West Valley",
  TRUE, "Other"
)</f>
        <v>Missing/Unknown</v>
      </c>
      <c r="P121" t="s">
        <v>3298</v>
      </c>
      <c r="Q121" t="str">
        <f t="shared" si="6"/>
        <v>Outdoors/Public</v>
      </c>
      <c r="R121" t="s">
        <v>5053</v>
      </c>
      <c r="S121" t="s">
        <v>5110</v>
      </c>
      <c r="T121" t="str" cm="1">
        <f t="array" ref="T121">_xlfn.IFS(
  TEXT(TRIM(S121),"00000")="NULL", "Missing/Unknown",
  OR(TEXT(TRIM(S121),"00000")="89101", TEXT(TRIM(S121),"00000")="89104", TEXT(TRIM(S121),"00000")="89106", TEXT(TRIM(S121),"00000")="89102", TEXT(TRIM(S121),"00000")="89107", TEXT(TRIM(S121),"00000")="89108"), "Urban Core",
  OR(TEXT(TRIM(S121),"00000")="89110", TEXT(TRIM(S121),"00000")="89115", TEXT(TRIM(S121),"00000")="89121", TEXT(TRIM(S121),"00000")="89122", TEXT(TRIM(S121),"00000")="89142", TEXT(TRIM(S121),"00000")="89156"), "East Valley",
  OR(TEXT(TRIM(S121),"00000")="89030", TEXT(TRIM(S121),"00000")="89031", TEXT(TRIM(S121),"00000")="89032", TEXT(TRIM(S121),"00000")="89086", TEXT(TRIM(S121),"00000")="89084", TEXT(TRIM(S121),"00000")="89081"), "North LV",
  OR(TEXT(TRIM(S121),"00000")="89109", TEXT(TRIM(S121),"00000")="89103", TEXT(TRIM(S121),"00000")="89119", TEXT(TRIM(S121),"00000")="89123", TEXT(TRIM(S121),"00000")="89169", TEXT(TRIM(S121),"00000")="89118"), "South/Strip",
  OR(TEXT(TRIM(S121),"00000")="89074", TEXT(TRIM(S121),"00000")="89014", TEXT(TRIM(S121),"00000")="89015", TEXT(TRIM(S121),"00000")="89011", TEXT(TRIM(S121),"00000")="89012"), "Suburban SE",
  OR(TEXT(TRIM(S121),"00000")="89117", TEXT(TRIM(S121),"00000")="89128", TEXT(TRIM(S121),"00000")="89135", TEXT(TRIM(S121),"00000")="89144", TEXT(TRIM(S121),"00000")="89145", TEXT(TRIM(S121),"00000")="89147"), "West Valley",
  TRUE, "Other"
)</f>
        <v>Suburban SE</v>
      </c>
      <c r="U121" t="s">
        <v>2413</v>
      </c>
      <c r="V121" t="str">
        <f t="shared" si="7"/>
        <v>Medical Facility</v>
      </c>
    </row>
    <row r="122" spans="1:22">
      <c r="A122" t="s">
        <v>3990</v>
      </c>
      <c r="B122" t="s">
        <v>3991</v>
      </c>
      <c r="C122" s="1">
        <v>45509</v>
      </c>
      <c r="D122" s="4">
        <v>111.92</v>
      </c>
      <c r="E122">
        <v>46</v>
      </c>
      <c r="F122" t="str">
        <f t="shared" si="4"/>
        <v>40's</v>
      </c>
      <c r="G122" t="str" cm="1">
        <f t="array" ref="G122">_xlfn.IFS(
  F122="10's", "Child (5–12)",
  OR(F122="20's", F122="30's"), "Young Adult (20–39)",
  OR(F122="40's", F122="50's"), "Adult (40–59)",
  OR(F122="60's", F122="70's", F122="80's", F122="90's"), "Senior (60+)",
  TRUE, "Unknown"
)</f>
        <v>Adult (40–59)</v>
      </c>
      <c r="H122" t="s">
        <v>841</v>
      </c>
      <c r="I122" t="s">
        <v>4025</v>
      </c>
      <c r="J122" t="str">
        <f t="shared" si="5"/>
        <v>Methamphetamine-related</v>
      </c>
      <c r="K122" t="s">
        <v>54</v>
      </c>
      <c r="L122" t="s">
        <v>250</v>
      </c>
      <c r="N122" t="s">
        <v>5095</v>
      </c>
      <c r="O122" t="str" cm="1">
        <f t="array" ref="O122">_xlfn.IFS(
  TEXT(TRIM(N122),"00000")="NULL", "Missing/Unknown",
  OR(TEXT(TRIM(N122),"00000")="89101", TEXT(TRIM(N122),"00000")="89104", TEXT(TRIM(N122),"00000")="89106", TEXT(TRIM(N122),"00000")="89102", TEXT(TRIM(N122),"00000")="89107", TEXT(TRIM(N122),"00000")="89108"), "Urban Core",
  OR(TEXT(TRIM(N122),"00000")="89110", TEXT(TRIM(N122),"00000")="89115", TEXT(TRIM(N122),"00000")="89121", TEXT(TRIM(N122),"00000")="89122", TEXT(TRIM(N122),"00000")="89142", TEXT(TRIM(N122),"00000")="89156"), "East Valley",
  OR(TEXT(TRIM(N122),"00000")="89030", TEXT(TRIM(N122),"00000")="89031", TEXT(TRIM(N122),"00000")="89032", TEXT(TRIM(N122),"00000")="89086", TEXT(TRIM(N122),"00000")="89084", TEXT(TRIM(N122),"00000")="89081"), "North LV",
  OR(TEXT(TRIM(N122),"00000")="89109", TEXT(TRIM(N122),"00000")="89103", TEXT(TRIM(N122),"00000")="89119", TEXT(TRIM(N122),"00000")="89123", TEXT(TRIM(N122),"00000")="89169", TEXT(TRIM(N122),"00000")="89118"), "South/Strip",
  OR(TEXT(TRIM(N122),"00000")="89074", TEXT(TRIM(N122),"00000")="89014", TEXT(TRIM(N122),"00000")="89015", TEXT(TRIM(N122),"00000")="89011", TEXT(TRIM(N122),"00000")="89012"), "Suburban SE",
  OR(TEXT(TRIM(N122),"00000")="89117", TEXT(TRIM(N122),"00000")="89128", TEXT(TRIM(N122),"00000")="89135", TEXT(TRIM(N122),"00000")="89144", TEXT(TRIM(N122),"00000")="89145", TEXT(TRIM(N122),"00000")="89147"), "West Valley",
  TRUE, "Other"
)</f>
        <v>Missing/Unknown</v>
      </c>
      <c r="P122" t="s">
        <v>3298</v>
      </c>
      <c r="Q122" t="str">
        <f t="shared" si="6"/>
        <v>Outdoors/Public</v>
      </c>
      <c r="R122" t="s">
        <v>5068</v>
      </c>
      <c r="S122" t="s">
        <v>5096</v>
      </c>
      <c r="T122" t="str" cm="1">
        <f t="array" ref="T122">_xlfn.IFS(
  TEXT(TRIM(S122),"00000")="NULL", "Missing/Unknown",
  OR(TEXT(TRIM(S122),"00000")="89101", TEXT(TRIM(S122),"00000")="89104", TEXT(TRIM(S122),"00000")="89106", TEXT(TRIM(S122),"00000")="89102", TEXT(TRIM(S122),"00000")="89107", TEXT(TRIM(S122),"00000")="89108"), "Urban Core",
  OR(TEXT(TRIM(S122),"00000")="89110", TEXT(TRIM(S122),"00000")="89115", TEXT(TRIM(S122),"00000")="89121", TEXT(TRIM(S122),"00000")="89122", TEXT(TRIM(S122),"00000")="89142", TEXT(TRIM(S122),"00000")="89156"), "East Valley",
  OR(TEXT(TRIM(S122),"00000")="89030", TEXT(TRIM(S122),"00000")="89031", TEXT(TRIM(S122),"00000")="89032", TEXT(TRIM(S122),"00000")="89086", TEXT(TRIM(S122),"00000")="89084", TEXT(TRIM(S122),"00000")="89081"), "North LV",
  OR(TEXT(TRIM(S122),"00000")="89109", TEXT(TRIM(S122),"00000")="89103", TEXT(TRIM(S122),"00000")="89119", TEXT(TRIM(S122),"00000")="89123", TEXT(TRIM(S122),"00000")="89169", TEXT(TRIM(S122),"00000")="89118"), "South/Strip",
  OR(TEXT(TRIM(S122),"00000")="89074", TEXT(TRIM(S122),"00000")="89014", TEXT(TRIM(S122),"00000")="89015", TEXT(TRIM(S122),"00000")="89011", TEXT(TRIM(S122),"00000")="89012"), "Suburban SE",
  OR(TEXT(TRIM(S122),"00000")="89117", TEXT(TRIM(S122),"00000")="89128", TEXT(TRIM(S122),"00000")="89135", TEXT(TRIM(S122),"00000")="89144", TEXT(TRIM(S122),"00000")="89145", TEXT(TRIM(S122),"00000")="89147"), "West Valley",
  TRUE, "Other"
)</f>
        <v>South/Strip</v>
      </c>
      <c r="U122" t="s">
        <v>4308</v>
      </c>
      <c r="V122" t="str">
        <f t="shared" si="7"/>
        <v>Outdoors/Public</v>
      </c>
    </row>
    <row r="123" spans="1:22">
      <c r="A123" t="s">
        <v>3994</v>
      </c>
      <c r="B123" t="s">
        <v>3995</v>
      </c>
      <c r="C123" s="1">
        <v>45509</v>
      </c>
      <c r="D123" s="4">
        <v>111.92</v>
      </c>
      <c r="E123">
        <v>51</v>
      </c>
      <c r="F123" t="str">
        <f t="shared" si="4"/>
        <v>50's</v>
      </c>
      <c r="G123" t="str" cm="1">
        <f t="array" ref="G123">_xlfn.IFS(
  F123="10's", "Child (5–12)",
  OR(F123="20's", F123="30's"), "Young Adult (20–39)",
  OR(F123="40's", F123="50's"), "Adult (40–59)",
  OR(F123="60's", F123="70's", F123="80's", F123="90's"), "Senior (60+)",
  TRUE, "Unknown"
)</f>
        <v>Adult (40–59)</v>
      </c>
      <c r="H123" t="s">
        <v>27</v>
      </c>
      <c r="I123" t="s">
        <v>4025</v>
      </c>
      <c r="J123" t="str">
        <f t="shared" si="5"/>
        <v>Methamphetamine-related</v>
      </c>
      <c r="K123" t="s">
        <v>54</v>
      </c>
      <c r="L123" t="s">
        <v>250</v>
      </c>
      <c r="M123" t="s">
        <v>4996</v>
      </c>
      <c r="N123" t="s">
        <v>5107</v>
      </c>
      <c r="O123" t="str" cm="1">
        <f t="array" ref="O123">_xlfn.IFS(
  TEXT(TRIM(N123),"00000")="NULL", "Missing/Unknown",
  OR(TEXT(TRIM(N123),"00000")="89101", TEXT(TRIM(N123),"00000")="89104", TEXT(TRIM(N123),"00000")="89106", TEXT(TRIM(N123),"00000")="89102", TEXT(TRIM(N123),"00000")="89107", TEXT(TRIM(N123),"00000")="89108"), "Urban Core",
  OR(TEXT(TRIM(N123),"00000")="89110", TEXT(TRIM(N123),"00000")="89115", TEXT(TRIM(N123),"00000")="89121", TEXT(TRIM(N123),"00000")="89122", TEXT(TRIM(N123),"00000")="89142", TEXT(TRIM(N123),"00000")="89156"), "East Valley",
  OR(TEXT(TRIM(N123),"00000")="89030", TEXT(TRIM(N123),"00000")="89031", TEXT(TRIM(N123),"00000")="89032", TEXT(TRIM(N123),"00000")="89086", TEXT(TRIM(N123),"00000")="89084", TEXT(TRIM(N123),"00000")="89081"), "North LV",
  OR(TEXT(TRIM(N123),"00000")="89109", TEXT(TRIM(N123),"00000")="89103", TEXT(TRIM(N123),"00000")="89119", TEXT(TRIM(N123),"00000")="89123", TEXT(TRIM(N123),"00000")="89169", TEXT(TRIM(N123),"00000")="89118"), "South/Strip",
  OR(TEXT(TRIM(N123),"00000")="89074", TEXT(TRIM(N123),"00000")="89014", TEXT(TRIM(N123),"00000")="89015", TEXT(TRIM(N123),"00000")="89011", TEXT(TRIM(N123),"00000")="89012"), "Suburban SE",
  OR(TEXT(TRIM(N123),"00000")="89117", TEXT(TRIM(N123),"00000")="89128", TEXT(TRIM(N123),"00000")="89135", TEXT(TRIM(N123),"00000")="89144", TEXT(TRIM(N123),"00000")="89145", TEXT(TRIM(N123),"00000")="89147"), "West Valley",
  TRUE, "Other"
)</f>
        <v>South/Strip</v>
      </c>
      <c r="P123" t="s">
        <v>3298</v>
      </c>
      <c r="Q123" t="str">
        <f t="shared" si="6"/>
        <v>Outdoors/Public</v>
      </c>
      <c r="R123" t="s">
        <v>4576</v>
      </c>
      <c r="S123" t="s">
        <v>5118</v>
      </c>
      <c r="T123" t="str" cm="1">
        <f t="array" ref="T123">_xlfn.IFS(
  TEXT(TRIM(S123),"00000")="NULL", "Missing/Unknown",
  OR(TEXT(TRIM(S123),"00000")="89101", TEXT(TRIM(S123),"00000")="89104", TEXT(TRIM(S123),"00000")="89106", TEXT(TRIM(S123),"00000")="89102", TEXT(TRIM(S123),"00000")="89107", TEXT(TRIM(S123),"00000")="89108"), "Urban Core",
  OR(TEXT(TRIM(S123),"00000")="89110", TEXT(TRIM(S123),"00000")="89115", TEXT(TRIM(S123),"00000")="89121", TEXT(TRIM(S123),"00000")="89122", TEXT(TRIM(S123),"00000")="89142", TEXT(TRIM(S123),"00000")="89156"), "East Valley",
  OR(TEXT(TRIM(S123),"00000")="89030", TEXT(TRIM(S123),"00000")="89031", TEXT(TRIM(S123),"00000")="89032", TEXT(TRIM(S123),"00000")="89086", TEXT(TRIM(S123),"00000")="89084", TEXT(TRIM(S123),"00000")="89081"), "North LV",
  OR(TEXT(TRIM(S123),"00000")="89109", TEXT(TRIM(S123),"00000")="89103", TEXT(TRIM(S123),"00000")="89119", TEXT(TRIM(S123),"00000")="89123", TEXT(TRIM(S123),"00000")="89169", TEXT(TRIM(S123),"00000")="89118"), "South/Strip",
  OR(TEXT(TRIM(S123),"00000")="89074", TEXT(TRIM(S123),"00000")="89014", TEXT(TRIM(S123),"00000")="89015", TEXT(TRIM(S123),"00000")="89011", TEXT(TRIM(S123),"00000")="89012"), "Suburban SE",
  OR(TEXT(TRIM(S123),"00000")="89117", TEXT(TRIM(S123),"00000")="89128", TEXT(TRIM(S123),"00000")="89135", TEXT(TRIM(S123),"00000")="89144", TEXT(TRIM(S123),"00000")="89145", TEXT(TRIM(S123),"00000")="89147"), "West Valley",
  TRUE, "Other"
)</f>
        <v>South/Strip</v>
      </c>
      <c r="U123" t="s">
        <v>3298</v>
      </c>
      <c r="V123" t="str">
        <f t="shared" si="7"/>
        <v>Outdoors/Public</v>
      </c>
    </row>
    <row r="124" spans="1:22">
      <c r="A124" t="s">
        <v>2691</v>
      </c>
      <c r="B124" t="s">
        <v>2692</v>
      </c>
      <c r="C124" s="1">
        <v>45508</v>
      </c>
      <c r="D124" s="4">
        <v>111.02</v>
      </c>
      <c r="E124">
        <v>57</v>
      </c>
      <c r="F124" t="str">
        <f t="shared" si="4"/>
        <v>50's</v>
      </c>
      <c r="G124" t="str" cm="1">
        <f t="array" ref="G124">_xlfn.IFS(
  F124="10's", "Child (5–12)",
  OR(F124="20's", F124="30's"), "Young Adult (20–39)",
  OR(F124="40's", F124="50's"), "Adult (40–59)",
  OR(F124="60's", F124="70's", F124="80's", F124="90's"), "Senior (60+)",
  TRUE, "Unknown"
)</f>
        <v>Adult (40–59)</v>
      </c>
      <c r="H124" t="s">
        <v>27</v>
      </c>
      <c r="I124" t="s">
        <v>2215</v>
      </c>
      <c r="J124" t="str">
        <f t="shared" si="5"/>
        <v>Ethanol-related</v>
      </c>
      <c r="K124" t="s">
        <v>54</v>
      </c>
      <c r="L124" t="s">
        <v>2693</v>
      </c>
      <c r="M124" t="s">
        <v>5043</v>
      </c>
      <c r="N124" t="s">
        <v>5128</v>
      </c>
      <c r="O124" t="str" cm="1">
        <f t="array" ref="O124">_xlfn.IFS(
  TEXT(TRIM(N124),"00000")="NULL", "Missing/Unknown",
  OR(TEXT(TRIM(N124),"00000")="89101", TEXT(TRIM(N124),"00000")="89104", TEXT(TRIM(N124),"00000")="89106", TEXT(TRIM(N124),"00000")="89102", TEXT(TRIM(N124),"00000")="89107", TEXT(TRIM(N124),"00000")="89108"), "Urban Core",
  OR(TEXT(TRIM(N124),"00000")="89110", TEXT(TRIM(N124),"00000")="89115", TEXT(TRIM(N124),"00000")="89121", TEXT(TRIM(N124),"00000")="89122", TEXT(TRIM(N124),"00000")="89142", TEXT(TRIM(N124),"00000")="89156"), "East Valley",
  OR(TEXT(TRIM(N124),"00000")="89030", TEXT(TRIM(N124),"00000")="89031", TEXT(TRIM(N124),"00000")="89032", TEXT(TRIM(N124),"00000")="89086", TEXT(TRIM(N124),"00000")="89084", TEXT(TRIM(N124),"00000")="89081"), "North LV",
  OR(TEXT(TRIM(N124),"00000")="89109", TEXT(TRIM(N124),"00000")="89103", TEXT(TRIM(N124),"00000")="89119", TEXT(TRIM(N124),"00000")="89123", TEXT(TRIM(N124),"00000")="89169", TEXT(TRIM(N124),"00000")="89118"), "South/Strip",
  OR(TEXT(TRIM(N124),"00000")="89074", TEXT(TRIM(N124),"00000")="89014", TEXT(TRIM(N124),"00000")="89015", TEXT(TRIM(N124),"00000")="89011", TEXT(TRIM(N124),"00000")="89012"), "Suburban SE",
  OR(TEXT(TRIM(N124),"00000")="89117", TEXT(TRIM(N124),"00000")="89128", TEXT(TRIM(N124),"00000")="89135", TEXT(TRIM(N124),"00000")="89144", TEXT(TRIM(N124),"00000")="89145", TEXT(TRIM(N124),"00000")="89147"), "West Valley",
  TRUE, "Other"
)</f>
        <v>East Valley</v>
      </c>
      <c r="P124" t="s">
        <v>3298</v>
      </c>
      <c r="Q124" t="str">
        <f t="shared" si="6"/>
        <v>Outdoors/Public</v>
      </c>
      <c r="R124" t="s">
        <v>5055</v>
      </c>
      <c r="S124" t="s">
        <v>5119</v>
      </c>
      <c r="T124" t="str" cm="1">
        <f t="array" ref="T124">_xlfn.IFS(
  TEXT(TRIM(S124),"00000")="NULL", "Missing/Unknown",
  OR(TEXT(TRIM(S124),"00000")="89101", TEXT(TRIM(S124),"00000")="89104", TEXT(TRIM(S124),"00000")="89106", TEXT(TRIM(S124),"00000")="89102", TEXT(TRIM(S124),"00000")="89107", TEXT(TRIM(S124),"00000")="89108"), "Urban Core",
  OR(TEXT(TRIM(S124),"00000")="89110", TEXT(TRIM(S124),"00000")="89115", TEXT(TRIM(S124),"00000")="89121", TEXT(TRIM(S124),"00000")="89122", TEXT(TRIM(S124),"00000")="89142", TEXT(TRIM(S124),"00000")="89156"), "East Valley",
  OR(TEXT(TRIM(S124),"00000")="89030", TEXT(TRIM(S124),"00000")="89031", TEXT(TRIM(S124),"00000")="89032", TEXT(TRIM(S124),"00000")="89086", TEXT(TRIM(S124),"00000")="89084", TEXT(TRIM(S124),"00000")="89081"), "North LV",
  OR(TEXT(TRIM(S124),"00000")="89109", TEXT(TRIM(S124),"00000")="89103", TEXT(TRIM(S124),"00000")="89119", TEXT(TRIM(S124),"00000")="89123", TEXT(TRIM(S124),"00000")="89169", TEXT(TRIM(S124),"00000")="89118"), "South/Strip",
  OR(TEXT(TRIM(S124),"00000")="89074", TEXT(TRIM(S124),"00000")="89014", TEXT(TRIM(S124),"00000")="89015", TEXT(TRIM(S124),"00000")="89011", TEXT(TRIM(S124),"00000")="89012"), "Suburban SE",
  OR(TEXT(TRIM(S124),"00000")="89117", TEXT(TRIM(S124),"00000")="89128", TEXT(TRIM(S124),"00000")="89135", TEXT(TRIM(S124),"00000")="89144", TEXT(TRIM(S124),"00000")="89145", TEXT(TRIM(S124),"00000")="89147"), "West Valley",
  TRUE, "Other"
)</f>
        <v>Urban Core</v>
      </c>
      <c r="U124" t="s">
        <v>4298</v>
      </c>
      <c r="V124" t="str">
        <f t="shared" si="7"/>
        <v>Other / Unknown</v>
      </c>
    </row>
    <row r="125" spans="1:22">
      <c r="A125" t="s">
        <v>2784</v>
      </c>
      <c r="B125" t="s">
        <v>2785</v>
      </c>
      <c r="C125" s="1">
        <v>45508</v>
      </c>
      <c r="D125" s="4">
        <v>111.02</v>
      </c>
      <c r="E125">
        <v>53</v>
      </c>
      <c r="F125" t="str">
        <f t="shared" si="4"/>
        <v>50's</v>
      </c>
      <c r="G125" t="str" cm="1">
        <f t="array" ref="G125">_xlfn.IFS(
  F125="10's", "Child (5–12)",
  OR(F125="20's", F125="30's"), "Young Adult (20–39)",
  OR(F125="40's", F125="50's"), "Adult (40–59)",
  OR(F125="60's", F125="70's", F125="80's", F125="90's"), "Senior (60+)",
  TRUE, "Unknown"
)</f>
        <v>Adult (40–59)</v>
      </c>
      <c r="H125" t="s">
        <v>841</v>
      </c>
      <c r="I125" t="s">
        <v>4039</v>
      </c>
      <c r="J125" t="str">
        <f t="shared" si="5"/>
        <v>Methamphetamine-related</v>
      </c>
      <c r="K125" t="s">
        <v>54</v>
      </c>
      <c r="L125" t="s">
        <v>250</v>
      </c>
      <c r="M125" t="s">
        <v>4672</v>
      </c>
      <c r="N125" t="s">
        <v>5125</v>
      </c>
      <c r="O125" t="str" cm="1">
        <f t="array" ref="O125">_xlfn.IFS(
  TEXT(TRIM(N125),"00000")="NULL", "Missing/Unknown",
  OR(TEXT(TRIM(N125),"00000")="89101", TEXT(TRIM(N125),"00000")="89104", TEXT(TRIM(N125),"00000")="89106", TEXT(TRIM(N125),"00000")="89102", TEXT(TRIM(N125),"00000")="89107", TEXT(TRIM(N125),"00000")="89108"), "Urban Core",
  OR(TEXT(TRIM(N125),"00000")="89110", TEXT(TRIM(N125),"00000")="89115", TEXT(TRIM(N125),"00000")="89121", TEXT(TRIM(N125),"00000")="89122", TEXT(TRIM(N125),"00000")="89142", TEXT(TRIM(N125),"00000")="89156"), "East Valley",
  OR(TEXT(TRIM(N125),"00000")="89030", TEXT(TRIM(N125),"00000")="89031", TEXT(TRIM(N125),"00000")="89032", TEXT(TRIM(N125),"00000")="89086", TEXT(TRIM(N125),"00000")="89084", TEXT(TRIM(N125),"00000")="89081"), "North LV",
  OR(TEXT(TRIM(N125),"00000")="89109", TEXT(TRIM(N125),"00000")="89103", TEXT(TRIM(N125),"00000")="89119", TEXT(TRIM(N125),"00000")="89123", TEXT(TRIM(N125),"00000")="89169", TEXT(TRIM(N125),"00000")="89118"), "South/Strip",
  OR(TEXT(TRIM(N125),"00000")="89074", TEXT(TRIM(N125),"00000")="89014", TEXT(TRIM(N125),"00000")="89015", TEXT(TRIM(N125),"00000")="89011", TEXT(TRIM(N125),"00000")="89012"), "Suburban SE",
  OR(TEXT(TRIM(N125),"00000")="89117", TEXT(TRIM(N125),"00000")="89128", TEXT(TRIM(N125),"00000")="89135", TEXT(TRIM(N125),"00000")="89144", TEXT(TRIM(N125),"00000")="89145", TEXT(TRIM(N125),"00000")="89147"), "West Valley",
  TRUE, "Other"
)</f>
        <v>South/Strip</v>
      </c>
      <c r="P125" t="s">
        <v>3298</v>
      </c>
      <c r="Q125" t="str">
        <f t="shared" si="6"/>
        <v>Outdoors/Public</v>
      </c>
      <c r="R125" t="s">
        <v>4672</v>
      </c>
      <c r="S125" t="s">
        <v>5125</v>
      </c>
      <c r="T125" t="str" cm="1">
        <f t="array" ref="T125">_xlfn.IFS(
  TEXT(TRIM(S125),"00000")="NULL", "Missing/Unknown",
  OR(TEXT(TRIM(S125),"00000")="89101", TEXT(TRIM(S125),"00000")="89104", TEXT(TRIM(S125),"00000")="89106", TEXT(TRIM(S125),"00000")="89102", TEXT(TRIM(S125),"00000")="89107", TEXT(TRIM(S125),"00000")="89108"), "Urban Core",
  OR(TEXT(TRIM(S125),"00000")="89110", TEXT(TRIM(S125),"00000")="89115", TEXT(TRIM(S125),"00000")="89121", TEXT(TRIM(S125),"00000")="89122", TEXT(TRIM(S125),"00000")="89142", TEXT(TRIM(S125),"00000")="89156"), "East Valley",
  OR(TEXT(TRIM(S125),"00000")="89030", TEXT(TRIM(S125),"00000")="89031", TEXT(TRIM(S125),"00000")="89032", TEXT(TRIM(S125),"00000")="89086", TEXT(TRIM(S125),"00000")="89084", TEXT(TRIM(S125),"00000")="89081"), "North LV",
  OR(TEXT(TRIM(S125),"00000")="89109", TEXT(TRIM(S125),"00000")="89103", TEXT(TRIM(S125),"00000")="89119", TEXT(TRIM(S125),"00000")="89123", TEXT(TRIM(S125),"00000")="89169", TEXT(TRIM(S125),"00000")="89118"), "South/Strip",
  OR(TEXT(TRIM(S125),"00000")="89074", TEXT(TRIM(S125),"00000")="89014", TEXT(TRIM(S125),"00000")="89015", TEXT(TRIM(S125),"00000")="89011", TEXT(TRIM(S125),"00000")="89012"), "Suburban SE",
  OR(TEXT(TRIM(S125),"00000")="89117", TEXT(TRIM(S125),"00000")="89128", TEXT(TRIM(S125),"00000")="89135", TEXT(TRIM(S125),"00000")="89144", TEXT(TRIM(S125),"00000")="89145", TEXT(TRIM(S125),"00000")="89147"), "West Valley",
  TRUE, "Other"
)</f>
        <v>South/Strip</v>
      </c>
      <c r="U125" t="s">
        <v>3298</v>
      </c>
      <c r="V125" t="str">
        <f t="shared" si="7"/>
        <v>Outdoors/Public</v>
      </c>
    </row>
    <row r="126" spans="1:22">
      <c r="A126" t="s">
        <v>3722</v>
      </c>
      <c r="B126" t="s">
        <v>3723</v>
      </c>
      <c r="C126" s="1">
        <v>45508</v>
      </c>
      <c r="D126" s="4">
        <v>111.02</v>
      </c>
      <c r="E126">
        <v>28</v>
      </c>
      <c r="F126" t="str">
        <f t="shared" si="4"/>
        <v>20's</v>
      </c>
      <c r="G126" t="str" cm="1">
        <f t="array" ref="G126">_xlfn.IFS(
  F126="10's", "Child (5–12)",
  OR(F126="20's", F126="30's"), "Young Adult (20–39)",
  OR(F126="40's", F126="50's"), "Adult (40–59)",
  OR(F126="60's", F126="70's", F126="80's", F126="90's"), "Senior (60+)",
  TRUE, "Unknown"
)</f>
        <v>Young Adult (20–39)</v>
      </c>
      <c r="H126" t="s">
        <v>250</v>
      </c>
      <c r="I126" t="s">
        <v>135</v>
      </c>
      <c r="J126" t="str">
        <f t="shared" si="5"/>
        <v>Methamphetamine-related</v>
      </c>
      <c r="K126" t="s">
        <v>35</v>
      </c>
      <c r="L126" t="s">
        <v>250</v>
      </c>
      <c r="M126" t="s">
        <v>4964</v>
      </c>
      <c r="N126" t="s">
        <v>5107</v>
      </c>
      <c r="O126" t="str" cm="1">
        <f t="array" ref="O126">_xlfn.IFS(
  TEXT(TRIM(N126),"00000")="NULL", "Missing/Unknown",
  OR(TEXT(TRIM(N126),"00000")="89101", TEXT(TRIM(N126),"00000")="89104", TEXT(TRIM(N126),"00000")="89106", TEXT(TRIM(N126),"00000")="89102", TEXT(TRIM(N126),"00000")="89107", TEXT(TRIM(N126),"00000")="89108"), "Urban Core",
  OR(TEXT(TRIM(N126),"00000")="89110", TEXT(TRIM(N126),"00000")="89115", TEXT(TRIM(N126),"00000")="89121", TEXT(TRIM(N126),"00000")="89122", TEXT(TRIM(N126),"00000")="89142", TEXT(TRIM(N126),"00000")="89156"), "East Valley",
  OR(TEXT(TRIM(N126),"00000")="89030", TEXT(TRIM(N126),"00000")="89031", TEXT(TRIM(N126),"00000")="89032", TEXT(TRIM(N126),"00000")="89086", TEXT(TRIM(N126),"00000")="89084", TEXT(TRIM(N126),"00000")="89081"), "North LV",
  OR(TEXT(TRIM(N126),"00000")="89109", TEXT(TRIM(N126),"00000")="89103", TEXT(TRIM(N126),"00000")="89119", TEXT(TRIM(N126),"00000")="89123", TEXT(TRIM(N126),"00000")="89169", TEXT(TRIM(N126),"00000")="89118"), "South/Strip",
  OR(TEXT(TRIM(N126),"00000")="89074", TEXT(TRIM(N126),"00000")="89014", TEXT(TRIM(N126),"00000")="89015", TEXT(TRIM(N126),"00000")="89011", TEXT(TRIM(N126),"00000")="89012"), "Suburban SE",
  OR(TEXT(TRIM(N126),"00000")="89117", TEXT(TRIM(N126),"00000")="89128", TEXT(TRIM(N126),"00000")="89135", TEXT(TRIM(N126),"00000")="89144", TEXT(TRIM(N126),"00000")="89145", TEXT(TRIM(N126),"00000")="89147"), "West Valley",
  TRUE, "Other"
)</f>
        <v>South/Strip</v>
      </c>
      <c r="P126" t="s">
        <v>726</v>
      </c>
      <c r="Q126" t="str">
        <f t="shared" si="6"/>
        <v>Outdoors/Public</v>
      </c>
      <c r="R126" t="s">
        <v>4964</v>
      </c>
      <c r="S126" t="s">
        <v>5107</v>
      </c>
      <c r="T126" t="str" cm="1">
        <f t="array" ref="T126">_xlfn.IFS(
  TEXT(TRIM(S126),"00000")="NULL", "Missing/Unknown",
  OR(TEXT(TRIM(S126),"00000")="89101", TEXT(TRIM(S126),"00000")="89104", TEXT(TRIM(S126),"00000")="89106", TEXT(TRIM(S126),"00000")="89102", TEXT(TRIM(S126),"00000")="89107", TEXT(TRIM(S126),"00000")="89108"), "Urban Core",
  OR(TEXT(TRIM(S126),"00000")="89110", TEXT(TRIM(S126),"00000")="89115", TEXT(TRIM(S126),"00000")="89121", TEXT(TRIM(S126),"00000")="89122", TEXT(TRIM(S126),"00000")="89142", TEXT(TRIM(S126),"00000")="89156"), "East Valley",
  OR(TEXT(TRIM(S126),"00000")="89030", TEXT(TRIM(S126),"00000")="89031", TEXT(TRIM(S126),"00000")="89032", TEXT(TRIM(S126),"00000")="89086", TEXT(TRIM(S126),"00000")="89084", TEXT(TRIM(S126),"00000")="89081"), "North LV",
  OR(TEXT(TRIM(S126),"00000")="89109", TEXT(TRIM(S126),"00000")="89103", TEXT(TRIM(S126),"00000")="89119", TEXT(TRIM(S126),"00000")="89123", TEXT(TRIM(S126),"00000")="89169", TEXT(TRIM(S126),"00000")="89118"), "South/Strip",
  OR(TEXT(TRIM(S126),"00000")="89074", TEXT(TRIM(S126),"00000")="89014", TEXT(TRIM(S126),"00000")="89015", TEXT(TRIM(S126),"00000")="89011", TEXT(TRIM(S126),"00000")="89012"), "Suburban SE",
  OR(TEXT(TRIM(S126),"00000")="89117", TEXT(TRIM(S126),"00000")="89128", TEXT(TRIM(S126),"00000")="89135", TEXT(TRIM(S126),"00000")="89144", TEXT(TRIM(S126),"00000")="89145", TEXT(TRIM(S126),"00000")="89147"), "West Valley",
  TRUE, "Other"
)</f>
        <v>South/Strip</v>
      </c>
      <c r="U126" t="s">
        <v>726</v>
      </c>
      <c r="V126" t="str">
        <f t="shared" si="7"/>
        <v>Outdoors/Public</v>
      </c>
    </row>
    <row r="127" spans="1:22">
      <c r="A127" t="s">
        <v>3209</v>
      </c>
      <c r="B127" t="s">
        <v>3210</v>
      </c>
      <c r="C127" s="1">
        <v>45508</v>
      </c>
      <c r="D127" s="4">
        <v>111.02</v>
      </c>
      <c r="E127">
        <v>26</v>
      </c>
      <c r="F127" t="str">
        <f t="shared" si="4"/>
        <v>20's</v>
      </c>
      <c r="G127" t="str" cm="1">
        <f t="array" ref="G127">_xlfn.IFS(
  F127="10's", "Child (5–12)",
  OR(F127="20's", F127="30's"), "Young Adult (20–39)",
  OR(F127="40's", F127="50's"), "Adult (40–59)",
  OR(F127="60's", F127="70's", F127="80's", F127="90's"), "Senior (60+)",
  TRUE, "Unknown"
)</f>
        <v>Young Adult (20–39)</v>
      </c>
      <c r="H127" t="s">
        <v>778</v>
      </c>
      <c r="I127" t="s">
        <v>54</v>
      </c>
      <c r="J127" t="str">
        <f t="shared" si="5"/>
        <v>Environmental Heat</v>
      </c>
      <c r="K127" t="s">
        <v>4159</v>
      </c>
      <c r="L127" t="s">
        <v>250</v>
      </c>
      <c r="M127" t="s">
        <v>4673</v>
      </c>
      <c r="N127" t="s">
        <v>5102</v>
      </c>
      <c r="O127" t="str" cm="1">
        <f t="array" ref="O127">_xlfn.IFS(
  TEXT(TRIM(N127),"00000")="NULL", "Missing/Unknown",
  OR(TEXT(TRIM(N127),"00000")="89101", TEXT(TRIM(N127),"00000")="89104", TEXT(TRIM(N127),"00000")="89106", TEXT(TRIM(N127),"00000")="89102", TEXT(TRIM(N127),"00000")="89107", TEXT(TRIM(N127),"00000")="89108"), "Urban Core",
  OR(TEXT(TRIM(N127),"00000")="89110", TEXT(TRIM(N127),"00000")="89115", TEXT(TRIM(N127),"00000")="89121", TEXT(TRIM(N127),"00000")="89122", TEXT(TRIM(N127),"00000")="89142", TEXT(TRIM(N127),"00000")="89156"), "East Valley",
  OR(TEXT(TRIM(N127),"00000")="89030", TEXT(TRIM(N127),"00000")="89031", TEXT(TRIM(N127),"00000")="89032", TEXT(TRIM(N127),"00000")="89086", TEXT(TRIM(N127),"00000")="89084", TEXT(TRIM(N127),"00000")="89081"), "North LV",
  OR(TEXT(TRIM(N127),"00000")="89109", TEXT(TRIM(N127),"00000")="89103", TEXT(TRIM(N127),"00000")="89119", TEXT(TRIM(N127),"00000")="89123", TEXT(TRIM(N127),"00000")="89169", TEXT(TRIM(N127),"00000")="89118"), "South/Strip",
  OR(TEXT(TRIM(N127),"00000")="89074", TEXT(TRIM(N127),"00000")="89014", TEXT(TRIM(N127),"00000")="89015", TEXT(TRIM(N127),"00000")="89011", TEXT(TRIM(N127),"00000")="89012"), "Suburban SE",
  OR(TEXT(TRIM(N127),"00000")="89117", TEXT(TRIM(N127),"00000")="89128", TEXT(TRIM(N127),"00000")="89135", TEXT(TRIM(N127),"00000")="89144", TEXT(TRIM(N127),"00000")="89145", TEXT(TRIM(N127),"00000")="89147"), "West Valley",
  TRUE, "Other"
)</f>
        <v>Urban Core</v>
      </c>
      <c r="P127" t="s">
        <v>3298</v>
      </c>
      <c r="Q127" t="str">
        <f t="shared" si="6"/>
        <v>Outdoors/Public</v>
      </c>
      <c r="R127" t="s">
        <v>4673</v>
      </c>
      <c r="S127" t="s">
        <v>5102</v>
      </c>
      <c r="T127" t="str" cm="1">
        <f t="array" ref="T127">_xlfn.IFS(
  TEXT(TRIM(S127),"00000")="NULL", "Missing/Unknown",
  OR(TEXT(TRIM(S127),"00000")="89101", TEXT(TRIM(S127),"00000")="89104", TEXT(TRIM(S127),"00000")="89106", TEXT(TRIM(S127),"00000")="89102", TEXT(TRIM(S127),"00000")="89107", TEXT(TRIM(S127),"00000")="89108"), "Urban Core",
  OR(TEXT(TRIM(S127),"00000")="89110", TEXT(TRIM(S127),"00000")="89115", TEXT(TRIM(S127),"00000")="89121", TEXT(TRIM(S127),"00000")="89122", TEXT(TRIM(S127),"00000")="89142", TEXT(TRIM(S127),"00000")="89156"), "East Valley",
  OR(TEXT(TRIM(S127),"00000")="89030", TEXT(TRIM(S127),"00000")="89031", TEXT(TRIM(S127),"00000")="89032", TEXT(TRIM(S127),"00000")="89086", TEXT(TRIM(S127),"00000")="89084", TEXT(TRIM(S127),"00000")="89081"), "North LV",
  OR(TEXT(TRIM(S127),"00000")="89109", TEXT(TRIM(S127),"00000")="89103", TEXT(TRIM(S127),"00000")="89119", TEXT(TRIM(S127),"00000")="89123", TEXT(TRIM(S127),"00000")="89169", TEXT(TRIM(S127),"00000")="89118"), "South/Strip",
  OR(TEXT(TRIM(S127),"00000")="89074", TEXT(TRIM(S127),"00000")="89014", TEXT(TRIM(S127),"00000")="89015", TEXT(TRIM(S127),"00000")="89011", TEXT(TRIM(S127),"00000")="89012"), "Suburban SE",
  OR(TEXT(TRIM(S127),"00000")="89117", TEXT(TRIM(S127),"00000")="89128", TEXT(TRIM(S127),"00000")="89135", TEXT(TRIM(S127),"00000")="89144", TEXT(TRIM(S127),"00000")="89145", TEXT(TRIM(S127),"00000")="89147"), "West Valley",
  TRUE, "Other"
)</f>
        <v>Urban Core</v>
      </c>
      <c r="U127" t="s">
        <v>3298</v>
      </c>
      <c r="V127" t="str">
        <f t="shared" si="7"/>
        <v>Outdoors/Public</v>
      </c>
    </row>
    <row r="128" spans="1:22">
      <c r="A128" t="s">
        <v>2780</v>
      </c>
      <c r="B128" t="s">
        <v>2781</v>
      </c>
      <c r="C128" s="1">
        <v>45508</v>
      </c>
      <c r="D128" s="4">
        <v>111.02</v>
      </c>
      <c r="E128">
        <v>40</v>
      </c>
      <c r="F128" t="str">
        <f t="shared" si="4"/>
        <v>40's</v>
      </c>
      <c r="G128" t="str" cm="1">
        <f t="array" ref="G128">_xlfn.IFS(
  F128="10's", "Child (5–12)",
  OR(F128="20's", F128="30's"), "Young Adult (20–39)",
  OR(F128="40's", F128="50's"), "Adult (40–59)",
  OR(F128="60's", F128="70's", F128="80's", F128="90's"), "Senior (60+)",
  TRUE, "Unknown"
)</f>
        <v>Adult (40–59)</v>
      </c>
      <c r="H128" t="s">
        <v>778</v>
      </c>
      <c r="I128" t="s">
        <v>4038</v>
      </c>
      <c r="J128" t="str">
        <f t="shared" si="5"/>
        <v>Methamphetamine-related</v>
      </c>
      <c r="K128" t="s">
        <v>54</v>
      </c>
      <c r="L128" t="s">
        <v>250</v>
      </c>
      <c r="M128" t="s">
        <v>4671</v>
      </c>
      <c r="N128" t="s">
        <v>5123</v>
      </c>
      <c r="O128" t="str" cm="1">
        <f t="array" ref="O128">_xlfn.IFS(
  TEXT(TRIM(N128),"00000")="NULL", "Missing/Unknown",
  OR(TEXT(TRIM(N128),"00000")="89101", TEXT(TRIM(N128),"00000")="89104", TEXT(TRIM(N128),"00000")="89106", TEXT(TRIM(N128),"00000")="89102", TEXT(TRIM(N128),"00000")="89107", TEXT(TRIM(N128),"00000")="89108"), "Urban Core",
  OR(TEXT(TRIM(N128),"00000")="89110", TEXT(TRIM(N128),"00000")="89115", TEXT(TRIM(N128),"00000")="89121", TEXT(TRIM(N128),"00000")="89122", TEXT(TRIM(N128),"00000")="89142", TEXT(TRIM(N128),"00000")="89156"), "East Valley",
  OR(TEXT(TRIM(N128),"00000")="89030", TEXT(TRIM(N128),"00000")="89031", TEXT(TRIM(N128),"00000")="89032", TEXT(TRIM(N128),"00000")="89086", TEXT(TRIM(N128),"00000")="89084", TEXT(TRIM(N128),"00000")="89081"), "North LV",
  OR(TEXT(TRIM(N128),"00000")="89109", TEXT(TRIM(N128),"00000")="89103", TEXT(TRIM(N128),"00000")="89119", TEXT(TRIM(N128),"00000")="89123", TEXT(TRIM(N128),"00000")="89169", TEXT(TRIM(N128),"00000")="89118"), "South/Strip",
  OR(TEXT(TRIM(N128),"00000")="89074", TEXT(TRIM(N128),"00000")="89014", TEXT(TRIM(N128),"00000")="89015", TEXT(TRIM(N128),"00000")="89011", TEXT(TRIM(N128),"00000")="89012"), "Suburban SE",
  OR(TEXT(TRIM(N128),"00000")="89117", TEXT(TRIM(N128),"00000")="89128", TEXT(TRIM(N128),"00000")="89135", TEXT(TRIM(N128),"00000")="89144", TEXT(TRIM(N128),"00000")="89145", TEXT(TRIM(N128),"00000")="89147"), "West Valley",
  TRUE, "Other"
)</f>
        <v>South/Strip</v>
      </c>
      <c r="P128" t="s">
        <v>3298</v>
      </c>
      <c r="Q128" t="str">
        <f t="shared" si="6"/>
        <v>Outdoors/Public</v>
      </c>
      <c r="R128" t="s">
        <v>4671</v>
      </c>
      <c r="S128" t="s">
        <v>5123</v>
      </c>
      <c r="T128" t="str" cm="1">
        <f t="array" ref="T128">_xlfn.IFS(
  TEXT(TRIM(S128),"00000")="NULL", "Missing/Unknown",
  OR(TEXT(TRIM(S128),"00000")="89101", TEXT(TRIM(S128),"00000")="89104", TEXT(TRIM(S128),"00000")="89106", TEXT(TRIM(S128),"00000")="89102", TEXT(TRIM(S128),"00000")="89107", TEXT(TRIM(S128),"00000")="89108"), "Urban Core",
  OR(TEXT(TRIM(S128),"00000")="89110", TEXT(TRIM(S128),"00000")="89115", TEXT(TRIM(S128),"00000")="89121", TEXT(TRIM(S128),"00000")="89122", TEXT(TRIM(S128),"00000")="89142", TEXT(TRIM(S128),"00000")="89156"), "East Valley",
  OR(TEXT(TRIM(S128),"00000")="89030", TEXT(TRIM(S128),"00000")="89031", TEXT(TRIM(S128),"00000")="89032", TEXT(TRIM(S128),"00000")="89086", TEXT(TRIM(S128),"00000")="89084", TEXT(TRIM(S128),"00000")="89081"), "North LV",
  OR(TEXT(TRIM(S128),"00000")="89109", TEXT(TRIM(S128),"00000")="89103", TEXT(TRIM(S128),"00000")="89119", TEXT(TRIM(S128),"00000")="89123", TEXT(TRIM(S128),"00000")="89169", TEXT(TRIM(S128),"00000")="89118"), "South/Strip",
  OR(TEXT(TRIM(S128),"00000")="89074", TEXT(TRIM(S128),"00000")="89014", TEXT(TRIM(S128),"00000")="89015", TEXT(TRIM(S128),"00000")="89011", TEXT(TRIM(S128),"00000")="89012"), "Suburban SE",
  OR(TEXT(TRIM(S128),"00000")="89117", TEXT(TRIM(S128),"00000")="89128", TEXT(TRIM(S128),"00000")="89135", TEXT(TRIM(S128),"00000")="89144", TEXT(TRIM(S128),"00000")="89145", TEXT(TRIM(S128),"00000")="89147"), "West Valley",
  TRUE, "Other"
)</f>
        <v>South/Strip</v>
      </c>
      <c r="U128" t="s">
        <v>3298</v>
      </c>
      <c r="V128" t="str">
        <f t="shared" si="7"/>
        <v>Outdoors/Public</v>
      </c>
    </row>
    <row r="129" spans="1:22">
      <c r="A129" t="s">
        <v>3893</v>
      </c>
      <c r="B129" t="s">
        <v>3894</v>
      </c>
      <c r="C129" s="1">
        <v>45508</v>
      </c>
      <c r="D129" s="4">
        <v>111.02</v>
      </c>
      <c r="E129">
        <v>50</v>
      </c>
      <c r="F129" t="str">
        <f t="shared" si="4"/>
        <v>50's</v>
      </c>
      <c r="G129" t="str" cm="1">
        <f t="array" ref="G129">_xlfn.IFS(
  F129="10's", "Child (5–12)",
  OR(F129="20's", F129="30's"), "Young Adult (20–39)",
  OR(F129="40's", F129="50's"), "Adult (40–59)",
  OR(F129="60's", F129="70's", F129="80's", F129="90's"), "Senior (60+)",
  TRUE, "Unknown"
)</f>
        <v>Adult (40–59)</v>
      </c>
      <c r="H129" t="s">
        <v>250</v>
      </c>
      <c r="I129" t="s">
        <v>3895</v>
      </c>
      <c r="J129" t="str">
        <f t="shared" si="5"/>
        <v>Methamphetamine-related</v>
      </c>
      <c r="K129" t="s">
        <v>3896</v>
      </c>
      <c r="L129" t="s">
        <v>250</v>
      </c>
      <c r="M129" t="s">
        <v>4598</v>
      </c>
      <c r="N129" t="s">
        <v>5106</v>
      </c>
      <c r="O129" t="str" cm="1">
        <f t="array" ref="O129">_xlfn.IFS(
  TEXT(TRIM(N129),"00000")="NULL", "Missing/Unknown",
  OR(TEXT(TRIM(N129),"00000")="89101", TEXT(TRIM(N129),"00000")="89104", TEXT(TRIM(N129),"00000")="89106", TEXT(TRIM(N129),"00000")="89102", TEXT(TRIM(N129),"00000")="89107", TEXT(TRIM(N129),"00000")="89108"), "Urban Core",
  OR(TEXT(TRIM(N129),"00000")="89110", TEXT(TRIM(N129),"00000")="89115", TEXT(TRIM(N129),"00000")="89121", TEXT(TRIM(N129),"00000")="89122", TEXT(TRIM(N129),"00000")="89142", TEXT(TRIM(N129),"00000")="89156"), "East Valley",
  OR(TEXT(TRIM(N129),"00000")="89030", TEXT(TRIM(N129),"00000")="89031", TEXT(TRIM(N129),"00000")="89032", TEXT(TRIM(N129),"00000")="89086", TEXT(TRIM(N129),"00000")="89084", TEXT(TRIM(N129),"00000")="89081"), "North LV",
  OR(TEXT(TRIM(N129),"00000")="89109", TEXT(TRIM(N129),"00000")="89103", TEXT(TRIM(N129),"00000")="89119", TEXT(TRIM(N129),"00000")="89123", TEXT(TRIM(N129),"00000")="89169", TEXT(TRIM(N129),"00000")="89118"), "South/Strip",
  OR(TEXT(TRIM(N129),"00000")="89074", TEXT(TRIM(N129),"00000")="89014", TEXT(TRIM(N129),"00000")="89015", TEXT(TRIM(N129),"00000")="89011", TEXT(TRIM(N129),"00000")="89012"), "Suburban SE",
  OR(TEXT(TRIM(N129),"00000")="89117", TEXT(TRIM(N129),"00000")="89128", TEXT(TRIM(N129),"00000")="89135", TEXT(TRIM(N129),"00000")="89144", TEXT(TRIM(N129),"00000")="89145", TEXT(TRIM(N129),"00000")="89147"), "West Valley",
  TRUE, "Other"
)</f>
        <v>East Valley</v>
      </c>
      <c r="P129" t="s">
        <v>3298</v>
      </c>
      <c r="Q129" t="str">
        <f t="shared" si="6"/>
        <v>Outdoors/Public</v>
      </c>
      <c r="R129" t="s">
        <v>5055</v>
      </c>
      <c r="S129" t="s">
        <v>5119</v>
      </c>
      <c r="T129" t="str" cm="1">
        <f t="array" ref="T129">_xlfn.IFS(
  TEXT(TRIM(S129),"00000")="NULL", "Missing/Unknown",
  OR(TEXT(TRIM(S129),"00000")="89101", TEXT(TRIM(S129),"00000")="89104", TEXT(TRIM(S129),"00000")="89106", TEXT(TRIM(S129),"00000")="89102", TEXT(TRIM(S129),"00000")="89107", TEXT(TRIM(S129),"00000")="89108"), "Urban Core",
  OR(TEXT(TRIM(S129),"00000")="89110", TEXT(TRIM(S129),"00000")="89115", TEXT(TRIM(S129),"00000")="89121", TEXT(TRIM(S129),"00000")="89122", TEXT(TRIM(S129),"00000")="89142", TEXT(TRIM(S129),"00000")="89156"), "East Valley",
  OR(TEXT(TRIM(S129),"00000")="89030", TEXT(TRIM(S129),"00000")="89031", TEXT(TRIM(S129),"00000")="89032", TEXT(TRIM(S129),"00000")="89086", TEXT(TRIM(S129),"00000")="89084", TEXT(TRIM(S129),"00000")="89081"), "North LV",
  OR(TEXT(TRIM(S129),"00000")="89109", TEXT(TRIM(S129),"00000")="89103", TEXT(TRIM(S129),"00000")="89119", TEXT(TRIM(S129),"00000")="89123", TEXT(TRIM(S129),"00000")="89169", TEXT(TRIM(S129),"00000")="89118"), "South/Strip",
  OR(TEXT(TRIM(S129),"00000")="89074", TEXT(TRIM(S129),"00000")="89014", TEXT(TRIM(S129),"00000")="89015", TEXT(TRIM(S129),"00000")="89011", TEXT(TRIM(S129),"00000")="89012"), "Suburban SE",
  OR(TEXT(TRIM(S129),"00000")="89117", TEXT(TRIM(S129),"00000")="89128", TEXT(TRIM(S129),"00000")="89135", TEXT(TRIM(S129),"00000")="89144", TEXT(TRIM(S129),"00000")="89145", TEXT(TRIM(S129),"00000")="89147"), "West Valley",
  TRUE, "Other"
)</f>
        <v>Urban Core</v>
      </c>
      <c r="U129" t="s">
        <v>3298</v>
      </c>
      <c r="V129" t="str">
        <f t="shared" si="7"/>
        <v>Outdoors/Public</v>
      </c>
    </row>
    <row r="130" spans="1:22">
      <c r="A130" t="s">
        <v>3206</v>
      </c>
      <c r="B130" t="s">
        <v>3207</v>
      </c>
      <c r="C130" s="1">
        <v>45507</v>
      </c>
      <c r="D130" s="4">
        <v>107.96</v>
      </c>
      <c r="E130">
        <v>62</v>
      </c>
      <c r="F130" t="str">
        <f t="shared" ref="F130:F193" si="8">_xlfn.CONCAT(INT(E130/10)*10, "'s")</f>
        <v>60's</v>
      </c>
      <c r="G130" t="str" cm="1">
        <f t="array" ref="G130">_xlfn.IFS(
  F130="10's", "Child (5–12)",
  OR(F130="20's", F130="30's"), "Young Adult (20–39)",
  OR(F130="40's", F130="50's"), "Adult (40–59)",
  OR(F130="60's", F130="70's", F130="80's", F130="90's"), "Senior (60+)",
  TRUE, "Unknown"
)</f>
        <v>Senior (60+)</v>
      </c>
      <c r="H130" t="s">
        <v>841</v>
      </c>
      <c r="I130" t="s">
        <v>54</v>
      </c>
      <c r="J130" t="str">
        <f t="shared" ref="J130:J193" si="9">IF(ISNUMBER(SEARCH("heat", I130)) + ISNUMBER(SEARCH("hyperthermia", I130)) + ISNUMBER(SEARCH("heat stroke", I130)) + ISNUMBER(SEARCH("environmental", I130)), "Environmental Heat",
IF(ISNUMBER(SEARCH("meth", I130)), "Methamphetamine-related",
IF(ISNUMBER(SEARCH("fentanyl", I130)), "Fentanyl-related",
IF(ISNUMBER(SEARCH("cardio", I130)) + ISNUMBER(SEARCH("heart", I130)) + ISNUMBER(SEARCH("atherosclerotic", I130)) + ISNUMBER(SEARCH("hypertensive", I130)) + ISNUMBER(SEARCH("myocardial", I130)) + ISNUMBER(SEARCH("infarction", I130)), "Cardiovascular Disease",
IF(ISNUMBER(SEARCH("ethanol", I130)) + ISNUMBER(SEARCH("alcohol", I130)), "Ethanol-related",
IF(ISNUMBER(SEARCH("dehydration", I130)) + ISNUMBER(SEARCH("hypernatrem", I130)) + ISNUMBER(SEARCH("hyponatrem", I130)), "Dehydration / Electrolyte",
IF(ISNUMBER(SEARCH("intoxication", I130)) + ISNUMBER(SEARCH("toxicity", I130)) + ISNUMBER(SEARCH("overdose", I130)), "Mixed Drug Toxicity",
"Other / Unknown")))))))</f>
        <v>Environmental Heat</v>
      </c>
      <c r="K130" t="s">
        <v>299</v>
      </c>
      <c r="L130" t="s">
        <v>1071</v>
      </c>
      <c r="M130" t="s">
        <v>4909</v>
      </c>
      <c r="N130" t="s">
        <v>5108</v>
      </c>
      <c r="O130" t="str" cm="1">
        <f t="array" ref="O130">_xlfn.IFS(
  TEXT(TRIM(N130),"00000")="NULL", "Missing/Unknown",
  OR(TEXT(TRIM(N130),"00000")="89101", TEXT(TRIM(N130),"00000")="89104", TEXT(TRIM(N130),"00000")="89106", TEXT(TRIM(N130),"00000")="89102", TEXT(TRIM(N130),"00000")="89107", TEXT(TRIM(N130),"00000")="89108"), "Urban Core",
  OR(TEXT(TRIM(N130),"00000")="89110", TEXT(TRIM(N130),"00000")="89115", TEXT(TRIM(N130),"00000")="89121", TEXT(TRIM(N130),"00000")="89122", TEXT(TRIM(N130),"00000")="89142", TEXT(TRIM(N130),"00000")="89156"), "East Valley",
  OR(TEXT(TRIM(N130),"00000")="89030", TEXT(TRIM(N130),"00000")="89031", TEXT(TRIM(N130),"00000")="89032", TEXT(TRIM(N130),"00000")="89086", TEXT(TRIM(N130),"00000")="89084", TEXT(TRIM(N130),"00000")="89081"), "North LV",
  OR(TEXT(TRIM(N130),"00000")="89109", TEXT(TRIM(N130),"00000")="89103", TEXT(TRIM(N130),"00000")="89119", TEXT(TRIM(N130),"00000")="89123", TEXT(TRIM(N130),"00000")="89169", TEXT(TRIM(N130),"00000")="89118"), "South/Strip",
  OR(TEXT(TRIM(N130),"00000")="89074", TEXT(TRIM(N130),"00000")="89014", TEXT(TRIM(N130),"00000")="89015", TEXT(TRIM(N130),"00000")="89011", TEXT(TRIM(N130),"00000")="89012"), "Suburban SE",
  OR(TEXT(TRIM(N130),"00000")="89117", TEXT(TRIM(N130),"00000")="89128", TEXT(TRIM(N130),"00000")="89135", TEXT(TRIM(N130),"00000")="89144", TEXT(TRIM(N130),"00000")="89145", TEXT(TRIM(N130),"00000")="89147"), "West Valley",
  TRUE, "Other"
)</f>
        <v>East Valley</v>
      </c>
      <c r="P130" t="s">
        <v>1073</v>
      </c>
      <c r="Q130" t="str">
        <f t="shared" ref="Q130:Q193" si="10">IF(OR(ISNUMBER(SEARCH("outdoor", P130)), ISNUMBER(SEARCH("park", P130)), ISNUMBER(SEARCH("road", P130)), ISNUMBER(SEARCH("sidewalk", P130)), ISNUMBER(SEARCH("desert", P130)), ISNUMBER(SEARCH("tunnel", P130)), ISNUMBER(SEARCH("lot", P130)), ISNUMBER(SEARCH("lake", P130)), ISNUMBER(SEARCH("bus", P130)), ISNUMBER(SEARCH("shed", P130)), ISNUMBER(SEARCH("amusement", P130))), "Outdoors/Public",
IF(OR(ISNUMBER(SEARCH("home", P130)), ISNUMBER(SEARCH("residence", P130)), ISNUMBER(SEARCH("rv", P130)), ISNUMBER(SEARCH("tent", P130)), ISNUMBER(SEARCH("bedroom", P130)), ISNUMBER(SEARCH("garage", P130)), ISNUMBER(SEARCH("trailer", P130)), ISNUMBER(SEARCH("backyard", P130))), "Home/Residence",
IF(OR(ISNUMBER(SEARCH("vehicle", P130)), ISNUMBER(SEARCH("car", P130)), ISNUMBER(SEARCH("wash", P130))), "Vehicle-related",
IF(OR(ISNUMBER(SEARCH("business", P130)), ISNUMBER(SEARCH("school", P130)), ISNUMBER(SEARCH("hotel", P130)), ISNUMBER(SEARCH("construction", P130)), ISNUMBER(SEARCH("furniture", P130)), ISNUMBER(SEARCH("public", P130))), "Business/Commercial",
IF(OR(ISNUMBER(SEARCH("hospital", P130)), ISNUMBER(SEARCH("assisted", P130)), ISNUMBER(SEARCH("residential care", P130))), "Medical Facility",
IF(OR(ISNUMBER(SEARCH("shelter", P130)), ISNUMBER(SEARCH("jail", P130))), "Shelter/Temporary Housing",
"Other / Unknown"))))))</f>
        <v>Home/Residence</v>
      </c>
      <c r="R130" t="s">
        <v>4909</v>
      </c>
      <c r="S130" t="s">
        <v>5108</v>
      </c>
      <c r="T130" t="str" cm="1">
        <f t="array" ref="T130">_xlfn.IFS(
  TEXT(TRIM(S130),"00000")="NULL", "Missing/Unknown",
  OR(TEXT(TRIM(S130),"00000")="89101", TEXT(TRIM(S130),"00000")="89104", TEXT(TRIM(S130),"00000")="89106", TEXT(TRIM(S130),"00000")="89102", TEXT(TRIM(S130),"00000")="89107", TEXT(TRIM(S130),"00000")="89108"), "Urban Core",
  OR(TEXT(TRIM(S130),"00000")="89110", TEXT(TRIM(S130),"00000")="89115", TEXT(TRIM(S130),"00000")="89121", TEXT(TRIM(S130),"00000")="89122", TEXT(TRIM(S130),"00000")="89142", TEXT(TRIM(S130),"00000")="89156"), "East Valley",
  OR(TEXT(TRIM(S130),"00000")="89030", TEXT(TRIM(S130),"00000")="89031", TEXT(TRIM(S130),"00000")="89032", TEXT(TRIM(S130),"00000")="89086", TEXT(TRIM(S130),"00000")="89084", TEXT(TRIM(S130),"00000")="89081"), "North LV",
  OR(TEXT(TRIM(S130),"00000")="89109", TEXT(TRIM(S130),"00000")="89103", TEXT(TRIM(S130),"00000")="89119", TEXT(TRIM(S130),"00000")="89123", TEXT(TRIM(S130),"00000")="89169", TEXT(TRIM(S130),"00000")="89118"), "South/Strip",
  OR(TEXT(TRIM(S130),"00000")="89074", TEXT(TRIM(S130),"00000")="89014", TEXT(TRIM(S130),"00000")="89015", TEXT(TRIM(S130),"00000")="89011", TEXT(TRIM(S130),"00000")="89012"), "Suburban SE",
  OR(TEXT(TRIM(S130),"00000")="89117", TEXT(TRIM(S130),"00000")="89128", TEXT(TRIM(S130),"00000")="89135", TEXT(TRIM(S130),"00000")="89144", TEXT(TRIM(S130),"00000")="89145", TEXT(TRIM(S130),"00000")="89147"), "West Valley",
  TRUE, "Other"
)</f>
        <v>East Valley</v>
      </c>
      <c r="U130" t="s">
        <v>1073</v>
      </c>
      <c r="V130" t="str">
        <f t="shared" ref="V130:V193" si="11">IF(OR(ISNUMBER(SEARCH("outdoor", U130)), ISNUMBER(SEARCH("park", U130)), ISNUMBER(SEARCH("road", U130)), ISNUMBER(SEARCH("sidewalk", U130)), ISNUMBER(SEARCH("desert", U130)), ISNUMBER(SEARCH("tunnel", U130)), ISNUMBER(SEARCH("lot", U130)), ISNUMBER(SEARCH("lake", U130)), ISNUMBER(SEARCH("bus", U130)), ISNUMBER(SEARCH("shed", U130)), ISNUMBER(SEARCH("amusement", U130))), "Outdoors/Public",
IF(OR(ISNUMBER(SEARCH("home", U130)), ISNUMBER(SEARCH("residence", U130)), ISNUMBER(SEARCH("rv", U130)), ISNUMBER(SEARCH("tent", U130)), ISNUMBER(SEARCH("bedroom", U130)), ISNUMBER(SEARCH("garage", U130)), ISNUMBER(SEARCH("trailer", U130)), ISNUMBER(SEARCH("backyard", U130))), "Home/Residence",
IF(OR(ISNUMBER(SEARCH("vehicle", U130)), ISNUMBER(SEARCH("wash", U130))), "Vehicle-related",
IF(OR(ISNUMBER(SEARCH("business", U130)), ISNUMBER(SEARCH("school", U130)), ISNUMBER(SEARCH("hotel", U130)), ISNUMBER(SEARCH("construction", U130)), ISNUMBER(SEARCH("furniture", U130)), ISNUMBER(SEARCH("public", U130))), "Business/Commercial",
IF(OR(ISNUMBER(SEARCH("hospital", U130)), ISNUMBER(SEARCH("assisted", U130)), ISNUMBER(SEARCH("residential care", U130)), ISNUMBER(SEARCH("emergency room", U130)), ISNUMBER(SEARCH("emergency", U130)), ISNUMBER(SEARCH("intensive care unit", U130)), ISNUMBER(SEARCH("icu", U130))), "Medical Facility",
IF(OR(ISNUMBER(SEARCH("shelter", U130)), ISNUMBER(SEARCH("jail", U130))), "Shelter/Temporary Housing",
"Other / Unknown"))))))</f>
        <v>Home/Residence</v>
      </c>
    </row>
    <row r="131" spans="1:22">
      <c r="A131" t="s">
        <v>2726</v>
      </c>
      <c r="B131" t="s">
        <v>2727</v>
      </c>
      <c r="C131" s="1">
        <v>45507</v>
      </c>
      <c r="D131" s="4">
        <v>107.96</v>
      </c>
      <c r="E131">
        <v>71</v>
      </c>
      <c r="F131" t="str">
        <f t="shared" si="8"/>
        <v>70's</v>
      </c>
      <c r="G131" t="str" cm="1">
        <f t="array" ref="G131">_xlfn.IFS(
  F131="10's", "Child (5–12)",
  OR(F131="20's", F131="30's"), "Young Adult (20–39)",
  OR(F131="40's", F131="50's"), "Adult (40–59)",
  OR(F131="60's", F131="70's", F131="80's", F131="90's"), "Senior (60+)",
  TRUE, "Unknown"
)</f>
        <v>Senior (60+)</v>
      </c>
      <c r="H131" t="s">
        <v>841</v>
      </c>
      <c r="I131" t="s">
        <v>181</v>
      </c>
      <c r="J131" t="str">
        <f t="shared" si="9"/>
        <v>Other / Unknown</v>
      </c>
      <c r="K131" t="s">
        <v>54</v>
      </c>
      <c r="L131" t="s">
        <v>1071</v>
      </c>
      <c r="M131" t="s">
        <v>5012</v>
      </c>
      <c r="N131" t="s">
        <v>5116</v>
      </c>
      <c r="O131" t="str" cm="1">
        <f t="array" ref="O131">_xlfn.IFS(
  TEXT(TRIM(N131),"00000")="NULL", "Missing/Unknown",
  OR(TEXT(TRIM(N131),"00000")="89101", TEXT(TRIM(N131),"00000")="89104", TEXT(TRIM(N131),"00000")="89106", TEXT(TRIM(N131),"00000")="89102", TEXT(TRIM(N131),"00000")="89107", TEXT(TRIM(N131),"00000")="89108"), "Urban Core",
  OR(TEXT(TRIM(N131),"00000")="89110", TEXT(TRIM(N131),"00000")="89115", TEXT(TRIM(N131),"00000")="89121", TEXT(TRIM(N131),"00000")="89122", TEXT(TRIM(N131),"00000")="89142", TEXT(TRIM(N131),"00000")="89156"), "East Valley",
  OR(TEXT(TRIM(N131),"00000")="89030", TEXT(TRIM(N131),"00000")="89031", TEXT(TRIM(N131),"00000")="89032", TEXT(TRIM(N131),"00000")="89086", TEXT(TRIM(N131),"00000")="89084", TEXT(TRIM(N131),"00000")="89081"), "North LV",
  OR(TEXT(TRIM(N131),"00000")="89109", TEXT(TRIM(N131),"00000")="89103", TEXT(TRIM(N131),"00000")="89119", TEXT(TRIM(N131),"00000")="89123", TEXT(TRIM(N131),"00000")="89169", TEXT(TRIM(N131),"00000")="89118"), "South/Strip",
  OR(TEXT(TRIM(N131),"00000")="89074", TEXT(TRIM(N131),"00000")="89014", TEXT(TRIM(N131),"00000")="89015", TEXT(TRIM(N131),"00000")="89011", TEXT(TRIM(N131),"00000")="89012"), "Suburban SE",
  OR(TEXT(TRIM(N131),"00000")="89117", TEXT(TRIM(N131),"00000")="89128", TEXT(TRIM(N131),"00000")="89135", TEXT(TRIM(N131),"00000")="89144", TEXT(TRIM(N131),"00000")="89145", TEXT(TRIM(N131),"00000")="89147"), "West Valley",
  TRUE, "Other"
)</f>
        <v>West Valley</v>
      </c>
      <c r="P131" t="s">
        <v>3298</v>
      </c>
      <c r="Q131" t="str">
        <f t="shared" si="10"/>
        <v>Outdoors/Public</v>
      </c>
      <c r="R131" t="s">
        <v>5012</v>
      </c>
      <c r="S131" t="s">
        <v>5116</v>
      </c>
      <c r="T131" t="str" cm="1">
        <f t="array" ref="T131">_xlfn.IFS(
  TEXT(TRIM(S131),"00000")="NULL", "Missing/Unknown",
  OR(TEXT(TRIM(S131),"00000")="89101", TEXT(TRIM(S131),"00000")="89104", TEXT(TRIM(S131),"00000")="89106", TEXT(TRIM(S131),"00000")="89102", TEXT(TRIM(S131),"00000")="89107", TEXT(TRIM(S131),"00000")="89108"), "Urban Core",
  OR(TEXT(TRIM(S131),"00000")="89110", TEXT(TRIM(S131),"00000")="89115", TEXT(TRIM(S131),"00000")="89121", TEXT(TRIM(S131),"00000")="89122", TEXT(TRIM(S131),"00000")="89142", TEXT(TRIM(S131),"00000")="89156"), "East Valley",
  OR(TEXT(TRIM(S131),"00000")="89030", TEXT(TRIM(S131),"00000")="89031", TEXT(TRIM(S131),"00000")="89032", TEXT(TRIM(S131),"00000")="89086", TEXT(TRIM(S131),"00000")="89084", TEXT(TRIM(S131),"00000")="89081"), "North LV",
  OR(TEXT(TRIM(S131),"00000")="89109", TEXT(TRIM(S131),"00000")="89103", TEXT(TRIM(S131),"00000")="89119", TEXT(TRIM(S131),"00000")="89123", TEXT(TRIM(S131),"00000")="89169", TEXT(TRIM(S131),"00000")="89118"), "South/Strip",
  OR(TEXT(TRIM(S131),"00000")="89074", TEXT(TRIM(S131),"00000")="89014", TEXT(TRIM(S131),"00000")="89015", TEXT(TRIM(S131),"00000")="89011", TEXT(TRIM(S131),"00000")="89012"), "Suburban SE",
  OR(TEXT(TRIM(S131),"00000")="89117", TEXT(TRIM(S131),"00000")="89128", TEXT(TRIM(S131),"00000")="89135", TEXT(TRIM(S131),"00000")="89144", TEXT(TRIM(S131),"00000")="89145", TEXT(TRIM(S131),"00000")="89147"), "West Valley",
  TRUE, "Other"
)</f>
        <v>West Valley</v>
      </c>
      <c r="U131" t="s">
        <v>3298</v>
      </c>
      <c r="V131" t="str">
        <f t="shared" si="11"/>
        <v>Outdoors/Public</v>
      </c>
    </row>
    <row r="132" spans="1:22">
      <c r="A132" t="s">
        <v>3715</v>
      </c>
      <c r="B132" t="s">
        <v>3716</v>
      </c>
      <c r="C132" s="1">
        <v>45507</v>
      </c>
      <c r="D132" s="4">
        <v>107.96</v>
      </c>
      <c r="E132">
        <v>42</v>
      </c>
      <c r="F132" t="str">
        <f t="shared" si="8"/>
        <v>40's</v>
      </c>
      <c r="G132" t="str" cm="1">
        <f t="array" ref="G132">_xlfn.IFS(
  F132="10's", "Child (5–12)",
  OR(F132="20's", F132="30's"), "Young Adult (20–39)",
  OR(F132="40's", F132="50's"), "Adult (40–59)",
  OR(F132="60's", F132="70's", F132="80's", F132="90's"), "Senior (60+)",
  TRUE, "Unknown"
)</f>
        <v>Adult (40–59)</v>
      </c>
      <c r="H132" t="s">
        <v>841</v>
      </c>
      <c r="I132" t="s">
        <v>135</v>
      </c>
      <c r="J132" t="str">
        <f t="shared" si="9"/>
        <v>Methamphetamine-related</v>
      </c>
      <c r="K132" t="s">
        <v>35</v>
      </c>
      <c r="L132" t="s">
        <v>250</v>
      </c>
      <c r="M132" t="s">
        <v>4336</v>
      </c>
      <c r="N132" t="s">
        <v>5101</v>
      </c>
      <c r="O132" t="str" cm="1">
        <f t="array" ref="O132">_xlfn.IFS(
  TEXT(TRIM(N132),"00000")="NULL", "Missing/Unknown",
  OR(TEXT(TRIM(N132),"00000")="89101", TEXT(TRIM(N132),"00000")="89104", TEXT(TRIM(N132),"00000")="89106", TEXT(TRIM(N132),"00000")="89102", TEXT(TRIM(N132),"00000")="89107", TEXT(TRIM(N132),"00000")="89108"), "Urban Core",
  OR(TEXT(TRIM(N132),"00000")="89110", TEXT(TRIM(N132),"00000")="89115", TEXT(TRIM(N132),"00000")="89121", TEXT(TRIM(N132),"00000")="89122", TEXT(TRIM(N132),"00000")="89142", TEXT(TRIM(N132),"00000")="89156"), "East Valley",
  OR(TEXT(TRIM(N132),"00000")="89030", TEXT(TRIM(N132),"00000")="89031", TEXT(TRIM(N132),"00000")="89032", TEXT(TRIM(N132),"00000")="89086", TEXT(TRIM(N132),"00000")="89084", TEXT(TRIM(N132),"00000")="89081"), "North LV",
  OR(TEXT(TRIM(N132),"00000")="89109", TEXT(TRIM(N132),"00000")="89103", TEXT(TRIM(N132),"00000")="89119", TEXT(TRIM(N132),"00000")="89123", TEXT(TRIM(N132),"00000")="89169", TEXT(TRIM(N132),"00000")="89118"), "South/Strip",
  OR(TEXT(TRIM(N132),"00000")="89074", TEXT(TRIM(N132),"00000")="89014", TEXT(TRIM(N132),"00000")="89015", TEXT(TRIM(N132),"00000")="89011", TEXT(TRIM(N132),"00000")="89012"), "Suburban SE",
  OR(TEXT(TRIM(N132),"00000")="89117", TEXT(TRIM(N132),"00000")="89128", TEXT(TRIM(N132),"00000")="89135", TEXT(TRIM(N132),"00000")="89144", TEXT(TRIM(N132),"00000")="89145", TEXT(TRIM(N132),"00000")="89147"), "West Valley",
  TRUE, "Other"
)</f>
        <v>Urban Core</v>
      </c>
      <c r="P132" t="s">
        <v>3298</v>
      </c>
      <c r="Q132" t="str">
        <f t="shared" si="10"/>
        <v>Outdoors/Public</v>
      </c>
      <c r="R132" t="s">
        <v>4336</v>
      </c>
      <c r="S132" t="s">
        <v>5101</v>
      </c>
      <c r="T132" t="str" cm="1">
        <f t="array" ref="T132">_xlfn.IFS(
  TEXT(TRIM(S132),"00000")="NULL", "Missing/Unknown",
  OR(TEXT(TRIM(S132),"00000")="89101", TEXT(TRIM(S132),"00000")="89104", TEXT(TRIM(S132),"00000")="89106", TEXT(TRIM(S132),"00000")="89102", TEXT(TRIM(S132),"00000")="89107", TEXT(TRIM(S132),"00000")="89108"), "Urban Core",
  OR(TEXT(TRIM(S132),"00000")="89110", TEXT(TRIM(S132),"00000")="89115", TEXT(TRIM(S132),"00000")="89121", TEXT(TRIM(S132),"00000")="89122", TEXT(TRIM(S132),"00000")="89142", TEXT(TRIM(S132),"00000")="89156"), "East Valley",
  OR(TEXT(TRIM(S132),"00000")="89030", TEXT(TRIM(S132),"00000")="89031", TEXT(TRIM(S132),"00000")="89032", TEXT(TRIM(S132),"00000")="89086", TEXT(TRIM(S132),"00000")="89084", TEXT(TRIM(S132),"00000")="89081"), "North LV",
  OR(TEXT(TRIM(S132),"00000")="89109", TEXT(TRIM(S132),"00000")="89103", TEXT(TRIM(S132),"00000")="89119", TEXT(TRIM(S132),"00000")="89123", TEXT(TRIM(S132),"00000")="89169", TEXT(TRIM(S132),"00000")="89118"), "South/Strip",
  OR(TEXT(TRIM(S132),"00000")="89074", TEXT(TRIM(S132),"00000")="89014", TEXT(TRIM(S132),"00000")="89015", TEXT(TRIM(S132),"00000")="89011", TEXT(TRIM(S132),"00000")="89012"), "Suburban SE",
  OR(TEXT(TRIM(S132),"00000")="89117", TEXT(TRIM(S132),"00000")="89128", TEXT(TRIM(S132),"00000")="89135", TEXT(TRIM(S132),"00000")="89144", TEXT(TRIM(S132),"00000")="89145", TEXT(TRIM(S132),"00000")="89147"), "West Valley",
  TRUE, "Other"
)</f>
        <v>Urban Core</v>
      </c>
      <c r="U132" t="s">
        <v>3298</v>
      </c>
      <c r="V132" t="str">
        <f t="shared" si="11"/>
        <v>Outdoors/Public</v>
      </c>
    </row>
    <row r="133" spans="1:22">
      <c r="A133" t="s">
        <v>3718</v>
      </c>
      <c r="B133" t="s">
        <v>3719</v>
      </c>
      <c r="C133" s="1">
        <v>45507</v>
      </c>
      <c r="D133" s="4">
        <v>107.96</v>
      </c>
      <c r="E133">
        <v>33</v>
      </c>
      <c r="F133" t="str">
        <f t="shared" si="8"/>
        <v>30's</v>
      </c>
      <c r="G133" t="str" cm="1">
        <f t="array" ref="G133">_xlfn.IFS(
  F133="10's", "Child (5–12)",
  OR(F133="20's", F133="30's"), "Young Adult (20–39)",
  OR(F133="40's", F133="50's"), "Adult (40–59)",
  OR(F133="60's", F133="70's", F133="80's", F133="90's"), "Senior (60+)",
  TRUE, "Unknown"
)</f>
        <v>Young Adult (20–39)</v>
      </c>
      <c r="H133" t="s">
        <v>841</v>
      </c>
      <c r="I133" t="s">
        <v>135</v>
      </c>
      <c r="J133" t="str">
        <f t="shared" si="9"/>
        <v>Methamphetamine-related</v>
      </c>
      <c r="K133" t="s">
        <v>35</v>
      </c>
      <c r="L133" t="s">
        <v>250</v>
      </c>
      <c r="M133" t="s">
        <v>4337</v>
      </c>
      <c r="N133" t="s">
        <v>5097</v>
      </c>
      <c r="O133" t="str" cm="1">
        <f t="array" ref="O133">_xlfn.IFS(
  TEXT(TRIM(N133),"00000")="NULL", "Missing/Unknown",
  OR(TEXT(TRIM(N133),"00000")="89101", TEXT(TRIM(N133),"00000")="89104", TEXT(TRIM(N133),"00000")="89106", TEXT(TRIM(N133),"00000")="89102", TEXT(TRIM(N133),"00000")="89107", TEXT(TRIM(N133),"00000")="89108"), "Urban Core",
  OR(TEXT(TRIM(N133),"00000")="89110", TEXT(TRIM(N133),"00000")="89115", TEXT(TRIM(N133),"00000")="89121", TEXT(TRIM(N133),"00000")="89122", TEXT(TRIM(N133),"00000")="89142", TEXT(TRIM(N133),"00000")="89156"), "East Valley",
  OR(TEXT(TRIM(N133),"00000")="89030", TEXT(TRIM(N133),"00000")="89031", TEXT(TRIM(N133),"00000")="89032", TEXT(TRIM(N133),"00000")="89086", TEXT(TRIM(N133),"00000")="89084", TEXT(TRIM(N133),"00000")="89081"), "North LV",
  OR(TEXT(TRIM(N133),"00000")="89109", TEXT(TRIM(N133),"00000")="89103", TEXT(TRIM(N133),"00000")="89119", TEXT(TRIM(N133),"00000")="89123", TEXT(TRIM(N133),"00000")="89169", TEXT(TRIM(N133),"00000")="89118"), "South/Strip",
  OR(TEXT(TRIM(N133),"00000")="89074", TEXT(TRIM(N133),"00000")="89014", TEXT(TRIM(N133),"00000")="89015", TEXT(TRIM(N133),"00000")="89011", TEXT(TRIM(N133),"00000")="89012"), "Suburban SE",
  OR(TEXT(TRIM(N133),"00000")="89117", TEXT(TRIM(N133),"00000")="89128", TEXT(TRIM(N133),"00000")="89135", TEXT(TRIM(N133),"00000")="89144", TEXT(TRIM(N133),"00000")="89145", TEXT(TRIM(N133),"00000")="89147"), "West Valley",
  TRUE, "Other"
)</f>
        <v>Urban Core</v>
      </c>
      <c r="P133" t="s">
        <v>3721</v>
      </c>
      <c r="Q133" t="str">
        <f t="shared" si="10"/>
        <v>Home/Residence</v>
      </c>
      <c r="R133" t="s">
        <v>5054</v>
      </c>
      <c r="S133" t="s">
        <v>5097</v>
      </c>
      <c r="T133" t="str" cm="1">
        <f t="array" ref="T133">_xlfn.IFS(
  TEXT(TRIM(S133),"00000")="NULL", "Missing/Unknown",
  OR(TEXT(TRIM(S133),"00000")="89101", TEXT(TRIM(S133),"00000")="89104", TEXT(TRIM(S133),"00000")="89106", TEXT(TRIM(S133),"00000")="89102", TEXT(TRIM(S133),"00000")="89107", TEXT(TRIM(S133),"00000")="89108"), "Urban Core",
  OR(TEXT(TRIM(S133),"00000")="89110", TEXT(TRIM(S133),"00000")="89115", TEXT(TRIM(S133),"00000")="89121", TEXT(TRIM(S133),"00000")="89122", TEXT(TRIM(S133),"00000")="89142", TEXT(TRIM(S133),"00000")="89156"), "East Valley",
  OR(TEXT(TRIM(S133),"00000")="89030", TEXT(TRIM(S133),"00000")="89031", TEXT(TRIM(S133),"00000")="89032", TEXT(TRIM(S133),"00000")="89086", TEXT(TRIM(S133),"00000")="89084", TEXT(TRIM(S133),"00000")="89081"), "North LV",
  OR(TEXT(TRIM(S133),"00000")="89109", TEXT(TRIM(S133),"00000")="89103", TEXT(TRIM(S133),"00000")="89119", TEXT(TRIM(S133),"00000")="89123", TEXT(TRIM(S133),"00000")="89169", TEXT(TRIM(S133),"00000")="89118"), "South/Strip",
  OR(TEXT(TRIM(S133),"00000")="89074", TEXT(TRIM(S133),"00000")="89014", TEXT(TRIM(S133),"00000")="89015", TEXT(TRIM(S133),"00000")="89011", TEXT(TRIM(S133),"00000")="89012"), "Suburban SE",
  OR(TEXT(TRIM(S133),"00000")="89117", TEXT(TRIM(S133),"00000")="89128", TEXT(TRIM(S133),"00000")="89135", TEXT(TRIM(S133),"00000")="89144", TEXT(TRIM(S133),"00000")="89145", TEXT(TRIM(S133),"00000")="89147"), "West Valley",
  TRUE, "Other"
)</f>
        <v>Urban Core</v>
      </c>
      <c r="U133" t="s">
        <v>4301</v>
      </c>
      <c r="V133" t="str">
        <f t="shared" si="11"/>
        <v>Medical Facility</v>
      </c>
    </row>
    <row r="134" spans="1:22">
      <c r="A134" t="s">
        <v>3202</v>
      </c>
      <c r="B134" t="s">
        <v>3203</v>
      </c>
      <c r="C134" s="1">
        <v>45506</v>
      </c>
      <c r="D134" s="4">
        <v>102.92</v>
      </c>
      <c r="E134">
        <v>41</v>
      </c>
      <c r="F134" t="str">
        <f t="shared" si="8"/>
        <v>40's</v>
      </c>
      <c r="G134" t="str" cm="1">
        <f t="array" ref="G134">_xlfn.IFS(
  F134="10's", "Child (5–12)",
  OR(F134="20's", F134="30's"), "Young Adult (20–39)",
  OR(F134="40's", F134="50's"), "Adult (40–59)",
  OR(F134="60's", F134="70's", F134="80's", F134="90's"), "Senior (60+)",
  TRUE, "Unknown"
)</f>
        <v>Adult (40–59)</v>
      </c>
      <c r="H134" t="s">
        <v>778</v>
      </c>
      <c r="I134" t="s">
        <v>54</v>
      </c>
      <c r="J134" t="str">
        <f t="shared" si="9"/>
        <v>Environmental Heat</v>
      </c>
      <c r="K134" t="s">
        <v>3204</v>
      </c>
      <c r="L134" t="s">
        <v>250</v>
      </c>
      <c r="M134" t="s">
        <v>4610</v>
      </c>
      <c r="N134" t="s">
        <v>5117</v>
      </c>
      <c r="O134" t="str" cm="1">
        <f t="array" ref="O134">_xlfn.IFS(
  TEXT(TRIM(N134),"00000")="NULL", "Missing/Unknown",
  OR(TEXT(TRIM(N134),"00000")="89101", TEXT(TRIM(N134),"00000")="89104", TEXT(TRIM(N134),"00000")="89106", TEXT(TRIM(N134),"00000")="89102", TEXT(TRIM(N134),"00000")="89107", TEXT(TRIM(N134),"00000")="89108"), "Urban Core",
  OR(TEXT(TRIM(N134),"00000")="89110", TEXT(TRIM(N134),"00000")="89115", TEXT(TRIM(N134),"00000")="89121", TEXT(TRIM(N134),"00000")="89122", TEXT(TRIM(N134),"00000")="89142", TEXT(TRIM(N134),"00000")="89156"), "East Valley",
  OR(TEXT(TRIM(N134),"00000")="89030", TEXT(TRIM(N134),"00000")="89031", TEXT(TRIM(N134),"00000")="89032", TEXT(TRIM(N134),"00000")="89086", TEXT(TRIM(N134),"00000")="89084", TEXT(TRIM(N134),"00000")="89081"), "North LV",
  OR(TEXT(TRIM(N134),"00000")="89109", TEXT(TRIM(N134),"00000")="89103", TEXT(TRIM(N134),"00000")="89119", TEXT(TRIM(N134),"00000")="89123", TEXT(TRIM(N134),"00000")="89169", TEXT(TRIM(N134),"00000")="89118"), "South/Strip",
  OR(TEXT(TRIM(N134),"00000")="89074", TEXT(TRIM(N134),"00000")="89014", TEXT(TRIM(N134),"00000")="89015", TEXT(TRIM(N134),"00000")="89011", TEXT(TRIM(N134),"00000")="89012"), "Suburban SE",
  OR(TEXT(TRIM(N134),"00000")="89117", TEXT(TRIM(N134),"00000")="89128", TEXT(TRIM(N134),"00000")="89135", TEXT(TRIM(N134),"00000")="89144", TEXT(TRIM(N134),"00000")="89145", TEXT(TRIM(N134),"00000")="89147"), "West Valley",
  TRUE, "Other"
)</f>
        <v>North LV</v>
      </c>
      <c r="P134" t="s">
        <v>271</v>
      </c>
      <c r="Q134" t="str">
        <f t="shared" si="10"/>
        <v>Home/Residence</v>
      </c>
      <c r="R134" t="s">
        <v>4610</v>
      </c>
      <c r="S134" t="s">
        <v>5117</v>
      </c>
      <c r="T134" t="str" cm="1">
        <f t="array" ref="T134">_xlfn.IFS(
  TEXT(TRIM(S134),"00000")="NULL", "Missing/Unknown",
  OR(TEXT(TRIM(S134),"00000")="89101", TEXT(TRIM(S134),"00000")="89104", TEXT(TRIM(S134),"00000")="89106", TEXT(TRIM(S134),"00000")="89102", TEXT(TRIM(S134),"00000")="89107", TEXT(TRIM(S134),"00000")="89108"), "Urban Core",
  OR(TEXT(TRIM(S134),"00000")="89110", TEXT(TRIM(S134),"00000")="89115", TEXT(TRIM(S134),"00000")="89121", TEXT(TRIM(S134),"00000")="89122", TEXT(TRIM(S134),"00000")="89142", TEXT(TRIM(S134),"00000")="89156"), "East Valley",
  OR(TEXT(TRIM(S134),"00000")="89030", TEXT(TRIM(S134),"00000")="89031", TEXT(TRIM(S134),"00000")="89032", TEXT(TRIM(S134),"00000")="89086", TEXT(TRIM(S134),"00000")="89084", TEXT(TRIM(S134),"00000")="89081"), "North LV",
  OR(TEXT(TRIM(S134),"00000")="89109", TEXT(TRIM(S134),"00000")="89103", TEXT(TRIM(S134),"00000")="89119", TEXT(TRIM(S134),"00000")="89123", TEXT(TRIM(S134),"00000")="89169", TEXT(TRIM(S134),"00000")="89118"), "South/Strip",
  OR(TEXT(TRIM(S134),"00000")="89074", TEXT(TRIM(S134),"00000")="89014", TEXT(TRIM(S134),"00000")="89015", TEXT(TRIM(S134),"00000")="89011", TEXT(TRIM(S134),"00000")="89012"), "Suburban SE",
  OR(TEXT(TRIM(S134),"00000")="89117", TEXT(TRIM(S134),"00000")="89128", TEXT(TRIM(S134),"00000")="89135", TEXT(TRIM(S134),"00000")="89144", TEXT(TRIM(S134),"00000")="89145", TEXT(TRIM(S134),"00000")="89147"), "West Valley",
  TRUE, "Other"
)</f>
        <v>North LV</v>
      </c>
      <c r="U134" t="s">
        <v>271</v>
      </c>
      <c r="V134" t="str">
        <f t="shared" si="11"/>
        <v>Home/Residence</v>
      </c>
    </row>
    <row r="135" spans="1:22">
      <c r="A135" t="s">
        <v>3555</v>
      </c>
      <c r="B135" t="s">
        <v>3556</v>
      </c>
      <c r="C135" s="1">
        <v>45506</v>
      </c>
      <c r="D135" s="4">
        <v>102.92</v>
      </c>
      <c r="E135">
        <v>72</v>
      </c>
      <c r="F135" t="str">
        <f t="shared" si="8"/>
        <v>70's</v>
      </c>
      <c r="G135" t="str" cm="1">
        <f t="array" ref="G135">_xlfn.IFS(
  F135="10's", "Child (5–12)",
  OR(F135="20's", F135="30's"), "Young Adult (20–39)",
  OR(F135="40's", F135="50's"), "Adult (40–59)",
  OR(F135="60's", F135="70's", F135="80's", F135="90's"), "Senior (60+)",
  TRUE, "Unknown"
)</f>
        <v>Senior (60+)</v>
      </c>
      <c r="H135" t="s">
        <v>841</v>
      </c>
      <c r="I135" t="s">
        <v>299</v>
      </c>
      <c r="J135" t="str">
        <f t="shared" si="9"/>
        <v>Cardiovascular Disease</v>
      </c>
      <c r="K135" t="s">
        <v>54</v>
      </c>
      <c r="L135" t="s">
        <v>1071</v>
      </c>
      <c r="M135" t="s">
        <v>5013</v>
      </c>
      <c r="N135" t="s">
        <v>5128</v>
      </c>
      <c r="O135" t="str" cm="1">
        <f t="array" ref="O135">_xlfn.IFS(
  TEXT(TRIM(N135),"00000")="NULL", "Missing/Unknown",
  OR(TEXT(TRIM(N135),"00000")="89101", TEXT(TRIM(N135),"00000")="89104", TEXT(TRIM(N135),"00000")="89106", TEXT(TRIM(N135),"00000")="89102", TEXT(TRIM(N135),"00000")="89107", TEXT(TRIM(N135),"00000")="89108"), "Urban Core",
  OR(TEXT(TRIM(N135),"00000")="89110", TEXT(TRIM(N135),"00000")="89115", TEXT(TRIM(N135),"00000")="89121", TEXT(TRIM(N135),"00000")="89122", TEXT(TRIM(N135),"00000")="89142", TEXT(TRIM(N135),"00000")="89156"), "East Valley",
  OR(TEXT(TRIM(N135),"00000")="89030", TEXT(TRIM(N135),"00000")="89031", TEXT(TRIM(N135),"00000")="89032", TEXT(TRIM(N135),"00000")="89086", TEXT(TRIM(N135),"00000")="89084", TEXT(TRIM(N135),"00000")="89081"), "North LV",
  OR(TEXT(TRIM(N135),"00000")="89109", TEXT(TRIM(N135),"00000")="89103", TEXT(TRIM(N135),"00000")="89119", TEXT(TRIM(N135),"00000")="89123", TEXT(TRIM(N135),"00000")="89169", TEXT(TRIM(N135),"00000")="89118"), "South/Strip",
  OR(TEXT(TRIM(N135),"00000")="89074", TEXT(TRIM(N135),"00000")="89014", TEXT(TRIM(N135),"00000")="89015", TEXT(TRIM(N135),"00000")="89011", TEXT(TRIM(N135),"00000")="89012"), "Suburban SE",
  OR(TEXT(TRIM(N135),"00000")="89117", TEXT(TRIM(N135),"00000")="89128", TEXT(TRIM(N135),"00000")="89135", TEXT(TRIM(N135),"00000")="89144", TEXT(TRIM(N135),"00000")="89145", TEXT(TRIM(N135),"00000")="89147"), "West Valley",
  TRUE, "Other"
)</f>
        <v>East Valley</v>
      </c>
      <c r="P135" t="s">
        <v>3298</v>
      </c>
      <c r="Q135" t="str">
        <f t="shared" si="10"/>
        <v>Outdoors/Public</v>
      </c>
      <c r="R135" t="s">
        <v>5013</v>
      </c>
      <c r="S135" t="s">
        <v>5128</v>
      </c>
      <c r="T135" t="str" cm="1">
        <f t="array" ref="T135">_xlfn.IFS(
  TEXT(TRIM(S135),"00000")="NULL", "Missing/Unknown",
  OR(TEXT(TRIM(S135),"00000")="89101", TEXT(TRIM(S135),"00000")="89104", TEXT(TRIM(S135),"00000")="89106", TEXT(TRIM(S135),"00000")="89102", TEXT(TRIM(S135),"00000")="89107", TEXT(TRIM(S135),"00000")="89108"), "Urban Core",
  OR(TEXT(TRIM(S135),"00000")="89110", TEXT(TRIM(S135),"00000")="89115", TEXT(TRIM(S135),"00000")="89121", TEXT(TRIM(S135),"00000")="89122", TEXT(TRIM(S135),"00000")="89142", TEXT(TRIM(S135),"00000")="89156"), "East Valley",
  OR(TEXT(TRIM(S135),"00000")="89030", TEXT(TRIM(S135),"00000")="89031", TEXT(TRIM(S135),"00000")="89032", TEXT(TRIM(S135),"00000")="89086", TEXT(TRIM(S135),"00000")="89084", TEXT(TRIM(S135),"00000")="89081"), "North LV",
  OR(TEXT(TRIM(S135),"00000")="89109", TEXT(TRIM(S135),"00000")="89103", TEXT(TRIM(S135),"00000")="89119", TEXT(TRIM(S135),"00000")="89123", TEXT(TRIM(S135),"00000")="89169", TEXT(TRIM(S135),"00000")="89118"), "South/Strip",
  OR(TEXT(TRIM(S135),"00000")="89074", TEXT(TRIM(S135),"00000")="89014", TEXT(TRIM(S135),"00000")="89015", TEXT(TRIM(S135),"00000")="89011", TEXT(TRIM(S135),"00000")="89012"), "Suburban SE",
  OR(TEXT(TRIM(S135),"00000")="89117", TEXT(TRIM(S135),"00000")="89128", TEXT(TRIM(S135),"00000")="89135", TEXT(TRIM(S135),"00000")="89144", TEXT(TRIM(S135),"00000")="89145", TEXT(TRIM(S135),"00000")="89147"), "West Valley",
  TRUE, "Other"
)</f>
        <v>East Valley</v>
      </c>
      <c r="U135" t="s">
        <v>3298</v>
      </c>
      <c r="V135" t="str">
        <f t="shared" si="11"/>
        <v>Outdoors/Public</v>
      </c>
    </row>
    <row r="136" spans="1:22">
      <c r="A136" t="s">
        <v>2891</v>
      </c>
      <c r="B136" t="s">
        <v>2892</v>
      </c>
      <c r="C136" s="1">
        <v>45505</v>
      </c>
      <c r="D136" s="4">
        <v>105.98</v>
      </c>
      <c r="E136">
        <v>65</v>
      </c>
      <c r="F136" t="str">
        <f t="shared" si="8"/>
        <v>60's</v>
      </c>
      <c r="G136" t="str" cm="1">
        <f t="array" ref="G136">_xlfn.IFS(
  F136="10's", "Child (5–12)",
  OR(F136="20's", F136="30's"), "Young Adult (20–39)",
  OR(F136="40's", F136="50's"), "Adult (40–59)",
  OR(F136="60's", F136="70's", F136="80's", F136="90's"), "Senior (60+)",
  TRUE, "Unknown"
)</f>
        <v>Senior (60+)</v>
      </c>
      <c r="H136" t="s">
        <v>841</v>
      </c>
      <c r="I136" t="s">
        <v>35</v>
      </c>
      <c r="J136" t="str">
        <f t="shared" si="9"/>
        <v>Environmental Heat</v>
      </c>
      <c r="K136" t="s">
        <v>28</v>
      </c>
      <c r="L136" t="s">
        <v>1071</v>
      </c>
      <c r="M136" t="s">
        <v>4506</v>
      </c>
      <c r="N136" t="s">
        <v>5099</v>
      </c>
      <c r="O136" t="str" cm="1">
        <f t="array" ref="O136">_xlfn.IFS(
  TEXT(TRIM(N136),"00000")="NULL", "Missing/Unknown",
  OR(TEXT(TRIM(N136),"00000")="89101", TEXT(TRIM(N136),"00000")="89104", TEXT(TRIM(N136),"00000")="89106", TEXT(TRIM(N136),"00000")="89102", TEXT(TRIM(N136),"00000")="89107", TEXT(TRIM(N136),"00000")="89108"), "Urban Core",
  OR(TEXT(TRIM(N136),"00000")="89110", TEXT(TRIM(N136),"00000")="89115", TEXT(TRIM(N136),"00000")="89121", TEXT(TRIM(N136),"00000")="89122", TEXT(TRIM(N136),"00000")="89142", TEXT(TRIM(N136),"00000")="89156"), "East Valley",
  OR(TEXT(TRIM(N136),"00000")="89030", TEXT(TRIM(N136),"00000")="89031", TEXT(TRIM(N136),"00000")="89032", TEXT(TRIM(N136),"00000")="89086", TEXT(TRIM(N136),"00000")="89084", TEXT(TRIM(N136),"00000")="89081"), "North LV",
  OR(TEXT(TRIM(N136),"00000")="89109", TEXT(TRIM(N136),"00000")="89103", TEXT(TRIM(N136),"00000")="89119", TEXT(TRIM(N136),"00000")="89123", TEXT(TRIM(N136),"00000")="89169", TEXT(TRIM(N136),"00000")="89118"), "South/Strip",
  OR(TEXT(TRIM(N136),"00000")="89074", TEXT(TRIM(N136),"00000")="89014", TEXT(TRIM(N136),"00000")="89015", TEXT(TRIM(N136),"00000")="89011", TEXT(TRIM(N136),"00000")="89012"), "Suburban SE",
  OR(TEXT(TRIM(N136),"00000")="89117", TEXT(TRIM(N136),"00000")="89128", TEXT(TRIM(N136),"00000")="89135", TEXT(TRIM(N136),"00000")="89144", TEXT(TRIM(N136),"00000")="89145", TEXT(TRIM(N136),"00000")="89147"), "West Valley",
  TRUE, "Other"
)</f>
        <v>Urban Core</v>
      </c>
      <c r="P136" t="s">
        <v>3298</v>
      </c>
      <c r="Q136" t="str">
        <f t="shared" si="10"/>
        <v>Outdoors/Public</v>
      </c>
      <c r="R136" t="s">
        <v>5054</v>
      </c>
      <c r="S136" t="s">
        <v>5097</v>
      </c>
      <c r="T136" t="str" cm="1">
        <f t="array" ref="T136">_xlfn.IFS(
  TEXT(TRIM(S136),"00000")="NULL", "Missing/Unknown",
  OR(TEXT(TRIM(S136),"00000")="89101", TEXT(TRIM(S136),"00000")="89104", TEXT(TRIM(S136),"00000")="89106", TEXT(TRIM(S136),"00000")="89102", TEXT(TRIM(S136),"00000")="89107", TEXT(TRIM(S136),"00000")="89108"), "Urban Core",
  OR(TEXT(TRIM(S136),"00000")="89110", TEXT(TRIM(S136),"00000")="89115", TEXT(TRIM(S136),"00000")="89121", TEXT(TRIM(S136),"00000")="89122", TEXT(TRIM(S136),"00000")="89142", TEXT(TRIM(S136),"00000")="89156"), "East Valley",
  OR(TEXT(TRIM(S136),"00000")="89030", TEXT(TRIM(S136),"00000")="89031", TEXT(TRIM(S136),"00000")="89032", TEXT(TRIM(S136),"00000")="89086", TEXT(TRIM(S136),"00000")="89084", TEXT(TRIM(S136),"00000")="89081"), "North LV",
  OR(TEXT(TRIM(S136),"00000")="89109", TEXT(TRIM(S136),"00000")="89103", TEXT(TRIM(S136),"00000")="89119", TEXT(TRIM(S136),"00000")="89123", TEXT(TRIM(S136),"00000")="89169", TEXT(TRIM(S136),"00000")="89118"), "South/Strip",
  OR(TEXT(TRIM(S136),"00000")="89074", TEXT(TRIM(S136),"00000")="89014", TEXT(TRIM(S136),"00000")="89015", TEXT(TRIM(S136),"00000")="89011", TEXT(TRIM(S136),"00000")="89012"), "Suburban SE",
  OR(TEXT(TRIM(S136),"00000")="89117", TEXT(TRIM(S136),"00000")="89128", TEXT(TRIM(S136),"00000")="89135", TEXT(TRIM(S136),"00000")="89144", TEXT(TRIM(S136),"00000")="89145", TEXT(TRIM(S136),"00000")="89147"), "West Valley",
  TRUE, "Other"
)</f>
        <v>Urban Core</v>
      </c>
      <c r="U136" t="s">
        <v>2433</v>
      </c>
      <c r="V136" t="str">
        <f t="shared" si="11"/>
        <v>Medical Facility</v>
      </c>
    </row>
    <row r="137" spans="1:22">
      <c r="A137" t="s">
        <v>3801</v>
      </c>
      <c r="B137" t="s">
        <v>3802</v>
      </c>
      <c r="C137" s="1">
        <v>45502</v>
      </c>
      <c r="D137" s="4">
        <v>105.08</v>
      </c>
      <c r="E137">
        <v>26</v>
      </c>
      <c r="F137" t="str">
        <f t="shared" si="8"/>
        <v>20's</v>
      </c>
      <c r="G137" t="str" cm="1">
        <f t="array" ref="G137">_xlfn.IFS(
  F137="10's", "Child (5–12)",
  OR(F137="20's", F137="30's"), "Young Adult (20–39)",
  OR(F137="40's", F137="50's"), "Adult (40–59)",
  OR(F137="60's", F137="70's", F137="80's", F137="90's"), "Senior (60+)",
  TRUE, "Unknown"
)</f>
        <v>Young Adult (20–39)</v>
      </c>
      <c r="H137" t="s">
        <v>841</v>
      </c>
      <c r="I137" t="s">
        <v>172</v>
      </c>
      <c r="J137" t="str">
        <f t="shared" si="9"/>
        <v>Methamphetamine-related</v>
      </c>
      <c r="K137" t="s">
        <v>3803</v>
      </c>
      <c r="L137" t="s">
        <v>250</v>
      </c>
      <c r="N137" t="s">
        <v>5095</v>
      </c>
      <c r="O137" t="str" cm="1">
        <f t="array" ref="O137">_xlfn.IFS(
  TEXT(TRIM(N137),"00000")="NULL", "Missing/Unknown",
  OR(TEXT(TRIM(N137),"00000")="89101", TEXT(TRIM(N137),"00000")="89104", TEXT(TRIM(N137),"00000")="89106", TEXT(TRIM(N137),"00000")="89102", TEXT(TRIM(N137),"00000")="89107", TEXT(TRIM(N137),"00000")="89108"), "Urban Core",
  OR(TEXT(TRIM(N137),"00000")="89110", TEXT(TRIM(N137),"00000")="89115", TEXT(TRIM(N137),"00000")="89121", TEXT(TRIM(N137),"00000")="89122", TEXT(TRIM(N137),"00000")="89142", TEXT(TRIM(N137),"00000")="89156"), "East Valley",
  OR(TEXT(TRIM(N137),"00000")="89030", TEXT(TRIM(N137),"00000")="89031", TEXT(TRIM(N137),"00000")="89032", TEXT(TRIM(N137),"00000")="89086", TEXT(TRIM(N137),"00000")="89084", TEXT(TRIM(N137),"00000")="89081"), "North LV",
  OR(TEXT(TRIM(N137),"00000")="89109", TEXT(TRIM(N137),"00000")="89103", TEXT(TRIM(N137),"00000")="89119", TEXT(TRIM(N137),"00000")="89123", TEXT(TRIM(N137),"00000")="89169", TEXT(TRIM(N137),"00000")="89118"), "South/Strip",
  OR(TEXT(TRIM(N137),"00000")="89074", TEXT(TRIM(N137),"00000")="89014", TEXT(TRIM(N137),"00000")="89015", TEXT(TRIM(N137),"00000")="89011", TEXT(TRIM(N137),"00000")="89012"), "Suburban SE",
  OR(TEXT(TRIM(N137),"00000")="89117", TEXT(TRIM(N137),"00000")="89128", TEXT(TRIM(N137),"00000")="89135", TEXT(TRIM(N137),"00000")="89144", TEXT(TRIM(N137),"00000")="89145", TEXT(TRIM(N137),"00000")="89147"), "West Valley",
  TRUE, "Other"
)</f>
        <v>Missing/Unknown</v>
      </c>
      <c r="P137" t="s">
        <v>3298</v>
      </c>
      <c r="Q137" t="str">
        <f t="shared" si="10"/>
        <v>Outdoors/Public</v>
      </c>
      <c r="R137" t="s">
        <v>5055</v>
      </c>
      <c r="S137" t="s">
        <v>5119</v>
      </c>
      <c r="T137" t="str" cm="1">
        <f t="array" ref="T137">_xlfn.IFS(
  TEXT(TRIM(S137),"00000")="NULL", "Missing/Unknown",
  OR(TEXT(TRIM(S137),"00000")="89101", TEXT(TRIM(S137),"00000")="89104", TEXT(TRIM(S137),"00000")="89106", TEXT(TRIM(S137),"00000")="89102", TEXT(TRIM(S137),"00000")="89107", TEXT(TRIM(S137),"00000")="89108"), "Urban Core",
  OR(TEXT(TRIM(S137),"00000")="89110", TEXT(TRIM(S137),"00000")="89115", TEXT(TRIM(S137),"00000")="89121", TEXT(TRIM(S137),"00000")="89122", TEXT(TRIM(S137),"00000")="89142", TEXT(TRIM(S137),"00000")="89156"), "East Valley",
  OR(TEXT(TRIM(S137),"00000")="89030", TEXT(TRIM(S137),"00000")="89031", TEXT(TRIM(S137),"00000")="89032", TEXT(TRIM(S137),"00000")="89086", TEXT(TRIM(S137),"00000")="89084", TEXT(TRIM(S137),"00000")="89081"), "North LV",
  OR(TEXT(TRIM(S137),"00000")="89109", TEXT(TRIM(S137),"00000")="89103", TEXT(TRIM(S137),"00000")="89119", TEXT(TRIM(S137),"00000")="89123", TEXT(TRIM(S137),"00000")="89169", TEXT(TRIM(S137),"00000")="89118"), "South/Strip",
  OR(TEXT(TRIM(S137),"00000")="89074", TEXT(TRIM(S137),"00000")="89014", TEXT(TRIM(S137),"00000")="89015", TEXT(TRIM(S137),"00000")="89011", TEXT(TRIM(S137),"00000")="89012"), "Suburban SE",
  OR(TEXT(TRIM(S137),"00000")="89117", TEXT(TRIM(S137),"00000")="89128", TEXT(TRIM(S137),"00000")="89135", TEXT(TRIM(S137),"00000")="89144", TEXT(TRIM(S137),"00000")="89145", TEXT(TRIM(S137),"00000")="89147"), "West Valley",
  TRUE, "Other"
)</f>
        <v>Urban Core</v>
      </c>
      <c r="U137" t="s">
        <v>4298</v>
      </c>
      <c r="V137" t="str">
        <f t="shared" si="11"/>
        <v>Other / Unknown</v>
      </c>
    </row>
    <row r="138" spans="1:22">
      <c r="A138" t="s">
        <v>3797</v>
      </c>
      <c r="B138" t="s">
        <v>3798</v>
      </c>
      <c r="C138" s="1">
        <v>45502</v>
      </c>
      <c r="D138" s="4">
        <v>105.08</v>
      </c>
      <c r="E138">
        <v>70</v>
      </c>
      <c r="F138" t="str">
        <f t="shared" si="8"/>
        <v>70's</v>
      </c>
      <c r="G138" t="str" cm="1">
        <f t="array" ref="G138">_xlfn.IFS(
  F138="10's", "Child (5–12)",
  OR(F138="20's", F138="30's"), "Young Adult (20–39)",
  OR(F138="40's", F138="50's"), "Adult (40–59)",
  OR(F138="60's", F138="70's", F138="80's", F138="90's"), "Senior (60+)",
  TRUE, "Unknown"
)</f>
        <v>Senior (60+)</v>
      </c>
      <c r="H138" t="s">
        <v>841</v>
      </c>
      <c r="I138" t="s">
        <v>172</v>
      </c>
      <c r="J138" t="str">
        <f t="shared" si="9"/>
        <v>Methamphetamine-related</v>
      </c>
      <c r="K138" t="s">
        <v>4160</v>
      </c>
      <c r="L138" t="s">
        <v>250</v>
      </c>
      <c r="M138" t="s">
        <v>4631</v>
      </c>
      <c r="N138" t="s">
        <v>5129</v>
      </c>
      <c r="O138" t="str" cm="1">
        <f t="array" ref="O138">_xlfn.IFS(
  TEXT(TRIM(N138),"00000")="NULL", "Missing/Unknown",
  OR(TEXT(TRIM(N138),"00000")="89101", TEXT(TRIM(N138),"00000")="89104", TEXT(TRIM(N138),"00000")="89106", TEXT(TRIM(N138),"00000")="89102", TEXT(TRIM(N138),"00000")="89107", TEXT(TRIM(N138),"00000")="89108"), "Urban Core",
  OR(TEXT(TRIM(N138),"00000")="89110", TEXT(TRIM(N138),"00000")="89115", TEXT(TRIM(N138),"00000")="89121", TEXT(TRIM(N138),"00000")="89122", TEXT(TRIM(N138),"00000")="89142", TEXT(TRIM(N138),"00000")="89156"), "East Valley",
  OR(TEXT(TRIM(N138),"00000")="89030", TEXT(TRIM(N138),"00000")="89031", TEXT(TRIM(N138),"00000")="89032", TEXT(TRIM(N138),"00000")="89086", TEXT(TRIM(N138),"00000")="89084", TEXT(TRIM(N138),"00000")="89081"), "North LV",
  OR(TEXT(TRIM(N138),"00000")="89109", TEXT(TRIM(N138),"00000")="89103", TEXT(TRIM(N138),"00000")="89119", TEXT(TRIM(N138),"00000")="89123", TEXT(TRIM(N138),"00000")="89169", TEXT(TRIM(N138),"00000")="89118"), "South/Strip",
  OR(TEXT(TRIM(N138),"00000")="89074", TEXT(TRIM(N138),"00000")="89014", TEXT(TRIM(N138),"00000")="89015", TEXT(TRIM(N138),"00000")="89011", TEXT(TRIM(N138),"00000")="89012"), "Suburban SE",
  OR(TEXT(TRIM(N138),"00000")="89117", TEXT(TRIM(N138),"00000")="89128", TEXT(TRIM(N138),"00000")="89135", TEXT(TRIM(N138),"00000")="89144", TEXT(TRIM(N138),"00000")="89145", TEXT(TRIM(N138),"00000")="89147"), "West Valley",
  TRUE, "Other"
)</f>
        <v>North LV</v>
      </c>
      <c r="P138" t="s">
        <v>3298</v>
      </c>
      <c r="Q138" t="str">
        <f t="shared" si="10"/>
        <v>Outdoors/Public</v>
      </c>
      <c r="R138" t="s">
        <v>4631</v>
      </c>
      <c r="S138" t="s">
        <v>5129</v>
      </c>
      <c r="T138" t="str" cm="1">
        <f t="array" ref="T138">_xlfn.IFS(
  TEXT(TRIM(S138),"00000")="NULL", "Missing/Unknown",
  OR(TEXT(TRIM(S138),"00000")="89101", TEXT(TRIM(S138),"00000")="89104", TEXT(TRIM(S138),"00000")="89106", TEXT(TRIM(S138),"00000")="89102", TEXT(TRIM(S138),"00000")="89107", TEXT(TRIM(S138),"00000")="89108"), "Urban Core",
  OR(TEXT(TRIM(S138),"00000")="89110", TEXT(TRIM(S138),"00000")="89115", TEXT(TRIM(S138),"00000")="89121", TEXT(TRIM(S138),"00000")="89122", TEXT(TRIM(S138),"00000")="89142", TEXT(TRIM(S138),"00000")="89156"), "East Valley",
  OR(TEXT(TRIM(S138),"00000")="89030", TEXT(TRIM(S138),"00000")="89031", TEXT(TRIM(S138),"00000")="89032", TEXT(TRIM(S138),"00000")="89086", TEXT(TRIM(S138),"00000")="89084", TEXT(TRIM(S138),"00000")="89081"), "North LV",
  OR(TEXT(TRIM(S138),"00000")="89109", TEXT(TRIM(S138),"00000")="89103", TEXT(TRIM(S138),"00000")="89119", TEXT(TRIM(S138),"00000")="89123", TEXT(TRIM(S138),"00000")="89169", TEXT(TRIM(S138),"00000")="89118"), "South/Strip",
  OR(TEXT(TRIM(S138),"00000")="89074", TEXT(TRIM(S138),"00000")="89014", TEXT(TRIM(S138),"00000")="89015", TEXT(TRIM(S138),"00000")="89011", TEXT(TRIM(S138),"00000")="89012"), "Suburban SE",
  OR(TEXT(TRIM(S138),"00000")="89117", TEXT(TRIM(S138),"00000")="89128", TEXT(TRIM(S138),"00000")="89135", TEXT(TRIM(S138),"00000")="89144", TEXT(TRIM(S138),"00000")="89145", TEXT(TRIM(S138),"00000")="89147"), "West Valley",
  TRUE, "Other"
)</f>
        <v>North LV</v>
      </c>
      <c r="U138" t="s">
        <v>3298</v>
      </c>
      <c r="V138" t="str">
        <f t="shared" si="11"/>
        <v>Outdoors/Public</v>
      </c>
    </row>
    <row r="139" spans="1:22">
      <c r="A139" t="s">
        <v>3906</v>
      </c>
      <c r="B139" t="s">
        <v>3907</v>
      </c>
      <c r="C139" s="1">
        <v>45502</v>
      </c>
      <c r="D139" s="4">
        <v>105.08</v>
      </c>
      <c r="E139">
        <v>38</v>
      </c>
      <c r="F139" t="str">
        <f t="shared" si="8"/>
        <v>30's</v>
      </c>
      <c r="G139" t="str" cm="1">
        <f t="array" ref="G139">_xlfn.IFS(
  F139="10's", "Child (5–12)",
  OR(F139="20's", F139="30's"), "Young Adult (20–39)",
  OR(F139="40's", F139="50's"), "Adult (40–59)",
  OR(F139="60's", F139="70's", F139="80's", F139="90's"), "Senior (60+)",
  TRUE, "Unknown"
)</f>
        <v>Young Adult (20–39)</v>
      </c>
      <c r="H139" t="s">
        <v>841</v>
      </c>
      <c r="I139" t="s">
        <v>3908</v>
      </c>
      <c r="J139" t="str">
        <f t="shared" si="9"/>
        <v>Methamphetamine-related</v>
      </c>
      <c r="K139" t="s">
        <v>35</v>
      </c>
      <c r="L139" t="s">
        <v>250</v>
      </c>
      <c r="N139" t="s">
        <v>5095</v>
      </c>
      <c r="O139" t="str" cm="1">
        <f t="array" ref="O139">_xlfn.IFS(
  TEXT(TRIM(N139),"00000")="NULL", "Missing/Unknown",
  OR(TEXT(TRIM(N139),"00000")="89101", TEXT(TRIM(N139),"00000")="89104", TEXT(TRIM(N139),"00000")="89106", TEXT(TRIM(N139),"00000")="89102", TEXT(TRIM(N139),"00000")="89107", TEXT(TRIM(N139),"00000")="89108"), "Urban Core",
  OR(TEXT(TRIM(N139),"00000")="89110", TEXT(TRIM(N139),"00000")="89115", TEXT(TRIM(N139),"00000")="89121", TEXT(TRIM(N139),"00000")="89122", TEXT(TRIM(N139),"00000")="89142", TEXT(TRIM(N139),"00000")="89156"), "East Valley",
  OR(TEXT(TRIM(N139),"00000")="89030", TEXT(TRIM(N139),"00000")="89031", TEXT(TRIM(N139),"00000")="89032", TEXT(TRIM(N139),"00000")="89086", TEXT(TRIM(N139),"00000")="89084", TEXT(TRIM(N139),"00000")="89081"), "North LV",
  OR(TEXT(TRIM(N139),"00000")="89109", TEXT(TRIM(N139),"00000")="89103", TEXT(TRIM(N139),"00000")="89119", TEXT(TRIM(N139),"00000")="89123", TEXT(TRIM(N139),"00000")="89169", TEXT(TRIM(N139),"00000")="89118"), "South/Strip",
  OR(TEXT(TRIM(N139),"00000")="89074", TEXT(TRIM(N139),"00000")="89014", TEXT(TRIM(N139),"00000")="89015", TEXT(TRIM(N139),"00000")="89011", TEXT(TRIM(N139),"00000")="89012"), "Suburban SE",
  OR(TEXT(TRIM(N139),"00000")="89117", TEXT(TRIM(N139),"00000")="89128", TEXT(TRIM(N139),"00000")="89135", TEXT(TRIM(N139),"00000")="89144", TEXT(TRIM(N139),"00000")="89145", TEXT(TRIM(N139),"00000")="89147"), "West Valley",
  TRUE, "Other"
)</f>
        <v>Missing/Unknown</v>
      </c>
      <c r="P139" t="s">
        <v>3298</v>
      </c>
      <c r="Q139" t="str">
        <f t="shared" si="10"/>
        <v>Outdoors/Public</v>
      </c>
      <c r="S139" t="s">
        <v>5095</v>
      </c>
      <c r="T139" t="str" cm="1">
        <f t="array" ref="T139">_xlfn.IFS(
  TEXT(TRIM(S139),"00000")="NULL", "Missing/Unknown",
  OR(TEXT(TRIM(S139),"00000")="89101", TEXT(TRIM(S139),"00000")="89104", TEXT(TRIM(S139),"00000")="89106", TEXT(TRIM(S139),"00000")="89102", TEXT(TRIM(S139),"00000")="89107", TEXT(TRIM(S139),"00000")="89108"), "Urban Core",
  OR(TEXT(TRIM(S139),"00000")="89110", TEXT(TRIM(S139),"00000")="89115", TEXT(TRIM(S139),"00000")="89121", TEXT(TRIM(S139),"00000")="89122", TEXT(TRIM(S139),"00000")="89142", TEXT(TRIM(S139),"00000")="89156"), "East Valley",
  OR(TEXT(TRIM(S139),"00000")="89030", TEXT(TRIM(S139),"00000")="89031", TEXT(TRIM(S139),"00000")="89032", TEXT(TRIM(S139),"00000")="89086", TEXT(TRIM(S139),"00000")="89084", TEXT(TRIM(S139),"00000")="89081"), "North LV",
  OR(TEXT(TRIM(S139),"00000")="89109", TEXT(TRIM(S139),"00000")="89103", TEXT(TRIM(S139),"00000")="89119", TEXT(TRIM(S139),"00000")="89123", TEXT(TRIM(S139),"00000")="89169", TEXT(TRIM(S139),"00000")="89118"), "South/Strip",
  OR(TEXT(TRIM(S139),"00000")="89074", TEXT(TRIM(S139),"00000")="89014", TEXT(TRIM(S139),"00000")="89015", TEXT(TRIM(S139),"00000")="89011", TEXT(TRIM(S139),"00000")="89012"), "Suburban SE",
  OR(TEXT(TRIM(S139),"00000")="89117", TEXT(TRIM(S139),"00000")="89128", TEXT(TRIM(S139),"00000")="89135", TEXT(TRIM(S139),"00000")="89144", TEXT(TRIM(S139),"00000")="89145", TEXT(TRIM(S139),"00000")="89147"), "West Valley",
  TRUE, "Other"
)</f>
        <v>Missing/Unknown</v>
      </c>
      <c r="U139" t="s">
        <v>3298</v>
      </c>
      <c r="V139" t="str">
        <f t="shared" si="11"/>
        <v>Outdoors/Public</v>
      </c>
    </row>
    <row r="140" spans="1:22">
      <c r="A140" t="s">
        <v>3794</v>
      </c>
      <c r="B140" t="s">
        <v>3795</v>
      </c>
      <c r="C140" s="1">
        <v>45501</v>
      </c>
      <c r="D140" s="4">
        <v>105.08</v>
      </c>
      <c r="E140">
        <v>34</v>
      </c>
      <c r="F140" t="str">
        <f t="shared" si="8"/>
        <v>30's</v>
      </c>
      <c r="G140" t="str" cm="1">
        <f t="array" ref="G140">_xlfn.IFS(
  F140="10's", "Child (5–12)",
  OR(F140="20's", F140="30's"), "Young Adult (20–39)",
  OR(F140="40's", F140="50's"), "Adult (40–59)",
  OR(F140="60's", F140="70's", F140="80's", F140="90's"), "Senior (60+)",
  TRUE, "Unknown"
)</f>
        <v>Young Adult (20–39)</v>
      </c>
      <c r="H140" t="s">
        <v>841</v>
      </c>
      <c r="I140" t="s">
        <v>172</v>
      </c>
      <c r="J140" t="str">
        <f t="shared" si="9"/>
        <v>Methamphetamine-related</v>
      </c>
      <c r="K140" t="s">
        <v>54</v>
      </c>
      <c r="L140" t="s">
        <v>250</v>
      </c>
      <c r="M140" t="s">
        <v>4674</v>
      </c>
      <c r="N140" t="s">
        <v>5123</v>
      </c>
      <c r="O140" t="str" cm="1">
        <f t="array" ref="O140">_xlfn.IFS(
  TEXT(TRIM(N140),"00000")="NULL", "Missing/Unknown",
  OR(TEXT(TRIM(N140),"00000")="89101", TEXT(TRIM(N140),"00000")="89104", TEXT(TRIM(N140),"00000")="89106", TEXT(TRIM(N140),"00000")="89102", TEXT(TRIM(N140),"00000")="89107", TEXT(TRIM(N140),"00000")="89108"), "Urban Core",
  OR(TEXT(TRIM(N140),"00000")="89110", TEXT(TRIM(N140),"00000")="89115", TEXT(TRIM(N140),"00000")="89121", TEXT(TRIM(N140),"00000")="89122", TEXT(TRIM(N140),"00000")="89142", TEXT(TRIM(N140),"00000")="89156"), "East Valley",
  OR(TEXT(TRIM(N140),"00000")="89030", TEXT(TRIM(N140),"00000")="89031", TEXT(TRIM(N140),"00000")="89032", TEXT(TRIM(N140),"00000")="89086", TEXT(TRIM(N140),"00000")="89084", TEXT(TRIM(N140),"00000")="89081"), "North LV",
  OR(TEXT(TRIM(N140),"00000")="89109", TEXT(TRIM(N140),"00000")="89103", TEXT(TRIM(N140),"00000")="89119", TEXT(TRIM(N140),"00000")="89123", TEXT(TRIM(N140),"00000")="89169", TEXT(TRIM(N140),"00000")="89118"), "South/Strip",
  OR(TEXT(TRIM(N140),"00000")="89074", TEXT(TRIM(N140),"00000")="89014", TEXT(TRIM(N140),"00000")="89015", TEXT(TRIM(N140),"00000")="89011", TEXT(TRIM(N140),"00000")="89012"), "Suburban SE",
  OR(TEXT(TRIM(N140),"00000")="89117", TEXT(TRIM(N140),"00000")="89128", TEXT(TRIM(N140),"00000")="89135", TEXT(TRIM(N140),"00000")="89144", TEXT(TRIM(N140),"00000")="89145", TEXT(TRIM(N140),"00000")="89147"), "West Valley",
  TRUE, "Other"
)</f>
        <v>South/Strip</v>
      </c>
      <c r="P140" t="s">
        <v>3298</v>
      </c>
      <c r="Q140" t="str">
        <f t="shared" si="10"/>
        <v>Outdoors/Public</v>
      </c>
      <c r="R140" t="s">
        <v>4674</v>
      </c>
      <c r="S140" t="s">
        <v>5123</v>
      </c>
      <c r="T140" t="str" cm="1">
        <f t="array" ref="T140">_xlfn.IFS(
  TEXT(TRIM(S140),"00000")="NULL", "Missing/Unknown",
  OR(TEXT(TRIM(S140),"00000")="89101", TEXT(TRIM(S140),"00000")="89104", TEXT(TRIM(S140),"00000")="89106", TEXT(TRIM(S140),"00000")="89102", TEXT(TRIM(S140),"00000")="89107", TEXT(TRIM(S140),"00000")="89108"), "Urban Core",
  OR(TEXT(TRIM(S140),"00000")="89110", TEXT(TRIM(S140),"00000")="89115", TEXT(TRIM(S140),"00000")="89121", TEXT(TRIM(S140),"00000")="89122", TEXT(TRIM(S140),"00000")="89142", TEXT(TRIM(S140),"00000")="89156"), "East Valley",
  OR(TEXT(TRIM(S140),"00000")="89030", TEXT(TRIM(S140),"00000")="89031", TEXT(TRIM(S140),"00000")="89032", TEXT(TRIM(S140),"00000")="89086", TEXT(TRIM(S140),"00000")="89084", TEXT(TRIM(S140),"00000")="89081"), "North LV",
  OR(TEXT(TRIM(S140),"00000")="89109", TEXT(TRIM(S140),"00000")="89103", TEXT(TRIM(S140),"00000")="89119", TEXT(TRIM(S140),"00000")="89123", TEXT(TRIM(S140),"00000")="89169", TEXT(TRIM(S140),"00000")="89118"), "South/Strip",
  OR(TEXT(TRIM(S140),"00000")="89074", TEXT(TRIM(S140),"00000")="89014", TEXT(TRIM(S140),"00000")="89015", TEXT(TRIM(S140),"00000")="89011", TEXT(TRIM(S140),"00000")="89012"), "Suburban SE",
  OR(TEXT(TRIM(S140),"00000")="89117", TEXT(TRIM(S140),"00000")="89128", TEXT(TRIM(S140),"00000")="89135", TEXT(TRIM(S140),"00000")="89144", TEXT(TRIM(S140),"00000")="89145", TEXT(TRIM(S140),"00000")="89147"), "West Valley",
  TRUE, "Other"
)</f>
        <v>South/Strip</v>
      </c>
      <c r="U140" t="s">
        <v>3298</v>
      </c>
      <c r="V140" t="str">
        <f t="shared" si="11"/>
        <v>Outdoors/Public</v>
      </c>
    </row>
    <row r="141" spans="1:22">
      <c r="A141" t="s">
        <v>3454</v>
      </c>
      <c r="B141" t="s">
        <v>3455</v>
      </c>
      <c r="C141" s="1">
        <v>45500</v>
      </c>
      <c r="D141" s="4">
        <v>105.98</v>
      </c>
      <c r="E141">
        <v>87</v>
      </c>
      <c r="F141" t="str">
        <f t="shared" si="8"/>
        <v>80's</v>
      </c>
      <c r="G141" t="str" cm="1">
        <f t="array" ref="G141">_xlfn.IFS(
  F141="10's", "Child (5–12)",
  OR(F141="20's", F141="30's"), "Young Adult (20–39)",
  OR(F141="40's", F141="50's"), "Adult (40–59)",
  OR(F141="60's", F141="70's", F141="80's", F141="90's"), "Senior (60+)",
  TRUE, "Unknown"
)</f>
        <v>Senior (60+)</v>
      </c>
      <c r="H141" t="s">
        <v>841</v>
      </c>
      <c r="I141" t="s">
        <v>4012</v>
      </c>
      <c r="J141" t="str">
        <f t="shared" si="9"/>
        <v>Cardiovascular Disease</v>
      </c>
      <c r="K141" t="s">
        <v>35</v>
      </c>
      <c r="L141" t="s">
        <v>1071</v>
      </c>
      <c r="M141" t="s">
        <v>4910</v>
      </c>
      <c r="N141" t="s">
        <v>5119</v>
      </c>
      <c r="O141" t="str" cm="1">
        <f t="array" ref="O141">_xlfn.IFS(
  TEXT(TRIM(N141),"00000")="NULL", "Missing/Unknown",
  OR(TEXT(TRIM(N141),"00000")="89101", TEXT(TRIM(N141),"00000")="89104", TEXT(TRIM(N141),"00000")="89106", TEXT(TRIM(N141),"00000")="89102", TEXT(TRIM(N141),"00000")="89107", TEXT(TRIM(N141),"00000")="89108"), "Urban Core",
  OR(TEXT(TRIM(N141),"00000")="89110", TEXT(TRIM(N141),"00000")="89115", TEXT(TRIM(N141),"00000")="89121", TEXT(TRIM(N141),"00000")="89122", TEXT(TRIM(N141),"00000")="89142", TEXT(TRIM(N141),"00000")="89156"), "East Valley",
  OR(TEXT(TRIM(N141),"00000")="89030", TEXT(TRIM(N141),"00000")="89031", TEXT(TRIM(N141),"00000")="89032", TEXT(TRIM(N141),"00000")="89086", TEXT(TRIM(N141),"00000")="89084", TEXT(TRIM(N141),"00000")="89081"), "North LV",
  OR(TEXT(TRIM(N141),"00000")="89109", TEXT(TRIM(N141),"00000")="89103", TEXT(TRIM(N141),"00000")="89119", TEXT(TRIM(N141),"00000")="89123", TEXT(TRIM(N141),"00000")="89169", TEXT(TRIM(N141),"00000")="89118"), "South/Strip",
  OR(TEXT(TRIM(N141),"00000")="89074", TEXT(TRIM(N141),"00000")="89014", TEXT(TRIM(N141),"00000")="89015", TEXT(TRIM(N141),"00000")="89011", TEXT(TRIM(N141),"00000")="89012"), "Suburban SE",
  OR(TEXT(TRIM(N141),"00000")="89117", TEXT(TRIM(N141),"00000")="89128", TEXT(TRIM(N141),"00000")="89135", TEXT(TRIM(N141),"00000")="89144", TEXT(TRIM(N141),"00000")="89145", TEXT(TRIM(N141),"00000")="89147"), "West Valley",
  TRUE, "Other"
)</f>
        <v>Urban Core</v>
      </c>
      <c r="P141" t="s">
        <v>1073</v>
      </c>
      <c r="Q141" t="str">
        <f t="shared" si="10"/>
        <v>Home/Residence</v>
      </c>
      <c r="R141" t="s">
        <v>4910</v>
      </c>
      <c r="S141" t="s">
        <v>5119</v>
      </c>
      <c r="T141" t="str" cm="1">
        <f t="array" ref="T141">_xlfn.IFS(
  TEXT(TRIM(S141),"00000")="NULL", "Missing/Unknown",
  OR(TEXT(TRIM(S141),"00000")="89101", TEXT(TRIM(S141),"00000")="89104", TEXT(TRIM(S141),"00000")="89106", TEXT(TRIM(S141),"00000")="89102", TEXT(TRIM(S141),"00000")="89107", TEXT(TRIM(S141),"00000")="89108"), "Urban Core",
  OR(TEXT(TRIM(S141),"00000")="89110", TEXT(TRIM(S141),"00000")="89115", TEXT(TRIM(S141),"00000")="89121", TEXT(TRIM(S141),"00000")="89122", TEXT(TRIM(S141),"00000")="89142", TEXT(TRIM(S141),"00000")="89156"), "East Valley",
  OR(TEXT(TRIM(S141),"00000")="89030", TEXT(TRIM(S141),"00000")="89031", TEXT(TRIM(S141),"00000")="89032", TEXT(TRIM(S141),"00000")="89086", TEXT(TRIM(S141),"00000")="89084", TEXT(TRIM(S141),"00000")="89081"), "North LV",
  OR(TEXT(TRIM(S141),"00000")="89109", TEXT(TRIM(S141),"00000")="89103", TEXT(TRIM(S141),"00000")="89119", TEXT(TRIM(S141),"00000")="89123", TEXT(TRIM(S141),"00000")="89169", TEXT(TRIM(S141),"00000")="89118"), "South/Strip",
  OR(TEXT(TRIM(S141),"00000")="89074", TEXT(TRIM(S141),"00000")="89014", TEXT(TRIM(S141),"00000")="89015", TEXT(TRIM(S141),"00000")="89011", TEXT(TRIM(S141),"00000")="89012"), "Suburban SE",
  OR(TEXT(TRIM(S141),"00000")="89117", TEXT(TRIM(S141),"00000")="89128", TEXT(TRIM(S141),"00000")="89135", TEXT(TRIM(S141),"00000")="89144", TEXT(TRIM(S141),"00000")="89145", TEXT(TRIM(S141),"00000")="89147"), "West Valley",
  TRUE, "Other"
)</f>
        <v>Urban Core</v>
      </c>
      <c r="U141" t="s">
        <v>1073</v>
      </c>
      <c r="V141" t="str">
        <f t="shared" si="11"/>
        <v>Home/Residence</v>
      </c>
    </row>
    <row r="142" spans="1:22">
      <c r="A142" t="s">
        <v>2791</v>
      </c>
      <c r="B142" t="s">
        <v>2792</v>
      </c>
      <c r="C142" s="1">
        <v>45500</v>
      </c>
      <c r="D142" s="4">
        <v>105.98</v>
      </c>
      <c r="E142">
        <v>49</v>
      </c>
      <c r="F142" t="str">
        <f t="shared" si="8"/>
        <v>40's</v>
      </c>
      <c r="G142" t="str" cm="1">
        <f t="array" ref="G142">_xlfn.IFS(
  F142="10's", "Child (5–12)",
  OR(F142="20's", F142="30's"), "Young Adult (20–39)",
  OR(F142="40's", F142="50's"), "Adult (40–59)",
  OR(F142="60's", F142="70's", F142="80's", F142="90's"), "Senior (60+)",
  TRUE, "Unknown"
)</f>
        <v>Adult (40–59)</v>
      </c>
      <c r="H142" t="s">
        <v>778</v>
      </c>
      <c r="I142" t="s">
        <v>4041</v>
      </c>
      <c r="J142" t="str">
        <f t="shared" si="9"/>
        <v>Environmental Heat</v>
      </c>
      <c r="K142" t="s">
        <v>2794</v>
      </c>
      <c r="L142" t="s">
        <v>250</v>
      </c>
      <c r="M142" t="s">
        <v>4341</v>
      </c>
      <c r="N142" t="s">
        <v>5100</v>
      </c>
      <c r="O142" t="str" cm="1">
        <f t="array" ref="O142">_xlfn.IFS(
  TEXT(TRIM(N142),"00000")="NULL", "Missing/Unknown",
  OR(TEXT(TRIM(N142),"00000")="89101", TEXT(TRIM(N142),"00000")="89104", TEXT(TRIM(N142),"00000")="89106", TEXT(TRIM(N142),"00000")="89102", TEXT(TRIM(N142),"00000")="89107", TEXT(TRIM(N142),"00000")="89108"), "Urban Core",
  OR(TEXT(TRIM(N142),"00000")="89110", TEXT(TRIM(N142),"00000")="89115", TEXT(TRIM(N142),"00000")="89121", TEXT(TRIM(N142),"00000")="89122", TEXT(TRIM(N142),"00000")="89142", TEXT(TRIM(N142),"00000")="89156"), "East Valley",
  OR(TEXT(TRIM(N142),"00000")="89030", TEXT(TRIM(N142),"00000")="89031", TEXT(TRIM(N142),"00000")="89032", TEXT(TRIM(N142),"00000")="89086", TEXT(TRIM(N142),"00000")="89084", TEXT(TRIM(N142),"00000")="89081"), "North LV",
  OR(TEXT(TRIM(N142),"00000")="89109", TEXT(TRIM(N142),"00000")="89103", TEXT(TRIM(N142),"00000")="89119", TEXT(TRIM(N142),"00000")="89123", TEXT(TRIM(N142),"00000")="89169", TEXT(TRIM(N142),"00000")="89118"), "South/Strip",
  OR(TEXT(TRIM(N142),"00000")="89074", TEXT(TRIM(N142),"00000")="89014", TEXT(TRIM(N142),"00000")="89015", TEXT(TRIM(N142),"00000")="89011", TEXT(TRIM(N142),"00000")="89012"), "Suburban SE",
  OR(TEXT(TRIM(N142),"00000")="89117", TEXT(TRIM(N142),"00000")="89128", TEXT(TRIM(N142),"00000")="89135", TEXT(TRIM(N142),"00000")="89144", TEXT(TRIM(N142),"00000")="89145", TEXT(TRIM(N142),"00000")="89147"), "West Valley",
  TRUE, "Other"
)</f>
        <v>North LV</v>
      </c>
      <c r="P142" t="s">
        <v>4298</v>
      </c>
      <c r="Q142" t="str">
        <f t="shared" si="10"/>
        <v>Other / Unknown</v>
      </c>
      <c r="R142" t="s">
        <v>4341</v>
      </c>
      <c r="S142" t="s">
        <v>5100</v>
      </c>
      <c r="T142" t="str" cm="1">
        <f t="array" ref="T142">_xlfn.IFS(
  TEXT(TRIM(S142),"00000")="NULL", "Missing/Unknown",
  OR(TEXT(TRIM(S142),"00000")="89101", TEXT(TRIM(S142),"00000")="89104", TEXT(TRIM(S142),"00000")="89106", TEXT(TRIM(S142),"00000")="89102", TEXT(TRIM(S142),"00000")="89107", TEXT(TRIM(S142),"00000")="89108"), "Urban Core",
  OR(TEXT(TRIM(S142),"00000")="89110", TEXT(TRIM(S142),"00000")="89115", TEXT(TRIM(S142),"00000")="89121", TEXT(TRIM(S142),"00000")="89122", TEXT(TRIM(S142),"00000")="89142", TEXT(TRIM(S142),"00000")="89156"), "East Valley",
  OR(TEXT(TRIM(S142),"00000")="89030", TEXT(TRIM(S142),"00000")="89031", TEXT(TRIM(S142),"00000")="89032", TEXT(TRIM(S142),"00000")="89086", TEXT(TRIM(S142),"00000")="89084", TEXT(TRIM(S142),"00000")="89081"), "North LV",
  OR(TEXT(TRIM(S142),"00000")="89109", TEXT(TRIM(S142),"00000")="89103", TEXT(TRIM(S142),"00000")="89119", TEXT(TRIM(S142),"00000")="89123", TEXT(TRIM(S142),"00000")="89169", TEXT(TRIM(S142),"00000")="89118"), "South/Strip",
  OR(TEXT(TRIM(S142),"00000")="89074", TEXT(TRIM(S142),"00000")="89014", TEXT(TRIM(S142),"00000")="89015", TEXT(TRIM(S142),"00000")="89011", TEXT(TRIM(S142),"00000")="89012"), "Suburban SE",
  OR(TEXT(TRIM(S142),"00000")="89117", TEXT(TRIM(S142),"00000")="89128", TEXT(TRIM(S142),"00000")="89135", TEXT(TRIM(S142),"00000")="89144", TEXT(TRIM(S142),"00000")="89145", TEXT(TRIM(S142),"00000")="89147"), "West Valley",
  TRUE, "Other"
)</f>
        <v>North LV</v>
      </c>
      <c r="U142" t="s">
        <v>4298</v>
      </c>
      <c r="V142" t="str">
        <f t="shared" si="11"/>
        <v>Other / Unknown</v>
      </c>
    </row>
    <row r="143" spans="1:22">
      <c r="A143" t="s">
        <v>3909</v>
      </c>
      <c r="B143" t="s">
        <v>3910</v>
      </c>
      <c r="C143" s="1">
        <v>45500</v>
      </c>
      <c r="D143" s="4">
        <v>105.98</v>
      </c>
      <c r="E143">
        <v>36</v>
      </c>
      <c r="F143" t="str">
        <f t="shared" si="8"/>
        <v>30's</v>
      </c>
      <c r="G143" t="str" cm="1">
        <f t="array" ref="G143">_xlfn.IFS(
  F143="10's", "Child (5–12)",
  OR(F143="20's", F143="30's"), "Young Adult (20–39)",
  OR(F143="40's", F143="50's"), "Adult (40–59)",
  OR(F143="60's", F143="70's", F143="80's", F143="90's"), "Senior (60+)",
  TRUE, "Unknown"
)</f>
        <v>Young Adult (20–39)</v>
      </c>
      <c r="H143" t="s">
        <v>4310</v>
      </c>
      <c r="I143" t="s">
        <v>3911</v>
      </c>
      <c r="J143" t="str">
        <f t="shared" si="9"/>
        <v>Methamphetamine-related</v>
      </c>
      <c r="K143" t="s">
        <v>35</v>
      </c>
      <c r="L143" t="s">
        <v>250</v>
      </c>
      <c r="M143" t="s">
        <v>5015</v>
      </c>
      <c r="N143" t="s">
        <v>5098</v>
      </c>
      <c r="O143" t="str" cm="1">
        <f t="array" ref="O143">_xlfn.IFS(
  TEXT(TRIM(N143),"00000")="NULL", "Missing/Unknown",
  OR(TEXT(TRIM(N143),"00000")="89101", TEXT(TRIM(N143),"00000")="89104", TEXT(TRIM(N143),"00000")="89106", TEXT(TRIM(N143),"00000")="89102", TEXT(TRIM(N143),"00000")="89107", TEXT(TRIM(N143),"00000")="89108"), "Urban Core",
  OR(TEXT(TRIM(N143),"00000")="89110", TEXT(TRIM(N143),"00000")="89115", TEXT(TRIM(N143),"00000")="89121", TEXT(TRIM(N143),"00000")="89122", TEXT(TRIM(N143),"00000")="89142", TEXT(TRIM(N143),"00000")="89156"), "East Valley",
  OR(TEXT(TRIM(N143),"00000")="89030", TEXT(TRIM(N143),"00000")="89031", TEXT(TRIM(N143),"00000")="89032", TEXT(TRIM(N143),"00000")="89086", TEXT(TRIM(N143),"00000")="89084", TEXT(TRIM(N143),"00000")="89081"), "North LV",
  OR(TEXT(TRIM(N143),"00000")="89109", TEXT(TRIM(N143),"00000")="89103", TEXT(TRIM(N143),"00000")="89119", TEXT(TRIM(N143),"00000")="89123", TEXT(TRIM(N143),"00000")="89169", TEXT(TRIM(N143),"00000")="89118"), "South/Strip",
  OR(TEXT(TRIM(N143),"00000")="89074", TEXT(TRIM(N143),"00000")="89014", TEXT(TRIM(N143),"00000")="89015", TEXT(TRIM(N143),"00000")="89011", TEXT(TRIM(N143),"00000")="89012"), "Suburban SE",
  OR(TEXT(TRIM(N143),"00000")="89117", TEXT(TRIM(N143),"00000")="89128", TEXT(TRIM(N143),"00000")="89135", TEXT(TRIM(N143),"00000")="89144", TEXT(TRIM(N143),"00000")="89145", TEXT(TRIM(N143),"00000")="89147"), "West Valley",
  TRUE, "Other"
)</f>
        <v>Urban Core</v>
      </c>
      <c r="P143" t="s">
        <v>3298</v>
      </c>
      <c r="Q143" t="str">
        <f t="shared" si="10"/>
        <v>Outdoors/Public</v>
      </c>
      <c r="R143" t="s">
        <v>5015</v>
      </c>
      <c r="S143" t="s">
        <v>5098</v>
      </c>
      <c r="T143" t="str" cm="1">
        <f t="array" ref="T143">_xlfn.IFS(
  TEXT(TRIM(S143),"00000")="NULL", "Missing/Unknown",
  OR(TEXT(TRIM(S143),"00000")="89101", TEXT(TRIM(S143),"00000")="89104", TEXT(TRIM(S143),"00000")="89106", TEXT(TRIM(S143),"00000")="89102", TEXT(TRIM(S143),"00000")="89107", TEXT(TRIM(S143),"00000")="89108"), "Urban Core",
  OR(TEXT(TRIM(S143),"00000")="89110", TEXT(TRIM(S143),"00000")="89115", TEXT(TRIM(S143),"00000")="89121", TEXT(TRIM(S143),"00000")="89122", TEXT(TRIM(S143),"00000")="89142", TEXT(TRIM(S143),"00000")="89156"), "East Valley",
  OR(TEXT(TRIM(S143),"00000")="89030", TEXT(TRIM(S143),"00000")="89031", TEXT(TRIM(S143),"00000")="89032", TEXT(TRIM(S143),"00000")="89086", TEXT(TRIM(S143),"00000")="89084", TEXT(TRIM(S143),"00000")="89081"), "North LV",
  OR(TEXT(TRIM(S143),"00000")="89109", TEXT(TRIM(S143),"00000")="89103", TEXT(TRIM(S143),"00000")="89119", TEXT(TRIM(S143),"00000")="89123", TEXT(TRIM(S143),"00000")="89169", TEXT(TRIM(S143),"00000")="89118"), "South/Strip",
  OR(TEXT(TRIM(S143),"00000")="89074", TEXT(TRIM(S143),"00000")="89014", TEXT(TRIM(S143),"00000")="89015", TEXT(TRIM(S143),"00000")="89011", TEXT(TRIM(S143),"00000")="89012"), "Suburban SE",
  OR(TEXT(TRIM(S143),"00000")="89117", TEXT(TRIM(S143),"00000")="89128", TEXT(TRIM(S143),"00000")="89135", TEXT(TRIM(S143),"00000")="89144", TEXT(TRIM(S143),"00000")="89145", TEXT(TRIM(S143),"00000")="89147"), "West Valley",
  TRUE, "Other"
)</f>
        <v>Urban Core</v>
      </c>
      <c r="U143" t="s">
        <v>3298</v>
      </c>
      <c r="V143" t="str">
        <f t="shared" si="11"/>
        <v>Outdoors/Public</v>
      </c>
    </row>
    <row r="144" spans="1:22">
      <c r="A144" t="s">
        <v>3647</v>
      </c>
      <c r="B144" t="s">
        <v>3648</v>
      </c>
      <c r="C144" s="1">
        <v>45500</v>
      </c>
      <c r="D144" s="4">
        <v>105.98</v>
      </c>
      <c r="E144">
        <v>79</v>
      </c>
      <c r="F144" t="str">
        <f t="shared" si="8"/>
        <v>70's</v>
      </c>
      <c r="G144" t="str" cm="1">
        <f t="array" ref="G144">_xlfn.IFS(
  F144="10's", "Child (5–12)",
  OR(F144="20's", F144="30's"), "Young Adult (20–39)",
  OR(F144="40's", F144="50's"), "Adult (40–59)",
  OR(F144="60's", F144="70's", F144="80's", F144="90's"), "Senior (60+)",
  TRUE, "Unknown"
)</f>
        <v>Senior (60+)</v>
      </c>
      <c r="H144" t="s">
        <v>841</v>
      </c>
      <c r="I144" t="s">
        <v>3649</v>
      </c>
      <c r="J144" t="str">
        <f t="shared" si="9"/>
        <v>Other / Unknown</v>
      </c>
      <c r="K144" t="s">
        <v>54</v>
      </c>
      <c r="L144" t="s">
        <v>1071</v>
      </c>
      <c r="M144" t="s">
        <v>4911</v>
      </c>
      <c r="N144" t="s">
        <v>5128</v>
      </c>
      <c r="O144" t="str" cm="1">
        <f t="array" ref="O144">_xlfn.IFS(
  TEXT(TRIM(N144),"00000")="NULL", "Missing/Unknown",
  OR(TEXT(TRIM(N144),"00000")="89101", TEXT(TRIM(N144),"00000")="89104", TEXT(TRIM(N144),"00000")="89106", TEXT(TRIM(N144),"00000")="89102", TEXT(TRIM(N144),"00000")="89107", TEXT(TRIM(N144),"00000")="89108"), "Urban Core",
  OR(TEXT(TRIM(N144),"00000")="89110", TEXT(TRIM(N144),"00000")="89115", TEXT(TRIM(N144),"00000")="89121", TEXT(TRIM(N144),"00000")="89122", TEXT(TRIM(N144),"00000")="89142", TEXT(TRIM(N144),"00000")="89156"), "East Valley",
  OR(TEXT(TRIM(N144),"00000")="89030", TEXT(TRIM(N144),"00000")="89031", TEXT(TRIM(N144),"00000")="89032", TEXT(TRIM(N144),"00000")="89086", TEXT(TRIM(N144),"00000")="89084", TEXT(TRIM(N144),"00000")="89081"), "North LV",
  OR(TEXT(TRIM(N144),"00000")="89109", TEXT(TRIM(N144),"00000")="89103", TEXT(TRIM(N144),"00000")="89119", TEXT(TRIM(N144),"00000")="89123", TEXT(TRIM(N144),"00000")="89169", TEXT(TRIM(N144),"00000")="89118"), "South/Strip",
  OR(TEXT(TRIM(N144),"00000")="89074", TEXT(TRIM(N144),"00000")="89014", TEXT(TRIM(N144),"00000")="89015", TEXT(TRIM(N144),"00000")="89011", TEXT(TRIM(N144),"00000")="89012"), "Suburban SE",
  OR(TEXT(TRIM(N144),"00000")="89117", TEXT(TRIM(N144),"00000")="89128", TEXT(TRIM(N144),"00000")="89135", TEXT(TRIM(N144),"00000")="89144", TEXT(TRIM(N144),"00000")="89145", TEXT(TRIM(N144),"00000")="89147"), "West Valley",
  TRUE, "Other"
)</f>
        <v>East Valley</v>
      </c>
      <c r="P144" t="s">
        <v>1073</v>
      </c>
      <c r="Q144" t="str">
        <f t="shared" si="10"/>
        <v>Home/Residence</v>
      </c>
      <c r="R144" t="s">
        <v>4911</v>
      </c>
      <c r="S144" t="s">
        <v>5128</v>
      </c>
      <c r="T144" t="str" cm="1">
        <f t="array" ref="T144">_xlfn.IFS(
  TEXT(TRIM(S144),"00000")="NULL", "Missing/Unknown",
  OR(TEXT(TRIM(S144),"00000")="89101", TEXT(TRIM(S144),"00000")="89104", TEXT(TRIM(S144),"00000")="89106", TEXT(TRIM(S144),"00000")="89102", TEXT(TRIM(S144),"00000")="89107", TEXT(TRIM(S144),"00000")="89108"), "Urban Core",
  OR(TEXT(TRIM(S144),"00000")="89110", TEXT(TRIM(S144),"00000")="89115", TEXT(TRIM(S144),"00000")="89121", TEXT(TRIM(S144),"00000")="89122", TEXT(TRIM(S144),"00000")="89142", TEXT(TRIM(S144),"00000")="89156"), "East Valley",
  OR(TEXT(TRIM(S144),"00000")="89030", TEXT(TRIM(S144),"00000")="89031", TEXT(TRIM(S144),"00000")="89032", TEXT(TRIM(S144),"00000")="89086", TEXT(TRIM(S144),"00000")="89084", TEXT(TRIM(S144),"00000")="89081"), "North LV",
  OR(TEXT(TRIM(S144),"00000")="89109", TEXT(TRIM(S144),"00000")="89103", TEXT(TRIM(S144),"00000")="89119", TEXT(TRIM(S144),"00000")="89123", TEXT(TRIM(S144),"00000")="89169", TEXT(TRIM(S144),"00000")="89118"), "South/Strip",
  OR(TEXT(TRIM(S144),"00000")="89074", TEXT(TRIM(S144),"00000")="89014", TEXT(TRIM(S144),"00000")="89015", TEXT(TRIM(S144),"00000")="89011", TEXT(TRIM(S144),"00000")="89012"), "Suburban SE",
  OR(TEXT(TRIM(S144),"00000")="89117", TEXT(TRIM(S144),"00000")="89128", TEXT(TRIM(S144),"00000")="89135", TEXT(TRIM(S144),"00000")="89144", TEXT(TRIM(S144),"00000")="89145", TEXT(TRIM(S144),"00000")="89147"), "West Valley",
  TRUE, "Other"
)</f>
        <v>East Valley</v>
      </c>
      <c r="U144" t="s">
        <v>1073</v>
      </c>
      <c r="V144" t="str">
        <f t="shared" si="11"/>
        <v>Home/Residence</v>
      </c>
    </row>
    <row r="145" spans="1:22">
      <c r="A145" t="s">
        <v>3457</v>
      </c>
      <c r="B145" t="s">
        <v>3458</v>
      </c>
      <c r="C145" s="1">
        <v>45500</v>
      </c>
      <c r="D145" s="4">
        <v>105.98</v>
      </c>
      <c r="E145">
        <v>64</v>
      </c>
      <c r="F145" t="str">
        <f t="shared" si="8"/>
        <v>60's</v>
      </c>
      <c r="G145" t="str" cm="1">
        <f t="array" ref="G145">_xlfn.IFS(
  F145="10's", "Child (5–12)",
  OR(F145="20's", F145="30's"), "Young Adult (20–39)",
  OR(F145="40's", F145="50's"), "Adult (40–59)",
  OR(F145="60's", F145="70's", F145="80's", F145="90's"), "Senior (60+)",
  TRUE, "Unknown"
)</f>
        <v>Senior (60+)</v>
      </c>
      <c r="H145" t="s">
        <v>841</v>
      </c>
      <c r="I145" t="s">
        <v>4012</v>
      </c>
      <c r="J145" t="str">
        <f t="shared" si="9"/>
        <v>Cardiovascular Disease</v>
      </c>
      <c r="K145" t="s">
        <v>3459</v>
      </c>
      <c r="L145" t="s">
        <v>1071</v>
      </c>
      <c r="M145" t="s">
        <v>5014</v>
      </c>
      <c r="N145" t="s">
        <v>5115</v>
      </c>
      <c r="O145" t="str" cm="1">
        <f t="array" ref="O145">_xlfn.IFS(
  TEXT(TRIM(N145),"00000")="NULL", "Missing/Unknown",
  OR(TEXT(TRIM(N145),"00000")="89101", TEXT(TRIM(N145),"00000")="89104", TEXT(TRIM(N145),"00000")="89106", TEXT(TRIM(N145),"00000")="89102", TEXT(TRIM(N145),"00000")="89107", TEXT(TRIM(N145),"00000")="89108"), "Urban Core",
  OR(TEXT(TRIM(N145),"00000")="89110", TEXT(TRIM(N145),"00000")="89115", TEXT(TRIM(N145),"00000")="89121", TEXT(TRIM(N145),"00000")="89122", TEXT(TRIM(N145),"00000")="89142", TEXT(TRIM(N145),"00000")="89156"), "East Valley",
  OR(TEXT(TRIM(N145),"00000")="89030", TEXT(TRIM(N145),"00000")="89031", TEXT(TRIM(N145),"00000")="89032", TEXT(TRIM(N145),"00000")="89086", TEXT(TRIM(N145),"00000")="89084", TEXT(TRIM(N145),"00000")="89081"), "North LV",
  OR(TEXT(TRIM(N145),"00000")="89109", TEXT(TRIM(N145),"00000")="89103", TEXT(TRIM(N145),"00000")="89119", TEXT(TRIM(N145),"00000")="89123", TEXT(TRIM(N145),"00000")="89169", TEXT(TRIM(N145),"00000")="89118"), "South/Strip",
  OR(TEXT(TRIM(N145),"00000")="89074", TEXT(TRIM(N145),"00000")="89014", TEXT(TRIM(N145),"00000")="89015", TEXT(TRIM(N145),"00000")="89011", TEXT(TRIM(N145),"00000")="89012"), "Suburban SE",
  OR(TEXT(TRIM(N145),"00000")="89117", TEXT(TRIM(N145),"00000")="89128", TEXT(TRIM(N145),"00000")="89135", TEXT(TRIM(N145),"00000")="89144", TEXT(TRIM(N145),"00000")="89145", TEXT(TRIM(N145),"00000")="89147"), "West Valley",
  TRUE, "Other"
)</f>
        <v>Other</v>
      </c>
      <c r="P145" t="s">
        <v>3298</v>
      </c>
      <c r="Q145" t="str">
        <f t="shared" si="10"/>
        <v>Outdoors/Public</v>
      </c>
      <c r="R145" t="s">
        <v>5014</v>
      </c>
      <c r="S145" t="s">
        <v>5115</v>
      </c>
      <c r="T145" t="str" cm="1">
        <f t="array" ref="T145">_xlfn.IFS(
  TEXT(TRIM(S145),"00000")="NULL", "Missing/Unknown",
  OR(TEXT(TRIM(S145),"00000")="89101", TEXT(TRIM(S145),"00000")="89104", TEXT(TRIM(S145),"00000")="89106", TEXT(TRIM(S145),"00000")="89102", TEXT(TRIM(S145),"00000")="89107", TEXT(TRIM(S145),"00000")="89108"), "Urban Core",
  OR(TEXT(TRIM(S145),"00000")="89110", TEXT(TRIM(S145),"00000")="89115", TEXT(TRIM(S145),"00000")="89121", TEXT(TRIM(S145),"00000")="89122", TEXT(TRIM(S145),"00000")="89142", TEXT(TRIM(S145),"00000")="89156"), "East Valley",
  OR(TEXT(TRIM(S145),"00000")="89030", TEXT(TRIM(S145),"00000")="89031", TEXT(TRIM(S145),"00000")="89032", TEXT(TRIM(S145),"00000")="89086", TEXT(TRIM(S145),"00000")="89084", TEXT(TRIM(S145),"00000")="89081"), "North LV",
  OR(TEXT(TRIM(S145),"00000")="89109", TEXT(TRIM(S145),"00000")="89103", TEXT(TRIM(S145),"00000")="89119", TEXT(TRIM(S145),"00000")="89123", TEXT(TRIM(S145),"00000")="89169", TEXT(TRIM(S145),"00000")="89118"), "South/Strip",
  OR(TEXT(TRIM(S145),"00000")="89074", TEXT(TRIM(S145),"00000")="89014", TEXT(TRIM(S145),"00000")="89015", TEXT(TRIM(S145),"00000")="89011", TEXT(TRIM(S145),"00000")="89012"), "Suburban SE",
  OR(TEXT(TRIM(S145),"00000")="89117", TEXT(TRIM(S145),"00000")="89128", TEXT(TRIM(S145),"00000")="89135", TEXT(TRIM(S145),"00000")="89144", TEXT(TRIM(S145),"00000")="89145", TEXT(TRIM(S145),"00000")="89147"), "West Valley",
  TRUE, "Other"
)</f>
        <v>Other</v>
      </c>
      <c r="U145" t="s">
        <v>3298</v>
      </c>
      <c r="V145" t="str">
        <f t="shared" si="11"/>
        <v>Outdoors/Public</v>
      </c>
    </row>
    <row r="146" spans="1:22">
      <c r="A146" t="s">
        <v>3191</v>
      </c>
      <c r="B146" t="s">
        <v>3192</v>
      </c>
      <c r="C146" s="1">
        <v>45500</v>
      </c>
      <c r="D146" s="4">
        <v>105.98</v>
      </c>
      <c r="E146">
        <v>66</v>
      </c>
      <c r="F146" t="str">
        <f t="shared" si="8"/>
        <v>60's</v>
      </c>
      <c r="G146" t="str" cm="1">
        <f t="array" ref="G146">_xlfn.IFS(
  F146="10's", "Child (5–12)",
  OR(F146="20's", F146="30's"), "Young Adult (20–39)",
  OR(F146="40's", F146="50's"), "Adult (40–59)",
  OR(F146="60's", F146="70's", F146="80's", F146="90's"), "Senior (60+)",
  TRUE, "Unknown"
)</f>
        <v>Senior (60+)</v>
      </c>
      <c r="H146" t="s">
        <v>841</v>
      </c>
      <c r="I146" t="s">
        <v>54</v>
      </c>
      <c r="J146" t="str">
        <f t="shared" si="9"/>
        <v>Environmental Heat</v>
      </c>
      <c r="K146" t="s">
        <v>3193</v>
      </c>
      <c r="L146" t="s">
        <v>250</v>
      </c>
      <c r="M146" t="s">
        <v>4675</v>
      </c>
      <c r="N146" t="s">
        <v>5111</v>
      </c>
      <c r="O146" t="str" cm="1">
        <f t="array" ref="O146">_xlfn.IFS(
  TEXT(TRIM(N146),"00000")="NULL", "Missing/Unknown",
  OR(TEXT(TRIM(N146),"00000")="89101", TEXT(TRIM(N146),"00000")="89104", TEXT(TRIM(N146),"00000")="89106", TEXT(TRIM(N146),"00000")="89102", TEXT(TRIM(N146),"00000")="89107", TEXT(TRIM(N146),"00000")="89108"), "Urban Core",
  OR(TEXT(TRIM(N146),"00000")="89110", TEXT(TRIM(N146),"00000")="89115", TEXT(TRIM(N146),"00000")="89121", TEXT(TRIM(N146),"00000")="89122", TEXT(TRIM(N146),"00000")="89142", TEXT(TRIM(N146),"00000")="89156"), "East Valley",
  OR(TEXT(TRIM(N146),"00000")="89030", TEXT(TRIM(N146),"00000")="89031", TEXT(TRIM(N146),"00000")="89032", TEXT(TRIM(N146),"00000")="89086", TEXT(TRIM(N146),"00000")="89084", TEXT(TRIM(N146),"00000")="89081"), "North LV",
  OR(TEXT(TRIM(N146),"00000")="89109", TEXT(TRIM(N146),"00000")="89103", TEXT(TRIM(N146),"00000")="89119", TEXT(TRIM(N146),"00000")="89123", TEXT(TRIM(N146),"00000")="89169", TEXT(TRIM(N146),"00000")="89118"), "South/Strip",
  OR(TEXT(TRIM(N146),"00000")="89074", TEXT(TRIM(N146),"00000")="89014", TEXT(TRIM(N146),"00000")="89015", TEXT(TRIM(N146),"00000")="89011", TEXT(TRIM(N146),"00000")="89012"), "Suburban SE",
  OR(TEXT(TRIM(N146),"00000")="89117", TEXT(TRIM(N146),"00000")="89128", TEXT(TRIM(N146),"00000")="89135", TEXT(TRIM(N146),"00000")="89144", TEXT(TRIM(N146),"00000")="89145", TEXT(TRIM(N146),"00000")="89147"), "West Valley",
  TRUE, "Other"
)</f>
        <v>West Valley</v>
      </c>
      <c r="P146" t="s">
        <v>3298</v>
      </c>
      <c r="Q146" t="str">
        <f t="shared" si="10"/>
        <v>Outdoors/Public</v>
      </c>
      <c r="R146" t="s">
        <v>4675</v>
      </c>
      <c r="S146" t="s">
        <v>5111</v>
      </c>
      <c r="T146" t="str" cm="1">
        <f t="array" ref="T146">_xlfn.IFS(
  TEXT(TRIM(S146),"00000")="NULL", "Missing/Unknown",
  OR(TEXT(TRIM(S146),"00000")="89101", TEXT(TRIM(S146),"00000")="89104", TEXT(TRIM(S146),"00000")="89106", TEXT(TRIM(S146),"00000")="89102", TEXT(TRIM(S146),"00000")="89107", TEXT(TRIM(S146),"00000")="89108"), "Urban Core",
  OR(TEXT(TRIM(S146),"00000")="89110", TEXT(TRIM(S146),"00000")="89115", TEXT(TRIM(S146),"00000")="89121", TEXT(TRIM(S146),"00000")="89122", TEXT(TRIM(S146),"00000")="89142", TEXT(TRIM(S146),"00000")="89156"), "East Valley",
  OR(TEXT(TRIM(S146),"00000")="89030", TEXT(TRIM(S146),"00000")="89031", TEXT(TRIM(S146),"00000")="89032", TEXT(TRIM(S146),"00000")="89086", TEXT(TRIM(S146),"00000")="89084", TEXT(TRIM(S146),"00000")="89081"), "North LV",
  OR(TEXT(TRIM(S146),"00000")="89109", TEXT(TRIM(S146),"00000")="89103", TEXT(TRIM(S146),"00000")="89119", TEXT(TRIM(S146),"00000")="89123", TEXT(TRIM(S146),"00000")="89169", TEXT(TRIM(S146),"00000")="89118"), "South/Strip",
  OR(TEXT(TRIM(S146),"00000")="89074", TEXT(TRIM(S146),"00000")="89014", TEXT(TRIM(S146),"00000")="89015", TEXT(TRIM(S146),"00000")="89011", TEXT(TRIM(S146),"00000")="89012"), "Suburban SE",
  OR(TEXT(TRIM(S146),"00000")="89117", TEXT(TRIM(S146),"00000")="89128", TEXT(TRIM(S146),"00000")="89135", TEXT(TRIM(S146),"00000")="89144", TEXT(TRIM(S146),"00000")="89145", TEXT(TRIM(S146),"00000")="89147"), "West Valley",
  TRUE, "Other"
)</f>
        <v>West Valley</v>
      </c>
      <c r="U146" t="s">
        <v>3298</v>
      </c>
      <c r="V146" t="str">
        <f t="shared" si="11"/>
        <v>Outdoors/Public</v>
      </c>
    </row>
    <row r="147" spans="1:22">
      <c r="A147" t="s">
        <v>3600</v>
      </c>
      <c r="B147" t="s">
        <v>3601</v>
      </c>
      <c r="C147" s="1">
        <v>45500</v>
      </c>
      <c r="D147" s="4">
        <v>105.98</v>
      </c>
      <c r="E147">
        <v>73</v>
      </c>
      <c r="F147" t="str">
        <f t="shared" si="8"/>
        <v>70's</v>
      </c>
      <c r="G147" t="str" cm="1">
        <f t="array" ref="G147">_xlfn.IFS(
  F147="10's", "Child (5–12)",
  OR(F147="20's", F147="30's"), "Young Adult (20–39)",
  OR(F147="40's", F147="50's"), "Adult (40–59)",
  OR(F147="60's", F147="70's", F147="80's", F147="90's"), "Senior (60+)",
  TRUE, "Unknown"
)</f>
        <v>Senior (60+)</v>
      </c>
      <c r="H147" t="s">
        <v>778</v>
      </c>
      <c r="I147" t="s">
        <v>97</v>
      </c>
      <c r="J147" t="str">
        <f t="shared" si="9"/>
        <v>Environmental Heat</v>
      </c>
      <c r="K147" t="s">
        <v>98</v>
      </c>
      <c r="L147" t="s">
        <v>1071</v>
      </c>
      <c r="M147" t="s">
        <v>4585</v>
      </c>
      <c r="N147" t="s">
        <v>5108</v>
      </c>
      <c r="O147" t="str" cm="1">
        <f t="array" ref="O147">_xlfn.IFS(
  TEXT(TRIM(N147),"00000")="NULL", "Missing/Unknown",
  OR(TEXT(TRIM(N147),"00000")="89101", TEXT(TRIM(N147),"00000")="89104", TEXT(TRIM(N147),"00000")="89106", TEXT(TRIM(N147),"00000")="89102", TEXT(TRIM(N147),"00000")="89107", TEXT(TRIM(N147),"00000")="89108"), "Urban Core",
  OR(TEXT(TRIM(N147),"00000")="89110", TEXT(TRIM(N147),"00000")="89115", TEXT(TRIM(N147),"00000")="89121", TEXT(TRIM(N147),"00000")="89122", TEXT(TRIM(N147),"00000")="89142", TEXT(TRIM(N147),"00000")="89156"), "East Valley",
  OR(TEXT(TRIM(N147),"00000")="89030", TEXT(TRIM(N147),"00000")="89031", TEXT(TRIM(N147),"00000")="89032", TEXT(TRIM(N147),"00000")="89086", TEXT(TRIM(N147),"00000")="89084", TEXT(TRIM(N147),"00000")="89081"), "North LV",
  OR(TEXT(TRIM(N147),"00000")="89109", TEXT(TRIM(N147),"00000")="89103", TEXT(TRIM(N147),"00000")="89119", TEXT(TRIM(N147),"00000")="89123", TEXT(TRIM(N147),"00000")="89169", TEXT(TRIM(N147),"00000")="89118"), "South/Strip",
  OR(TEXT(TRIM(N147),"00000")="89074", TEXT(TRIM(N147),"00000")="89014", TEXT(TRIM(N147),"00000")="89015", TEXT(TRIM(N147),"00000")="89011", TEXT(TRIM(N147),"00000")="89012"), "Suburban SE",
  OR(TEXT(TRIM(N147),"00000")="89117", TEXT(TRIM(N147),"00000")="89128", TEXT(TRIM(N147),"00000")="89135", TEXT(TRIM(N147),"00000")="89144", TEXT(TRIM(N147),"00000")="89145", TEXT(TRIM(N147),"00000")="89147"), "West Valley",
  TRUE, "Other"
)</f>
        <v>East Valley</v>
      </c>
      <c r="P147" t="s">
        <v>1073</v>
      </c>
      <c r="Q147" t="str">
        <f t="shared" si="10"/>
        <v>Home/Residence</v>
      </c>
      <c r="R147" t="s">
        <v>4713</v>
      </c>
      <c r="S147" t="s">
        <v>5125</v>
      </c>
      <c r="T147" t="str" cm="1">
        <f t="array" ref="T147">_xlfn.IFS(
  TEXT(TRIM(S147),"00000")="NULL", "Missing/Unknown",
  OR(TEXT(TRIM(S147),"00000")="89101", TEXT(TRIM(S147),"00000")="89104", TEXT(TRIM(S147),"00000")="89106", TEXT(TRIM(S147),"00000")="89102", TEXT(TRIM(S147),"00000")="89107", TEXT(TRIM(S147),"00000")="89108"), "Urban Core",
  OR(TEXT(TRIM(S147),"00000")="89110", TEXT(TRIM(S147),"00000")="89115", TEXT(TRIM(S147),"00000")="89121", TEXT(TRIM(S147),"00000")="89122", TEXT(TRIM(S147),"00000")="89142", TEXT(TRIM(S147),"00000")="89156"), "East Valley",
  OR(TEXT(TRIM(S147),"00000")="89030", TEXT(TRIM(S147),"00000")="89031", TEXT(TRIM(S147),"00000")="89032", TEXT(TRIM(S147),"00000")="89086", TEXT(TRIM(S147),"00000")="89084", TEXT(TRIM(S147),"00000")="89081"), "North LV",
  OR(TEXT(TRIM(S147),"00000")="89109", TEXT(TRIM(S147),"00000")="89103", TEXT(TRIM(S147),"00000")="89119", TEXT(TRIM(S147),"00000")="89123", TEXT(TRIM(S147),"00000")="89169", TEXT(TRIM(S147),"00000")="89118"), "South/Strip",
  OR(TEXT(TRIM(S147),"00000")="89074", TEXT(TRIM(S147),"00000")="89014", TEXT(TRIM(S147),"00000")="89015", TEXT(TRIM(S147),"00000")="89011", TEXT(TRIM(S147),"00000")="89012"), "Suburban SE",
  OR(TEXT(TRIM(S147),"00000")="89117", TEXT(TRIM(S147),"00000")="89128", TEXT(TRIM(S147),"00000")="89135", TEXT(TRIM(S147),"00000")="89144", TEXT(TRIM(S147),"00000")="89145", TEXT(TRIM(S147),"00000")="89147"), "West Valley",
  TRUE, "Other"
)</f>
        <v>South/Strip</v>
      </c>
      <c r="U147" t="s">
        <v>4305</v>
      </c>
      <c r="V147" t="str">
        <f t="shared" si="11"/>
        <v>Medical Facility</v>
      </c>
    </row>
    <row r="148" spans="1:22">
      <c r="A148" t="s">
        <v>2917</v>
      </c>
      <c r="B148" t="s">
        <v>2918</v>
      </c>
      <c r="C148" s="1">
        <v>45500</v>
      </c>
      <c r="D148" s="4">
        <v>105.98</v>
      </c>
      <c r="E148">
        <v>54</v>
      </c>
      <c r="F148" t="str">
        <f t="shared" si="8"/>
        <v>50's</v>
      </c>
      <c r="G148" t="str" cm="1">
        <f t="array" ref="G148">_xlfn.IFS(
  F148="10's", "Child (5–12)",
  OR(F148="20's", F148="30's"), "Young Adult (20–39)",
  OR(F148="40's", F148="50's"), "Adult (40–59)",
  OR(F148="60's", F148="70's", F148="80's", F148="90's"), "Senior (60+)",
  TRUE, "Unknown"
)</f>
        <v>Adult (40–59)</v>
      </c>
      <c r="H148" t="s">
        <v>841</v>
      </c>
      <c r="I148" t="s">
        <v>4042</v>
      </c>
      <c r="J148" t="str">
        <f t="shared" si="9"/>
        <v>Environmental Heat</v>
      </c>
      <c r="K148" t="s">
        <v>2920</v>
      </c>
      <c r="L148" t="s">
        <v>250</v>
      </c>
      <c r="N148" t="s">
        <v>5095</v>
      </c>
      <c r="O148" t="str" cm="1">
        <f t="array" ref="O148">_xlfn.IFS(
  TEXT(TRIM(N148),"00000")="NULL", "Missing/Unknown",
  OR(TEXT(TRIM(N148),"00000")="89101", TEXT(TRIM(N148),"00000")="89104", TEXT(TRIM(N148),"00000")="89106", TEXT(TRIM(N148),"00000")="89102", TEXT(TRIM(N148),"00000")="89107", TEXT(TRIM(N148),"00000")="89108"), "Urban Core",
  OR(TEXT(TRIM(N148),"00000")="89110", TEXT(TRIM(N148),"00000")="89115", TEXT(TRIM(N148),"00000")="89121", TEXT(TRIM(N148),"00000")="89122", TEXT(TRIM(N148),"00000")="89142", TEXT(TRIM(N148),"00000")="89156"), "East Valley",
  OR(TEXT(TRIM(N148),"00000")="89030", TEXT(TRIM(N148),"00000")="89031", TEXT(TRIM(N148),"00000")="89032", TEXT(TRIM(N148),"00000")="89086", TEXT(TRIM(N148),"00000")="89084", TEXT(TRIM(N148),"00000")="89081"), "North LV",
  OR(TEXT(TRIM(N148),"00000")="89109", TEXT(TRIM(N148),"00000")="89103", TEXT(TRIM(N148),"00000")="89119", TEXT(TRIM(N148),"00000")="89123", TEXT(TRIM(N148),"00000")="89169", TEXT(TRIM(N148),"00000")="89118"), "South/Strip",
  OR(TEXT(TRIM(N148),"00000")="89074", TEXT(TRIM(N148),"00000")="89014", TEXT(TRIM(N148),"00000")="89015", TEXT(TRIM(N148),"00000")="89011", TEXT(TRIM(N148),"00000")="89012"), "Suburban SE",
  OR(TEXT(TRIM(N148),"00000")="89117", TEXT(TRIM(N148),"00000")="89128", TEXT(TRIM(N148),"00000")="89135", TEXT(TRIM(N148),"00000")="89144", TEXT(TRIM(N148),"00000")="89145", TEXT(TRIM(N148),"00000")="89147"), "West Valley",
  TRUE, "Other"
)</f>
        <v>Missing/Unknown</v>
      </c>
      <c r="P148" t="s">
        <v>3298</v>
      </c>
      <c r="Q148" t="str">
        <f t="shared" si="10"/>
        <v>Outdoors/Public</v>
      </c>
      <c r="S148" t="s">
        <v>5095</v>
      </c>
      <c r="T148" t="str" cm="1">
        <f t="array" ref="T148">_xlfn.IFS(
  TEXT(TRIM(S148),"00000")="NULL", "Missing/Unknown",
  OR(TEXT(TRIM(S148),"00000")="89101", TEXT(TRIM(S148),"00000")="89104", TEXT(TRIM(S148),"00000")="89106", TEXT(TRIM(S148),"00000")="89102", TEXT(TRIM(S148),"00000")="89107", TEXT(TRIM(S148),"00000")="89108"), "Urban Core",
  OR(TEXT(TRIM(S148),"00000")="89110", TEXT(TRIM(S148),"00000")="89115", TEXT(TRIM(S148),"00000")="89121", TEXT(TRIM(S148),"00000")="89122", TEXT(TRIM(S148),"00000")="89142", TEXT(TRIM(S148),"00000")="89156"), "East Valley",
  OR(TEXT(TRIM(S148),"00000")="89030", TEXT(TRIM(S148),"00000")="89031", TEXT(TRIM(S148),"00000")="89032", TEXT(TRIM(S148),"00000")="89086", TEXT(TRIM(S148),"00000")="89084", TEXT(TRIM(S148),"00000")="89081"), "North LV",
  OR(TEXT(TRIM(S148),"00000")="89109", TEXT(TRIM(S148),"00000")="89103", TEXT(TRIM(S148),"00000")="89119", TEXT(TRIM(S148),"00000")="89123", TEXT(TRIM(S148),"00000")="89169", TEXT(TRIM(S148),"00000")="89118"), "South/Strip",
  OR(TEXT(TRIM(S148),"00000")="89074", TEXT(TRIM(S148),"00000")="89014", TEXT(TRIM(S148),"00000")="89015", TEXT(TRIM(S148),"00000")="89011", TEXT(TRIM(S148),"00000")="89012"), "Suburban SE",
  OR(TEXT(TRIM(S148),"00000")="89117", TEXT(TRIM(S148),"00000")="89128", TEXT(TRIM(S148),"00000")="89135", TEXT(TRIM(S148),"00000")="89144", TEXT(TRIM(S148),"00000")="89145", TEXT(TRIM(S148),"00000")="89147"), "West Valley",
  TRUE, "Other"
)</f>
        <v>Missing/Unknown</v>
      </c>
      <c r="U148" t="s">
        <v>3298</v>
      </c>
      <c r="V148" t="str">
        <f t="shared" si="11"/>
        <v>Outdoors/Public</v>
      </c>
    </row>
    <row r="149" spans="1:22">
      <c r="A149" t="s">
        <v>2466</v>
      </c>
      <c r="B149" t="s">
        <v>2467</v>
      </c>
      <c r="C149" s="1">
        <v>45500</v>
      </c>
      <c r="D149" s="4">
        <v>105.98</v>
      </c>
      <c r="E149">
        <v>63</v>
      </c>
      <c r="F149" t="str">
        <f t="shared" si="8"/>
        <v>60's</v>
      </c>
      <c r="G149" t="str" cm="1">
        <f t="array" ref="G149">_xlfn.IFS(
  F149="10's", "Child (5–12)",
  OR(F149="20's", F149="30's"), "Young Adult (20–39)",
  OR(F149="40's", F149="50's"), "Adult (40–59)",
  OR(F149="60's", F149="70's", F149="80's", F149="90's"), "Senior (60+)",
  TRUE, "Unknown"
)</f>
        <v>Senior (60+)</v>
      </c>
      <c r="H149" t="s">
        <v>778</v>
      </c>
      <c r="I149" t="s">
        <v>4040</v>
      </c>
      <c r="J149" t="str">
        <f t="shared" si="9"/>
        <v>Methamphetamine-related</v>
      </c>
      <c r="K149" t="s">
        <v>4161</v>
      </c>
      <c r="L149" t="s">
        <v>250</v>
      </c>
      <c r="N149" t="s">
        <v>5095</v>
      </c>
      <c r="O149" t="str" cm="1">
        <f t="array" ref="O149">_xlfn.IFS(
  TEXT(TRIM(N149),"00000")="NULL", "Missing/Unknown",
  OR(TEXT(TRIM(N149),"00000")="89101", TEXT(TRIM(N149),"00000")="89104", TEXT(TRIM(N149),"00000")="89106", TEXT(TRIM(N149),"00000")="89102", TEXT(TRIM(N149),"00000")="89107", TEXT(TRIM(N149),"00000")="89108"), "Urban Core",
  OR(TEXT(TRIM(N149),"00000")="89110", TEXT(TRIM(N149),"00000")="89115", TEXT(TRIM(N149),"00000")="89121", TEXT(TRIM(N149),"00000")="89122", TEXT(TRIM(N149),"00000")="89142", TEXT(TRIM(N149),"00000")="89156"), "East Valley",
  OR(TEXT(TRIM(N149),"00000")="89030", TEXT(TRIM(N149),"00000")="89031", TEXT(TRIM(N149),"00000")="89032", TEXT(TRIM(N149),"00000")="89086", TEXT(TRIM(N149),"00000")="89084", TEXT(TRIM(N149),"00000")="89081"), "North LV",
  OR(TEXT(TRIM(N149),"00000")="89109", TEXT(TRIM(N149),"00000")="89103", TEXT(TRIM(N149),"00000")="89119", TEXT(TRIM(N149),"00000")="89123", TEXT(TRIM(N149),"00000")="89169", TEXT(TRIM(N149),"00000")="89118"), "South/Strip",
  OR(TEXT(TRIM(N149),"00000")="89074", TEXT(TRIM(N149),"00000")="89014", TEXT(TRIM(N149),"00000")="89015", TEXT(TRIM(N149),"00000")="89011", TEXT(TRIM(N149),"00000")="89012"), "Suburban SE",
  OR(TEXT(TRIM(N149),"00000")="89117", TEXT(TRIM(N149),"00000")="89128", TEXT(TRIM(N149),"00000")="89135", TEXT(TRIM(N149),"00000")="89144", TEXT(TRIM(N149),"00000")="89145", TEXT(TRIM(N149),"00000")="89147"), "West Valley",
  TRUE, "Other"
)</f>
        <v>Missing/Unknown</v>
      </c>
      <c r="P149" t="s">
        <v>65</v>
      </c>
      <c r="Q149" t="str">
        <f t="shared" si="10"/>
        <v>Vehicle-related</v>
      </c>
      <c r="S149" t="s">
        <v>5095</v>
      </c>
      <c r="T149" t="str" cm="1">
        <f t="array" ref="T149">_xlfn.IFS(
  TEXT(TRIM(S149),"00000")="NULL", "Missing/Unknown",
  OR(TEXT(TRIM(S149),"00000")="89101", TEXT(TRIM(S149),"00000")="89104", TEXT(TRIM(S149),"00000")="89106", TEXT(TRIM(S149),"00000")="89102", TEXT(TRIM(S149),"00000")="89107", TEXT(TRIM(S149),"00000")="89108"), "Urban Core",
  OR(TEXT(TRIM(S149),"00000")="89110", TEXT(TRIM(S149),"00000")="89115", TEXT(TRIM(S149),"00000")="89121", TEXT(TRIM(S149),"00000")="89122", TEXT(TRIM(S149),"00000")="89142", TEXT(TRIM(S149),"00000")="89156"), "East Valley",
  OR(TEXT(TRIM(S149),"00000")="89030", TEXT(TRIM(S149),"00000")="89031", TEXT(TRIM(S149),"00000")="89032", TEXT(TRIM(S149),"00000")="89086", TEXT(TRIM(S149),"00000")="89084", TEXT(TRIM(S149),"00000")="89081"), "North LV",
  OR(TEXT(TRIM(S149),"00000")="89109", TEXT(TRIM(S149),"00000")="89103", TEXT(TRIM(S149),"00000")="89119", TEXT(TRIM(S149),"00000")="89123", TEXT(TRIM(S149),"00000")="89169", TEXT(TRIM(S149),"00000")="89118"), "South/Strip",
  OR(TEXT(TRIM(S149),"00000")="89074", TEXT(TRIM(S149),"00000")="89014", TEXT(TRIM(S149),"00000")="89015", TEXT(TRIM(S149),"00000")="89011", TEXT(TRIM(S149),"00000")="89012"), "Suburban SE",
  OR(TEXT(TRIM(S149),"00000")="89117", TEXT(TRIM(S149),"00000")="89128", TEXT(TRIM(S149),"00000")="89135", TEXT(TRIM(S149),"00000")="89144", TEXT(TRIM(S149),"00000")="89145", TEXT(TRIM(S149),"00000")="89147"), "West Valley",
  TRUE, "Other"
)</f>
        <v>Missing/Unknown</v>
      </c>
      <c r="U149" t="s">
        <v>65</v>
      </c>
      <c r="V149" t="str">
        <f t="shared" si="11"/>
        <v>Vehicle-related</v>
      </c>
    </row>
    <row r="150" spans="1:22">
      <c r="A150" t="s">
        <v>3189</v>
      </c>
      <c r="B150" t="s">
        <v>3190</v>
      </c>
      <c r="C150" s="1">
        <v>45500</v>
      </c>
      <c r="D150" s="4">
        <v>105.98</v>
      </c>
      <c r="E150">
        <v>40</v>
      </c>
      <c r="F150" t="str">
        <f t="shared" si="8"/>
        <v>40's</v>
      </c>
      <c r="G150" t="str" cm="1">
        <f t="array" ref="G150">_xlfn.IFS(
  F150="10's", "Child (5–12)",
  OR(F150="20's", F150="30's"), "Young Adult (20–39)",
  OR(F150="40's", F150="50's"), "Adult (40–59)",
  OR(F150="60's", F150="70's", F150="80's", F150="90's"), "Senior (60+)",
  TRUE, "Unknown"
)</f>
        <v>Adult (40–59)</v>
      </c>
      <c r="H150" t="s">
        <v>778</v>
      </c>
      <c r="I150" t="s">
        <v>54</v>
      </c>
      <c r="J150" t="str">
        <f t="shared" si="9"/>
        <v>Environmental Heat</v>
      </c>
      <c r="K150" t="s">
        <v>4040</v>
      </c>
      <c r="L150" t="s">
        <v>250</v>
      </c>
      <c r="N150" t="s">
        <v>5095</v>
      </c>
      <c r="O150" t="str" cm="1">
        <f t="array" ref="O150">_xlfn.IFS(
  TEXT(TRIM(N150),"00000")="NULL", "Missing/Unknown",
  OR(TEXT(TRIM(N150),"00000")="89101", TEXT(TRIM(N150),"00000")="89104", TEXT(TRIM(N150),"00000")="89106", TEXT(TRIM(N150),"00000")="89102", TEXT(TRIM(N150),"00000")="89107", TEXT(TRIM(N150),"00000")="89108"), "Urban Core",
  OR(TEXT(TRIM(N150),"00000")="89110", TEXT(TRIM(N150),"00000")="89115", TEXT(TRIM(N150),"00000")="89121", TEXT(TRIM(N150),"00000")="89122", TEXT(TRIM(N150),"00000")="89142", TEXT(TRIM(N150),"00000")="89156"), "East Valley",
  OR(TEXT(TRIM(N150),"00000")="89030", TEXT(TRIM(N150),"00000")="89031", TEXT(TRIM(N150),"00000")="89032", TEXT(TRIM(N150),"00000")="89086", TEXT(TRIM(N150),"00000")="89084", TEXT(TRIM(N150),"00000")="89081"), "North LV",
  OR(TEXT(TRIM(N150),"00000")="89109", TEXT(TRIM(N150),"00000")="89103", TEXT(TRIM(N150),"00000")="89119", TEXT(TRIM(N150),"00000")="89123", TEXT(TRIM(N150),"00000")="89169", TEXT(TRIM(N150),"00000")="89118"), "South/Strip",
  OR(TEXT(TRIM(N150),"00000")="89074", TEXT(TRIM(N150),"00000")="89014", TEXT(TRIM(N150),"00000")="89015", TEXT(TRIM(N150),"00000")="89011", TEXT(TRIM(N150),"00000")="89012"), "Suburban SE",
  OR(TEXT(TRIM(N150),"00000")="89117", TEXT(TRIM(N150),"00000")="89128", TEXT(TRIM(N150),"00000")="89135", TEXT(TRIM(N150),"00000")="89144", TEXT(TRIM(N150),"00000")="89145", TEXT(TRIM(N150),"00000")="89147"), "West Valley",
  TRUE, "Other"
)</f>
        <v>Missing/Unknown</v>
      </c>
      <c r="P150" t="s">
        <v>3298</v>
      </c>
      <c r="Q150" t="str">
        <f t="shared" si="10"/>
        <v>Outdoors/Public</v>
      </c>
      <c r="S150" t="s">
        <v>5095</v>
      </c>
      <c r="T150" t="str" cm="1">
        <f t="array" ref="T150">_xlfn.IFS(
  TEXT(TRIM(S150),"00000")="NULL", "Missing/Unknown",
  OR(TEXT(TRIM(S150),"00000")="89101", TEXT(TRIM(S150),"00000")="89104", TEXT(TRIM(S150),"00000")="89106", TEXT(TRIM(S150),"00000")="89102", TEXT(TRIM(S150),"00000")="89107", TEXT(TRIM(S150),"00000")="89108"), "Urban Core",
  OR(TEXT(TRIM(S150),"00000")="89110", TEXT(TRIM(S150),"00000")="89115", TEXT(TRIM(S150),"00000")="89121", TEXT(TRIM(S150),"00000")="89122", TEXT(TRIM(S150),"00000")="89142", TEXT(TRIM(S150),"00000")="89156"), "East Valley",
  OR(TEXT(TRIM(S150),"00000")="89030", TEXT(TRIM(S150),"00000")="89031", TEXT(TRIM(S150),"00000")="89032", TEXT(TRIM(S150),"00000")="89086", TEXT(TRIM(S150),"00000")="89084", TEXT(TRIM(S150),"00000")="89081"), "North LV",
  OR(TEXT(TRIM(S150),"00000")="89109", TEXT(TRIM(S150),"00000")="89103", TEXT(TRIM(S150),"00000")="89119", TEXT(TRIM(S150),"00000")="89123", TEXT(TRIM(S150),"00000")="89169", TEXT(TRIM(S150),"00000")="89118"), "South/Strip",
  OR(TEXT(TRIM(S150),"00000")="89074", TEXT(TRIM(S150),"00000")="89014", TEXT(TRIM(S150),"00000")="89015", TEXT(TRIM(S150),"00000")="89011", TEXT(TRIM(S150),"00000")="89012"), "Suburban SE",
  OR(TEXT(TRIM(S150),"00000")="89117", TEXT(TRIM(S150),"00000")="89128", TEXT(TRIM(S150),"00000")="89135", TEXT(TRIM(S150),"00000")="89144", TEXT(TRIM(S150),"00000")="89145", TEXT(TRIM(S150),"00000")="89147"), "West Valley",
  TRUE, "Other"
)</f>
        <v>Missing/Unknown</v>
      </c>
      <c r="U150" t="s">
        <v>3298</v>
      </c>
      <c r="V150" t="str">
        <f t="shared" si="11"/>
        <v>Outdoors/Public</v>
      </c>
    </row>
    <row r="151" spans="1:22">
      <c r="A151" t="s">
        <v>3451</v>
      </c>
      <c r="B151" t="s">
        <v>3452</v>
      </c>
      <c r="C151" s="1">
        <v>45500</v>
      </c>
      <c r="D151" s="4">
        <v>105.98</v>
      </c>
      <c r="E151">
        <v>54</v>
      </c>
      <c r="F151" t="str">
        <f t="shared" si="8"/>
        <v>50's</v>
      </c>
      <c r="G151" t="str" cm="1">
        <f t="array" ref="G151">_xlfn.IFS(
  F151="10's", "Child (5–12)",
  OR(F151="20's", F151="30's"), "Young Adult (20–39)",
  OR(F151="40's", F151="50's"), "Adult (40–59)",
  OR(F151="60's", F151="70's", F151="80's", F151="90's"), "Senior (60+)",
  TRUE, "Unknown"
)</f>
        <v>Adult (40–59)</v>
      </c>
      <c r="H151" t="s">
        <v>841</v>
      </c>
      <c r="I151" t="s">
        <v>4012</v>
      </c>
      <c r="J151" t="str">
        <f t="shared" si="9"/>
        <v>Cardiovascular Disease</v>
      </c>
      <c r="K151" t="s">
        <v>3453</v>
      </c>
      <c r="L151" t="s">
        <v>250</v>
      </c>
      <c r="N151" t="s">
        <v>5095</v>
      </c>
      <c r="O151" t="str" cm="1">
        <f t="array" ref="O151">_xlfn.IFS(
  TEXT(TRIM(N151),"00000")="NULL", "Missing/Unknown",
  OR(TEXT(TRIM(N151),"00000")="89101", TEXT(TRIM(N151),"00000")="89104", TEXT(TRIM(N151),"00000")="89106", TEXT(TRIM(N151),"00000")="89102", TEXT(TRIM(N151),"00000")="89107", TEXT(TRIM(N151),"00000")="89108"), "Urban Core",
  OR(TEXT(TRIM(N151),"00000")="89110", TEXT(TRIM(N151),"00000")="89115", TEXT(TRIM(N151),"00000")="89121", TEXT(TRIM(N151),"00000")="89122", TEXT(TRIM(N151),"00000")="89142", TEXT(TRIM(N151),"00000")="89156"), "East Valley",
  OR(TEXT(TRIM(N151),"00000")="89030", TEXT(TRIM(N151),"00000")="89031", TEXT(TRIM(N151),"00000")="89032", TEXT(TRIM(N151),"00000")="89086", TEXT(TRIM(N151),"00000")="89084", TEXT(TRIM(N151),"00000")="89081"), "North LV",
  OR(TEXT(TRIM(N151),"00000")="89109", TEXT(TRIM(N151),"00000")="89103", TEXT(TRIM(N151),"00000")="89119", TEXT(TRIM(N151),"00000")="89123", TEXT(TRIM(N151),"00000")="89169", TEXT(TRIM(N151),"00000")="89118"), "South/Strip",
  OR(TEXT(TRIM(N151),"00000")="89074", TEXT(TRIM(N151),"00000")="89014", TEXT(TRIM(N151),"00000")="89015", TEXT(TRIM(N151),"00000")="89011", TEXT(TRIM(N151),"00000")="89012"), "Suburban SE",
  OR(TEXT(TRIM(N151),"00000")="89117", TEXT(TRIM(N151),"00000")="89128", TEXT(TRIM(N151),"00000")="89135", TEXT(TRIM(N151),"00000")="89144", TEXT(TRIM(N151),"00000")="89145", TEXT(TRIM(N151),"00000")="89147"), "West Valley",
  TRUE, "Other"
)</f>
        <v>Missing/Unknown</v>
      </c>
      <c r="P151" t="s">
        <v>3298</v>
      </c>
      <c r="Q151" t="str">
        <f t="shared" si="10"/>
        <v>Outdoors/Public</v>
      </c>
      <c r="S151" t="s">
        <v>5095</v>
      </c>
      <c r="T151" t="str" cm="1">
        <f t="array" ref="T151">_xlfn.IFS(
  TEXT(TRIM(S151),"00000")="NULL", "Missing/Unknown",
  OR(TEXT(TRIM(S151),"00000")="89101", TEXT(TRIM(S151),"00000")="89104", TEXT(TRIM(S151),"00000")="89106", TEXT(TRIM(S151),"00000")="89102", TEXT(TRIM(S151),"00000")="89107", TEXT(TRIM(S151),"00000")="89108"), "Urban Core",
  OR(TEXT(TRIM(S151),"00000")="89110", TEXT(TRIM(S151),"00000")="89115", TEXT(TRIM(S151),"00000")="89121", TEXT(TRIM(S151),"00000")="89122", TEXT(TRIM(S151),"00000")="89142", TEXT(TRIM(S151),"00000")="89156"), "East Valley",
  OR(TEXT(TRIM(S151),"00000")="89030", TEXT(TRIM(S151),"00000")="89031", TEXT(TRIM(S151),"00000")="89032", TEXT(TRIM(S151),"00000")="89086", TEXT(TRIM(S151),"00000")="89084", TEXT(TRIM(S151),"00000")="89081"), "North LV",
  OR(TEXT(TRIM(S151),"00000")="89109", TEXT(TRIM(S151),"00000")="89103", TEXT(TRIM(S151),"00000")="89119", TEXT(TRIM(S151),"00000")="89123", TEXT(TRIM(S151),"00000")="89169", TEXT(TRIM(S151),"00000")="89118"), "South/Strip",
  OR(TEXT(TRIM(S151),"00000")="89074", TEXT(TRIM(S151),"00000")="89014", TEXT(TRIM(S151),"00000")="89015", TEXT(TRIM(S151),"00000")="89011", TEXT(TRIM(S151),"00000")="89012"), "Suburban SE",
  OR(TEXT(TRIM(S151),"00000")="89117", TEXT(TRIM(S151),"00000")="89128", TEXT(TRIM(S151),"00000")="89135", TEXT(TRIM(S151),"00000")="89144", TEXT(TRIM(S151),"00000")="89145", TEXT(TRIM(S151),"00000")="89147"), "West Valley",
  TRUE, "Other"
)</f>
        <v>Missing/Unknown</v>
      </c>
      <c r="U151" t="s">
        <v>3298</v>
      </c>
      <c r="V151" t="str">
        <f t="shared" si="11"/>
        <v>Outdoors/Public</v>
      </c>
    </row>
    <row r="152" spans="1:22">
      <c r="A152" t="s">
        <v>3288</v>
      </c>
      <c r="B152" t="s">
        <v>3289</v>
      </c>
      <c r="C152" s="1">
        <v>45499</v>
      </c>
      <c r="D152" s="4">
        <v>111.02</v>
      </c>
      <c r="E152">
        <v>37</v>
      </c>
      <c r="F152" t="str">
        <f t="shared" si="8"/>
        <v>30's</v>
      </c>
      <c r="G152" t="str" cm="1">
        <f t="array" ref="G152">_xlfn.IFS(
  F152="10's", "Child (5–12)",
  OR(F152="20's", F152="30's"), "Young Adult (20–39)",
  OR(F152="40's", F152="50's"), "Adult (40–59)",
  OR(F152="60's", F152="70's", F152="80's", F152="90's"), "Senior (60+)",
  TRUE, "Unknown"
)</f>
        <v>Young Adult (20–39)</v>
      </c>
      <c r="H152" t="s">
        <v>778</v>
      </c>
      <c r="I152" t="s">
        <v>4043</v>
      </c>
      <c r="J152" t="str">
        <f t="shared" si="9"/>
        <v>Environmental Heat</v>
      </c>
      <c r="K152" t="s">
        <v>3291</v>
      </c>
      <c r="L152" t="s">
        <v>250</v>
      </c>
      <c r="M152" t="s">
        <v>4342</v>
      </c>
      <c r="N152" t="s">
        <v>5101</v>
      </c>
      <c r="O152" t="str" cm="1">
        <f t="array" ref="O152">_xlfn.IFS(
  TEXT(TRIM(N152),"00000")="NULL", "Missing/Unknown",
  OR(TEXT(TRIM(N152),"00000")="89101", TEXT(TRIM(N152),"00000")="89104", TEXT(TRIM(N152),"00000")="89106", TEXT(TRIM(N152),"00000")="89102", TEXT(TRIM(N152),"00000")="89107", TEXT(TRIM(N152),"00000")="89108"), "Urban Core",
  OR(TEXT(TRIM(N152),"00000")="89110", TEXT(TRIM(N152),"00000")="89115", TEXT(TRIM(N152),"00000")="89121", TEXT(TRIM(N152),"00000")="89122", TEXT(TRIM(N152),"00000")="89142", TEXT(TRIM(N152),"00000")="89156"), "East Valley",
  OR(TEXT(TRIM(N152),"00000")="89030", TEXT(TRIM(N152),"00000")="89031", TEXT(TRIM(N152),"00000")="89032", TEXT(TRIM(N152),"00000")="89086", TEXT(TRIM(N152),"00000")="89084", TEXT(TRIM(N152),"00000")="89081"), "North LV",
  OR(TEXT(TRIM(N152),"00000")="89109", TEXT(TRIM(N152),"00000")="89103", TEXT(TRIM(N152),"00000")="89119", TEXT(TRIM(N152),"00000")="89123", TEXT(TRIM(N152),"00000")="89169", TEXT(TRIM(N152),"00000")="89118"), "South/Strip",
  OR(TEXT(TRIM(N152),"00000")="89074", TEXT(TRIM(N152),"00000")="89014", TEXT(TRIM(N152),"00000")="89015", TEXT(TRIM(N152),"00000")="89011", TEXT(TRIM(N152),"00000")="89012"), "Suburban SE",
  OR(TEXT(TRIM(N152),"00000")="89117", TEXT(TRIM(N152),"00000")="89128", TEXT(TRIM(N152),"00000")="89135", TEXT(TRIM(N152),"00000")="89144", TEXT(TRIM(N152),"00000")="89145", TEXT(TRIM(N152),"00000")="89147"), "West Valley",
  TRUE, "Other"
)</f>
        <v>Urban Core</v>
      </c>
      <c r="P152" t="s">
        <v>271</v>
      </c>
      <c r="Q152" t="str">
        <f t="shared" si="10"/>
        <v>Home/Residence</v>
      </c>
      <c r="R152" t="s">
        <v>4341</v>
      </c>
      <c r="S152" t="s">
        <v>5100</v>
      </c>
      <c r="T152" t="str" cm="1">
        <f t="array" ref="T152">_xlfn.IFS(
  TEXT(TRIM(S152),"00000")="NULL", "Missing/Unknown",
  OR(TEXT(TRIM(S152),"00000")="89101", TEXT(TRIM(S152),"00000")="89104", TEXT(TRIM(S152),"00000")="89106", TEXT(TRIM(S152),"00000")="89102", TEXT(TRIM(S152),"00000")="89107", TEXT(TRIM(S152),"00000")="89108"), "Urban Core",
  OR(TEXT(TRIM(S152),"00000")="89110", TEXT(TRIM(S152),"00000")="89115", TEXT(TRIM(S152),"00000")="89121", TEXT(TRIM(S152),"00000")="89122", TEXT(TRIM(S152),"00000")="89142", TEXT(TRIM(S152),"00000")="89156"), "East Valley",
  OR(TEXT(TRIM(S152),"00000")="89030", TEXT(TRIM(S152),"00000")="89031", TEXT(TRIM(S152),"00000")="89032", TEXT(TRIM(S152),"00000")="89086", TEXT(TRIM(S152),"00000")="89084", TEXT(TRIM(S152),"00000")="89081"), "North LV",
  OR(TEXT(TRIM(S152),"00000")="89109", TEXT(TRIM(S152),"00000")="89103", TEXT(TRIM(S152),"00000")="89119", TEXT(TRIM(S152),"00000")="89123", TEXT(TRIM(S152),"00000")="89169", TEXT(TRIM(S152),"00000")="89118"), "South/Strip",
  OR(TEXT(TRIM(S152),"00000")="89074", TEXT(TRIM(S152),"00000")="89014", TEXT(TRIM(S152),"00000")="89015", TEXT(TRIM(S152),"00000")="89011", TEXT(TRIM(S152),"00000")="89012"), "Suburban SE",
  OR(TEXT(TRIM(S152),"00000")="89117", TEXT(TRIM(S152),"00000")="89128", TEXT(TRIM(S152),"00000")="89135", TEXT(TRIM(S152),"00000")="89144", TEXT(TRIM(S152),"00000")="89145", TEXT(TRIM(S152),"00000")="89147"), "West Valley",
  TRUE, "Other"
)</f>
        <v>North LV</v>
      </c>
      <c r="U152" t="s">
        <v>4298</v>
      </c>
      <c r="V152" t="str">
        <f t="shared" si="11"/>
        <v>Other / Unknown</v>
      </c>
    </row>
    <row r="153" spans="1:22">
      <c r="A153" t="s">
        <v>3533</v>
      </c>
      <c r="B153" t="s">
        <v>3534</v>
      </c>
      <c r="C153" s="1">
        <v>45499</v>
      </c>
      <c r="D153" s="4">
        <v>111.02</v>
      </c>
      <c r="E153">
        <v>91</v>
      </c>
      <c r="F153" t="str">
        <f t="shared" si="8"/>
        <v>90's</v>
      </c>
      <c r="G153" t="str" cm="1">
        <f t="array" ref="G153">_xlfn.IFS(
  F153="10's", "Child (5–12)",
  OR(F153="20's", F153="30's"), "Young Adult (20–39)",
  OR(F153="40's", F153="50's"), "Adult (40–59)",
  OR(F153="60's", F153="70's", F153="80's", F153="90's"), "Senior (60+)",
  TRUE, "Unknown"
)</f>
        <v>Senior (60+)</v>
      </c>
      <c r="H153" t="s">
        <v>841</v>
      </c>
      <c r="I153" t="s">
        <v>28</v>
      </c>
      <c r="J153" t="str">
        <f t="shared" si="9"/>
        <v>Cardiovascular Disease</v>
      </c>
      <c r="K153" t="s">
        <v>35</v>
      </c>
      <c r="L153" t="s">
        <v>1071</v>
      </c>
      <c r="M153" t="s">
        <v>4913</v>
      </c>
      <c r="N153" t="s">
        <v>5099</v>
      </c>
      <c r="O153" t="str" cm="1">
        <f t="array" ref="O153">_xlfn.IFS(
  TEXT(TRIM(N153),"00000")="NULL", "Missing/Unknown",
  OR(TEXT(TRIM(N153),"00000")="89101", TEXT(TRIM(N153),"00000")="89104", TEXT(TRIM(N153),"00000")="89106", TEXT(TRIM(N153),"00000")="89102", TEXT(TRIM(N153),"00000")="89107", TEXT(TRIM(N153),"00000")="89108"), "Urban Core",
  OR(TEXT(TRIM(N153),"00000")="89110", TEXT(TRIM(N153),"00000")="89115", TEXT(TRIM(N153),"00000")="89121", TEXT(TRIM(N153),"00000")="89122", TEXT(TRIM(N153),"00000")="89142", TEXT(TRIM(N153),"00000")="89156"), "East Valley",
  OR(TEXT(TRIM(N153),"00000")="89030", TEXT(TRIM(N153),"00000")="89031", TEXT(TRIM(N153),"00000")="89032", TEXT(TRIM(N153),"00000")="89086", TEXT(TRIM(N153),"00000")="89084", TEXT(TRIM(N153),"00000")="89081"), "North LV",
  OR(TEXT(TRIM(N153),"00000")="89109", TEXT(TRIM(N153),"00000")="89103", TEXT(TRIM(N153),"00000")="89119", TEXT(TRIM(N153),"00000")="89123", TEXT(TRIM(N153),"00000")="89169", TEXT(TRIM(N153),"00000")="89118"), "South/Strip",
  OR(TEXT(TRIM(N153),"00000")="89074", TEXT(TRIM(N153),"00000")="89014", TEXT(TRIM(N153),"00000")="89015", TEXT(TRIM(N153),"00000")="89011", TEXT(TRIM(N153),"00000")="89012"), "Suburban SE",
  OR(TEXT(TRIM(N153),"00000")="89117", TEXT(TRIM(N153),"00000")="89128", TEXT(TRIM(N153),"00000")="89135", TEXT(TRIM(N153),"00000")="89144", TEXT(TRIM(N153),"00000")="89145", TEXT(TRIM(N153),"00000")="89147"), "West Valley",
  TRUE, "Other"
)</f>
        <v>Urban Core</v>
      </c>
      <c r="P153" t="s">
        <v>1073</v>
      </c>
      <c r="Q153" t="str">
        <f t="shared" si="10"/>
        <v>Home/Residence</v>
      </c>
      <c r="R153" t="s">
        <v>4913</v>
      </c>
      <c r="S153" t="s">
        <v>5099</v>
      </c>
      <c r="T153" t="str" cm="1">
        <f t="array" ref="T153">_xlfn.IFS(
  TEXT(TRIM(S153),"00000")="NULL", "Missing/Unknown",
  OR(TEXT(TRIM(S153),"00000")="89101", TEXT(TRIM(S153),"00000")="89104", TEXT(TRIM(S153),"00000")="89106", TEXT(TRIM(S153),"00000")="89102", TEXT(TRIM(S153),"00000")="89107", TEXT(TRIM(S153),"00000")="89108"), "Urban Core",
  OR(TEXT(TRIM(S153),"00000")="89110", TEXT(TRIM(S153),"00000")="89115", TEXT(TRIM(S153),"00000")="89121", TEXT(TRIM(S153),"00000")="89122", TEXT(TRIM(S153),"00000")="89142", TEXT(TRIM(S153),"00000")="89156"), "East Valley",
  OR(TEXT(TRIM(S153),"00000")="89030", TEXT(TRIM(S153),"00000")="89031", TEXT(TRIM(S153),"00000")="89032", TEXT(TRIM(S153),"00000")="89086", TEXT(TRIM(S153),"00000")="89084", TEXT(TRIM(S153),"00000")="89081"), "North LV",
  OR(TEXT(TRIM(S153),"00000")="89109", TEXT(TRIM(S153),"00000")="89103", TEXT(TRIM(S153),"00000")="89119", TEXT(TRIM(S153),"00000")="89123", TEXT(TRIM(S153),"00000")="89169", TEXT(TRIM(S153),"00000")="89118"), "South/Strip",
  OR(TEXT(TRIM(S153),"00000")="89074", TEXT(TRIM(S153),"00000")="89014", TEXT(TRIM(S153),"00000")="89015", TEXT(TRIM(S153),"00000")="89011", TEXT(TRIM(S153),"00000")="89012"), "Suburban SE",
  OR(TEXT(TRIM(S153),"00000")="89117", TEXT(TRIM(S153),"00000")="89128", TEXT(TRIM(S153),"00000")="89135", TEXT(TRIM(S153),"00000")="89144", TEXT(TRIM(S153),"00000")="89145", TEXT(TRIM(S153),"00000")="89147"), "West Valley",
  TRUE, "Other"
)</f>
        <v>Urban Core</v>
      </c>
      <c r="U153" t="s">
        <v>1073</v>
      </c>
      <c r="V153" t="str">
        <f t="shared" si="11"/>
        <v>Home/Residence</v>
      </c>
    </row>
    <row r="154" spans="1:22">
      <c r="A154" t="s">
        <v>3163</v>
      </c>
      <c r="B154" t="s">
        <v>3164</v>
      </c>
      <c r="C154" s="1">
        <v>45499</v>
      </c>
      <c r="D154" s="4">
        <v>111.02</v>
      </c>
      <c r="E154">
        <v>37</v>
      </c>
      <c r="F154" t="str">
        <f t="shared" si="8"/>
        <v>30's</v>
      </c>
      <c r="G154" t="str" cm="1">
        <f t="array" ref="G154">_xlfn.IFS(
  F154="10's", "Child (5–12)",
  OR(F154="20's", F154="30's"), "Young Adult (20–39)",
  OR(F154="40's", F154="50's"), "Adult (40–59)",
  OR(F154="60's", F154="70's", F154="80's", F154="90's"), "Senior (60+)",
  TRUE, "Unknown"
)</f>
        <v>Young Adult (20–39)</v>
      </c>
      <c r="H154" t="s">
        <v>778</v>
      </c>
      <c r="I154" t="s">
        <v>54</v>
      </c>
      <c r="J154" t="str">
        <f t="shared" si="9"/>
        <v>Environmental Heat</v>
      </c>
      <c r="K154" t="s">
        <v>98</v>
      </c>
      <c r="L154" t="s">
        <v>250</v>
      </c>
      <c r="M154" t="s">
        <v>5034</v>
      </c>
      <c r="N154" t="s">
        <v>5119</v>
      </c>
      <c r="O154" t="str" cm="1">
        <f t="array" ref="O154">_xlfn.IFS(
  TEXT(TRIM(N154),"00000")="NULL", "Missing/Unknown",
  OR(TEXT(TRIM(N154),"00000")="89101", TEXT(TRIM(N154),"00000")="89104", TEXT(TRIM(N154),"00000")="89106", TEXT(TRIM(N154),"00000")="89102", TEXT(TRIM(N154),"00000")="89107", TEXT(TRIM(N154),"00000")="89108"), "Urban Core",
  OR(TEXT(TRIM(N154),"00000")="89110", TEXT(TRIM(N154),"00000")="89115", TEXT(TRIM(N154),"00000")="89121", TEXT(TRIM(N154),"00000")="89122", TEXT(TRIM(N154),"00000")="89142", TEXT(TRIM(N154),"00000")="89156"), "East Valley",
  OR(TEXT(TRIM(N154),"00000")="89030", TEXT(TRIM(N154),"00000")="89031", TEXT(TRIM(N154),"00000")="89032", TEXT(TRIM(N154),"00000")="89086", TEXT(TRIM(N154),"00000")="89084", TEXT(TRIM(N154),"00000")="89081"), "North LV",
  OR(TEXT(TRIM(N154),"00000")="89109", TEXT(TRIM(N154),"00000")="89103", TEXT(TRIM(N154),"00000")="89119", TEXT(TRIM(N154),"00000")="89123", TEXT(TRIM(N154),"00000")="89169", TEXT(TRIM(N154),"00000")="89118"), "South/Strip",
  OR(TEXT(TRIM(N154),"00000")="89074", TEXT(TRIM(N154),"00000")="89014", TEXT(TRIM(N154),"00000")="89015", TEXT(TRIM(N154),"00000")="89011", TEXT(TRIM(N154),"00000")="89012"), "Suburban SE",
  OR(TEXT(TRIM(N154),"00000")="89117", TEXT(TRIM(N154),"00000")="89128", TEXT(TRIM(N154),"00000")="89135", TEXT(TRIM(N154),"00000")="89144", TEXT(TRIM(N154),"00000")="89145", TEXT(TRIM(N154),"00000")="89147"), "West Valley",
  TRUE, "Other"
)</f>
        <v>Urban Core</v>
      </c>
      <c r="P154" t="s">
        <v>3298</v>
      </c>
      <c r="Q154" t="str">
        <f t="shared" si="10"/>
        <v>Outdoors/Public</v>
      </c>
      <c r="R154" t="s">
        <v>5034</v>
      </c>
      <c r="S154" t="s">
        <v>5119</v>
      </c>
      <c r="T154" t="str" cm="1">
        <f t="array" ref="T154">_xlfn.IFS(
  TEXT(TRIM(S154),"00000")="NULL", "Missing/Unknown",
  OR(TEXT(TRIM(S154),"00000")="89101", TEXT(TRIM(S154),"00000")="89104", TEXT(TRIM(S154),"00000")="89106", TEXT(TRIM(S154),"00000")="89102", TEXT(TRIM(S154),"00000")="89107", TEXT(TRIM(S154),"00000")="89108"), "Urban Core",
  OR(TEXT(TRIM(S154),"00000")="89110", TEXT(TRIM(S154),"00000")="89115", TEXT(TRIM(S154),"00000")="89121", TEXT(TRIM(S154),"00000")="89122", TEXT(TRIM(S154),"00000")="89142", TEXT(TRIM(S154),"00000")="89156"), "East Valley",
  OR(TEXT(TRIM(S154),"00000")="89030", TEXT(TRIM(S154),"00000")="89031", TEXT(TRIM(S154),"00000")="89032", TEXT(TRIM(S154),"00000")="89086", TEXT(TRIM(S154),"00000")="89084", TEXT(TRIM(S154),"00000")="89081"), "North LV",
  OR(TEXT(TRIM(S154),"00000")="89109", TEXT(TRIM(S154),"00000")="89103", TEXT(TRIM(S154),"00000")="89119", TEXT(TRIM(S154),"00000")="89123", TEXT(TRIM(S154),"00000")="89169", TEXT(TRIM(S154),"00000")="89118"), "South/Strip",
  OR(TEXT(TRIM(S154),"00000")="89074", TEXT(TRIM(S154),"00000")="89014", TEXT(TRIM(S154),"00000")="89015", TEXT(TRIM(S154),"00000")="89011", TEXT(TRIM(S154),"00000")="89012"), "Suburban SE",
  OR(TEXT(TRIM(S154),"00000")="89117", TEXT(TRIM(S154),"00000")="89128", TEXT(TRIM(S154),"00000")="89135", TEXT(TRIM(S154),"00000")="89144", TEXT(TRIM(S154),"00000")="89145", TEXT(TRIM(S154),"00000")="89147"), "West Valley",
  TRUE, "Other"
)</f>
        <v>Urban Core</v>
      </c>
      <c r="U154" t="s">
        <v>3298</v>
      </c>
      <c r="V154" t="str">
        <f t="shared" si="11"/>
        <v>Outdoors/Public</v>
      </c>
    </row>
    <row r="155" spans="1:22">
      <c r="A155" t="s">
        <v>3791</v>
      </c>
      <c r="B155" t="s">
        <v>3792</v>
      </c>
      <c r="C155" s="1">
        <v>45499</v>
      </c>
      <c r="D155" s="4">
        <v>111.02</v>
      </c>
      <c r="E155">
        <v>30</v>
      </c>
      <c r="F155" t="str">
        <f t="shared" si="8"/>
        <v>30's</v>
      </c>
      <c r="G155" t="str" cm="1">
        <f t="array" ref="G155">_xlfn.IFS(
  F155="10's", "Child (5–12)",
  OR(F155="20's", F155="30's"), "Young Adult (20–39)",
  OR(F155="40's", F155="50's"), "Adult (40–59)",
  OR(F155="60's", F155="70's", F155="80's", F155="90's"), "Senior (60+)",
  TRUE, "Unknown"
)</f>
        <v>Young Adult (20–39)</v>
      </c>
      <c r="H155" t="s">
        <v>778</v>
      </c>
      <c r="I155" t="s">
        <v>172</v>
      </c>
      <c r="J155" t="str">
        <f t="shared" si="9"/>
        <v>Methamphetamine-related</v>
      </c>
      <c r="K155" t="s">
        <v>35</v>
      </c>
      <c r="L155" t="s">
        <v>250</v>
      </c>
      <c r="M155" t="s">
        <v>4677</v>
      </c>
      <c r="N155" t="s">
        <v>5100</v>
      </c>
      <c r="O155" t="str" cm="1">
        <f t="array" ref="O155">_xlfn.IFS(
  TEXT(TRIM(N155),"00000")="NULL", "Missing/Unknown",
  OR(TEXT(TRIM(N155),"00000")="89101", TEXT(TRIM(N155),"00000")="89104", TEXT(TRIM(N155),"00000")="89106", TEXT(TRIM(N155),"00000")="89102", TEXT(TRIM(N155),"00000")="89107", TEXT(TRIM(N155),"00000")="89108"), "Urban Core",
  OR(TEXT(TRIM(N155),"00000")="89110", TEXT(TRIM(N155),"00000")="89115", TEXT(TRIM(N155),"00000")="89121", TEXT(TRIM(N155),"00000")="89122", TEXT(TRIM(N155),"00000")="89142", TEXT(TRIM(N155),"00000")="89156"), "East Valley",
  OR(TEXT(TRIM(N155),"00000")="89030", TEXT(TRIM(N155),"00000")="89031", TEXT(TRIM(N155),"00000")="89032", TEXT(TRIM(N155),"00000")="89086", TEXT(TRIM(N155),"00000")="89084", TEXT(TRIM(N155),"00000")="89081"), "North LV",
  OR(TEXT(TRIM(N155),"00000")="89109", TEXT(TRIM(N155),"00000")="89103", TEXT(TRIM(N155),"00000")="89119", TEXT(TRIM(N155),"00000")="89123", TEXT(TRIM(N155),"00000")="89169", TEXT(TRIM(N155),"00000")="89118"), "South/Strip",
  OR(TEXT(TRIM(N155),"00000")="89074", TEXT(TRIM(N155),"00000")="89014", TEXT(TRIM(N155),"00000")="89015", TEXT(TRIM(N155),"00000")="89011", TEXT(TRIM(N155),"00000")="89012"), "Suburban SE",
  OR(TEXT(TRIM(N155),"00000")="89117", TEXT(TRIM(N155),"00000")="89128", TEXT(TRIM(N155),"00000")="89135", TEXT(TRIM(N155),"00000")="89144", TEXT(TRIM(N155),"00000")="89145", TEXT(TRIM(N155),"00000")="89147"), "West Valley",
  TRUE, "Other"
)</f>
        <v>North LV</v>
      </c>
      <c r="P155" t="s">
        <v>3298</v>
      </c>
      <c r="Q155" t="str">
        <f t="shared" si="10"/>
        <v>Outdoors/Public</v>
      </c>
      <c r="R155" t="s">
        <v>4677</v>
      </c>
      <c r="S155" t="s">
        <v>5100</v>
      </c>
      <c r="T155" t="str" cm="1">
        <f t="array" ref="T155">_xlfn.IFS(
  TEXT(TRIM(S155),"00000")="NULL", "Missing/Unknown",
  OR(TEXT(TRIM(S155),"00000")="89101", TEXT(TRIM(S155),"00000")="89104", TEXT(TRIM(S155),"00000")="89106", TEXT(TRIM(S155),"00000")="89102", TEXT(TRIM(S155),"00000")="89107", TEXT(TRIM(S155),"00000")="89108"), "Urban Core",
  OR(TEXT(TRIM(S155),"00000")="89110", TEXT(TRIM(S155),"00000")="89115", TEXT(TRIM(S155),"00000")="89121", TEXT(TRIM(S155),"00000")="89122", TEXT(TRIM(S155),"00000")="89142", TEXT(TRIM(S155),"00000")="89156"), "East Valley",
  OR(TEXT(TRIM(S155),"00000")="89030", TEXT(TRIM(S155),"00000")="89031", TEXT(TRIM(S155),"00000")="89032", TEXT(TRIM(S155),"00000")="89086", TEXT(TRIM(S155),"00000")="89084", TEXT(TRIM(S155),"00000")="89081"), "North LV",
  OR(TEXT(TRIM(S155),"00000")="89109", TEXT(TRIM(S155),"00000")="89103", TEXT(TRIM(S155),"00000")="89119", TEXT(TRIM(S155),"00000")="89123", TEXT(TRIM(S155),"00000")="89169", TEXT(TRIM(S155),"00000")="89118"), "South/Strip",
  OR(TEXT(TRIM(S155),"00000")="89074", TEXT(TRIM(S155),"00000")="89014", TEXT(TRIM(S155),"00000")="89015", TEXT(TRIM(S155),"00000")="89011", TEXT(TRIM(S155),"00000")="89012"), "Suburban SE",
  OR(TEXT(TRIM(S155),"00000")="89117", TEXT(TRIM(S155),"00000")="89128", TEXT(TRIM(S155),"00000")="89135", TEXT(TRIM(S155),"00000")="89144", TEXT(TRIM(S155),"00000")="89145", TEXT(TRIM(S155),"00000")="89147"), "West Valley",
  TRUE, "Other"
)</f>
        <v>North LV</v>
      </c>
      <c r="U155" t="s">
        <v>3298</v>
      </c>
      <c r="V155" t="str">
        <f t="shared" si="11"/>
        <v>Outdoors/Public</v>
      </c>
    </row>
    <row r="156" spans="1:22">
      <c r="A156" t="s">
        <v>3788</v>
      </c>
      <c r="B156" t="s">
        <v>3789</v>
      </c>
      <c r="C156" s="1">
        <v>45499</v>
      </c>
      <c r="D156" s="4">
        <v>111.02</v>
      </c>
      <c r="E156">
        <v>36</v>
      </c>
      <c r="F156" t="str">
        <f t="shared" si="8"/>
        <v>30's</v>
      </c>
      <c r="G156" t="str" cm="1">
        <f t="array" ref="G156">_xlfn.IFS(
  F156="10's", "Child (5–12)",
  OR(F156="20's", F156="30's"), "Young Adult (20–39)",
  OR(F156="40's", F156="50's"), "Adult (40–59)",
  OR(F156="60's", F156="70's", F156="80's", F156="90's"), "Senior (60+)",
  TRUE, "Unknown"
)</f>
        <v>Young Adult (20–39)</v>
      </c>
      <c r="H156" t="s">
        <v>841</v>
      </c>
      <c r="I156" t="s">
        <v>172</v>
      </c>
      <c r="J156" t="str">
        <f t="shared" si="9"/>
        <v>Methamphetamine-related</v>
      </c>
      <c r="K156" t="s">
        <v>4043</v>
      </c>
      <c r="L156" t="s">
        <v>250</v>
      </c>
      <c r="N156" t="s">
        <v>5095</v>
      </c>
      <c r="O156" t="str" cm="1">
        <f t="array" ref="O156">_xlfn.IFS(
  TEXT(TRIM(N156),"00000")="NULL", "Missing/Unknown",
  OR(TEXT(TRIM(N156),"00000")="89101", TEXT(TRIM(N156),"00000")="89104", TEXT(TRIM(N156),"00000")="89106", TEXT(TRIM(N156),"00000")="89102", TEXT(TRIM(N156),"00000")="89107", TEXT(TRIM(N156),"00000")="89108"), "Urban Core",
  OR(TEXT(TRIM(N156),"00000")="89110", TEXT(TRIM(N156),"00000")="89115", TEXT(TRIM(N156),"00000")="89121", TEXT(TRIM(N156),"00000")="89122", TEXT(TRIM(N156),"00000")="89142", TEXT(TRIM(N156),"00000")="89156"), "East Valley",
  OR(TEXT(TRIM(N156),"00000")="89030", TEXT(TRIM(N156),"00000")="89031", TEXT(TRIM(N156),"00000")="89032", TEXT(TRIM(N156),"00000")="89086", TEXT(TRIM(N156),"00000")="89084", TEXT(TRIM(N156),"00000")="89081"), "North LV",
  OR(TEXT(TRIM(N156),"00000")="89109", TEXT(TRIM(N156),"00000")="89103", TEXT(TRIM(N156),"00000")="89119", TEXT(TRIM(N156),"00000")="89123", TEXT(TRIM(N156),"00000")="89169", TEXT(TRIM(N156),"00000")="89118"), "South/Strip",
  OR(TEXT(TRIM(N156),"00000")="89074", TEXT(TRIM(N156),"00000")="89014", TEXT(TRIM(N156),"00000")="89015", TEXT(TRIM(N156),"00000")="89011", TEXT(TRIM(N156),"00000")="89012"), "Suburban SE",
  OR(TEXT(TRIM(N156),"00000")="89117", TEXT(TRIM(N156),"00000")="89128", TEXT(TRIM(N156),"00000")="89135", TEXT(TRIM(N156),"00000")="89144", TEXT(TRIM(N156),"00000")="89145", TEXT(TRIM(N156),"00000")="89147"), "West Valley",
  TRUE, "Other"
)</f>
        <v>Missing/Unknown</v>
      </c>
      <c r="P156" t="s">
        <v>3298</v>
      </c>
      <c r="Q156" t="str">
        <f t="shared" si="10"/>
        <v>Outdoors/Public</v>
      </c>
      <c r="R156" t="s">
        <v>4713</v>
      </c>
      <c r="S156" t="s">
        <v>5125</v>
      </c>
      <c r="T156" t="str" cm="1">
        <f t="array" ref="T156">_xlfn.IFS(
  TEXT(TRIM(S156),"00000")="NULL", "Missing/Unknown",
  OR(TEXT(TRIM(S156),"00000")="89101", TEXT(TRIM(S156),"00000")="89104", TEXT(TRIM(S156),"00000")="89106", TEXT(TRIM(S156),"00000")="89102", TEXT(TRIM(S156),"00000")="89107", TEXT(TRIM(S156),"00000")="89108"), "Urban Core",
  OR(TEXT(TRIM(S156),"00000")="89110", TEXT(TRIM(S156),"00000")="89115", TEXT(TRIM(S156),"00000")="89121", TEXT(TRIM(S156),"00000")="89122", TEXT(TRIM(S156),"00000")="89142", TEXT(TRIM(S156),"00000")="89156"), "East Valley",
  OR(TEXT(TRIM(S156),"00000")="89030", TEXT(TRIM(S156),"00000")="89031", TEXT(TRIM(S156),"00000")="89032", TEXT(TRIM(S156),"00000")="89086", TEXT(TRIM(S156),"00000")="89084", TEXT(TRIM(S156),"00000")="89081"), "North LV",
  OR(TEXT(TRIM(S156),"00000")="89109", TEXT(TRIM(S156),"00000")="89103", TEXT(TRIM(S156),"00000")="89119", TEXT(TRIM(S156),"00000")="89123", TEXT(TRIM(S156),"00000")="89169", TEXT(TRIM(S156),"00000")="89118"), "South/Strip",
  OR(TEXT(TRIM(S156),"00000")="89074", TEXT(TRIM(S156),"00000")="89014", TEXT(TRIM(S156),"00000")="89015", TEXT(TRIM(S156),"00000")="89011", TEXT(TRIM(S156),"00000")="89012"), "Suburban SE",
  OR(TEXT(TRIM(S156),"00000")="89117", TEXT(TRIM(S156),"00000")="89128", TEXT(TRIM(S156),"00000")="89135", TEXT(TRIM(S156),"00000")="89144", TEXT(TRIM(S156),"00000")="89145", TEXT(TRIM(S156),"00000")="89147"), "West Valley",
  TRUE, "Other"
)</f>
        <v>South/Strip</v>
      </c>
      <c r="U156" t="s">
        <v>3790</v>
      </c>
      <c r="V156" t="str">
        <f t="shared" si="11"/>
        <v>Medical Facility</v>
      </c>
    </row>
    <row r="157" spans="1:22">
      <c r="A157" t="s">
        <v>3169</v>
      </c>
      <c r="B157" t="s">
        <v>3170</v>
      </c>
      <c r="C157" s="1">
        <v>45499</v>
      </c>
      <c r="D157" s="4">
        <v>111.02</v>
      </c>
      <c r="E157">
        <v>75</v>
      </c>
      <c r="F157" t="str">
        <f t="shared" si="8"/>
        <v>70's</v>
      </c>
      <c r="G157" t="str" cm="1">
        <f t="array" ref="G157">_xlfn.IFS(
  F157="10's", "Child (5–12)",
  OR(F157="20's", F157="30's"), "Young Adult (20–39)",
  OR(F157="40's", F157="50's"), "Adult (40–59)",
  OR(F157="60's", F157="70's", F157="80's", F157="90's"), "Senior (60+)",
  TRUE, "Unknown"
)</f>
        <v>Senior (60+)</v>
      </c>
      <c r="H157" t="s">
        <v>841</v>
      </c>
      <c r="I157" t="s">
        <v>54</v>
      </c>
      <c r="J157" t="str">
        <f t="shared" si="9"/>
        <v>Environmental Heat</v>
      </c>
      <c r="K157" t="s">
        <v>3171</v>
      </c>
      <c r="L157" t="s">
        <v>1071</v>
      </c>
      <c r="M157" t="s">
        <v>5017</v>
      </c>
      <c r="N157" t="s">
        <v>5122</v>
      </c>
      <c r="O157" t="str" cm="1">
        <f t="array" ref="O157">_xlfn.IFS(
  TEXT(TRIM(N157),"00000")="NULL", "Missing/Unknown",
  OR(TEXT(TRIM(N157),"00000")="89101", TEXT(TRIM(N157),"00000")="89104", TEXT(TRIM(N157),"00000")="89106", TEXT(TRIM(N157),"00000")="89102", TEXT(TRIM(N157),"00000")="89107", TEXT(TRIM(N157),"00000")="89108"), "Urban Core",
  OR(TEXT(TRIM(N157),"00000")="89110", TEXT(TRIM(N157),"00000")="89115", TEXT(TRIM(N157),"00000")="89121", TEXT(TRIM(N157),"00000")="89122", TEXT(TRIM(N157),"00000")="89142", TEXT(TRIM(N157),"00000")="89156"), "East Valley",
  OR(TEXT(TRIM(N157),"00000")="89030", TEXT(TRIM(N157),"00000")="89031", TEXT(TRIM(N157),"00000")="89032", TEXT(TRIM(N157),"00000")="89086", TEXT(TRIM(N157),"00000")="89084", TEXT(TRIM(N157),"00000")="89081"), "North LV",
  OR(TEXT(TRIM(N157),"00000")="89109", TEXT(TRIM(N157),"00000")="89103", TEXT(TRIM(N157),"00000")="89119", TEXT(TRIM(N157),"00000")="89123", TEXT(TRIM(N157),"00000")="89169", TEXT(TRIM(N157),"00000")="89118"), "South/Strip",
  OR(TEXT(TRIM(N157),"00000")="89074", TEXT(TRIM(N157),"00000")="89014", TEXT(TRIM(N157),"00000")="89015", TEXT(TRIM(N157),"00000")="89011", TEXT(TRIM(N157),"00000")="89012"), "Suburban SE",
  OR(TEXT(TRIM(N157),"00000")="89117", TEXT(TRIM(N157),"00000")="89128", TEXT(TRIM(N157),"00000")="89135", TEXT(TRIM(N157),"00000")="89144", TEXT(TRIM(N157),"00000")="89145", TEXT(TRIM(N157),"00000")="89147"), "West Valley",
  TRUE, "Other"
)</f>
        <v>East Valley</v>
      </c>
      <c r="P157" t="s">
        <v>3298</v>
      </c>
      <c r="Q157" t="str">
        <f t="shared" si="10"/>
        <v>Outdoors/Public</v>
      </c>
      <c r="R157" t="s">
        <v>5017</v>
      </c>
      <c r="S157" t="s">
        <v>5122</v>
      </c>
      <c r="T157" t="str" cm="1">
        <f t="array" ref="T157">_xlfn.IFS(
  TEXT(TRIM(S157),"00000")="NULL", "Missing/Unknown",
  OR(TEXT(TRIM(S157),"00000")="89101", TEXT(TRIM(S157),"00000")="89104", TEXT(TRIM(S157),"00000")="89106", TEXT(TRIM(S157),"00000")="89102", TEXT(TRIM(S157),"00000")="89107", TEXT(TRIM(S157),"00000")="89108"), "Urban Core",
  OR(TEXT(TRIM(S157),"00000")="89110", TEXT(TRIM(S157),"00000")="89115", TEXT(TRIM(S157),"00000")="89121", TEXT(TRIM(S157),"00000")="89122", TEXT(TRIM(S157),"00000")="89142", TEXT(TRIM(S157),"00000")="89156"), "East Valley",
  OR(TEXT(TRIM(S157),"00000")="89030", TEXT(TRIM(S157),"00000")="89031", TEXT(TRIM(S157),"00000")="89032", TEXT(TRIM(S157),"00000")="89086", TEXT(TRIM(S157),"00000")="89084", TEXT(TRIM(S157),"00000")="89081"), "North LV",
  OR(TEXT(TRIM(S157),"00000")="89109", TEXT(TRIM(S157),"00000")="89103", TEXT(TRIM(S157),"00000")="89119", TEXT(TRIM(S157),"00000")="89123", TEXT(TRIM(S157),"00000")="89169", TEXT(TRIM(S157),"00000")="89118"), "South/Strip",
  OR(TEXT(TRIM(S157),"00000")="89074", TEXT(TRIM(S157),"00000")="89014", TEXT(TRIM(S157),"00000")="89015", TEXT(TRIM(S157),"00000")="89011", TEXT(TRIM(S157),"00000")="89012"), "Suburban SE",
  OR(TEXT(TRIM(S157),"00000")="89117", TEXT(TRIM(S157),"00000")="89128", TEXT(TRIM(S157),"00000")="89135", TEXT(TRIM(S157),"00000")="89144", TEXT(TRIM(S157),"00000")="89145", TEXT(TRIM(S157),"00000")="89147"), "West Valley",
  TRUE, "Other"
)</f>
        <v>East Valley</v>
      </c>
      <c r="U157" t="s">
        <v>3298</v>
      </c>
      <c r="V157" t="str">
        <f t="shared" si="11"/>
        <v>Outdoors/Public</v>
      </c>
    </row>
    <row r="158" spans="1:22">
      <c r="A158" t="s">
        <v>3166</v>
      </c>
      <c r="B158" t="s">
        <v>3167</v>
      </c>
      <c r="C158" s="1">
        <v>45499</v>
      </c>
      <c r="D158" s="4">
        <v>111.02</v>
      </c>
      <c r="E158">
        <v>81</v>
      </c>
      <c r="F158" t="str">
        <f t="shared" si="8"/>
        <v>80's</v>
      </c>
      <c r="G158" t="str" cm="1">
        <f t="array" ref="G158">_xlfn.IFS(
  F158="10's", "Child (5–12)",
  OR(F158="20's", F158="30's"), "Young Adult (20–39)",
  OR(F158="40's", F158="50's"), "Adult (40–59)",
  OR(F158="60's", F158="70's", F158="80's", F158="90's"), "Senior (60+)",
  TRUE, "Unknown"
)</f>
        <v>Senior (60+)</v>
      </c>
      <c r="H158" t="s">
        <v>841</v>
      </c>
      <c r="I158" t="s">
        <v>54</v>
      </c>
      <c r="J158" t="str">
        <f t="shared" si="9"/>
        <v>Environmental Heat</v>
      </c>
      <c r="K158" t="s">
        <v>549</v>
      </c>
      <c r="L158" t="s">
        <v>1071</v>
      </c>
      <c r="M158" t="s">
        <v>4912</v>
      </c>
      <c r="N158" t="s">
        <v>5108</v>
      </c>
      <c r="O158" t="str" cm="1">
        <f t="array" ref="O158">_xlfn.IFS(
  TEXT(TRIM(N158),"00000")="NULL", "Missing/Unknown",
  OR(TEXT(TRIM(N158),"00000")="89101", TEXT(TRIM(N158),"00000")="89104", TEXT(TRIM(N158),"00000")="89106", TEXT(TRIM(N158),"00000")="89102", TEXT(TRIM(N158),"00000")="89107", TEXT(TRIM(N158),"00000")="89108"), "Urban Core",
  OR(TEXT(TRIM(N158),"00000")="89110", TEXT(TRIM(N158),"00000")="89115", TEXT(TRIM(N158),"00000")="89121", TEXT(TRIM(N158),"00000")="89122", TEXT(TRIM(N158),"00000")="89142", TEXT(TRIM(N158),"00000")="89156"), "East Valley",
  OR(TEXT(TRIM(N158),"00000")="89030", TEXT(TRIM(N158),"00000")="89031", TEXT(TRIM(N158),"00000")="89032", TEXT(TRIM(N158),"00000")="89086", TEXT(TRIM(N158),"00000")="89084", TEXT(TRIM(N158),"00000")="89081"), "North LV",
  OR(TEXT(TRIM(N158),"00000")="89109", TEXT(TRIM(N158),"00000")="89103", TEXT(TRIM(N158),"00000")="89119", TEXT(TRIM(N158),"00000")="89123", TEXT(TRIM(N158),"00000")="89169", TEXT(TRIM(N158),"00000")="89118"), "South/Strip",
  OR(TEXT(TRIM(N158),"00000")="89074", TEXT(TRIM(N158),"00000")="89014", TEXT(TRIM(N158),"00000")="89015", TEXT(TRIM(N158),"00000")="89011", TEXT(TRIM(N158),"00000")="89012"), "Suburban SE",
  OR(TEXT(TRIM(N158),"00000")="89117", TEXT(TRIM(N158),"00000")="89128", TEXT(TRIM(N158),"00000")="89135", TEXT(TRIM(N158),"00000")="89144", TEXT(TRIM(N158),"00000")="89145", TEXT(TRIM(N158),"00000")="89147"), "West Valley",
  TRUE, "Other"
)</f>
        <v>East Valley</v>
      </c>
      <c r="P158" t="s">
        <v>1073</v>
      </c>
      <c r="Q158" t="str">
        <f t="shared" si="10"/>
        <v>Home/Residence</v>
      </c>
      <c r="R158" t="s">
        <v>4912</v>
      </c>
      <c r="S158" t="s">
        <v>5108</v>
      </c>
      <c r="T158" t="str" cm="1">
        <f t="array" ref="T158">_xlfn.IFS(
  TEXT(TRIM(S158),"00000")="NULL", "Missing/Unknown",
  OR(TEXT(TRIM(S158),"00000")="89101", TEXT(TRIM(S158),"00000")="89104", TEXT(TRIM(S158),"00000")="89106", TEXT(TRIM(S158),"00000")="89102", TEXT(TRIM(S158),"00000")="89107", TEXT(TRIM(S158),"00000")="89108"), "Urban Core",
  OR(TEXT(TRIM(S158),"00000")="89110", TEXT(TRIM(S158),"00000")="89115", TEXT(TRIM(S158),"00000")="89121", TEXT(TRIM(S158),"00000")="89122", TEXT(TRIM(S158),"00000")="89142", TEXT(TRIM(S158),"00000")="89156"), "East Valley",
  OR(TEXT(TRIM(S158),"00000")="89030", TEXT(TRIM(S158),"00000")="89031", TEXT(TRIM(S158),"00000")="89032", TEXT(TRIM(S158),"00000")="89086", TEXT(TRIM(S158),"00000")="89084", TEXT(TRIM(S158),"00000")="89081"), "North LV",
  OR(TEXT(TRIM(S158),"00000")="89109", TEXT(TRIM(S158),"00000")="89103", TEXT(TRIM(S158),"00000")="89119", TEXT(TRIM(S158),"00000")="89123", TEXT(TRIM(S158),"00000")="89169", TEXT(TRIM(S158),"00000")="89118"), "South/Strip",
  OR(TEXT(TRIM(S158),"00000")="89074", TEXT(TRIM(S158),"00000")="89014", TEXT(TRIM(S158),"00000")="89015", TEXT(TRIM(S158),"00000")="89011", TEXT(TRIM(S158),"00000")="89012"), "Suburban SE",
  OR(TEXT(TRIM(S158),"00000")="89117", TEXT(TRIM(S158),"00000")="89128", TEXT(TRIM(S158),"00000")="89135", TEXT(TRIM(S158),"00000")="89144", TEXT(TRIM(S158),"00000")="89145", TEXT(TRIM(S158),"00000")="89147"), "West Valley",
  TRUE, "Other"
)</f>
        <v>East Valley</v>
      </c>
      <c r="U158" t="s">
        <v>1073</v>
      </c>
      <c r="V158" t="str">
        <f t="shared" si="11"/>
        <v>Home/Residence</v>
      </c>
    </row>
    <row r="159" spans="1:22">
      <c r="A159" t="s">
        <v>3928</v>
      </c>
      <c r="B159" t="s">
        <v>3929</v>
      </c>
      <c r="C159" s="1">
        <v>45499</v>
      </c>
      <c r="D159" s="4">
        <v>111.02</v>
      </c>
      <c r="E159">
        <v>80</v>
      </c>
      <c r="F159" t="str">
        <f t="shared" si="8"/>
        <v>80's</v>
      </c>
      <c r="G159" t="str" cm="1">
        <f t="array" ref="G159">_xlfn.IFS(
  F159="10's", "Child (5–12)",
  OR(F159="20's", F159="30's"), "Young Adult (20–39)",
  OR(F159="40's", F159="50's"), "Adult (40–59)",
  OR(F159="60's", F159="70's", F159="80's", F159="90's"), "Senior (60+)",
  TRUE, "Unknown"
)</f>
        <v>Senior (60+)</v>
      </c>
      <c r="H159" t="s">
        <v>27</v>
      </c>
      <c r="I159" t="s">
        <v>2927</v>
      </c>
      <c r="J159" t="str">
        <f t="shared" si="9"/>
        <v>Cardiovascular Disease</v>
      </c>
      <c r="K159" t="s">
        <v>35</v>
      </c>
      <c r="L159" t="s">
        <v>1071</v>
      </c>
      <c r="M159" t="s">
        <v>4914</v>
      </c>
      <c r="N159" t="s">
        <v>5107</v>
      </c>
      <c r="O159" t="str" cm="1">
        <f t="array" ref="O159">_xlfn.IFS(
  TEXT(TRIM(N159),"00000")="NULL", "Missing/Unknown",
  OR(TEXT(TRIM(N159),"00000")="89101", TEXT(TRIM(N159),"00000")="89104", TEXT(TRIM(N159),"00000")="89106", TEXT(TRIM(N159),"00000")="89102", TEXT(TRIM(N159),"00000")="89107", TEXT(TRIM(N159),"00000")="89108"), "Urban Core",
  OR(TEXT(TRIM(N159),"00000")="89110", TEXT(TRIM(N159),"00000")="89115", TEXT(TRIM(N159),"00000")="89121", TEXT(TRIM(N159),"00000")="89122", TEXT(TRIM(N159),"00000")="89142", TEXT(TRIM(N159),"00000")="89156"), "East Valley",
  OR(TEXT(TRIM(N159),"00000")="89030", TEXT(TRIM(N159),"00000")="89031", TEXT(TRIM(N159),"00000")="89032", TEXT(TRIM(N159),"00000")="89086", TEXT(TRIM(N159),"00000")="89084", TEXT(TRIM(N159),"00000")="89081"), "North LV",
  OR(TEXT(TRIM(N159),"00000")="89109", TEXT(TRIM(N159),"00000")="89103", TEXT(TRIM(N159),"00000")="89119", TEXT(TRIM(N159),"00000")="89123", TEXT(TRIM(N159),"00000")="89169", TEXT(TRIM(N159),"00000")="89118"), "South/Strip",
  OR(TEXT(TRIM(N159),"00000")="89074", TEXT(TRIM(N159),"00000")="89014", TEXT(TRIM(N159),"00000")="89015", TEXT(TRIM(N159),"00000")="89011", TEXT(TRIM(N159),"00000")="89012"), "Suburban SE",
  OR(TEXT(TRIM(N159),"00000")="89117", TEXT(TRIM(N159),"00000")="89128", TEXT(TRIM(N159),"00000")="89135", TEXT(TRIM(N159),"00000")="89144", TEXT(TRIM(N159),"00000")="89145", TEXT(TRIM(N159),"00000")="89147"), "West Valley",
  TRUE, "Other"
)</f>
        <v>South/Strip</v>
      </c>
      <c r="P159" t="s">
        <v>1073</v>
      </c>
      <c r="Q159" t="str">
        <f t="shared" si="10"/>
        <v>Home/Residence</v>
      </c>
      <c r="R159" t="s">
        <v>4914</v>
      </c>
      <c r="S159" t="s">
        <v>5107</v>
      </c>
      <c r="T159" t="str" cm="1">
        <f t="array" ref="T159">_xlfn.IFS(
  TEXT(TRIM(S159),"00000")="NULL", "Missing/Unknown",
  OR(TEXT(TRIM(S159),"00000")="89101", TEXT(TRIM(S159),"00000")="89104", TEXT(TRIM(S159),"00000")="89106", TEXT(TRIM(S159),"00000")="89102", TEXT(TRIM(S159),"00000")="89107", TEXT(TRIM(S159),"00000")="89108"), "Urban Core",
  OR(TEXT(TRIM(S159),"00000")="89110", TEXT(TRIM(S159),"00000")="89115", TEXT(TRIM(S159),"00000")="89121", TEXT(TRIM(S159),"00000")="89122", TEXT(TRIM(S159),"00000")="89142", TEXT(TRIM(S159),"00000")="89156"), "East Valley",
  OR(TEXT(TRIM(S159),"00000")="89030", TEXT(TRIM(S159),"00000")="89031", TEXT(TRIM(S159),"00000")="89032", TEXT(TRIM(S159),"00000")="89086", TEXT(TRIM(S159),"00000")="89084", TEXT(TRIM(S159),"00000")="89081"), "North LV",
  OR(TEXT(TRIM(S159),"00000")="89109", TEXT(TRIM(S159),"00000")="89103", TEXT(TRIM(S159),"00000")="89119", TEXT(TRIM(S159),"00000")="89123", TEXT(TRIM(S159),"00000")="89169", TEXT(TRIM(S159),"00000")="89118"), "South/Strip",
  OR(TEXT(TRIM(S159),"00000")="89074", TEXT(TRIM(S159),"00000")="89014", TEXT(TRIM(S159),"00000")="89015", TEXT(TRIM(S159),"00000")="89011", TEXT(TRIM(S159),"00000")="89012"), "Suburban SE",
  OR(TEXT(TRIM(S159),"00000")="89117", TEXT(TRIM(S159),"00000")="89128", TEXT(TRIM(S159),"00000")="89135", TEXT(TRIM(S159),"00000")="89144", TEXT(TRIM(S159),"00000")="89145", TEXT(TRIM(S159),"00000")="89147"), "West Valley",
  TRUE, "Other"
)</f>
        <v>South/Strip</v>
      </c>
      <c r="U159" t="s">
        <v>1073</v>
      </c>
      <c r="V159" t="str">
        <f t="shared" si="11"/>
        <v>Home/Residence</v>
      </c>
    </row>
    <row r="160" spans="1:22">
      <c r="A160" t="s">
        <v>3173</v>
      </c>
      <c r="B160" t="s">
        <v>3174</v>
      </c>
      <c r="C160" s="1">
        <v>45499</v>
      </c>
      <c r="D160" s="4">
        <v>111.02</v>
      </c>
      <c r="E160">
        <v>40</v>
      </c>
      <c r="F160" t="str">
        <f t="shared" si="8"/>
        <v>40's</v>
      </c>
      <c r="G160" t="str" cm="1">
        <f t="array" ref="G160">_xlfn.IFS(
  F160="10's", "Child (5–12)",
  OR(F160="20's", F160="30's"), "Young Adult (20–39)",
  OR(F160="40's", F160="50's"), "Adult (40–59)",
  OR(F160="60's", F160="70's", F160="80's", F160="90's"), "Senior (60+)",
  TRUE, "Unknown"
)</f>
        <v>Adult (40–59)</v>
      </c>
      <c r="H160" t="s">
        <v>778</v>
      </c>
      <c r="I160" t="s">
        <v>54</v>
      </c>
      <c r="J160" t="str">
        <f t="shared" si="9"/>
        <v>Environmental Heat</v>
      </c>
      <c r="K160" t="s">
        <v>172</v>
      </c>
      <c r="L160" t="s">
        <v>250</v>
      </c>
      <c r="M160" t="s">
        <v>4676</v>
      </c>
      <c r="N160" t="s">
        <v>5098</v>
      </c>
      <c r="O160" t="str" cm="1">
        <f t="array" ref="O160">_xlfn.IFS(
  TEXT(TRIM(N160),"00000")="NULL", "Missing/Unknown",
  OR(TEXT(TRIM(N160),"00000")="89101", TEXT(TRIM(N160),"00000")="89104", TEXT(TRIM(N160),"00000")="89106", TEXT(TRIM(N160),"00000")="89102", TEXT(TRIM(N160),"00000")="89107", TEXT(TRIM(N160),"00000")="89108"), "Urban Core",
  OR(TEXT(TRIM(N160),"00000")="89110", TEXT(TRIM(N160),"00000")="89115", TEXT(TRIM(N160),"00000")="89121", TEXT(TRIM(N160),"00000")="89122", TEXT(TRIM(N160),"00000")="89142", TEXT(TRIM(N160),"00000")="89156"), "East Valley",
  OR(TEXT(TRIM(N160),"00000")="89030", TEXT(TRIM(N160),"00000")="89031", TEXT(TRIM(N160),"00000")="89032", TEXT(TRIM(N160),"00000")="89086", TEXT(TRIM(N160),"00000")="89084", TEXT(TRIM(N160),"00000")="89081"), "North LV",
  OR(TEXT(TRIM(N160),"00000")="89109", TEXT(TRIM(N160),"00000")="89103", TEXT(TRIM(N160),"00000")="89119", TEXT(TRIM(N160),"00000")="89123", TEXT(TRIM(N160),"00000")="89169", TEXT(TRIM(N160),"00000")="89118"), "South/Strip",
  OR(TEXT(TRIM(N160),"00000")="89074", TEXT(TRIM(N160),"00000")="89014", TEXT(TRIM(N160),"00000")="89015", TEXT(TRIM(N160),"00000")="89011", TEXT(TRIM(N160),"00000")="89012"), "Suburban SE",
  OR(TEXT(TRIM(N160),"00000")="89117", TEXT(TRIM(N160),"00000")="89128", TEXT(TRIM(N160),"00000")="89135", TEXT(TRIM(N160),"00000")="89144", TEXT(TRIM(N160),"00000")="89145", TEXT(TRIM(N160),"00000")="89147"), "West Valley",
  TRUE, "Other"
)</f>
        <v>Urban Core</v>
      </c>
      <c r="P160" t="s">
        <v>3298</v>
      </c>
      <c r="Q160" t="str">
        <f t="shared" si="10"/>
        <v>Outdoors/Public</v>
      </c>
      <c r="R160" t="s">
        <v>4676</v>
      </c>
      <c r="S160" t="s">
        <v>5098</v>
      </c>
      <c r="T160" t="str" cm="1">
        <f t="array" ref="T160">_xlfn.IFS(
  TEXT(TRIM(S160),"00000")="NULL", "Missing/Unknown",
  OR(TEXT(TRIM(S160),"00000")="89101", TEXT(TRIM(S160),"00000")="89104", TEXT(TRIM(S160),"00000")="89106", TEXT(TRIM(S160),"00000")="89102", TEXT(TRIM(S160),"00000")="89107", TEXT(TRIM(S160),"00000")="89108"), "Urban Core",
  OR(TEXT(TRIM(S160),"00000")="89110", TEXT(TRIM(S160),"00000")="89115", TEXT(TRIM(S160),"00000")="89121", TEXT(TRIM(S160),"00000")="89122", TEXT(TRIM(S160),"00000")="89142", TEXT(TRIM(S160),"00000")="89156"), "East Valley",
  OR(TEXT(TRIM(S160),"00000")="89030", TEXT(TRIM(S160),"00000")="89031", TEXT(TRIM(S160),"00000")="89032", TEXT(TRIM(S160),"00000")="89086", TEXT(TRIM(S160),"00000")="89084", TEXT(TRIM(S160),"00000")="89081"), "North LV",
  OR(TEXT(TRIM(S160),"00000")="89109", TEXT(TRIM(S160),"00000")="89103", TEXT(TRIM(S160),"00000")="89119", TEXT(TRIM(S160),"00000")="89123", TEXT(TRIM(S160),"00000")="89169", TEXT(TRIM(S160),"00000")="89118"), "South/Strip",
  OR(TEXT(TRIM(S160),"00000")="89074", TEXT(TRIM(S160),"00000")="89014", TEXT(TRIM(S160),"00000")="89015", TEXT(TRIM(S160),"00000")="89011", TEXT(TRIM(S160),"00000")="89012"), "Suburban SE",
  OR(TEXT(TRIM(S160),"00000")="89117", TEXT(TRIM(S160),"00000")="89128", TEXT(TRIM(S160),"00000")="89135", TEXT(TRIM(S160),"00000")="89144", TEXT(TRIM(S160),"00000")="89145", TEXT(TRIM(S160),"00000")="89147"), "West Valley",
  TRUE, "Other"
)</f>
        <v>Urban Core</v>
      </c>
      <c r="U160" t="s">
        <v>3298</v>
      </c>
      <c r="V160" t="str">
        <f t="shared" si="11"/>
        <v>Outdoors/Public</v>
      </c>
    </row>
    <row r="161" spans="1:22">
      <c r="A161" t="s">
        <v>3186</v>
      </c>
      <c r="B161" t="s">
        <v>3187</v>
      </c>
      <c r="C161" s="1">
        <v>45499</v>
      </c>
      <c r="D161" s="4">
        <v>111.02</v>
      </c>
      <c r="E161">
        <v>72</v>
      </c>
      <c r="F161" t="str">
        <f t="shared" si="8"/>
        <v>70's</v>
      </c>
      <c r="G161" t="str" cm="1">
        <f t="array" ref="G161">_xlfn.IFS(
  F161="10's", "Child (5–12)",
  OR(F161="20's", F161="30's"), "Young Adult (20–39)",
  OR(F161="40's", F161="50's"), "Adult (40–59)",
  OR(F161="60's", F161="70's", F161="80's", F161="90's"), "Senior (60+)",
  TRUE, "Unknown"
)</f>
        <v>Senior (60+)</v>
      </c>
      <c r="H161" t="s">
        <v>841</v>
      </c>
      <c r="I161" t="s">
        <v>54</v>
      </c>
      <c r="J161" t="str">
        <f t="shared" si="9"/>
        <v>Environmental Heat</v>
      </c>
      <c r="K161" t="s">
        <v>98</v>
      </c>
      <c r="L161" t="s">
        <v>1071</v>
      </c>
      <c r="M161" t="s">
        <v>5035</v>
      </c>
      <c r="N161" t="s">
        <v>5121</v>
      </c>
      <c r="O161" t="str" cm="1">
        <f t="array" ref="O161">_xlfn.IFS(
  TEXT(TRIM(N161),"00000")="NULL", "Missing/Unknown",
  OR(TEXT(TRIM(N161),"00000")="89101", TEXT(TRIM(N161),"00000")="89104", TEXT(TRIM(N161),"00000")="89106", TEXT(TRIM(N161),"00000")="89102", TEXT(TRIM(N161),"00000")="89107", TEXT(TRIM(N161),"00000")="89108"), "Urban Core",
  OR(TEXT(TRIM(N161),"00000")="89110", TEXT(TRIM(N161),"00000")="89115", TEXT(TRIM(N161),"00000")="89121", TEXT(TRIM(N161),"00000")="89122", TEXT(TRIM(N161),"00000")="89142", TEXT(TRIM(N161),"00000")="89156"), "East Valley",
  OR(TEXT(TRIM(N161),"00000")="89030", TEXT(TRIM(N161),"00000")="89031", TEXT(TRIM(N161),"00000")="89032", TEXT(TRIM(N161),"00000")="89086", TEXT(TRIM(N161),"00000")="89084", TEXT(TRIM(N161),"00000")="89081"), "North LV",
  OR(TEXT(TRIM(N161),"00000")="89109", TEXT(TRIM(N161),"00000")="89103", TEXT(TRIM(N161),"00000")="89119", TEXT(TRIM(N161),"00000")="89123", TEXT(TRIM(N161),"00000")="89169", TEXT(TRIM(N161),"00000")="89118"), "South/Strip",
  OR(TEXT(TRIM(N161),"00000")="89074", TEXT(TRIM(N161),"00000")="89014", TEXT(TRIM(N161),"00000")="89015", TEXT(TRIM(N161),"00000")="89011", TEXT(TRIM(N161),"00000")="89012"), "Suburban SE",
  OR(TEXT(TRIM(N161),"00000")="89117", TEXT(TRIM(N161),"00000")="89128", TEXT(TRIM(N161),"00000")="89135", TEXT(TRIM(N161),"00000")="89144", TEXT(TRIM(N161),"00000")="89145", TEXT(TRIM(N161),"00000")="89147"), "West Valley",
  TRUE, "Other"
)</f>
        <v>East Valley</v>
      </c>
      <c r="P161" t="s">
        <v>3298</v>
      </c>
      <c r="Q161" t="str">
        <f t="shared" si="10"/>
        <v>Outdoors/Public</v>
      </c>
      <c r="R161" t="s">
        <v>5035</v>
      </c>
      <c r="S161" t="s">
        <v>5121</v>
      </c>
      <c r="T161" t="str" cm="1">
        <f t="array" ref="T161">_xlfn.IFS(
  TEXT(TRIM(S161),"00000")="NULL", "Missing/Unknown",
  OR(TEXT(TRIM(S161),"00000")="89101", TEXT(TRIM(S161),"00000")="89104", TEXT(TRIM(S161),"00000")="89106", TEXT(TRIM(S161),"00000")="89102", TEXT(TRIM(S161),"00000")="89107", TEXT(TRIM(S161),"00000")="89108"), "Urban Core",
  OR(TEXT(TRIM(S161),"00000")="89110", TEXT(TRIM(S161),"00000")="89115", TEXT(TRIM(S161),"00000")="89121", TEXT(TRIM(S161),"00000")="89122", TEXT(TRIM(S161),"00000")="89142", TEXT(TRIM(S161),"00000")="89156"), "East Valley",
  OR(TEXT(TRIM(S161),"00000")="89030", TEXT(TRIM(S161),"00000")="89031", TEXT(TRIM(S161),"00000")="89032", TEXT(TRIM(S161),"00000")="89086", TEXT(TRIM(S161),"00000")="89084", TEXT(TRIM(S161),"00000")="89081"), "North LV",
  OR(TEXT(TRIM(S161),"00000")="89109", TEXT(TRIM(S161),"00000")="89103", TEXT(TRIM(S161),"00000")="89119", TEXT(TRIM(S161),"00000")="89123", TEXT(TRIM(S161),"00000")="89169", TEXT(TRIM(S161),"00000")="89118"), "South/Strip",
  OR(TEXT(TRIM(S161),"00000")="89074", TEXT(TRIM(S161),"00000")="89014", TEXT(TRIM(S161),"00000")="89015", TEXT(TRIM(S161),"00000")="89011", TEXT(TRIM(S161),"00000")="89012"), "Suburban SE",
  OR(TEXT(TRIM(S161),"00000")="89117", TEXT(TRIM(S161),"00000")="89128", TEXT(TRIM(S161),"00000")="89135", TEXT(TRIM(S161),"00000")="89144", TEXT(TRIM(S161),"00000")="89145", TEXT(TRIM(S161),"00000")="89147"), "West Valley",
  TRUE, "Other"
)</f>
        <v>East Valley</v>
      </c>
      <c r="U161" t="s">
        <v>3298</v>
      </c>
      <c r="V161" t="str">
        <f t="shared" si="11"/>
        <v>Outdoors/Public</v>
      </c>
    </row>
    <row r="162" spans="1:22">
      <c r="A162" t="s">
        <v>2788</v>
      </c>
      <c r="B162" t="s">
        <v>2789</v>
      </c>
      <c r="C162" s="1">
        <v>45499</v>
      </c>
      <c r="D162" s="4">
        <v>111.02</v>
      </c>
      <c r="E162">
        <v>51</v>
      </c>
      <c r="F162" t="str">
        <f t="shared" si="8"/>
        <v>50's</v>
      </c>
      <c r="G162" t="str" cm="1">
        <f t="array" ref="G162">_xlfn.IFS(
  F162="10's", "Child (5–12)",
  OR(F162="20's", F162="30's"), "Young Adult (20–39)",
  OR(F162="40's", F162="50's"), "Adult (40–59)",
  OR(F162="60's", F162="70's", F162="80's", F162="90's"), "Senior (60+)",
  TRUE, "Unknown"
)</f>
        <v>Adult (40–59)</v>
      </c>
      <c r="H162" t="s">
        <v>841</v>
      </c>
      <c r="I162" t="s">
        <v>4132</v>
      </c>
      <c r="J162" t="str">
        <f t="shared" si="9"/>
        <v>Ethanol-related</v>
      </c>
      <c r="K162" t="s">
        <v>54</v>
      </c>
      <c r="L162" t="s">
        <v>250</v>
      </c>
      <c r="M162" t="s">
        <v>5016</v>
      </c>
      <c r="N162" t="s">
        <v>5130</v>
      </c>
      <c r="O162" t="str" cm="1">
        <f t="array" ref="O162">_xlfn.IFS(
  TEXT(TRIM(N162),"00000")="NULL", "Missing/Unknown",
  OR(TEXT(TRIM(N162),"00000")="89101", TEXT(TRIM(N162),"00000")="89104", TEXT(TRIM(N162),"00000")="89106", TEXT(TRIM(N162),"00000")="89102", TEXT(TRIM(N162),"00000")="89107", TEXT(TRIM(N162),"00000")="89108"), "Urban Core",
  OR(TEXT(TRIM(N162),"00000")="89110", TEXT(TRIM(N162),"00000")="89115", TEXT(TRIM(N162),"00000")="89121", TEXT(TRIM(N162),"00000")="89122", TEXT(TRIM(N162),"00000")="89142", TEXT(TRIM(N162),"00000")="89156"), "East Valley",
  OR(TEXT(TRIM(N162),"00000")="89030", TEXT(TRIM(N162),"00000")="89031", TEXT(TRIM(N162),"00000")="89032", TEXT(TRIM(N162),"00000")="89086", TEXT(TRIM(N162),"00000")="89084", TEXT(TRIM(N162),"00000")="89081"), "North LV",
  OR(TEXT(TRIM(N162),"00000")="89109", TEXT(TRIM(N162),"00000")="89103", TEXT(TRIM(N162),"00000")="89119", TEXT(TRIM(N162),"00000")="89123", TEXT(TRIM(N162),"00000")="89169", TEXT(TRIM(N162),"00000")="89118"), "South/Strip",
  OR(TEXT(TRIM(N162),"00000")="89074", TEXT(TRIM(N162),"00000")="89014", TEXT(TRIM(N162),"00000")="89015", TEXT(TRIM(N162),"00000")="89011", TEXT(TRIM(N162),"00000")="89012"), "Suburban SE",
  OR(TEXT(TRIM(N162),"00000")="89117", TEXT(TRIM(N162),"00000")="89128", TEXT(TRIM(N162),"00000")="89135", TEXT(TRIM(N162),"00000")="89144", TEXT(TRIM(N162),"00000")="89145", TEXT(TRIM(N162),"00000")="89147"), "West Valley",
  TRUE, "Other"
)</f>
        <v>Other</v>
      </c>
      <c r="P162" t="s">
        <v>3298</v>
      </c>
      <c r="Q162" t="str">
        <f t="shared" si="10"/>
        <v>Outdoors/Public</v>
      </c>
      <c r="R162" t="s">
        <v>5016</v>
      </c>
      <c r="S162" t="s">
        <v>5130</v>
      </c>
      <c r="T162" t="str" cm="1">
        <f t="array" ref="T162">_xlfn.IFS(
  TEXT(TRIM(S162),"00000")="NULL", "Missing/Unknown",
  OR(TEXT(TRIM(S162),"00000")="89101", TEXT(TRIM(S162),"00000")="89104", TEXT(TRIM(S162),"00000")="89106", TEXT(TRIM(S162),"00000")="89102", TEXT(TRIM(S162),"00000")="89107", TEXT(TRIM(S162),"00000")="89108"), "Urban Core",
  OR(TEXT(TRIM(S162),"00000")="89110", TEXT(TRIM(S162),"00000")="89115", TEXT(TRIM(S162),"00000")="89121", TEXT(TRIM(S162),"00000")="89122", TEXT(TRIM(S162),"00000")="89142", TEXT(TRIM(S162),"00000")="89156"), "East Valley",
  OR(TEXT(TRIM(S162),"00000")="89030", TEXT(TRIM(S162),"00000")="89031", TEXT(TRIM(S162),"00000")="89032", TEXT(TRIM(S162),"00000")="89086", TEXT(TRIM(S162),"00000")="89084", TEXT(TRIM(S162),"00000")="89081"), "North LV",
  OR(TEXT(TRIM(S162),"00000")="89109", TEXT(TRIM(S162),"00000")="89103", TEXT(TRIM(S162),"00000")="89119", TEXT(TRIM(S162),"00000")="89123", TEXT(TRIM(S162),"00000")="89169", TEXT(TRIM(S162),"00000")="89118"), "South/Strip",
  OR(TEXT(TRIM(S162),"00000")="89074", TEXT(TRIM(S162),"00000")="89014", TEXT(TRIM(S162),"00000")="89015", TEXT(TRIM(S162),"00000")="89011", TEXT(TRIM(S162),"00000")="89012"), "Suburban SE",
  OR(TEXT(TRIM(S162),"00000")="89117", TEXT(TRIM(S162),"00000")="89128", TEXT(TRIM(S162),"00000")="89135", TEXT(TRIM(S162),"00000")="89144", TEXT(TRIM(S162),"00000")="89145", TEXT(TRIM(S162),"00000")="89147"), "West Valley",
  TRUE, "Other"
)</f>
        <v>Other</v>
      </c>
      <c r="U162" t="s">
        <v>3298</v>
      </c>
      <c r="V162" t="str">
        <f t="shared" si="11"/>
        <v>Outdoors/Public</v>
      </c>
    </row>
    <row r="163" spans="1:22">
      <c r="A163" t="s">
        <v>2887</v>
      </c>
      <c r="B163" t="s">
        <v>2888</v>
      </c>
      <c r="C163" s="1">
        <v>45499</v>
      </c>
      <c r="D163" s="4">
        <v>111.02</v>
      </c>
      <c r="E163">
        <v>56</v>
      </c>
      <c r="F163" t="str">
        <f t="shared" si="8"/>
        <v>50's</v>
      </c>
      <c r="G163" t="str" cm="1">
        <f t="array" ref="G163">_xlfn.IFS(
  F163="10's", "Child (5–12)",
  OR(F163="20's", F163="30's"), "Young Adult (20–39)",
  OR(F163="40's", F163="50's"), "Adult (40–59)",
  OR(F163="60's", F163="70's", F163="80's", F163="90's"), "Senior (60+)",
  TRUE, "Unknown"
)</f>
        <v>Adult (40–59)</v>
      </c>
      <c r="H163" t="s">
        <v>841</v>
      </c>
      <c r="I163" t="s">
        <v>35</v>
      </c>
      <c r="J163" t="str">
        <f t="shared" si="9"/>
        <v>Environmental Heat</v>
      </c>
      <c r="K163" t="s">
        <v>2889</v>
      </c>
      <c r="L163" t="s">
        <v>250</v>
      </c>
      <c r="M163" t="s">
        <v>4336</v>
      </c>
      <c r="N163" t="s">
        <v>5101</v>
      </c>
      <c r="O163" t="str" cm="1">
        <f t="array" ref="O163">_xlfn.IFS(
  TEXT(TRIM(N163),"00000")="NULL", "Missing/Unknown",
  OR(TEXT(TRIM(N163),"00000")="89101", TEXT(TRIM(N163),"00000")="89104", TEXT(TRIM(N163),"00000")="89106", TEXT(TRIM(N163),"00000")="89102", TEXT(TRIM(N163),"00000")="89107", TEXT(TRIM(N163),"00000")="89108"), "Urban Core",
  OR(TEXT(TRIM(N163),"00000")="89110", TEXT(TRIM(N163),"00000")="89115", TEXT(TRIM(N163),"00000")="89121", TEXT(TRIM(N163),"00000")="89122", TEXT(TRIM(N163),"00000")="89142", TEXT(TRIM(N163),"00000")="89156"), "East Valley",
  OR(TEXT(TRIM(N163),"00000")="89030", TEXT(TRIM(N163),"00000")="89031", TEXT(TRIM(N163),"00000")="89032", TEXT(TRIM(N163),"00000")="89086", TEXT(TRIM(N163),"00000")="89084", TEXT(TRIM(N163),"00000")="89081"), "North LV",
  OR(TEXT(TRIM(N163),"00000")="89109", TEXT(TRIM(N163),"00000")="89103", TEXT(TRIM(N163),"00000")="89119", TEXT(TRIM(N163),"00000")="89123", TEXT(TRIM(N163),"00000")="89169", TEXT(TRIM(N163),"00000")="89118"), "South/Strip",
  OR(TEXT(TRIM(N163),"00000")="89074", TEXT(TRIM(N163),"00000")="89014", TEXT(TRIM(N163),"00000")="89015", TEXT(TRIM(N163),"00000")="89011", TEXT(TRIM(N163),"00000")="89012"), "Suburban SE",
  OR(TEXT(TRIM(N163),"00000")="89117", TEXT(TRIM(N163),"00000")="89128", TEXT(TRIM(N163),"00000")="89135", TEXT(TRIM(N163),"00000")="89144", TEXT(TRIM(N163),"00000")="89145", TEXT(TRIM(N163),"00000")="89147"), "West Valley",
  TRUE, "Other"
)</f>
        <v>Urban Core</v>
      </c>
      <c r="P163" t="s">
        <v>3298</v>
      </c>
      <c r="Q163" t="str">
        <f t="shared" si="10"/>
        <v>Outdoors/Public</v>
      </c>
      <c r="R163" t="s">
        <v>4336</v>
      </c>
      <c r="S163" t="s">
        <v>5101</v>
      </c>
      <c r="T163" t="str" cm="1">
        <f t="array" ref="T163">_xlfn.IFS(
  TEXT(TRIM(S163),"00000")="NULL", "Missing/Unknown",
  OR(TEXT(TRIM(S163),"00000")="89101", TEXT(TRIM(S163),"00000")="89104", TEXT(TRIM(S163),"00000")="89106", TEXT(TRIM(S163),"00000")="89102", TEXT(TRIM(S163),"00000")="89107", TEXT(TRIM(S163),"00000")="89108"), "Urban Core",
  OR(TEXT(TRIM(S163),"00000")="89110", TEXT(TRIM(S163),"00000")="89115", TEXT(TRIM(S163),"00000")="89121", TEXT(TRIM(S163),"00000")="89122", TEXT(TRIM(S163),"00000")="89142", TEXT(TRIM(S163),"00000")="89156"), "East Valley",
  OR(TEXT(TRIM(S163),"00000")="89030", TEXT(TRIM(S163),"00000")="89031", TEXT(TRIM(S163),"00000")="89032", TEXT(TRIM(S163),"00000")="89086", TEXT(TRIM(S163),"00000")="89084", TEXT(TRIM(S163),"00000")="89081"), "North LV",
  OR(TEXT(TRIM(S163),"00000")="89109", TEXT(TRIM(S163),"00000")="89103", TEXT(TRIM(S163),"00000")="89119", TEXT(TRIM(S163),"00000")="89123", TEXT(TRIM(S163),"00000")="89169", TEXT(TRIM(S163),"00000")="89118"), "South/Strip",
  OR(TEXT(TRIM(S163),"00000")="89074", TEXT(TRIM(S163),"00000")="89014", TEXT(TRIM(S163),"00000")="89015", TEXT(TRIM(S163),"00000")="89011", TEXT(TRIM(S163),"00000")="89012"), "Suburban SE",
  OR(TEXT(TRIM(S163),"00000")="89117", TEXT(TRIM(S163),"00000")="89128", TEXT(TRIM(S163),"00000")="89135", TEXT(TRIM(S163),"00000")="89144", TEXT(TRIM(S163),"00000")="89145", TEXT(TRIM(S163),"00000")="89147"), "West Valley",
  TRUE, "Other"
)</f>
        <v>Urban Core</v>
      </c>
      <c r="U163" t="s">
        <v>3298</v>
      </c>
      <c r="V163" t="str">
        <f t="shared" si="11"/>
        <v>Outdoors/Public</v>
      </c>
    </row>
    <row r="164" spans="1:22">
      <c r="A164" t="s">
        <v>3176</v>
      </c>
      <c r="B164" t="s">
        <v>3177</v>
      </c>
      <c r="C164" s="1">
        <v>45499</v>
      </c>
      <c r="D164" s="4">
        <v>111.02</v>
      </c>
      <c r="E164">
        <v>78</v>
      </c>
      <c r="F164" t="str">
        <f t="shared" si="8"/>
        <v>70's</v>
      </c>
      <c r="G164" t="str" cm="1">
        <f t="array" ref="G164">_xlfn.IFS(
  F164="10's", "Child (5–12)",
  OR(F164="20's", F164="30's"), "Young Adult (20–39)",
  OR(F164="40's", F164="50's"), "Adult (40–59)",
  OR(F164="60's", F164="70's", F164="80's", F164="90's"), "Senior (60+)",
  TRUE, "Unknown"
)</f>
        <v>Senior (60+)</v>
      </c>
      <c r="H164" t="s">
        <v>841</v>
      </c>
      <c r="I164" t="s">
        <v>54</v>
      </c>
      <c r="J164" t="str">
        <f t="shared" si="9"/>
        <v>Environmental Heat</v>
      </c>
      <c r="K164" t="s">
        <v>4162</v>
      </c>
      <c r="L164" t="s">
        <v>3180</v>
      </c>
      <c r="M164" t="s">
        <v>4328</v>
      </c>
      <c r="N164" t="s">
        <v>5105</v>
      </c>
      <c r="O164" t="str" cm="1">
        <f t="array" ref="O164">_xlfn.IFS(
  TEXT(TRIM(N164),"00000")="NULL", "Missing/Unknown",
  OR(TEXT(TRIM(N164),"00000")="89101", TEXT(TRIM(N164),"00000")="89104", TEXT(TRIM(N164),"00000")="89106", TEXT(TRIM(N164),"00000")="89102", TEXT(TRIM(N164),"00000")="89107", TEXT(TRIM(N164),"00000")="89108"), "Urban Core",
  OR(TEXT(TRIM(N164),"00000")="89110", TEXT(TRIM(N164),"00000")="89115", TEXT(TRIM(N164),"00000")="89121", TEXT(TRIM(N164),"00000")="89122", TEXT(TRIM(N164),"00000")="89142", TEXT(TRIM(N164),"00000")="89156"), "East Valley",
  OR(TEXT(TRIM(N164),"00000")="89030", TEXT(TRIM(N164),"00000")="89031", TEXT(TRIM(N164),"00000")="89032", TEXT(TRIM(N164),"00000")="89086", TEXT(TRIM(N164),"00000")="89084", TEXT(TRIM(N164),"00000")="89081"), "North LV",
  OR(TEXT(TRIM(N164),"00000")="89109", TEXT(TRIM(N164),"00000")="89103", TEXT(TRIM(N164),"00000")="89119", TEXT(TRIM(N164),"00000")="89123", TEXT(TRIM(N164),"00000")="89169", TEXT(TRIM(N164),"00000")="89118"), "South/Strip",
  OR(TEXT(TRIM(N164),"00000")="89074", TEXT(TRIM(N164),"00000")="89014", TEXT(TRIM(N164),"00000")="89015", TEXT(TRIM(N164),"00000")="89011", TEXT(TRIM(N164),"00000")="89012"), "Suburban SE",
  OR(TEXT(TRIM(N164),"00000")="89117", TEXT(TRIM(N164),"00000")="89128", TEXT(TRIM(N164),"00000")="89135", TEXT(TRIM(N164),"00000")="89144", TEXT(TRIM(N164),"00000")="89145", TEXT(TRIM(N164),"00000")="89147"), "West Valley",
  TRUE, "Other"
)</f>
        <v>East Valley</v>
      </c>
      <c r="P164" t="s">
        <v>2666</v>
      </c>
      <c r="Q164" t="str">
        <f t="shared" si="10"/>
        <v>Outdoors/Public</v>
      </c>
      <c r="R164" t="s">
        <v>4328</v>
      </c>
      <c r="S164" t="s">
        <v>5105</v>
      </c>
      <c r="T164" t="str" cm="1">
        <f t="array" ref="T164">_xlfn.IFS(
  TEXT(TRIM(S164),"00000")="NULL", "Missing/Unknown",
  OR(TEXT(TRIM(S164),"00000")="89101", TEXT(TRIM(S164),"00000")="89104", TEXT(TRIM(S164),"00000")="89106", TEXT(TRIM(S164),"00000")="89102", TEXT(TRIM(S164),"00000")="89107", TEXT(TRIM(S164),"00000")="89108"), "Urban Core",
  OR(TEXT(TRIM(S164),"00000")="89110", TEXT(TRIM(S164),"00000")="89115", TEXT(TRIM(S164),"00000")="89121", TEXT(TRIM(S164),"00000")="89122", TEXT(TRIM(S164),"00000")="89142", TEXT(TRIM(S164),"00000")="89156"), "East Valley",
  OR(TEXT(TRIM(S164),"00000")="89030", TEXT(TRIM(S164),"00000")="89031", TEXT(TRIM(S164),"00000")="89032", TEXT(TRIM(S164),"00000")="89086", TEXT(TRIM(S164),"00000")="89084", TEXT(TRIM(S164),"00000")="89081"), "North LV",
  OR(TEXT(TRIM(S164),"00000")="89109", TEXT(TRIM(S164),"00000")="89103", TEXT(TRIM(S164),"00000")="89119", TEXT(TRIM(S164),"00000")="89123", TEXT(TRIM(S164),"00000")="89169", TEXT(TRIM(S164),"00000")="89118"), "South/Strip",
  OR(TEXT(TRIM(S164),"00000")="89074", TEXT(TRIM(S164),"00000")="89014", TEXT(TRIM(S164),"00000")="89015", TEXT(TRIM(S164),"00000")="89011", TEXT(TRIM(S164),"00000")="89012"), "Suburban SE",
  OR(TEXT(TRIM(S164),"00000")="89117", TEXT(TRIM(S164),"00000")="89128", TEXT(TRIM(S164),"00000")="89135", TEXT(TRIM(S164),"00000")="89144", TEXT(TRIM(S164),"00000")="89145", TEXT(TRIM(S164),"00000")="89147"), "West Valley",
  TRUE, "Other"
)</f>
        <v>East Valley</v>
      </c>
      <c r="U164" t="s">
        <v>2666</v>
      </c>
      <c r="V164" t="str">
        <f t="shared" si="11"/>
        <v>Outdoors/Public</v>
      </c>
    </row>
    <row r="165" spans="1:22">
      <c r="A165" t="s">
        <v>3183</v>
      </c>
      <c r="B165" t="s">
        <v>3184</v>
      </c>
      <c r="C165" s="1">
        <v>45499</v>
      </c>
      <c r="D165" s="4">
        <v>111.02</v>
      </c>
      <c r="E165">
        <v>62</v>
      </c>
      <c r="F165" t="str">
        <f t="shared" si="8"/>
        <v>60's</v>
      </c>
      <c r="G165" t="str" cm="1">
        <f t="array" ref="G165">_xlfn.IFS(
  F165="10's", "Child (5–12)",
  OR(F165="20's", F165="30's"), "Young Adult (20–39)",
  OR(F165="40's", F165="50's"), "Adult (40–59)",
  OR(F165="60's", F165="70's", F165="80's", F165="90's"), "Senior (60+)",
  TRUE, "Unknown"
)</f>
        <v>Senior (60+)</v>
      </c>
      <c r="H165" t="s">
        <v>841</v>
      </c>
      <c r="I165" t="s">
        <v>54</v>
      </c>
      <c r="J165" t="str">
        <f t="shared" si="9"/>
        <v>Environmental Heat</v>
      </c>
      <c r="K165" t="s">
        <v>98</v>
      </c>
      <c r="L165" t="s">
        <v>250</v>
      </c>
      <c r="M165" t="s">
        <v>4317</v>
      </c>
      <c r="N165" t="s">
        <v>5100</v>
      </c>
      <c r="O165" t="str" cm="1">
        <f t="array" ref="O165">_xlfn.IFS(
  TEXT(TRIM(N165),"00000")="NULL", "Missing/Unknown",
  OR(TEXT(TRIM(N165),"00000")="89101", TEXT(TRIM(N165),"00000")="89104", TEXT(TRIM(N165),"00000")="89106", TEXT(TRIM(N165),"00000")="89102", TEXT(TRIM(N165),"00000")="89107", TEXT(TRIM(N165),"00000")="89108"), "Urban Core",
  OR(TEXT(TRIM(N165),"00000")="89110", TEXT(TRIM(N165),"00000")="89115", TEXT(TRIM(N165),"00000")="89121", TEXT(TRIM(N165),"00000")="89122", TEXT(TRIM(N165),"00000")="89142", TEXT(TRIM(N165),"00000")="89156"), "East Valley",
  OR(TEXT(TRIM(N165),"00000")="89030", TEXT(TRIM(N165),"00000")="89031", TEXT(TRIM(N165),"00000")="89032", TEXT(TRIM(N165),"00000")="89086", TEXT(TRIM(N165),"00000")="89084", TEXT(TRIM(N165),"00000")="89081"), "North LV",
  OR(TEXT(TRIM(N165),"00000")="89109", TEXT(TRIM(N165),"00000")="89103", TEXT(TRIM(N165),"00000")="89119", TEXT(TRIM(N165),"00000")="89123", TEXT(TRIM(N165),"00000")="89169", TEXT(TRIM(N165),"00000")="89118"), "South/Strip",
  OR(TEXT(TRIM(N165),"00000")="89074", TEXT(TRIM(N165),"00000")="89014", TEXT(TRIM(N165),"00000")="89015", TEXT(TRIM(N165),"00000")="89011", TEXT(TRIM(N165),"00000")="89012"), "Suburban SE",
  OR(TEXT(TRIM(N165),"00000")="89117", TEXT(TRIM(N165),"00000")="89128", TEXT(TRIM(N165),"00000")="89135", TEXT(TRIM(N165),"00000")="89144", TEXT(TRIM(N165),"00000")="89145", TEXT(TRIM(N165),"00000")="89147"), "West Valley",
  TRUE, "Other"
)</f>
        <v>North LV</v>
      </c>
      <c r="P165" t="s">
        <v>24</v>
      </c>
      <c r="Q165" t="str">
        <f t="shared" si="10"/>
        <v>Outdoors/Public</v>
      </c>
      <c r="R165" t="s">
        <v>4317</v>
      </c>
      <c r="S165" t="s">
        <v>5100</v>
      </c>
      <c r="T165" t="str" cm="1">
        <f t="array" ref="T165">_xlfn.IFS(
  TEXT(TRIM(S165),"00000")="NULL", "Missing/Unknown",
  OR(TEXT(TRIM(S165),"00000")="89101", TEXT(TRIM(S165),"00000")="89104", TEXT(TRIM(S165),"00000")="89106", TEXT(TRIM(S165),"00000")="89102", TEXT(TRIM(S165),"00000")="89107", TEXT(TRIM(S165),"00000")="89108"), "Urban Core",
  OR(TEXT(TRIM(S165),"00000")="89110", TEXT(TRIM(S165),"00000")="89115", TEXT(TRIM(S165),"00000")="89121", TEXT(TRIM(S165),"00000")="89122", TEXT(TRIM(S165),"00000")="89142", TEXT(TRIM(S165),"00000")="89156"), "East Valley",
  OR(TEXT(TRIM(S165),"00000")="89030", TEXT(TRIM(S165),"00000")="89031", TEXT(TRIM(S165),"00000")="89032", TEXT(TRIM(S165),"00000")="89086", TEXT(TRIM(S165),"00000")="89084", TEXT(TRIM(S165),"00000")="89081"), "North LV",
  OR(TEXT(TRIM(S165),"00000")="89109", TEXT(TRIM(S165),"00000")="89103", TEXT(TRIM(S165),"00000")="89119", TEXT(TRIM(S165),"00000")="89123", TEXT(TRIM(S165),"00000")="89169", TEXT(TRIM(S165),"00000")="89118"), "South/Strip",
  OR(TEXT(TRIM(S165),"00000")="89074", TEXT(TRIM(S165),"00000")="89014", TEXT(TRIM(S165),"00000")="89015", TEXT(TRIM(S165),"00000")="89011", TEXT(TRIM(S165),"00000")="89012"), "Suburban SE",
  OR(TEXT(TRIM(S165),"00000")="89117", TEXT(TRIM(S165),"00000")="89128", TEXT(TRIM(S165),"00000")="89135", TEXT(TRIM(S165),"00000")="89144", TEXT(TRIM(S165),"00000")="89145", TEXT(TRIM(S165),"00000")="89147"), "West Valley",
  TRUE, "Other"
)</f>
        <v>North LV</v>
      </c>
      <c r="U165" t="s">
        <v>24</v>
      </c>
      <c r="V165" t="str">
        <f t="shared" si="11"/>
        <v>Outdoors/Public</v>
      </c>
    </row>
    <row r="166" spans="1:22">
      <c r="A166" t="s">
        <v>3161</v>
      </c>
      <c r="B166" t="s">
        <v>3162</v>
      </c>
      <c r="C166" s="1">
        <v>45499</v>
      </c>
      <c r="D166" s="4">
        <v>111.02</v>
      </c>
      <c r="E166">
        <v>80</v>
      </c>
      <c r="F166" t="str">
        <f t="shared" si="8"/>
        <v>80's</v>
      </c>
      <c r="G166" t="str" cm="1">
        <f t="array" ref="G166">_xlfn.IFS(
  F166="10's", "Child (5–12)",
  OR(F166="20's", F166="30's"), "Young Adult (20–39)",
  OR(F166="40's", F166="50's"), "Adult (40–59)",
  OR(F166="60's", F166="70's", F166="80's", F166="90's"), "Senior (60+)",
  TRUE, "Unknown"
)</f>
        <v>Senior (60+)</v>
      </c>
      <c r="H166" t="s">
        <v>841</v>
      </c>
      <c r="I166" t="s">
        <v>54</v>
      </c>
      <c r="J166" t="str">
        <f t="shared" si="9"/>
        <v>Environmental Heat</v>
      </c>
      <c r="K166" t="s">
        <v>549</v>
      </c>
      <c r="L166" t="s">
        <v>250</v>
      </c>
      <c r="N166" t="s">
        <v>5095</v>
      </c>
      <c r="O166" t="str" cm="1">
        <f t="array" ref="O166">_xlfn.IFS(
  TEXT(TRIM(N166),"00000")="NULL", "Missing/Unknown",
  OR(TEXT(TRIM(N166),"00000")="89101", TEXT(TRIM(N166),"00000")="89104", TEXT(TRIM(N166),"00000")="89106", TEXT(TRIM(N166),"00000")="89102", TEXT(TRIM(N166),"00000")="89107", TEXT(TRIM(N166),"00000")="89108"), "Urban Core",
  OR(TEXT(TRIM(N166),"00000")="89110", TEXT(TRIM(N166),"00000")="89115", TEXT(TRIM(N166),"00000")="89121", TEXT(TRIM(N166),"00000")="89122", TEXT(TRIM(N166),"00000")="89142", TEXT(TRIM(N166),"00000")="89156"), "East Valley",
  OR(TEXT(TRIM(N166),"00000")="89030", TEXT(TRIM(N166),"00000")="89031", TEXT(TRIM(N166),"00000")="89032", TEXT(TRIM(N166),"00000")="89086", TEXT(TRIM(N166),"00000")="89084", TEXT(TRIM(N166),"00000")="89081"), "North LV",
  OR(TEXT(TRIM(N166),"00000")="89109", TEXT(TRIM(N166),"00000")="89103", TEXT(TRIM(N166),"00000")="89119", TEXT(TRIM(N166),"00000")="89123", TEXT(TRIM(N166),"00000")="89169", TEXT(TRIM(N166),"00000")="89118"), "South/Strip",
  OR(TEXT(TRIM(N166),"00000")="89074", TEXT(TRIM(N166),"00000")="89014", TEXT(TRIM(N166),"00000")="89015", TEXT(TRIM(N166),"00000")="89011", TEXT(TRIM(N166),"00000")="89012"), "Suburban SE",
  OR(TEXT(TRIM(N166),"00000")="89117", TEXT(TRIM(N166),"00000")="89128", TEXT(TRIM(N166),"00000")="89135", TEXT(TRIM(N166),"00000")="89144", TEXT(TRIM(N166),"00000")="89145", TEXT(TRIM(N166),"00000")="89147"), "West Valley",
  TRUE, "Other"
)</f>
        <v>Missing/Unknown</v>
      </c>
      <c r="P166" t="s">
        <v>1073</v>
      </c>
      <c r="Q166" t="str">
        <f t="shared" si="10"/>
        <v>Home/Residence</v>
      </c>
      <c r="S166" t="s">
        <v>5095</v>
      </c>
      <c r="T166" t="str" cm="1">
        <f t="array" ref="T166">_xlfn.IFS(
  TEXT(TRIM(S166),"00000")="NULL", "Missing/Unknown",
  OR(TEXT(TRIM(S166),"00000")="89101", TEXT(TRIM(S166),"00000")="89104", TEXT(TRIM(S166),"00000")="89106", TEXT(TRIM(S166),"00000")="89102", TEXT(TRIM(S166),"00000")="89107", TEXT(TRIM(S166),"00000")="89108"), "Urban Core",
  OR(TEXT(TRIM(S166),"00000")="89110", TEXT(TRIM(S166),"00000")="89115", TEXT(TRIM(S166),"00000")="89121", TEXT(TRIM(S166),"00000")="89122", TEXT(TRIM(S166),"00000")="89142", TEXT(TRIM(S166),"00000")="89156"), "East Valley",
  OR(TEXT(TRIM(S166),"00000")="89030", TEXT(TRIM(S166),"00000")="89031", TEXT(TRIM(S166),"00000")="89032", TEXT(TRIM(S166),"00000")="89086", TEXT(TRIM(S166),"00000")="89084", TEXT(TRIM(S166),"00000")="89081"), "North LV",
  OR(TEXT(TRIM(S166),"00000")="89109", TEXT(TRIM(S166),"00000")="89103", TEXT(TRIM(S166),"00000")="89119", TEXT(TRIM(S166),"00000")="89123", TEXT(TRIM(S166),"00000")="89169", TEXT(TRIM(S166),"00000")="89118"), "South/Strip",
  OR(TEXT(TRIM(S166),"00000")="89074", TEXT(TRIM(S166),"00000")="89014", TEXT(TRIM(S166),"00000")="89015", TEXT(TRIM(S166),"00000")="89011", TEXT(TRIM(S166),"00000")="89012"), "Suburban SE",
  OR(TEXT(TRIM(S166),"00000")="89117", TEXT(TRIM(S166),"00000")="89128", TEXT(TRIM(S166),"00000")="89135", TEXT(TRIM(S166),"00000")="89144", TEXT(TRIM(S166),"00000")="89145", TEXT(TRIM(S166),"00000")="89147"), "West Valley",
  TRUE, "Other"
)</f>
        <v>Missing/Unknown</v>
      </c>
      <c r="U166" t="s">
        <v>1073</v>
      </c>
      <c r="V166" t="str">
        <f t="shared" si="11"/>
        <v>Home/Residence</v>
      </c>
    </row>
    <row r="167" spans="1:22">
      <c r="A167" t="s">
        <v>3352</v>
      </c>
      <c r="B167" t="s">
        <v>3353</v>
      </c>
      <c r="C167" s="1">
        <v>45499</v>
      </c>
      <c r="D167" s="4">
        <v>111.02</v>
      </c>
      <c r="E167">
        <v>55</v>
      </c>
      <c r="F167" t="str">
        <f t="shared" si="8"/>
        <v>50's</v>
      </c>
      <c r="G167" t="str" cm="1">
        <f t="array" ref="G167">_xlfn.IFS(
  F167="10's", "Child (5–12)",
  OR(F167="20's", F167="30's"), "Young Adult (20–39)",
  OR(F167="40's", F167="50's"), "Adult (40–59)",
  OR(F167="60's", F167="70's", F167="80's", F167="90's"), "Senior (60+)",
  TRUE, "Unknown"
)</f>
        <v>Adult (40–59)</v>
      </c>
      <c r="H167" t="s">
        <v>841</v>
      </c>
      <c r="I167" t="s">
        <v>4311</v>
      </c>
      <c r="J167" t="str">
        <f t="shared" si="9"/>
        <v>Fentanyl-related</v>
      </c>
      <c r="K167" t="s">
        <v>3354</v>
      </c>
      <c r="L167" t="s">
        <v>250</v>
      </c>
      <c r="N167" t="s">
        <v>5095</v>
      </c>
      <c r="O167" t="str" cm="1">
        <f t="array" ref="O167">_xlfn.IFS(
  TEXT(TRIM(N167),"00000")="NULL", "Missing/Unknown",
  OR(TEXT(TRIM(N167),"00000")="89101", TEXT(TRIM(N167),"00000")="89104", TEXT(TRIM(N167),"00000")="89106", TEXT(TRIM(N167),"00000")="89102", TEXT(TRIM(N167),"00000")="89107", TEXT(TRIM(N167),"00000")="89108"), "Urban Core",
  OR(TEXT(TRIM(N167),"00000")="89110", TEXT(TRIM(N167),"00000")="89115", TEXT(TRIM(N167),"00000")="89121", TEXT(TRIM(N167),"00000")="89122", TEXT(TRIM(N167),"00000")="89142", TEXT(TRIM(N167),"00000")="89156"), "East Valley",
  OR(TEXT(TRIM(N167),"00000")="89030", TEXT(TRIM(N167),"00000")="89031", TEXT(TRIM(N167),"00000")="89032", TEXT(TRIM(N167),"00000")="89086", TEXT(TRIM(N167),"00000")="89084", TEXT(TRIM(N167),"00000")="89081"), "North LV",
  OR(TEXT(TRIM(N167),"00000")="89109", TEXT(TRIM(N167),"00000")="89103", TEXT(TRIM(N167),"00000")="89119", TEXT(TRIM(N167),"00000")="89123", TEXT(TRIM(N167),"00000")="89169", TEXT(TRIM(N167),"00000")="89118"), "South/Strip",
  OR(TEXT(TRIM(N167),"00000")="89074", TEXT(TRIM(N167),"00000")="89014", TEXT(TRIM(N167),"00000")="89015", TEXT(TRIM(N167),"00000")="89011", TEXT(TRIM(N167),"00000")="89012"), "Suburban SE",
  OR(TEXT(TRIM(N167),"00000")="89117", TEXT(TRIM(N167),"00000")="89128", TEXT(TRIM(N167),"00000")="89135", TEXT(TRIM(N167),"00000")="89144", TEXT(TRIM(N167),"00000")="89145", TEXT(TRIM(N167),"00000")="89147"), "West Valley",
  TRUE, "Other"
)</f>
        <v>Missing/Unknown</v>
      </c>
      <c r="P167" t="s">
        <v>3298</v>
      </c>
      <c r="Q167" t="str">
        <f t="shared" si="10"/>
        <v>Outdoors/Public</v>
      </c>
      <c r="S167" t="s">
        <v>5095</v>
      </c>
      <c r="T167" t="str" cm="1">
        <f t="array" ref="T167">_xlfn.IFS(
  TEXT(TRIM(S167),"00000")="NULL", "Missing/Unknown",
  OR(TEXT(TRIM(S167),"00000")="89101", TEXT(TRIM(S167),"00000")="89104", TEXT(TRIM(S167),"00000")="89106", TEXT(TRIM(S167),"00000")="89102", TEXT(TRIM(S167),"00000")="89107", TEXT(TRIM(S167),"00000")="89108"), "Urban Core",
  OR(TEXT(TRIM(S167),"00000")="89110", TEXT(TRIM(S167),"00000")="89115", TEXT(TRIM(S167),"00000")="89121", TEXT(TRIM(S167),"00000")="89122", TEXT(TRIM(S167),"00000")="89142", TEXT(TRIM(S167),"00000")="89156"), "East Valley",
  OR(TEXT(TRIM(S167),"00000")="89030", TEXT(TRIM(S167),"00000")="89031", TEXT(TRIM(S167),"00000")="89032", TEXT(TRIM(S167),"00000")="89086", TEXT(TRIM(S167),"00000")="89084", TEXT(TRIM(S167),"00000")="89081"), "North LV",
  OR(TEXT(TRIM(S167),"00000")="89109", TEXT(TRIM(S167),"00000")="89103", TEXT(TRIM(S167),"00000")="89119", TEXT(TRIM(S167),"00000")="89123", TEXT(TRIM(S167),"00000")="89169", TEXT(TRIM(S167),"00000")="89118"), "South/Strip",
  OR(TEXT(TRIM(S167),"00000")="89074", TEXT(TRIM(S167),"00000")="89014", TEXT(TRIM(S167),"00000")="89015", TEXT(TRIM(S167),"00000")="89011", TEXT(TRIM(S167),"00000")="89012"), "Suburban SE",
  OR(TEXT(TRIM(S167),"00000")="89117", TEXT(TRIM(S167),"00000")="89128", TEXT(TRIM(S167),"00000")="89135", TEXT(TRIM(S167),"00000")="89144", TEXT(TRIM(S167),"00000")="89145", TEXT(TRIM(S167),"00000")="89147"), "West Valley",
  TRUE, "Other"
)</f>
        <v>Missing/Unknown</v>
      </c>
      <c r="U167" t="s">
        <v>3298</v>
      </c>
      <c r="V167" t="str">
        <f t="shared" si="11"/>
        <v>Outdoors/Public</v>
      </c>
    </row>
    <row r="168" spans="1:22">
      <c r="A168" t="s">
        <v>3849</v>
      </c>
      <c r="B168" t="s">
        <v>3850</v>
      </c>
      <c r="C168" s="1">
        <v>45499</v>
      </c>
      <c r="D168" s="4">
        <v>111.02</v>
      </c>
      <c r="E168">
        <v>50</v>
      </c>
      <c r="F168" t="str">
        <f t="shared" si="8"/>
        <v>50's</v>
      </c>
      <c r="G168" t="str" cm="1">
        <f t="array" ref="G168">_xlfn.IFS(
  F168="10's", "Child (5–12)",
  OR(F168="20's", F168="30's"), "Young Adult (20–39)",
  OR(F168="40's", F168="50's"), "Adult (40–59)",
  OR(F168="60's", F168="70's", F168="80's", F168="90's"), "Senior (60+)",
  TRUE, "Unknown"
)</f>
        <v>Adult (40–59)</v>
      </c>
      <c r="H168" t="s">
        <v>841</v>
      </c>
      <c r="I168" t="s">
        <v>4044</v>
      </c>
      <c r="J168" t="str">
        <f t="shared" si="9"/>
        <v>Methamphetamine-related</v>
      </c>
      <c r="K168" t="s">
        <v>3852</v>
      </c>
      <c r="L168" t="s">
        <v>250</v>
      </c>
      <c r="N168" t="s">
        <v>5095</v>
      </c>
      <c r="O168" t="str" cm="1">
        <f t="array" ref="O168">_xlfn.IFS(
  TEXT(TRIM(N168),"00000")="NULL", "Missing/Unknown",
  OR(TEXT(TRIM(N168),"00000")="89101", TEXT(TRIM(N168),"00000")="89104", TEXT(TRIM(N168),"00000")="89106", TEXT(TRIM(N168),"00000")="89102", TEXT(TRIM(N168),"00000")="89107", TEXT(TRIM(N168),"00000")="89108"), "Urban Core",
  OR(TEXT(TRIM(N168),"00000")="89110", TEXT(TRIM(N168),"00000")="89115", TEXT(TRIM(N168),"00000")="89121", TEXT(TRIM(N168),"00000")="89122", TEXT(TRIM(N168),"00000")="89142", TEXT(TRIM(N168),"00000")="89156"), "East Valley",
  OR(TEXT(TRIM(N168),"00000")="89030", TEXT(TRIM(N168),"00000")="89031", TEXT(TRIM(N168),"00000")="89032", TEXT(TRIM(N168),"00000")="89086", TEXT(TRIM(N168),"00000")="89084", TEXT(TRIM(N168),"00000")="89081"), "North LV",
  OR(TEXT(TRIM(N168),"00000")="89109", TEXT(TRIM(N168),"00000")="89103", TEXT(TRIM(N168),"00000")="89119", TEXT(TRIM(N168),"00000")="89123", TEXT(TRIM(N168),"00000")="89169", TEXT(TRIM(N168),"00000")="89118"), "South/Strip",
  OR(TEXT(TRIM(N168),"00000")="89074", TEXT(TRIM(N168),"00000")="89014", TEXT(TRIM(N168),"00000")="89015", TEXT(TRIM(N168),"00000")="89011", TEXT(TRIM(N168),"00000")="89012"), "Suburban SE",
  OR(TEXT(TRIM(N168),"00000")="89117", TEXT(TRIM(N168),"00000")="89128", TEXT(TRIM(N168),"00000")="89135", TEXT(TRIM(N168),"00000")="89144", TEXT(TRIM(N168),"00000")="89145", TEXT(TRIM(N168),"00000")="89147"), "West Valley",
  TRUE, "Other"
)</f>
        <v>Missing/Unknown</v>
      </c>
      <c r="P168" t="s">
        <v>3298</v>
      </c>
      <c r="Q168" t="str">
        <f t="shared" si="10"/>
        <v>Outdoors/Public</v>
      </c>
      <c r="R168" t="s">
        <v>5086</v>
      </c>
      <c r="S168" t="s">
        <v>5101</v>
      </c>
      <c r="T168" t="str" cm="1">
        <f t="array" ref="T168">_xlfn.IFS(
  TEXT(TRIM(S168),"00000")="NULL", "Missing/Unknown",
  OR(TEXT(TRIM(S168),"00000")="89101", TEXT(TRIM(S168),"00000")="89104", TEXT(TRIM(S168),"00000")="89106", TEXT(TRIM(S168),"00000")="89102", TEXT(TRIM(S168),"00000")="89107", TEXT(TRIM(S168),"00000")="89108"), "Urban Core",
  OR(TEXT(TRIM(S168),"00000")="89110", TEXT(TRIM(S168),"00000")="89115", TEXT(TRIM(S168),"00000")="89121", TEXT(TRIM(S168),"00000")="89122", TEXT(TRIM(S168),"00000")="89142", TEXT(TRIM(S168),"00000")="89156"), "East Valley",
  OR(TEXT(TRIM(S168),"00000")="89030", TEXT(TRIM(S168),"00000")="89031", TEXT(TRIM(S168),"00000")="89032", TEXT(TRIM(S168),"00000")="89086", TEXT(TRIM(S168),"00000")="89084", TEXT(TRIM(S168),"00000")="89081"), "North LV",
  OR(TEXT(TRIM(S168),"00000")="89109", TEXT(TRIM(S168),"00000")="89103", TEXT(TRIM(S168),"00000")="89119", TEXT(TRIM(S168),"00000")="89123", TEXT(TRIM(S168),"00000")="89169", TEXT(TRIM(S168),"00000")="89118"), "South/Strip",
  OR(TEXT(TRIM(S168),"00000")="89074", TEXT(TRIM(S168),"00000")="89014", TEXT(TRIM(S168),"00000")="89015", TEXT(TRIM(S168),"00000")="89011", TEXT(TRIM(S168),"00000")="89012"), "Suburban SE",
  OR(TEXT(TRIM(S168),"00000")="89117", TEXT(TRIM(S168),"00000")="89128", TEXT(TRIM(S168),"00000")="89135", TEXT(TRIM(S168),"00000")="89144", TEXT(TRIM(S168),"00000")="89145", TEXT(TRIM(S168),"00000")="89147"), "West Valley",
  TRUE, "Other"
)</f>
        <v>Urban Core</v>
      </c>
      <c r="U168" t="s">
        <v>3298</v>
      </c>
      <c r="V168" t="str">
        <f t="shared" si="11"/>
        <v>Outdoors/Public</v>
      </c>
    </row>
    <row r="169" spans="1:22">
      <c r="A169" t="s">
        <v>3154</v>
      </c>
      <c r="B169" t="s">
        <v>3155</v>
      </c>
      <c r="C169" s="1">
        <v>45498</v>
      </c>
      <c r="D169" s="4">
        <v>113</v>
      </c>
      <c r="E169">
        <v>63</v>
      </c>
      <c r="F169" t="str">
        <f t="shared" si="8"/>
        <v>60's</v>
      </c>
      <c r="G169" t="str" cm="1">
        <f t="array" ref="G169">_xlfn.IFS(
  F169="10's", "Child (5–12)",
  OR(F169="20's", F169="30's"), "Young Adult (20–39)",
  OR(F169="40's", F169="50's"), "Adult (40–59)",
  OR(F169="60's", F169="70's", F169="80's", F169="90's"), "Senior (60+)",
  TRUE, "Unknown"
)</f>
        <v>Senior (60+)</v>
      </c>
      <c r="H169" t="s">
        <v>841</v>
      </c>
      <c r="I169" t="s">
        <v>54</v>
      </c>
      <c r="J169" t="str">
        <f t="shared" si="9"/>
        <v>Environmental Heat</v>
      </c>
      <c r="K169" t="s">
        <v>63</v>
      </c>
      <c r="L169" t="s">
        <v>250</v>
      </c>
      <c r="M169" t="s">
        <v>4678</v>
      </c>
      <c r="N169" t="s">
        <v>5119</v>
      </c>
      <c r="O169" t="str" cm="1">
        <f t="array" ref="O169">_xlfn.IFS(
  TEXT(TRIM(N169),"00000")="NULL", "Missing/Unknown",
  OR(TEXT(TRIM(N169),"00000")="89101", TEXT(TRIM(N169),"00000")="89104", TEXT(TRIM(N169),"00000")="89106", TEXT(TRIM(N169),"00000")="89102", TEXT(TRIM(N169),"00000")="89107", TEXT(TRIM(N169),"00000")="89108"), "Urban Core",
  OR(TEXT(TRIM(N169),"00000")="89110", TEXT(TRIM(N169),"00000")="89115", TEXT(TRIM(N169),"00000")="89121", TEXT(TRIM(N169),"00000")="89122", TEXT(TRIM(N169),"00000")="89142", TEXT(TRIM(N169),"00000")="89156"), "East Valley",
  OR(TEXT(TRIM(N169),"00000")="89030", TEXT(TRIM(N169),"00000")="89031", TEXT(TRIM(N169),"00000")="89032", TEXT(TRIM(N169),"00000")="89086", TEXT(TRIM(N169),"00000")="89084", TEXT(TRIM(N169),"00000")="89081"), "North LV",
  OR(TEXT(TRIM(N169),"00000")="89109", TEXT(TRIM(N169),"00000")="89103", TEXT(TRIM(N169),"00000")="89119", TEXT(TRIM(N169),"00000")="89123", TEXT(TRIM(N169),"00000")="89169", TEXT(TRIM(N169),"00000")="89118"), "South/Strip",
  OR(TEXT(TRIM(N169),"00000")="89074", TEXT(TRIM(N169),"00000")="89014", TEXT(TRIM(N169),"00000")="89015", TEXT(TRIM(N169),"00000")="89011", TEXT(TRIM(N169),"00000")="89012"), "Suburban SE",
  OR(TEXT(TRIM(N169),"00000")="89117", TEXT(TRIM(N169),"00000")="89128", TEXT(TRIM(N169),"00000")="89135", TEXT(TRIM(N169),"00000")="89144", TEXT(TRIM(N169),"00000")="89145", TEXT(TRIM(N169),"00000")="89147"), "West Valley",
  TRUE, "Other"
)</f>
        <v>Urban Core</v>
      </c>
      <c r="P169" t="s">
        <v>3298</v>
      </c>
      <c r="Q169" t="str">
        <f t="shared" si="10"/>
        <v>Outdoors/Public</v>
      </c>
      <c r="R169" t="s">
        <v>4678</v>
      </c>
      <c r="S169" t="s">
        <v>5119</v>
      </c>
      <c r="T169" t="str" cm="1">
        <f t="array" ref="T169">_xlfn.IFS(
  TEXT(TRIM(S169),"00000")="NULL", "Missing/Unknown",
  OR(TEXT(TRIM(S169),"00000")="89101", TEXT(TRIM(S169),"00000")="89104", TEXT(TRIM(S169),"00000")="89106", TEXT(TRIM(S169),"00000")="89102", TEXT(TRIM(S169),"00000")="89107", TEXT(TRIM(S169),"00000")="89108"), "Urban Core",
  OR(TEXT(TRIM(S169),"00000")="89110", TEXT(TRIM(S169),"00000")="89115", TEXT(TRIM(S169),"00000")="89121", TEXT(TRIM(S169),"00000")="89122", TEXT(TRIM(S169),"00000")="89142", TEXT(TRIM(S169),"00000")="89156"), "East Valley",
  OR(TEXT(TRIM(S169),"00000")="89030", TEXT(TRIM(S169),"00000")="89031", TEXT(TRIM(S169),"00000")="89032", TEXT(TRIM(S169),"00000")="89086", TEXT(TRIM(S169),"00000")="89084", TEXT(TRIM(S169),"00000")="89081"), "North LV",
  OR(TEXT(TRIM(S169),"00000")="89109", TEXT(TRIM(S169),"00000")="89103", TEXT(TRIM(S169),"00000")="89119", TEXT(TRIM(S169),"00000")="89123", TEXT(TRIM(S169),"00000")="89169", TEXT(TRIM(S169),"00000")="89118"), "South/Strip",
  OR(TEXT(TRIM(S169),"00000")="89074", TEXT(TRIM(S169),"00000")="89014", TEXT(TRIM(S169),"00000")="89015", TEXT(TRIM(S169),"00000")="89011", TEXT(TRIM(S169),"00000")="89012"), "Suburban SE",
  OR(TEXT(TRIM(S169),"00000")="89117", TEXT(TRIM(S169),"00000")="89128", TEXT(TRIM(S169),"00000")="89135", TEXT(TRIM(S169),"00000")="89144", TEXT(TRIM(S169),"00000")="89145", TEXT(TRIM(S169),"00000")="89147"), "West Valley",
  TRUE, "Other"
)</f>
        <v>Urban Core</v>
      </c>
      <c r="U169" t="s">
        <v>3298</v>
      </c>
      <c r="V169" t="str">
        <f t="shared" si="11"/>
        <v>Outdoors/Public</v>
      </c>
    </row>
    <row r="170" spans="1:22">
      <c r="A170" t="s">
        <v>3150</v>
      </c>
      <c r="B170" t="s">
        <v>3151</v>
      </c>
      <c r="C170" s="1">
        <v>45498</v>
      </c>
      <c r="D170" s="4">
        <v>113</v>
      </c>
      <c r="E170">
        <v>77</v>
      </c>
      <c r="F170" t="str">
        <f t="shared" si="8"/>
        <v>70's</v>
      </c>
      <c r="G170" t="str" cm="1">
        <f t="array" ref="G170">_xlfn.IFS(
  F170="10's", "Child (5–12)",
  OR(F170="20's", F170="30's"), "Young Adult (20–39)",
  OR(F170="40's", F170="50's"), "Adult (40–59)",
  OR(F170="60's", F170="70's", F170="80's", F170="90's"), "Senior (60+)",
  TRUE, "Unknown"
)</f>
        <v>Senior (60+)</v>
      </c>
      <c r="H170" t="s">
        <v>841</v>
      </c>
      <c r="I170" t="s">
        <v>54</v>
      </c>
      <c r="J170" t="str">
        <f t="shared" si="9"/>
        <v>Environmental Heat</v>
      </c>
      <c r="K170" t="s">
        <v>4163</v>
      </c>
      <c r="L170" t="s">
        <v>1071</v>
      </c>
      <c r="M170" t="s">
        <v>4915</v>
      </c>
      <c r="N170" t="s">
        <v>5127</v>
      </c>
      <c r="O170" t="str" cm="1">
        <f t="array" ref="O170">_xlfn.IFS(
  TEXT(TRIM(N170),"00000")="NULL", "Missing/Unknown",
  OR(TEXT(TRIM(N170),"00000")="89101", TEXT(TRIM(N170),"00000")="89104", TEXT(TRIM(N170),"00000")="89106", TEXT(TRIM(N170),"00000")="89102", TEXT(TRIM(N170),"00000")="89107", TEXT(TRIM(N170),"00000")="89108"), "Urban Core",
  OR(TEXT(TRIM(N170),"00000")="89110", TEXT(TRIM(N170),"00000")="89115", TEXT(TRIM(N170),"00000")="89121", TEXT(TRIM(N170),"00000")="89122", TEXT(TRIM(N170),"00000")="89142", TEXT(TRIM(N170),"00000")="89156"), "East Valley",
  OR(TEXT(TRIM(N170),"00000")="89030", TEXT(TRIM(N170),"00000")="89031", TEXT(TRIM(N170),"00000")="89032", TEXT(TRIM(N170),"00000")="89086", TEXT(TRIM(N170),"00000")="89084", TEXT(TRIM(N170),"00000")="89081"), "North LV",
  OR(TEXT(TRIM(N170),"00000")="89109", TEXT(TRIM(N170),"00000")="89103", TEXT(TRIM(N170),"00000")="89119", TEXT(TRIM(N170),"00000")="89123", TEXT(TRIM(N170),"00000")="89169", TEXT(TRIM(N170),"00000")="89118"), "South/Strip",
  OR(TEXT(TRIM(N170),"00000")="89074", TEXT(TRIM(N170),"00000")="89014", TEXT(TRIM(N170),"00000")="89015", TEXT(TRIM(N170),"00000")="89011", TEXT(TRIM(N170),"00000")="89012"), "Suburban SE",
  OR(TEXT(TRIM(N170),"00000")="89117", TEXT(TRIM(N170),"00000")="89128", TEXT(TRIM(N170),"00000")="89135", TEXT(TRIM(N170),"00000")="89144", TEXT(TRIM(N170),"00000")="89145", TEXT(TRIM(N170),"00000")="89147"), "West Valley",
  TRUE, "Other"
)</f>
        <v>Other</v>
      </c>
      <c r="P170" t="s">
        <v>1073</v>
      </c>
      <c r="Q170" t="str">
        <f t="shared" si="10"/>
        <v>Home/Residence</v>
      </c>
      <c r="R170" t="s">
        <v>4915</v>
      </c>
      <c r="S170" t="s">
        <v>5127</v>
      </c>
      <c r="T170" t="str" cm="1">
        <f t="array" ref="T170">_xlfn.IFS(
  TEXT(TRIM(S170),"00000")="NULL", "Missing/Unknown",
  OR(TEXT(TRIM(S170),"00000")="89101", TEXT(TRIM(S170),"00000")="89104", TEXT(TRIM(S170),"00000")="89106", TEXT(TRIM(S170),"00000")="89102", TEXT(TRIM(S170),"00000")="89107", TEXT(TRIM(S170),"00000")="89108"), "Urban Core",
  OR(TEXT(TRIM(S170),"00000")="89110", TEXT(TRIM(S170),"00000")="89115", TEXT(TRIM(S170),"00000")="89121", TEXT(TRIM(S170),"00000")="89122", TEXT(TRIM(S170),"00000")="89142", TEXT(TRIM(S170),"00000")="89156"), "East Valley",
  OR(TEXT(TRIM(S170),"00000")="89030", TEXT(TRIM(S170),"00000")="89031", TEXT(TRIM(S170),"00000")="89032", TEXT(TRIM(S170),"00000")="89086", TEXT(TRIM(S170),"00000")="89084", TEXT(TRIM(S170),"00000")="89081"), "North LV",
  OR(TEXT(TRIM(S170),"00000")="89109", TEXT(TRIM(S170),"00000")="89103", TEXT(TRIM(S170),"00000")="89119", TEXT(TRIM(S170),"00000")="89123", TEXT(TRIM(S170),"00000")="89169", TEXT(TRIM(S170),"00000")="89118"), "South/Strip",
  OR(TEXT(TRIM(S170),"00000")="89074", TEXT(TRIM(S170),"00000")="89014", TEXT(TRIM(S170),"00000")="89015", TEXT(TRIM(S170),"00000")="89011", TEXT(TRIM(S170),"00000")="89012"), "Suburban SE",
  OR(TEXT(TRIM(S170),"00000")="89117", TEXT(TRIM(S170),"00000")="89128", TEXT(TRIM(S170),"00000")="89135", TEXT(TRIM(S170),"00000")="89144", TEXT(TRIM(S170),"00000")="89145", TEXT(TRIM(S170),"00000")="89147"), "West Valley",
  TRUE, "Other"
)</f>
        <v>Other</v>
      </c>
      <c r="U170" t="s">
        <v>1073</v>
      </c>
      <c r="V170" t="str">
        <f t="shared" si="11"/>
        <v>Home/Residence</v>
      </c>
    </row>
    <row r="171" spans="1:22">
      <c r="A171" t="s">
        <v>3157</v>
      </c>
      <c r="B171" t="s">
        <v>3158</v>
      </c>
      <c r="C171" s="1">
        <v>45498</v>
      </c>
      <c r="D171" s="4">
        <v>113</v>
      </c>
      <c r="E171">
        <v>61</v>
      </c>
      <c r="F171" t="str">
        <f t="shared" si="8"/>
        <v>60's</v>
      </c>
      <c r="G171" t="str" cm="1">
        <f t="array" ref="G171">_xlfn.IFS(
  F171="10's", "Child (5–12)",
  OR(F171="20's", F171="30's"), "Young Adult (20–39)",
  OR(F171="40's", F171="50's"), "Adult (40–59)",
  OR(F171="60's", F171="70's", F171="80's", F171="90's"), "Senior (60+)",
  TRUE, "Unknown"
)</f>
        <v>Senior (60+)</v>
      </c>
      <c r="H171" t="s">
        <v>841</v>
      </c>
      <c r="I171" t="s">
        <v>54</v>
      </c>
      <c r="J171" t="str">
        <f t="shared" si="9"/>
        <v>Environmental Heat</v>
      </c>
      <c r="K171" t="s">
        <v>4164</v>
      </c>
      <c r="L171" t="s">
        <v>250</v>
      </c>
      <c r="M171" t="s">
        <v>4679</v>
      </c>
      <c r="N171" t="s">
        <v>5122</v>
      </c>
      <c r="O171" t="str" cm="1">
        <f t="array" ref="O171">_xlfn.IFS(
  TEXT(TRIM(N171),"00000")="NULL", "Missing/Unknown",
  OR(TEXT(TRIM(N171),"00000")="89101", TEXT(TRIM(N171),"00000")="89104", TEXT(TRIM(N171),"00000")="89106", TEXT(TRIM(N171),"00000")="89102", TEXT(TRIM(N171),"00000")="89107", TEXT(TRIM(N171),"00000")="89108"), "Urban Core",
  OR(TEXT(TRIM(N171),"00000")="89110", TEXT(TRIM(N171),"00000")="89115", TEXT(TRIM(N171),"00000")="89121", TEXT(TRIM(N171),"00000")="89122", TEXT(TRIM(N171),"00000")="89142", TEXT(TRIM(N171),"00000")="89156"), "East Valley",
  OR(TEXT(TRIM(N171),"00000")="89030", TEXT(TRIM(N171),"00000")="89031", TEXT(TRIM(N171),"00000")="89032", TEXT(TRIM(N171),"00000")="89086", TEXT(TRIM(N171),"00000")="89084", TEXT(TRIM(N171),"00000")="89081"), "North LV",
  OR(TEXT(TRIM(N171),"00000")="89109", TEXT(TRIM(N171),"00000")="89103", TEXT(TRIM(N171),"00000")="89119", TEXT(TRIM(N171),"00000")="89123", TEXT(TRIM(N171),"00000")="89169", TEXT(TRIM(N171),"00000")="89118"), "South/Strip",
  OR(TEXT(TRIM(N171),"00000")="89074", TEXT(TRIM(N171),"00000")="89014", TEXT(TRIM(N171),"00000")="89015", TEXT(TRIM(N171),"00000")="89011", TEXT(TRIM(N171),"00000")="89012"), "Suburban SE",
  OR(TEXT(TRIM(N171),"00000")="89117", TEXT(TRIM(N171),"00000")="89128", TEXT(TRIM(N171),"00000")="89135", TEXT(TRIM(N171),"00000")="89144", TEXT(TRIM(N171),"00000")="89145", TEXT(TRIM(N171),"00000")="89147"), "West Valley",
  TRUE, "Other"
)</f>
        <v>East Valley</v>
      </c>
      <c r="P171" t="s">
        <v>3298</v>
      </c>
      <c r="Q171" t="str">
        <f t="shared" si="10"/>
        <v>Outdoors/Public</v>
      </c>
      <c r="R171" t="s">
        <v>4679</v>
      </c>
      <c r="S171" t="s">
        <v>5122</v>
      </c>
      <c r="T171" t="str" cm="1">
        <f t="array" ref="T171">_xlfn.IFS(
  TEXT(TRIM(S171),"00000")="NULL", "Missing/Unknown",
  OR(TEXT(TRIM(S171),"00000")="89101", TEXT(TRIM(S171),"00000")="89104", TEXT(TRIM(S171),"00000")="89106", TEXT(TRIM(S171),"00000")="89102", TEXT(TRIM(S171),"00000")="89107", TEXT(TRIM(S171),"00000")="89108"), "Urban Core",
  OR(TEXT(TRIM(S171),"00000")="89110", TEXT(TRIM(S171),"00000")="89115", TEXT(TRIM(S171),"00000")="89121", TEXT(TRIM(S171),"00000")="89122", TEXT(TRIM(S171),"00000")="89142", TEXT(TRIM(S171),"00000")="89156"), "East Valley",
  OR(TEXT(TRIM(S171),"00000")="89030", TEXT(TRIM(S171),"00000")="89031", TEXT(TRIM(S171),"00000")="89032", TEXT(TRIM(S171),"00000")="89086", TEXT(TRIM(S171),"00000")="89084", TEXT(TRIM(S171),"00000")="89081"), "North LV",
  OR(TEXT(TRIM(S171),"00000")="89109", TEXT(TRIM(S171),"00000")="89103", TEXT(TRIM(S171),"00000")="89119", TEXT(TRIM(S171),"00000")="89123", TEXT(TRIM(S171),"00000")="89169", TEXT(TRIM(S171),"00000")="89118"), "South/Strip",
  OR(TEXT(TRIM(S171),"00000")="89074", TEXT(TRIM(S171),"00000")="89014", TEXT(TRIM(S171),"00000")="89015", TEXT(TRIM(S171),"00000")="89011", TEXT(TRIM(S171),"00000")="89012"), "Suburban SE",
  OR(TEXT(TRIM(S171),"00000")="89117", TEXT(TRIM(S171),"00000")="89128", TEXT(TRIM(S171),"00000")="89135", TEXT(TRIM(S171),"00000")="89144", TEXT(TRIM(S171),"00000")="89145", TEXT(TRIM(S171),"00000")="89147"), "West Valley",
  TRUE, "Other"
)</f>
        <v>East Valley</v>
      </c>
      <c r="U171" t="s">
        <v>3298</v>
      </c>
      <c r="V171" t="str">
        <f t="shared" si="11"/>
        <v>Outdoors/Public</v>
      </c>
    </row>
    <row r="172" spans="1:22">
      <c r="A172" t="s">
        <v>3746</v>
      </c>
      <c r="B172" t="s">
        <v>3747</v>
      </c>
      <c r="C172" s="1">
        <v>45498</v>
      </c>
      <c r="D172" s="4">
        <v>113</v>
      </c>
      <c r="E172">
        <v>47</v>
      </c>
      <c r="F172" t="str">
        <f t="shared" si="8"/>
        <v>40's</v>
      </c>
      <c r="G172" t="str" cm="1">
        <f t="array" ref="G172">_xlfn.IFS(
  F172="10's", "Child (5–12)",
  OR(F172="20's", F172="30's"), "Young Adult (20–39)",
  OR(F172="40's", F172="50's"), "Adult (40–59)",
  OR(F172="60's", F172="70's", F172="80's", F172="90's"), "Senior (60+)",
  TRUE, "Unknown"
)</f>
        <v>Adult (40–59)</v>
      </c>
      <c r="H172" t="s">
        <v>841</v>
      </c>
      <c r="I172" t="s">
        <v>135</v>
      </c>
      <c r="J172" t="str">
        <f t="shared" si="9"/>
        <v>Methamphetamine-related</v>
      </c>
      <c r="K172" t="s">
        <v>54</v>
      </c>
      <c r="L172" t="s">
        <v>250</v>
      </c>
      <c r="M172" t="s">
        <v>4969</v>
      </c>
      <c r="N172" t="s">
        <v>5131</v>
      </c>
      <c r="O172" t="str" cm="1">
        <f t="array" ref="O172">_xlfn.IFS(
  TEXT(TRIM(N172),"00000")="NULL", "Missing/Unknown",
  OR(TEXT(TRIM(N172),"00000")="89101", TEXT(TRIM(N172),"00000")="89104", TEXT(TRIM(N172),"00000")="89106", TEXT(TRIM(N172),"00000")="89102", TEXT(TRIM(N172),"00000")="89107", TEXT(TRIM(N172),"00000")="89108"), "Urban Core",
  OR(TEXT(TRIM(N172),"00000")="89110", TEXT(TRIM(N172),"00000")="89115", TEXT(TRIM(N172),"00000")="89121", TEXT(TRIM(N172),"00000")="89122", TEXT(TRIM(N172),"00000")="89142", TEXT(TRIM(N172),"00000")="89156"), "East Valley",
  OR(TEXT(TRIM(N172),"00000")="89030", TEXT(TRIM(N172),"00000")="89031", TEXT(TRIM(N172),"00000")="89032", TEXT(TRIM(N172),"00000")="89086", TEXT(TRIM(N172),"00000")="89084", TEXT(TRIM(N172),"00000")="89081"), "North LV",
  OR(TEXT(TRIM(N172),"00000")="89109", TEXT(TRIM(N172),"00000")="89103", TEXT(TRIM(N172),"00000")="89119", TEXT(TRIM(N172),"00000")="89123", TEXT(TRIM(N172),"00000")="89169", TEXT(TRIM(N172),"00000")="89118"), "South/Strip",
  OR(TEXT(TRIM(N172),"00000")="89074", TEXT(TRIM(N172),"00000")="89014", TEXT(TRIM(N172),"00000")="89015", TEXT(TRIM(N172),"00000")="89011", TEXT(TRIM(N172),"00000")="89012"), "Suburban SE",
  OR(TEXT(TRIM(N172),"00000")="89117", TEXT(TRIM(N172),"00000")="89128", TEXT(TRIM(N172),"00000")="89135", TEXT(TRIM(N172),"00000")="89144", TEXT(TRIM(N172),"00000")="89145", TEXT(TRIM(N172),"00000")="89147"), "West Valley",
  TRUE, "Other"
)</f>
        <v>Other</v>
      </c>
      <c r="P172" t="s">
        <v>65</v>
      </c>
      <c r="Q172" t="str">
        <f t="shared" si="10"/>
        <v>Vehicle-related</v>
      </c>
      <c r="R172" t="s">
        <v>4969</v>
      </c>
      <c r="S172" t="s">
        <v>5131</v>
      </c>
      <c r="T172" t="str" cm="1">
        <f t="array" ref="T172">_xlfn.IFS(
  TEXT(TRIM(S172),"00000")="NULL", "Missing/Unknown",
  OR(TEXT(TRIM(S172),"00000")="89101", TEXT(TRIM(S172),"00000")="89104", TEXT(TRIM(S172),"00000")="89106", TEXT(TRIM(S172),"00000")="89102", TEXT(TRIM(S172),"00000")="89107", TEXT(TRIM(S172),"00000")="89108"), "Urban Core",
  OR(TEXT(TRIM(S172),"00000")="89110", TEXT(TRIM(S172),"00000")="89115", TEXT(TRIM(S172),"00000")="89121", TEXT(TRIM(S172),"00000")="89122", TEXT(TRIM(S172),"00000")="89142", TEXT(TRIM(S172),"00000")="89156"), "East Valley",
  OR(TEXT(TRIM(S172),"00000")="89030", TEXT(TRIM(S172),"00000")="89031", TEXT(TRIM(S172),"00000")="89032", TEXT(TRIM(S172),"00000")="89086", TEXT(TRIM(S172),"00000")="89084", TEXT(TRIM(S172),"00000")="89081"), "North LV",
  OR(TEXT(TRIM(S172),"00000")="89109", TEXT(TRIM(S172),"00000")="89103", TEXT(TRIM(S172),"00000")="89119", TEXT(TRIM(S172),"00000")="89123", TEXT(TRIM(S172),"00000")="89169", TEXT(TRIM(S172),"00000")="89118"), "South/Strip",
  OR(TEXT(TRIM(S172),"00000")="89074", TEXT(TRIM(S172),"00000")="89014", TEXT(TRIM(S172),"00000")="89015", TEXT(TRIM(S172),"00000")="89011", TEXT(TRIM(S172),"00000")="89012"), "Suburban SE",
  OR(TEXT(TRIM(S172),"00000")="89117", TEXT(TRIM(S172),"00000")="89128", TEXT(TRIM(S172),"00000")="89135", TEXT(TRIM(S172),"00000")="89144", TEXT(TRIM(S172),"00000")="89145", TEXT(TRIM(S172),"00000")="89147"), "West Valley",
  TRUE, "Other"
)</f>
        <v>Other</v>
      </c>
      <c r="U172" t="s">
        <v>65</v>
      </c>
      <c r="V172" t="str">
        <f t="shared" si="11"/>
        <v>Vehicle-related</v>
      </c>
    </row>
    <row r="173" spans="1:22">
      <c r="A173" t="s">
        <v>3713</v>
      </c>
      <c r="B173" t="s">
        <v>3714</v>
      </c>
      <c r="C173" s="1">
        <v>45498</v>
      </c>
      <c r="D173" s="4">
        <v>113</v>
      </c>
      <c r="E173">
        <v>42</v>
      </c>
      <c r="F173" t="str">
        <f t="shared" si="8"/>
        <v>40's</v>
      </c>
      <c r="G173" t="str" cm="1">
        <f t="array" ref="G173">_xlfn.IFS(
  F173="10's", "Child (5–12)",
  OR(F173="20's", F173="30's"), "Young Adult (20–39)",
  OR(F173="40's", F173="50's"), "Adult (40–59)",
  OR(F173="60's", F173="70's", F173="80's", F173="90's"), "Senior (60+)",
  TRUE, "Unknown"
)</f>
        <v>Adult (40–59)</v>
      </c>
      <c r="H173" t="s">
        <v>27</v>
      </c>
      <c r="I173" t="s">
        <v>135</v>
      </c>
      <c r="J173" t="str">
        <f t="shared" si="9"/>
        <v>Methamphetamine-related</v>
      </c>
      <c r="K173" t="s">
        <v>54</v>
      </c>
      <c r="L173" t="s">
        <v>250</v>
      </c>
      <c r="N173" t="s">
        <v>5095</v>
      </c>
      <c r="O173" t="str" cm="1">
        <f t="array" ref="O173">_xlfn.IFS(
  TEXT(TRIM(N173),"00000")="NULL", "Missing/Unknown",
  OR(TEXT(TRIM(N173),"00000")="89101", TEXT(TRIM(N173),"00000")="89104", TEXT(TRIM(N173),"00000")="89106", TEXT(TRIM(N173),"00000")="89102", TEXT(TRIM(N173),"00000")="89107", TEXT(TRIM(N173),"00000")="89108"), "Urban Core",
  OR(TEXT(TRIM(N173),"00000")="89110", TEXT(TRIM(N173),"00000")="89115", TEXT(TRIM(N173),"00000")="89121", TEXT(TRIM(N173),"00000")="89122", TEXT(TRIM(N173),"00000")="89142", TEXT(TRIM(N173),"00000")="89156"), "East Valley",
  OR(TEXT(TRIM(N173),"00000")="89030", TEXT(TRIM(N173),"00000")="89031", TEXT(TRIM(N173),"00000")="89032", TEXT(TRIM(N173),"00000")="89086", TEXT(TRIM(N173),"00000")="89084", TEXT(TRIM(N173),"00000")="89081"), "North LV",
  OR(TEXT(TRIM(N173),"00000")="89109", TEXT(TRIM(N173),"00000")="89103", TEXT(TRIM(N173),"00000")="89119", TEXT(TRIM(N173),"00000")="89123", TEXT(TRIM(N173),"00000")="89169", TEXT(TRIM(N173),"00000")="89118"), "South/Strip",
  OR(TEXT(TRIM(N173),"00000")="89074", TEXT(TRIM(N173),"00000")="89014", TEXT(TRIM(N173),"00000")="89015", TEXT(TRIM(N173),"00000")="89011", TEXT(TRIM(N173),"00000")="89012"), "Suburban SE",
  OR(TEXT(TRIM(N173),"00000")="89117", TEXT(TRIM(N173),"00000")="89128", TEXT(TRIM(N173),"00000")="89135", TEXT(TRIM(N173),"00000")="89144", TEXT(TRIM(N173),"00000")="89145", TEXT(TRIM(N173),"00000")="89147"), "West Valley",
  TRUE, "Other"
)</f>
        <v>Missing/Unknown</v>
      </c>
      <c r="P173" t="s">
        <v>3298</v>
      </c>
      <c r="Q173" t="str">
        <f t="shared" si="10"/>
        <v>Outdoors/Public</v>
      </c>
      <c r="R173" t="s">
        <v>4713</v>
      </c>
      <c r="S173" t="s">
        <v>5125</v>
      </c>
      <c r="T173" t="str" cm="1">
        <f t="array" ref="T173">_xlfn.IFS(
  TEXT(TRIM(S173),"00000")="NULL", "Missing/Unknown",
  OR(TEXT(TRIM(S173),"00000")="89101", TEXT(TRIM(S173),"00000")="89104", TEXT(TRIM(S173),"00000")="89106", TEXT(TRIM(S173),"00000")="89102", TEXT(TRIM(S173),"00000")="89107", TEXT(TRIM(S173),"00000")="89108"), "Urban Core",
  OR(TEXT(TRIM(S173),"00000")="89110", TEXT(TRIM(S173),"00000")="89115", TEXT(TRIM(S173),"00000")="89121", TEXT(TRIM(S173),"00000")="89122", TEXT(TRIM(S173),"00000")="89142", TEXT(TRIM(S173),"00000")="89156"), "East Valley",
  OR(TEXT(TRIM(S173),"00000")="89030", TEXT(TRIM(S173),"00000")="89031", TEXT(TRIM(S173),"00000")="89032", TEXT(TRIM(S173),"00000")="89086", TEXT(TRIM(S173),"00000")="89084", TEXT(TRIM(S173),"00000")="89081"), "North LV",
  OR(TEXT(TRIM(S173),"00000")="89109", TEXT(TRIM(S173),"00000")="89103", TEXT(TRIM(S173),"00000")="89119", TEXT(TRIM(S173),"00000")="89123", TEXT(TRIM(S173),"00000")="89169", TEXT(TRIM(S173),"00000")="89118"), "South/Strip",
  OR(TEXT(TRIM(S173),"00000")="89074", TEXT(TRIM(S173),"00000")="89014", TEXT(TRIM(S173),"00000")="89015", TEXT(TRIM(S173),"00000")="89011", TEXT(TRIM(S173),"00000")="89012"), "Suburban SE",
  OR(TEXT(TRIM(S173),"00000")="89117", TEXT(TRIM(S173),"00000")="89128", TEXT(TRIM(S173),"00000")="89135", TEXT(TRIM(S173),"00000")="89144", TEXT(TRIM(S173),"00000")="89145", TEXT(TRIM(S173),"00000")="89147"), "West Valley",
  TRUE, "Other"
)</f>
        <v>South/Strip</v>
      </c>
      <c r="U173" t="s">
        <v>2413</v>
      </c>
      <c r="V173" t="str">
        <f t="shared" si="11"/>
        <v>Medical Facility</v>
      </c>
    </row>
    <row r="174" spans="1:22">
      <c r="A174" t="s">
        <v>3147</v>
      </c>
      <c r="B174" t="s">
        <v>3148</v>
      </c>
      <c r="C174" s="1">
        <v>45498</v>
      </c>
      <c r="D174" s="4">
        <v>113</v>
      </c>
      <c r="E174">
        <v>73</v>
      </c>
      <c r="F174" t="str">
        <f t="shared" si="8"/>
        <v>70's</v>
      </c>
      <c r="G174" t="str" cm="1">
        <f t="array" ref="G174">_xlfn.IFS(
  F174="10's", "Child (5–12)",
  OR(F174="20's", F174="30's"), "Young Adult (20–39)",
  OR(F174="40's", F174="50's"), "Adult (40–59)",
  OR(F174="60's", F174="70's", F174="80's", F174="90's"), "Senior (60+)",
  TRUE, "Unknown"
)</f>
        <v>Senior (60+)</v>
      </c>
      <c r="H174" t="s">
        <v>778</v>
      </c>
      <c r="I174" t="s">
        <v>54</v>
      </c>
      <c r="J174" t="str">
        <f t="shared" si="9"/>
        <v>Environmental Heat</v>
      </c>
      <c r="K174" t="s">
        <v>98</v>
      </c>
      <c r="L174" t="s">
        <v>250</v>
      </c>
      <c r="M174" t="s">
        <v>4600</v>
      </c>
      <c r="N174" t="s">
        <v>5096</v>
      </c>
      <c r="O174" t="str" cm="1">
        <f t="array" ref="O174">_xlfn.IFS(
  TEXT(TRIM(N174),"00000")="NULL", "Missing/Unknown",
  OR(TEXT(TRIM(N174),"00000")="89101", TEXT(TRIM(N174),"00000")="89104", TEXT(TRIM(N174),"00000")="89106", TEXT(TRIM(N174),"00000")="89102", TEXT(TRIM(N174),"00000")="89107", TEXT(TRIM(N174),"00000")="89108"), "Urban Core",
  OR(TEXT(TRIM(N174),"00000")="89110", TEXT(TRIM(N174),"00000")="89115", TEXT(TRIM(N174),"00000")="89121", TEXT(TRIM(N174),"00000")="89122", TEXT(TRIM(N174),"00000")="89142", TEXT(TRIM(N174),"00000")="89156"), "East Valley",
  OR(TEXT(TRIM(N174),"00000")="89030", TEXT(TRIM(N174),"00000")="89031", TEXT(TRIM(N174),"00000")="89032", TEXT(TRIM(N174),"00000")="89086", TEXT(TRIM(N174),"00000")="89084", TEXT(TRIM(N174),"00000")="89081"), "North LV",
  OR(TEXT(TRIM(N174),"00000")="89109", TEXT(TRIM(N174),"00000")="89103", TEXT(TRIM(N174),"00000")="89119", TEXT(TRIM(N174),"00000")="89123", TEXT(TRIM(N174),"00000")="89169", TEXT(TRIM(N174),"00000")="89118"), "South/Strip",
  OR(TEXT(TRIM(N174),"00000")="89074", TEXT(TRIM(N174),"00000")="89014", TEXT(TRIM(N174),"00000")="89015", TEXT(TRIM(N174),"00000")="89011", TEXT(TRIM(N174),"00000")="89012"), "Suburban SE",
  OR(TEXT(TRIM(N174),"00000")="89117", TEXT(TRIM(N174),"00000")="89128", TEXT(TRIM(N174),"00000")="89135", TEXT(TRIM(N174),"00000")="89144", TEXT(TRIM(N174),"00000")="89145", TEXT(TRIM(N174),"00000")="89147"), "West Valley",
  TRUE, "Other"
)</f>
        <v>South/Strip</v>
      </c>
      <c r="P174" t="s">
        <v>3298</v>
      </c>
      <c r="Q174" t="str">
        <f t="shared" si="10"/>
        <v>Outdoors/Public</v>
      </c>
      <c r="R174" t="s">
        <v>4713</v>
      </c>
      <c r="S174" t="s">
        <v>5125</v>
      </c>
      <c r="T174" t="str" cm="1">
        <f t="array" ref="T174">_xlfn.IFS(
  TEXT(TRIM(S174),"00000")="NULL", "Missing/Unknown",
  OR(TEXT(TRIM(S174),"00000")="89101", TEXT(TRIM(S174),"00000")="89104", TEXT(TRIM(S174),"00000")="89106", TEXT(TRIM(S174),"00000")="89102", TEXT(TRIM(S174),"00000")="89107", TEXT(TRIM(S174),"00000")="89108"), "Urban Core",
  OR(TEXT(TRIM(S174),"00000")="89110", TEXT(TRIM(S174),"00000")="89115", TEXT(TRIM(S174),"00000")="89121", TEXT(TRIM(S174),"00000")="89122", TEXT(TRIM(S174),"00000")="89142", TEXT(TRIM(S174),"00000")="89156"), "East Valley",
  OR(TEXT(TRIM(S174),"00000")="89030", TEXT(TRIM(S174),"00000")="89031", TEXT(TRIM(S174),"00000")="89032", TEXT(TRIM(S174),"00000")="89086", TEXT(TRIM(S174),"00000")="89084", TEXT(TRIM(S174),"00000")="89081"), "North LV",
  OR(TEXT(TRIM(S174),"00000")="89109", TEXT(TRIM(S174),"00000")="89103", TEXT(TRIM(S174),"00000")="89119", TEXT(TRIM(S174),"00000")="89123", TEXT(TRIM(S174),"00000")="89169", TEXT(TRIM(S174),"00000")="89118"), "South/Strip",
  OR(TEXT(TRIM(S174),"00000")="89074", TEXT(TRIM(S174),"00000")="89014", TEXT(TRIM(S174),"00000")="89015", TEXT(TRIM(S174),"00000")="89011", TEXT(TRIM(S174),"00000")="89012"), "Suburban SE",
  OR(TEXT(TRIM(S174),"00000")="89117", TEXT(TRIM(S174),"00000")="89128", TEXT(TRIM(S174),"00000")="89135", TEXT(TRIM(S174),"00000")="89144", TEXT(TRIM(S174),"00000")="89145", TEXT(TRIM(S174),"00000")="89147"), "West Valley",
  TRUE, "Other"
)</f>
        <v>South/Strip</v>
      </c>
      <c r="U174" t="s">
        <v>2413</v>
      </c>
      <c r="V174" t="str">
        <f t="shared" si="11"/>
        <v>Medical Facility</v>
      </c>
    </row>
    <row r="175" spans="1:22">
      <c r="A175" t="s">
        <v>3589</v>
      </c>
      <c r="B175" t="s">
        <v>3590</v>
      </c>
      <c r="C175" s="1">
        <v>45498</v>
      </c>
      <c r="D175" s="4">
        <v>113</v>
      </c>
      <c r="E175">
        <v>53</v>
      </c>
      <c r="F175" t="str">
        <f t="shared" si="8"/>
        <v>50's</v>
      </c>
      <c r="G175" t="str" cm="1">
        <f t="array" ref="G175">_xlfn.IFS(
  F175="10's", "Child (5–12)",
  OR(F175="20's", F175="30's"), "Young Adult (20–39)",
  OR(F175="40's", F175="50's"), "Adult (40–59)",
  OR(F175="60's", F175="70's", F175="80's", F175="90's"), "Senior (60+)",
  TRUE, "Unknown"
)</f>
        <v>Adult (40–59)</v>
      </c>
      <c r="H175" t="s">
        <v>841</v>
      </c>
      <c r="I175" t="s">
        <v>97</v>
      </c>
      <c r="J175" t="str">
        <f t="shared" si="9"/>
        <v>Environmental Heat</v>
      </c>
      <c r="K175" t="s">
        <v>4165</v>
      </c>
      <c r="L175" t="s">
        <v>1071</v>
      </c>
      <c r="M175" t="s">
        <v>4601</v>
      </c>
      <c r="N175" t="s">
        <v>5119</v>
      </c>
      <c r="O175" t="str" cm="1">
        <f t="array" ref="O175">_xlfn.IFS(
  TEXT(TRIM(N175),"00000")="NULL", "Missing/Unknown",
  OR(TEXT(TRIM(N175),"00000")="89101", TEXT(TRIM(N175),"00000")="89104", TEXT(TRIM(N175),"00000")="89106", TEXT(TRIM(N175),"00000")="89102", TEXT(TRIM(N175),"00000")="89107", TEXT(TRIM(N175),"00000")="89108"), "Urban Core",
  OR(TEXT(TRIM(N175),"00000")="89110", TEXT(TRIM(N175),"00000")="89115", TEXT(TRIM(N175),"00000")="89121", TEXT(TRIM(N175),"00000")="89122", TEXT(TRIM(N175),"00000")="89142", TEXT(TRIM(N175),"00000")="89156"), "East Valley",
  OR(TEXT(TRIM(N175),"00000")="89030", TEXT(TRIM(N175),"00000")="89031", TEXT(TRIM(N175),"00000")="89032", TEXT(TRIM(N175),"00000")="89086", TEXT(TRIM(N175),"00000")="89084", TEXT(TRIM(N175),"00000")="89081"), "North LV",
  OR(TEXT(TRIM(N175),"00000")="89109", TEXT(TRIM(N175),"00000")="89103", TEXT(TRIM(N175),"00000")="89119", TEXT(TRIM(N175),"00000")="89123", TEXT(TRIM(N175),"00000")="89169", TEXT(TRIM(N175),"00000")="89118"), "South/Strip",
  OR(TEXT(TRIM(N175),"00000")="89074", TEXT(TRIM(N175),"00000")="89014", TEXT(TRIM(N175),"00000")="89015", TEXT(TRIM(N175),"00000")="89011", TEXT(TRIM(N175),"00000")="89012"), "Suburban SE",
  OR(TEXT(TRIM(N175),"00000")="89117", TEXT(TRIM(N175),"00000")="89128", TEXT(TRIM(N175),"00000")="89135", TEXT(TRIM(N175),"00000")="89144", TEXT(TRIM(N175),"00000")="89145", TEXT(TRIM(N175),"00000")="89147"), "West Valley",
  TRUE, "Other"
)</f>
        <v>Urban Core</v>
      </c>
      <c r="P175" t="s">
        <v>1073</v>
      </c>
      <c r="Q175" t="str">
        <f t="shared" si="10"/>
        <v>Home/Residence</v>
      </c>
      <c r="R175" t="s">
        <v>5055</v>
      </c>
      <c r="S175" t="s">
        <v>5119</v>
      </c>
      <c r="T175" t="str" cm="1">
        <f t="array" ref="T175">_xlfn.IFS(
  TEXT(TRIM(S175),"00000")="NULL", "Missing/Unknown",
  OR(TEXT(TRIM(S175),"00000")="89101", TEXT(TRIM(S175),"00000")="89104", TEXT(TRIM(S175),"00000")="89106", TEXT(TRIM(S175),"00000")="89102", TEXT(TRIM(S175),"00000")="89107", TEXT(TRIM(S175),"00000")="89108"), "Urban Core",
  OR(TEXT(TRIM(S175),"00000")="89110", TEXT(TRIM(S175),"00000")="89115", TEXT(TRIM(S175),"00000")="89121", TEXT(TRIM(S175),"00000")="89122", TEXT(TRIM(S175),"00000")="89142", TEXT(TRIM(S175),"00000")="89156"), "East Valley",
  OR(TEXT(TRIM(S175),"00000")="89030", TEXT(TRIM(S175),"00000")="89031", TEXT(TRIM(S175),"00000")="89032", TEXT(TRIM(S175),"00000")="89086", TEXT(TRIM(S175),"00000")="89084", TEXT(TRIM(S175),"00000")="89081"), "North LV",
  OR(TEXT(TRIM(S175),"00000")="89109", TEXT(TRIM(S175),"00000")="89103", TEXT(TRIM(S175),"00000")="89119", TEXT(TRIM(S175),"00000")="89123", TEXT(TRIM(S175),"00000")="89169", TEXT(TRIM(S175),"00000")="89118"), "South/Strip",
  OR(TEXT(TRIM(S175),"00000")="89074", TEXT(TRIM(S175),"00000")="89014", TEXT(TRIM(S175),"00000")="89015", TEXT(TRIM(S175),"00000")="89011", TEXT(TRIM(S175),"00000")="89012"), "Suburban SE",
  OR(TEXT(TRIM(S175),"00000")="89117", TEXT(TRIM(S175),"00000")="89128", TEXT(TRIM(S175),"00000")="89135", TEXT(TRIM(S175),"00000")="89144", TEXT(TRIM(S175),"00000")="89145", TEXT(TRIM(S175),"00000")="89147"), "West Valley",
  TRUE, "Other"
)</f>
        <v>Urban Core</v>
      </c>
      <c r="U175" t="s">
        <v>2413</v>
      </c>
      <c r="V175" t="str">
        <f t="shared" si="11"/>
        <v>Medical Facility</v>
      </c>
    </row>
    <row r="176" spans="1:22">
      <c r="A176" t="s">
        <v>3667</v>
      </c>
      <c r="B176" t="s">
        <v>3668</v>
      </c>
      <c r="C176" s="1">
        <v>45498</v>
      </c>
      <c r="D176" s="4">
        <v>113</v>
      </c>
      <c r="E176">
        <v>43</v>
      </c>
      <c r="F176" t="str">
        <f t="shared" si="8"/>
        <v>40's</v>
      </c>
      <c r="G176" t="str" cm="1">
        <f t="array" ref="G176">_xlfn.IFS(
  F176="10's", "Child (5–12)",
  OR(F176="20's", F176="30's"), "Young Adult (20–39)",
  OR(F176="40's", F176="50's"), "Adult (40–59)",
  OR(F176="60's", F176="70's", F176="80's", F176="90's"), "Senior (60+)",
  TRUE, "Unknown"
)</f>
        <v>Adult (40–59)</v>
      </c>
      <c r="H176" t="s">
        <v>841</v>
      </c>
      <c r="I176" t="s">
        <v>4045</v>
      </c>
      <c r="J176" t="str">
        <f t="shared" si="9"/>
        <v>Methamphetamine-related</v>
      </c>
      <c r="K176" t="s">
        <v>54</v>
      </c>
      <c r="L176" t="s">
        <v>250</v>
      </c>
      <c r="N176" t="s">
        <v>5095</v>
      </c>
      <c r="O176" t="str" cm="1">
        <f t="array" ref="O176">_xlfn.IFS(
  TEXT(TRIM(N176),"00000")="NULL", "Missing/Unknown",
  OR(TEXT(TRIM(N176),"00000")="89101", TEXT(TRIM(N176),"00000")="89104", TEXT(TRIM(N176),"00000")="89106", TEXT(TRIM(N176),"00000")="89102", TEXT(TRIM(N176),"00000")="89107", TEXT(TRIM(N176),"00000")="89108"), "Urban Core",
  OR(TEXT(TRIM(N176),"00000")="89110", TEXT(TRIM(N176),"00000")="89115", TEXT(TRIM(N176),"00000")="89121", TEXT(TRIM(N176),"00000")="89122", TEXT(TRIM(N176),"00000")="89142", TEXT(TRIM(N176),"00000")="89156"), "East Valley",
  OR(TEXT(TRIM(N176),"00000")="89030", TEXT(TRIM(N176),"00000")="89031", TEXT(TRIM(N176),"00000")="89032", TEXT(TRIM(N176),"00000")="89086", TEXT(TRIM(N176),"00000")="89084", TEXT(TRIM(N176),"00000")="89081"), "North LV",
  OR(TEXT(TRIM(N176),"00000")="89109", TEXT(TRIM(N176),"00000")="89103", TEXT(TRIM(N176),"00000")="89119", TEXT(TRIM(N176),"00000")="89123", TEXT(TRIM(N176),"00000")="89169", TEXT(TRIM(N176),"00000")="89118"), "South/Strip",
  OR(TEXT(TRIM(N176),"00000")="89074", TEXT(TRIM(N176),"00000")="89014", TEXT(TRIM(N176),"00000")="89015", TEXT(TRIM(N176),"00000")="89011", TEXT(TRIM(N176),"00000")="89012"), "Suburban SE",
  OR(TEXT(TRIM(N176),"00000")="89117", TEXT(TRIM(N176),"00000")="89128", TEXT(TRIM(N176),"00000")="89135", TEXT(TRIM(N176),"00000")="89144", TEXT(TRIM(N176),"00000")="89145", TEXT(TRIM(N176),"00000")="89147"), "West Valley",
  TRUE, "Other"
)</f>
        <v>Missing/Unknown</v>
      </c>
      <c r="P176" t="s">
        <v>3298</v>
      </c>
      <c r="Q176" t="str">
        <f t="shared" si="10"/>
        <v>Outdoors/Public</v>
      </c>
      <c r="S176" t="s">
        <v>5095</v>
      </c>
      <c r="T176" t="str" cm="1">
        <f t="array" ref="T176">_xlfn.IFS(
  TEXT(TRIM(S176),"00000")="NULL", "Missing/Unknown",
  OR(TEXT(TRIM(S176),"00000")="89101", TEXT(TRIM(S176),"00000")="89104", TEXT(TRIM(S176),"00000")="89106", TEXT(TRIM(S176),"00000")="89102", TEXT(TRIM(S176),"00000")="89107", TEXT(TRIM(S176),"00000")="89108"), "Urban Core",
  OR(TEXT(TRIM(S176),"00000")="89110", TEXT(TRIM(S176),"00000")="89115", TEXT(TRIM(S176),"00000")="89121", TEXT(TRIM(S176),"00000")="89122", TEXT(TRIM(S176),"00000")="89142", TEXT(TRIM(S176),"00000")="89156"), "East Valley",
  OR(TEXT(TRIM(S176),"00000")="89030", TEXT(TRIM(S176),"00000")="89031", TEXT(TRIM(S176),"00000")="89032", TEXT(TRIM(S176),"00000")="89086", TEXT(TRIM(S176),"00000")="89084", TEXT(TRIM(S176),"00000")="89081"), "North LV",
  OR(TEXT(TRIM(S176),"00000")="89109", TEXT(TRIM(S176),"00000")="89103", TEXT(TRIM(S176),"00000")="89119", TEXT(TRIM(S176),"00000")="89123", TEXT(TRIM(S176),"00000")="89169", TEXT(TRIM(S176),"00000")="89118"), "South/Strip",
  OR(TEXT(TRIM(S176),"00000")="89074", TEXT(TRIM(S176),"00000")="89014", TEXT(TRIM(S176),"00000")="89015", TEXT(TRIM(S176),"00000")="89011", TEXT(TRIM(S176),"00000")="89012"), "Suburban SE",
  OR(TEXT(TRIM(S176),"00000")="89117", TEXT(TRIM(S176),"00000")="89128", TEXT(TRIM(S176),"00000")="89135", TEXT(TRIM(S176),"00000")="89144", TEXT(TRIM(S176),"00000")="89145", TEXT(TRIM(S176),"00000")="89147"), "West Valley",
  TRUE, "Other"
)</f>
        <v>Missing/Unknown</v>
      </c>
      <c r="U176" t="s">
        <v>3298</v>
      </c>
      <c r="V176" t="str">
        <f t="shared" si="11"/>
        <v>Outdoors/Public</v>
      </c>
    </row>
    <row r="177" spans="1:22">
      <c r="A177" t="s">
        <v>3144</v>
      </c>
      <c r="B177" t="s">
        <v>3145</v>
      </c>
      <c r="C177" s="1">
        <v>45498</v>
      </c>
      <c r="D177" s="4">
        <v>113</v>
      </c>
      <c r="E177">
        <v>63</v>
      </c>
      <c r="F177" t="str">
        <f t="shared" si="8"/>
        <v>60's</v>
      </c>
      <c r="G177" t="str" cm="1">
        <f t="array" ref="G177">_xlfn.IFS(
  F177="10's", "Child (5–12)",
  OR(F177="20's", F177="30's"), "Young Adult (20–39)",
  OR(F177="40's", F177="50's"), "Adult (40–59)",
  OR(F177="60's", F177="70's", F177="80's", F177="90's"), "Senior (60+)",
  TRUE, "Unknown"
)</f>
        <v>Senior (60+)</v>
      </c>
      <c r="H177" t="s">
        <v>778</v>
      </c>
      <c r="I177" t="s">
        <v>54</v>
      </c>
      <c r="J177" t="str">
        <f t="shared" si="9"/>
        <v>Environmental Heat</v>
      </c>
      <c r="K177" t="s">
        <v>379</v>
      </c>
      <c r="L177" t="s">
        <v>1071</v>
      </c>
      <c r="N177" t="s">
        <v>5095</v>
      </c>
      <c r="O177" t="str" cm="1">
        <f t="array" ref="O177">_xlfn.IFS(
  TEXT(TRIM(N177),"00000")="NULL", "Missing/Unknown",
  OR(TEXT(TRIM(N177),"00000")="89101", TEXT(TRIM(N177),"00000")="89104", TEXT(TRIM(N177),"00000")="89106", TEXT(TRIM(N177),"00000")="89102", TEXT(TRIM(N177),"00000")="89107", TEXT(TRIM(N177),"00000")="89108"), "Urban Core",
  OR(TEXT(TRIM(N177),"00000")="89110", TEXT(TRIM(N177),"00000")="89115", TEXT(TRIM(N177),"00000")="89121", TEXT(TRIM(N177),"00000")="89122", TEXT(TRIM(N177),"00000")="89142", TEXT(TRIM(N177),"00000")="89156"), "East Valley",
  OR(TEXT(TRIM(N177),"00000")="89030", TEXT(TRIM(N177),"00000")="89031", TEXT(TRIM(N177),"00000")="89032", TEXT(TRIM(N177),"00000")="89086", TEXT(TRIM(N177),"00000")="89084", TEXT(TRIM(N177),"00000")="89081"), "North LV",
  OR(TEXT(TRIM(N177),"00000")="89109", TEXT(TRIM(N177),"00000")="89103", TEXT(TRIM(N177),"00000")="89119", TEXT(TRIM(N177),"00000")="89123", TEXT(TRIM(N177),"00000")="89169", TEXT(TRIM(N177),"00000")="89118"), "South/Strip",
  OR(TEXT(TRIM(N177),"00000")="89074", TEXT(TRIM(N177),"00000")="89014", TEXT(TRIM(N177),"00000")="89015", TEXT(TRIM(N177),"00000")="89011", TEXT(TRIM(N177),"00000")="89012"), "Suburban SE",
  OR(TEXT(TRIM(N177),"00000")="89117", TEXT(TRIM(N177),"00000")="89128", TEXT(TRIM(N177),"00000")="89135", TEXT(TRIM(N177),"00000")="89144", TEXT(TRIM(N177),"00000")="89145", TEXT(TRIM(N177),"00000")="89147"), "West Valley",
  TRUE, "Other"
)</f>
        <v>Missing/Unknown</v>
      </c>
      <c r="P177" t="s">
        <v>3298</v>
      </c>
      <c r="Q177" t="str">
        <f t="shared" si="10"/>
        <v>Outdoors/Public</v>
      </c>
      <c r="R177" t="s">
        <v>5074</v>
      </c>
      <c r="S177" t="s">
        <v>5127</v>
      </c>
      <c r="T177" t="str" cm="1">
        <f t="array" ref="T177">_xlfn.IFS(
  TEXT(TRIM(S177),"00000")="NULL", "Missing/Unknown",
  OR(TEXT(TRIM(S177),"00000")="89101", TEXT(TRIM(S177),"00000")="89104", TEXT(TRIM(S177),"00000")="89106", TEXT(TRIM(S177),"00000")="89102", TEXT(TRIM(S177),"00000")="89107", TEXT(TRIM(S177),"00000")="89108"), "Urban Core",
  OR(TEXT(TRIM(S177),"00000")="89110", TEXT(TRIM(S177),"00000")="89115", TEXT(TRIM(S177),"00000")="89121", TEXT(TRIM(S177),"00000")="89122", TEXT(TRIM(S177),"00000")="89142", TEXT(TRIM(S177),"00000")="89156"), "East Valley",
  OR(TEXT(TRIM(S177),"00000")="89030", TEXT(TRIM(S177),"00000")="89031", TEXT(TRIM(S177),"00000")="89032", TEXT(TRIM(S177),"00000")="89086", TEXT(TRIM(S177),"00000")="89084", TEXT(TRIM(S177),"00000")="89081"), "North LV",
  OR(TEXT(TRIM(S177),"00000")="89109", TEXT(TRIM(S177),"00000")="89103", TEXT(TRIM(S177),"00000")="89119", TEXT(TRIM(S177),"00000")="89123", TEXT(TRIM(S177),"00000")="89169", TEXT(TRIM(S177),"00000")="89118"), "South/Strip",
  OR(TEXT(TRIM(S177),"00000")="89074", TEXT(TRIM(S177),"00000")="89014", TEXT(TRIM(S177),"00000")="89015", TEXT(TRIM(S177),"00000")="89011", TEXT(TRIM(S177),"00000")="89012"), "Suburban SE",
  OR(TEXT(TRIM(S177),"00000")="89117", TEXT(TRIM(S177),"00000")="89128", TEXT(TRIM(S177),"00000")="89135", TEXT(TRIM(S177),"00000")="89144", TEXT(TRIM(S177),"00000")="89145", TEXT(TRIM(S177),"00000")="89147"), "West Valley",
  TRUE, "Other"
)</f>
        <v>Other</v>
      </c>
      <c r="U177" t="s">
        <v>1073</v>
      </c>
      <c r="V177" t="str">
        <f t="shared" si="11"/>
        <v>Home/Residence</v>
      </c>
    </row>
    <row r="178" spans="1:22">
      <c r="A178" t="s">
        <v>3396</v>
      </c>
      <c r="B178" t="s">
        <v>3397</v>
      </c>
      <c r="C178" s="1">
        <v>45497</v>
      </c>
      <c r="D178" s="4">
        <v>111.02</v>
      </c>
      <c r="E178">
        <v>61</v>
      </c>
      <c r="F178" t="str">
        <f t="shared" si="8"/>
        <v>60's</v>
      </c>
      <c r="G178" t="str" cm="1">
        <f t="array" ref="G178">_xlfn.IFS(
  F178="10's", "Child (5–12)",
  OR(F178="20's", F178="30's"), "Young Adult (20–39)",
  OR(F178="40's", F178="50's"), "Adult (40–59)",
  OR(F178="60's", F178="70's", F178="80's", F178="90's"), "Senior (60+)",
  TRUE, "Unknown"
)</f>
        <v>Senior (60+)</v>
      </c>
      <c r="H178" t="s">
        <v>841</v>
      </c>
      <c r="I178" t="s">
        <v>660</v>
      </c>
      <c r="J178" t="str">
        <f t="shared" si="9"/>
        <v>Environmental Heat</v>
      </c>
      <c r="K178" t="s">
        <v>135</v>
      </c>
      <c r="L178" t="s">
        <v>250</v>
      </c>
      <c r="M178" t="s">
        <v>4527</v>
      </c>
      <c r="N178" t="s">
        <v>5128</v>
      </c>
      <c r="O178" t="str" cm="1">
        <f t="array" ref="O178">_xlfn.IFS(
  TEXT(TRIM(N178),"00000")="NULL", "Missing/Unknown",
  OR(TEXT(TRIM(N178),"00000")="89101", TEXT(TRIM(N178),"00000")="89104", TEXT(TRIM(N178),"00000")="89106", TEXT(TRIM(N178),"00000")="89102", TEXT(TRIM(N178),"00000")="89107", TEXT(TRIM(N178),"00000")="89108"), "Urban Core",
  OR(TEXT(TRIM(N178),"00000")="89110", TEXT(TRIM(N178),"00000")="89115", TEXT(TRIM(N178),"00000")="89121", TEXT(TRIM(N178),"00000")="89122", TEXT(TRIM(N178),"00000")="89142", TEXT(TRIM(N178),"00000")="89156"), "East Valley",
  OR(TEXT(TRIM(N178),"00000")="89030", TEXT(TRIM(N178),"00000")="89031", TEXT(TRIM(N178),"00000")="89032", TEXT(TRIM(N178),"00000")="89086", TEXT(TRIM(N178),"00000")="89084", TEXT(TRIM(N178),"00000")="89081"), "North LV",
  OR(TEXT(TRIM(N178),"00000")="89109", TEXT(TRIM(N178),"00000")="89103", TEXT(TRIM(N178),"00000")="89119", TEXT(TRIM(N178),"00000")="89123", TEXT(TRIM(N178),"00000")="89169", TEXT(TRIM(N178),"00000")="89118"), "South/Strip",
  OR(TEXT(TRIM(N178),"00000")="89074", TEXT(TRIM(N178),"00000")="89014", TEXT(TRIM(N178),"00000")="89015", TEXT(TRIM(N178),"00000")="89011", TEXT(TRIM(N178),"00000")="89012"), "Suburban SE",
  OR(TEXT(TRIM(N178),"00000")="89117", TEXT(TRIM(N178),"00000")="89128", TEXT(TRIM(N178),"00000")="89135", TEXT(TRIM(N178),"00000")="89144", TEXT(TRIM(N178),"00000")="89145", TEXT(TRIM(N178),"00000")="89147"), "West Valley",
  TRUE, "Other"
)</f>
        <v>East Valley</v>
      </c>
      <c r="P178" t="s">
        <v>271</v>
      </c>
      <c r="Q178" t="str">
        <f t="shared" si="10"/>
        <v>Home/Residence</v>
      </c>
      <c r="R178" t="s">
        <v>4341</v>
      </c>
      <c r="S178" t="s">
        <v>5100</v>
      </c>
      <c r="T178" t="str" cm="1">
        <f t="array" ref="T178">_xlfn.IFS(
  TEXT(TRIM(S178),"00000")="NULL", "Missing/Unknown",
  OR(TEXT(TRIM(S178),"00000")="89101", TEXT(TRIM(S178),"00000")="89104", TEXT(TRIM(S178),"00000")="89106", TEXT(TRIM(S178),"00000")="89102", TEXT(TRIM(S178),"00000")="89107", TEXT(TRIM(S178),"00000")="89108"), "Urban Core",
  OR(TEXT(TRIM(S178),"00000")="89110", TEXT(TRIM(S178),"00000")="89115", TEXT(TRIM(S178),"00000")="89121", TEXT(TRIM(S178),"00000")="89122", TEXT(TRIM(S178),"00000")="89142", TEXT(TRIM(S178),"00000")="89156"), "East Valley",
  OR(TEXT(TRIM(S178),"00000")="89030", TEXT(TRIM(S178),"00000")="89031", TEXT(TRIM(S178),"00000")="89032", TEXT(TRIM(S178),"00000")="89086", TEXT(TRIM(S178),"00000")="89084", TEXT(TRIM(S178),"00000")="89081"), "North LV",
  OR(TEXT(TRIM(S178),"00000")="89109", TEXT(TRIM(S178),"00000")="89103", TEXT(TRIM(S178),"00000")="89119", TEXT(TRIM(S178),"00000")="89123", TEXT(TRIM(S178),"00000")="89169", TEXT(TRIM(S178),"00000")="89118"), "South/Strip",
  OR(TEXT(TRIM(S178),"00000")="89074", TEXT(TRIM(S178),"00000")="89014", TEXT(TRIM(S178),"00000")="89015", TEXT(TRIM(S178),"00000")="89011", TEXT(TRIM(S178),"00000")="89012"), "Suburban SE",
  OR(TEXT(TRIM(S178),"00000")="89117", TEXT(TRIM(S178),"00000")="89128", TEXT(TRIM(S178),"00000")="89135", TEXT(TRIM(S178),"00000")="89144", TEXT(TRIM(S178),"00000")="89145", TEXT(TRIM(S178),"00000")="89147"), "West Valley",
  TRUE, "Other"
)</f>
        <v>North LV</v>
      </c>
      <c r="U178" t="s">
        <v>4301</v>
      </c>
      <c r="V178" t="str">
        <f t="shared" si="11"/>
        <v>Medical Facility</v>
      </c>
    </row>
    <row r="179" spans="1:22">
      <c r="A179" t="s">
        <v>3141</v>
      </c>
      <c r="B179" t="s">
        <v>3142</v>
      </c>
      <c r="C179" s="1">
        <v>45497</v>
      </c>
      <c r="D179" s="4">
        <v>111.02</v>
      </c>
      <c r="E179">
        <v>76</v>
      </c>
      <c r="F179" t="str">
        <f t="shared" si="8"/>
        <v>70's</v>
      </c>
      <c r="G179" t="str" cm="1">
        <f t="array" ref="G179">_xlfn.IFS(
  F179="10's", "Child (5–12)",
  OR(F179="20's", F179="30's"), "Young Adult (20–39)",
  OR(F179="40's", F179="50's"), "Adult (40–59)",
  OR(F179="60's", F179="70's", F179="80's", F179="90's"), "Senior (60+)",
  TRUE, "Unknown"
)</f>
        <v>Senior (60+)</v>
      </c>
      <c r="H179" t="s">
        <v>841</v>
      </c>
      <c r="I179" t="s">
        <v>54</v>
      </c>
      <c r="J179" t="str">
        <f t="shared" si="9"/>
        <v>Environmental Heat</v>
      </c>
      <c r="K179" t="s">
        <v>63</v>
      </c>
      <c r="L179" t="s">
        <v>250</v>
      </c>
      <c r="M179" t="s">
        <v>4680</v>
      </c>
      <c r="N179" t="s">
        <v>5098</v>
      </c>
      <c r="O179" t="str" cm="1">
        <f t="array" ref="O179">_xlfn.IFS(
  TEXT(TRIM(N179),"00000")="NULL", "Missing/Unknown",
  OR(TEXT(TRIM(N179),"00000")="89101", TEXT(TRIM(N179),"00000")="89104", TEXT(TRIM(N179),"00000")="89106", TEXT(TRIM(N179),"00000")="89102", TEXT(TRIM(N179),"00000")="89107", TEXT(TRIM(N179),"00000")="89108"), "Urban Core",
  OR(TEXT(TRIM(N179),"00000")="89110", TEXT(TRIM(N179),"00000")="89115", TEXT(TRIM(N179),"00000")="89121", TEXT(TRIM(N179),"00000")="89122", TEXT(TRIM(N179),"00000")="89142", TEXT(TRIM(N179),"00000")="89156"), "East Valley",
  OR(TEXT(TRIM(N179),"00000")="89030", TEXT(TRIM(N179),"00000")="89031", TEXT(TRIM(N179),"00000")="89032", TEXT(TRIM(N179),"00000")="89086", TEXT(TRIM(N179),"00000")="89084", TEXT(TRIM(N179),"00000")="89081"), "North LV",
  OR(TEXT(TRIM(N179),"00000")="89109", TEXT(TRIM(N179),"00000")="89103", TEXT(TRIM(N179),"00000")="89119", TEXT(TRIM(N179),"00000")="89123", TEXT(TRIM(N179),"00000")="89169", TEXT(TRIM(N179),"00000")="89118"), "South/Strip",
  OR(TEXT(TRIM(N179),"00000")="89074", TEXT(TRIM(N179),"00000")="89014", TEXT(TRIM(N179),"00000")="89015", TEXT(TRIM(N179),"00000")="89011", TEXT(TRIM(N179),"00000")="89012"), "Suburban SE",
  OR(TEXT(TRIM(N179),"00000")="89117", TEXT(TRIM(N179),"00000")="89128", TEXT(TRIM(N179),"00000")="89135", TEXT(TRIM(N179),"00000")="89144", TEXT(TRIM(N179),"00000")="89145", TEXT(TRIM(N179),"00000")="89147"), "West Valley",
  TRUE, "Other"
)</f>
        <v>Urban Core</v>
      </c>
      <c r="P179" t="s">
        <v>3298</v>
      </c>
      <c r="Q179" t="str">
        <f t="shared" si="10"/>
        <v>Outdoors/Public</v>
      </c>
      <c r="R179" t="s">
        <v>4680</v>
      </c>
      <c r="S179" t="s">
        <v>5098</v>
      </c>
      <c r="T179" t="str" cm="1">
        <f t="array" ref="T179">_xlfn.IFS(
  TEXT(TRIM(S179),"00000")="NULL", "Missing/Unknown",
  OR(TEXT(TRIM(S179),"00000")="89101", TEXT(TRIM(S179),"00000")="89104", TEXT(TRIM(S179),"00000")="89106", TEXT(TRIM(S179),"00000")="89102", TEXT(TRIM(S179),"00000")="89107", TEXT(TRIM(S179),"00000")="89108"), "Urban Core",
  OR(TEXT(TRIM(S179),"00000")="89110", TEXT(TRIM(S179),"00000")="89115", TEXT(TRIM(S179),"00000")="89121", TEXT(TRIM(S179),"00000")="89122", TEXT(TRIM(S179),"00000")="89142", TEXT(TRIM(S179),"00000")="89156"), "East Valley",
  OR(TEXT(TRIM(S179),"00000")="89030", TEXT(TRIM(S179),"00000")="89031", TEXT(TRIM(S179),"00000")="89032", TEXT(TRIM(S179),"00000")="89086", TEXT(TRIM(S179),"00000")="89084", TEXT(TRIM(S179),"00000")="89081"), "North LV",
  OR(TEXT(TRIM(S179),"00000")="89109", TEXT(TRIM(S179),"00000")="89103", TEXT(TRIM(S179),"00000")="89119", TEXT(TRIM(S179),"00000")="89123", TEXT(TRIM(S179),"00000")="89169", TEXT(TRIM(S179),"00000")="89118"), "South/Strip",
  OR(TEXT(TRIM(S179),"00000")="89074", TEXT(TRIM(S179),"00000")="89014", TEXT(TRIM(S179),"00000")="89015", TEXT(TRIM(S179),"00000")="89011", TEXT(TRIM(S179),"00000")="89012"), "Suburban SE",
  OR(TEXT(TRIM(S179),"00000")="89117", TEXT(TRIM(S179),"00000")="89128", TEXT(TRIM(S179),"00000")="89135", TEXT(TRIM(S179),"00000")="89144", TEXT(TRIM(S179),"00000")="89145", TEXT(TRIM(S179),"00000")="89147"), "West Valley",
  TRUE, "Other"
)</f>
        <v>Urban Core</v>
      </c>
      <c r="U179" t="s">
        <v>3298</v>
      </c>
      <c r="V179" t="str">
        <f t="shared" si="11"/>
        <v>Outdoors/Public</v>
      </c>
    </row>
    <row r="180" spans="1:22">
      <c r="A180" t="s">
        <v>2850</v>
      </c>
      <c r="B180" t="s">
        <v>2851</v>
      </c>
      <c r="C180" s="1">
        <v>45497</v>
      </c>
      <c r="D180" s="4">
        <v>111.02</v>
      </c>
      <c r="E180">
        <v>75</v>
      </c>
      <c r="F180" t="str">
        <f t="shared" si="8"/>
        <v>70's</v>
      </c>
      <c r="G180" t="str" cm="1">
        <f t="array" ref="G180">_xlfn.IFS(
  F180="10's", "Child (5–12)",
  OR(F180="20's", F180="30's"), "Young Adult (20–39)",
  OR(F180="40's", F180="50's"), "Adult (40–59)",
  OR(F180="60's", F180="70's", F180="80's", F180="90's"), "Senior (60+)",
  TRUE, "Unknown"
)</f>
        <v>Senior (60+)</v>
      </c>
      <c r="H180" t="s">
        <v>841</v>
      </c>
      <c r="I180" t="s">
        <v>2852</v>
      </c>
      <c r="J180" t="str">
        <f t="shared" si="9"/>
        <v>Other / Unknown</v>
      </c>
      <c r="K180" t="s">
        <v>2853</v>
      </c>
      <c r="L180" t="s">
        <v>1071</v>
      </c>
      <c r="M180" t="s">
        <v>4916</v>
      </c>
      <c r="N180" t="s">
        <v>5125</v>
      </c>
      <c r="O180" t="str" cm="1">
        <f t="array" ref="O180">_xlfn.IFS(
  TEXT(TRIM(N180),"00000")="NULL", "Missing/Unknown",
  OR(TEXT(TRIM(N180),"00000")="89101", TEXT(TRIM(N180),"00000")="89104", TEXT(TRIM(N180),"00000")="89106", TEXT(TRIM(N180),"00000")="89102", TEXT(TRIM(N180),"00000")="89107", TEXT(TRIM(N180),"00000")="89108"), "Urban Core",
  OR(TEXT(TRIM(N180),"00000")="89110", TEXT(TRIM(N180),"00000")="89115", TEXT(TRIM(N180),"00000")="89121", TEXT(TRIM(N180),"00000")="89122", TEXT(TRIM(N180),"00000")="89142", TEXT(TRIM(N180),"00000")="89156"), "East Valley",
  OR(TEXT(TRIM(N180),"00000")="89030", TEXT(TRIM(N180),"00000")="89031", TEXT(TRIM(N180),"00000")="89032", TEXT(TRIM(N180),"00000")="89086", TEXT(TRIM(N180),"00000")="89084", TEXT(TRIM(N180),"00000")="89081"), "North LV",
  OR(TEXT(TRIM(N180),"00000")="89109", TEXT(TRIM(N180),"00000")="89103", TEXT(TRIM(N180),"00000")="89119", TEXT(TRIM(N180),"00000")="89123", TEXT(TRIM(N180),"00000")="89169", TEXT(TRIM(N180),"00000")="89118"), "South/Strip",
  OR(TEXT(TRIM(N180),"00000")="89074", TEXT(TRIM(N180),"00000")="89014", TEXT(TRIM(N180),"00000")="89015", TEXT(TRIM(N180),"00000")="89011", TEXT(TRIM(N180),"00000")="89012"), "Suburban SE",
  OR(TEXT(TRIM(N180),"00000")="89117", TEXT(TRIM(N180),"00000")="89128", TEXT(TRIM(N180),"00000")="89135", TEXT(TRIM(N180),"00000")="89144", TEXT(TRIM(N180),"00000")="89145", TEXT(TRIM(N180),"00000")="89147"), "West Valley",
  TRUE, "Other"
)</f>
        <v>South/Strip</v>
      </c>
      <c r="P180" t="s">
        <v>1073</v>
      </c>
      <c r="Q180" t="str">
        <f t="shared" si="10"/>
        <v>Home/Residence</v>
      </c>
      <c r="R180" t="s">
        <v>4916</v>
      </c>
      <c r="S180" t="s">
        <v>5125</v>
      </c>
      <c r="T180" t="str" cm="1">
        <f t="array" ref="T180">_xlfn.IFS(
  TEXT(TRIM(S180),"00000")="NULL", "Missing/Unknown",
  OR(TEXT(TRIM(S180),"00000")="89101", TEXT(TRIM(S180),"00000")="89104", TEXT(TRIM(S180),"00000")="89106", TEXT(TRIM(S180),"00000")="89102", TEXT(TRIM(S180),"00000")="89107", TEXT(TRIM(S180),"00000")="89108"), "Urban Core",
  OR(TEXT(TRIM(S180),"00000")="89110", TEXT(TRIM(S180),"00000")="89115", TEXT(TRIM(S180),"00000")="89121", TEXT(TRIM(S180),"00000")="89122", TEXT(TRIM(S180),"00000")="89142", TEXT(TRIM(S180),"00000")="89156"), "East Valley",
  OR(TEXT(TRIM(S180),"00000")="89030", TEXT(TRIM(S180),"00000")="89031", TEXT(TRIM(S180),"00000")="89032", TEXT(TRIM(S180),"00000")="89086", TEXT(TRIM(S180),"00000")="89084", TEXT(TRIM(S180),"00000")="89081"), "North LV",
  OR(TEXT(TRIM(S180),"00000")="89109", TEXT(TRIM(S180),"00000")="89103", TEXT(TRIM(S180),"00000")="89119", TEXT(TRIM(S180),"00000")="89123", TEXT(TRIM(S180),"00000")="89169", TEXT(TRIM(S180),"00000")="89118"), "South/Strip",
  OR(TEXT(TRIM(S180),"00000")="89074", TEXT(TRIM(S180),"00000")="89014", TEXT(TRIM(S180),"00000")="89015", TEXT(TRIM(S180),"00000")="89011", TEXT(TRIM(S180),"00000")="89012"), "Suburban SE",
  OR(TEXT(TRIM(S180),"00000")="89117", TEXT(TRIM(S180),"00000")="89128", TEXT(TRIM(S180),"00000")="89135", TEXT(TRIM(S180),"00000")="89144", TEXT(TRIM(S180),"00000")="89145", TEXT(TRIM(S180),"00000")="89147"), "West Valley",
  TRUE, "Other"
)</f>
        <v>South/Strip</v>
      </c>
      <c r="U180" t="s">
        <v>1073</v>
      </c>
      <c r="V180" t="str">
        <f t="shared" si="11"/>
        <v>Home/Residence</v>
      </c>
    </row>
    <row r="181" spans="1:22">
      <c r="A181" t="s">
        <v>3917</v>
      </c>
      <c r="B181" t="s">
        <v>3918</v>
      </c>
      <c r="C181" s="1">
        <v>45497</v>
      </c>
      <c r="D181" s="4">
        <v>111.02</v>
      </c>
      <c r="E181">
        <v>60</v>
      </c>
      <c r="F181" t="str">
        <f t="shared" si="8"/>
        <v>60's</v>
      </c>
      <c r="G181" t="str" cm="1">
        <f t="array" ref="G181">_xlfn.IFS(
  F181="10's", "Child (5–12)",
  OR(F181="20's", F181="30's"), "Young Adult (20–39)",
  OR(F181="40's", F181="50's"), "Adult (40–59)",
  OR(F181="60's", F181="70's", F181="80's", F181="90's"), "Senior (60+)",
  TRUE, "Unknown"
)</f>
        <v>Senior (60+)</v>
      </c>
      <c r="H181" t="s">
        <v>841</v>
      </c>
      <c r="I181" t="s">
        <v>4046</v>
      </c>
      <c r="J181" t="str">
        <f t="shared" si="9"/>
        <v>Other / Unknown</v>
      </c>
      <c r="K181" t="s">
        <v>54</v>
      </c>
      <c r="L181" t="s">
        <v>1071</v>
      </c>
      <c r="M181" t="s">
        <v>4917</v>
      </c>
      <c r="N181" t="s">
        <v>5132</v>
      </c>
      <c r="O181" t="str" cm="1">
        <f t="array" ref="O181">_xlfn.IFS(
  TEXT(TRIM(N181),"00000")="NULL", "Missing/Unknown",
  OR(TEXT(TRIM(N181),"00000")="89101", TEXT(TRIM(N181),"00000")="89104", TEXT(TRIM(N181),"00000")="89106", TEXT(TRIM(N181),"00000")="89102", TEXT(TRIM(N181),"00000")="89107", TEXT(TRIM(N181),"00000")="89108"), "Urban Core",
  OR(TEXT(TRIM(N181),"00000")="89110", TEXT(TRIM(N181),"00000")="89115", TEXT(TRIM(N181),"00000")="89121", TEXT(TRIM(N181),"00000")="89122", TEXT(TRIM(N181),"00000")="89142", TEXT(TRIM(N181),"00000")="89156"), "East Valley",
  OR(TEXT(TRIM(N181),"00000")="89030", TEXT(TRIM(N181),"00000")="89031", TEXT(TRIM(N181),"00000")="89032", TEXT(TRIM(N181),"00000")="89086", TEXT(TRIM(N181),"00000")="89084", TEXT(TRIM(N181),"00000")="89081"), "North LV",
  OR(TEXT(TRIM(N181),"00000")="89109", TEXT(TRIM(N181),"00000")="89103", TEXT(TRIM(N181),"00000")="89119", TEXT(TRIM(N181),"00000")="89123", TEXT(TRIM(N181),"00000")="89169", TEXT(TRIM(N181),"00000")="89118"), "South/Strip",
  OR(TEXT(TRIM(N181),"00000")="89074", TEXT(TRIM(N181),"00000")="89014", TEXT(TRIM(N181),"00000")="89015", TEXT(TRIM(N181),"00000")="89011", TEXT(TRIM(N181),"00000")="89012"), "Suburban SE",
  OR(TEXT(TRIM(N181),"00000")="89117", TEXT(TRIM(N181),"00000")="89128", TEXT(TRIM(N181),"00000")="89135", TEXT(TRIM(N181),"00000")="89144", TEXT(TRIM(N181),"00000")="89145", TEXT(TRIM(N181),"00000")="89147"), "West Valley",
  TRUE, "Other"
)</f>
        <v>Other</v>
      </c>
      <c r="P181" t="s">
        <v>1073</v>
      </c>
      <c r="Q181" t="str">
        <f t="shared" si="10"/>
        <v>Home/Residence</v>
      </c>
      <c r="R181" t="s">
        <v>4917</v>
      </c>
      <c r="S181" t="s">
        <v>5132</v>
      </c>
      <c r="T181" t="str" cm="1">
        <f t="array" ref="T181">_xlfn.IFS(
  TEXT(TRIM(S181),"00000")="NULL", "Missing/Unknown",
  OR(TEXT(TRIM(S181),"00000")="89101", TEXT(TRIM(S181),"00000")="89104", TEXT(TRIM(S181),"00000")="89106", TEXT(TRIM(S181),"00000")="89102", TEXT(TRIM(S181),"00000")="89107", TEXT(TRIM(S181),"00000")="89108"), "Urban Core",
  OR(TEXT(TRIM(S181),"00000")="89110", TEXT(TRIM(S181),"00000")="89115", TEXT(TRIM(S181),"00000")="89121", TEXT(TRIM(S181),"00000")="89122", TEXT(TRIM(S181),"00000")="89142", TEXT(TRIM(S181),"00000")="89156"), "East Valley",
  OR(TEXT(TRIM(S181),"00000")="89030", TEXT(TRIM(S181),"00000")="89031", TEXT(TRIM(S181),"00000")="89032", TEXT(TRIM(S181),"00000")="89086", TEXT(TRIM(S181),"00000")="89084", TEXT(TRIM(S181),"00000")="89081"), "North LV",
  OR(TEXT(TRIM(S181),"00000")="89109", TEXT(TRIM(S181),"00000")="89103", TEXT(TRIM(S181),"00000")="89119", TEXT(TRIM(S181),"00000")="89123", TEXT(TRIM(S181),"00000")="89169", TEXT(TRIM(S181),"00000")="89118"), "South/Strip",
  OR(TEXT(TRIM(S181),"00000")="89074", TEXT(TRIM(S181),"00000")="89014", TEXT(TRIM(S181),"00000")="89015", TEXT(TRIM(S181),"00000")="89011", TEXT(TRIM(S181),"00000")="89012"), "Suburban SE",
  OR(TEXT(TRIM(S181),"00000")="89117", TEXT(TRIM(S181),"00000")="89128", TEXT(TRIM(S181),"00000")="89135", TEXT(TRIM(S181),"00000")="89144", TEXT(TRIM(S181),"00000")="89145", TEXT(TRIM(S181),"00000")="89147"), "West Valley",
  TRUE, "Other"
)</f>
        <v>Other</v>
      </c>
      <c r="U181" t="s">
        <v>1073</v>
      </c>
      <c r="V181" t="str">
        <f t="shared" si="11"/>
        <v>Home/Residence</v>
      </c>
    </row>
    <row r="182" spans="1:22">
      <c r="A182" t="s">
        <v>3135</v>
      </c>
      <c r="B182" t="s">
        <v>3136</v>
      </c>
      <c r="C182" s="1">
        <v>45497</v>
      </c>
      <c r="D182" s="4">
        <v>111.02</v>
      </c>
      <c r="E182">
        <v>39</v>
      </c>
      <c r="F182" t="str">
        <f t="shared" si="8"/>
        <v>30's</v>
      </c>
      <c r="G182" t="str" cm="1">
        <f t="array" ref="G182">_xlfn.IFS(
  F182="10's", "Child (5–12)",
  OR(F182="20's", F182="30's"), "Young Adult (20–39)",
  OR(F182="40's", F182="50's"), "Adult (40–59)",
  OR(F182="60's", F182="70's", F182="80's", F182="90's"), "Senior (60+)",
  TRUE, "Unknown"
)</f>
        <v>Young Adult (20–39)</v>
      </c>
      <c r="H182" t="s">
        <v>841</v>
      </c>
      <c r="I182" t="s">
        <v>54</v>
      </c>
      <c r="J182" t="str">
        <f t="shared" si="9"/>
        <v>Environmental Heat</v>
      </c>
      <c r="K182" t="s">
        <v>98</v>
      </c>
      <c r="L182" t="s">
        <v>250</v>
      </c>
      <c r="M182" t="s">
        <v>4673</v>
      </c>
      <c r="N182" t="s">
        <v>5102</v>
      </c>
      <c r="O182" t="str" cm="1">
        <f t="array" ref="O182">_xlfn.IFS(
  TEXT(TRIM(N182),"00000")="NULL", "Missing/Unknown",
  OR(TEXT(TRIM(N182),"00000")="89101", TEXT(TRIM(N182),"00000")="89104", TEXT(TRIM(N182),"00000")="89106", TEXT(TRIM(N182),"00000")="89102", TEXT(TRIM(N182),"00000")="89107", TEXT(TRIM(N182),"00000")="89108"), "Urban Core",
  OR(TEXT(TRIM(N182),"00000")="89110", TEXT(TRIM(N182),"00000")="89115", TEXT(TRIM(N182),"00000")="89121", TEXT(TRIM(N182),"00000")="89122", TEXT(TRIM(N182),"00000")="89142", TEXT(TRIM(N182),"00000")="89156"), "East Valley",
  OR(TEXT(TRIM(N182),"00000")="89030", TEXT(TRIM(N182),"00000")="89031", TEXT(TRIM(N182),"00000")="89032", TEXT(TRIM(N182),"00000")="89086", TEXT(TRIM(N182),"00000")="89084", TEXT(TRIM(N182),"00000")="89081"), "North LV",
  OR(TEXT(TRIM(N182),"00000")="89109", TEXT(TRIM(N182),"00000")="89103", TEXT(TRIM(N182),"00000")="89119", TEXT(TRIM(N182),"00000")="89123", TEXT(TRIM(N182),"00000")="89169", TEXT(TRIM(N182),"00000")="89118"), "South/Strip",
  OR(TEXT(TRIM(N182),"00000")="89074", TEXT(TRIM(N182),"00000")="89014", TEXT(TRIM(N182),"00000")="89015", TEXT(TRIM(N182),"00000")="89011", TEXT(TRIM(N182),"00000")="89012"), "Suburban SE",
  OR(TEXT(TRIM(N182),"00000")="89117", TEXT(TRIM(N182),"00000")="89128", TEXT(TRIM(N182),"00000")="89135", TEXT(TRIM(N182),"00000")="89144", TEXT(TRIM(N182),"00000")="89145", TEXT(TRIM(N182),"00000")="89147"), "West Valley",
  TRUE, "Other"
)</f>
        <v>Urban Core</v>
      </c>
      <c r="P182" t="s">
        <v>3298</v>
      </c>
      <c r="Q182" t="str">
        <f t="shared" si="10"/>
        <v>Outdoors/Public</v>
      </c>
      <c r="R182" t="s">
        <v>4673</v>
      </c>
      <c r="S182" t="s">
        <v>5102</v>
      </c>
      <c r="T182" t="str" cm="1">
        <f t="array" ref="T182">_xlfn.IFS(
  TEXT(TRIM(S182),"00000")="NULL", "Missing/Unknown",
  OR(TEXT(TRIM(S182),"00000")="89101", TEXT(TRIM(S182),"00000")="89104", TEXT(TRIM(S182),"00000")="89106", TEXT(TRIM(S182),"00000")="89102", TEXT(TRIM(S182),"00000")="89107", TEXT(TRIM(S182),"00000")="89108"), "Urban Core",
  OR(TEXT(TRIM(S182),"00000")="89110", TEXT(TRIM(S182),"00000")="89115", TEXT(TRIM(S182),"00000")="89121", TEXT(TRIM(S182),"00000")="89122", TEXT(TRIM(S182),"00000")="89142", TEXT(TRIM(S182),"00000")="89156"), "East Valley",
  OR(TEXT(TRIM(S182),"00000")="89030", TEXT(TRIM(S182),"00000")="89031", TEXT(TRIM(S182),"00000")="89032", TEXT(TRIM(S182),"00000")="89086", TEXT(TRIM(S182),"00000")="89084", TEXT(TRIM(S182),"00000")="89081"), "North LV",
  OR(TEXT(TRIM(S182),"00000")="89109", TEXT(TRIM(S182),"00000")="89103", TEXT(TRIM(S182),"00000")="89119", TEXT(TRIM(S182),"00000")="89123", TEXT(TRIM(S182),"00000")="89169", TEXT(TRIM(S182),"00000")="89118"), "South/Strip",
  OR(TEXT(TRIM(S182),"00000")="89074", TEXT(TRIM(S182),"00000")="89014", TEXT(TRIM(S182),"00000")="89015", TEXT(TRIM(S182),"00000")="89011", TEXT(TRIM(S182),"00000")="89012"), "Suburban SE",
  OR(TEXT(TRIM(S182),"00000")="89117", TEXT(TRIM(S182),"00000")="89128", TEXT(TRIM(S182),"00000")="89135", TEXT(TRIM(S182),"00000")="89144", TEXT(TRIM(S182),"00000")="89145", TEXT(TRIM(S182),"00000")="89147"), "West Valley",
  TRUE, "Other"
)</f>
        <v>Urban Core</v>
      </c>
      <c r="U182" t="s">
        <v>3298</v>
      </c>
      <c r="V182" t="str">
        <f t="shared" si="11"/>
        <v>Outdoors/Public</v>
      </c>
    </row>
    <row r="183" spans="1:22">
      <c r="A183" t="s">
        <v>3138</v>
      </c>
      <c r="B183" t="s">
        <v>3139</v>
      </c>
      <c r="C183" s="1">
        <v>45497</v>
      </c>
      <c r="D183" s="4">
        <v>111.02</v>
      </c>
      <c r="E183">
        <v>41</v>
      </c>
      <c r="F183" t="str">
        <f t="shared" si="8"/>
        <v>40's</v>
      </c>
      <c r="G183" t="str" cm="1">
        <f t="array" ref="G183">_xlfn.IFS(
  F183="10's", "Child (5–12)",
  OR(F183="20's", F183="30's"), "Young Adult (20–39)",
  OR(F183="40's", F183="50's"), "Adult (40–59)",
  OR(F183="60's", F183="70's", F183="80's", F183="90's"), "Senior (60+)",
  TRUE, "Unknown"
)</f>
        <v>Adult (40–59)</v>
      </c>
      <c r="H183" t="s">
        <v>27</v>
      </c>
      <c r="I183" t="s">
        <v>54</v>
      </c>
      <c r="J183" t="str">
        <f t="shared" si="9"/>
        <v>Environmental Heat</v>
      </c>
      <c r="K183" t="s">
        <v>98</v>
      </c>
      <c r="L183" t="s">
        <v>250</v>
      </c>
      <c r="M183" t="s">
        <v>4337</v>
      </c>
      <c r="N183" t="s">
        <v>5097</v>
      </c>
      <c r="O183" t="str" cm="1">
        <f t="array" ref="O183">_xlfn.IFS(
  TEXT(TRIM(N183),"00000")="NULL", "Missing/Unknown",
  OR(TEXT(TRIM(N183),"00000")="89101", TEXT(TRIM(N183),"00000")="89104", TEXT(TRIM(N183),"00000")="89106", TEXT(TRIM(N183),"00000")="89102", TEXT(TRIM(N183),"00000")="89107", TEXT(TRIM(N183),"00000")="89108"), "Urban Core",
  OR(TEXT(TRIM(N183),"00000")="89110", TEXT(TRIM(N183),"00000")="89115", TEXT(TRIM(N183),"00000")="89121", TEXT(TRIM(N183),"00000")="89122", TEXT(TRIM(N183),"00000")="89142", TEXT(TRIM(N183),"00000")="89156"), "East Valley",
  OR(TEXT(TRIM(N183),"00000")="89030", TEXT(TRIM(N183),"00000")="89031", TEXT(TRIM(N183),"00000")="89032", TEXT(TRIM(N183),"00000")="89086", TEXT(TRIM(N183),"00000")="89084", TEXT(TRIM(N183),"00000")="89081"), "North LV",
  OR(TEXT(TRIM(N183),"00000")="89109", TEXT(TRIM(N183),"00000")="89103", TEXT(TRIM(N183),"00000")="89119", TEXT(TRIM(N183),"00000")="89123", TEXT(TRIM(N183),"00000")="89169", TEXT(TRIM(N183),"00000")="89118"), "South/Strip",
  OR(TEXT(TRIM(N183),"00000")="89074", TEXT(TRIM(N183),"00000")="89014", TEXT(TRIM(N183),"00000")="89015", TEXT(TRIM(N183),"00000")="89011", TEXT(TRIM(N183),"00000")="89012"), "Suburban SE",
  OR(TEXT(TRIM(N183),"00000")="89117", TEXT(TRIM(N183),"00000")="89128", TEXT(TRIM(N183),"00000")="89135", TEXT(TRIM(N183),"00000")="89144", TEXT(TRIM(N183),"00000")="89145", TEXT(TRIM(N183),"00000")="89147"), "West Valley",
  TRUE, "Other"
)</f>
        <v>Urban Core</v>
      </c>
      <c r="P183" t="s">
        <v>3298</v>
      </c>
      <c r="Q183" t="str">
        <f t="shared" si="10"/>
        <v>Outdoors/Public</v>
      </c>
      <c r="R183" t="s">
        <v>4337</v>
      </c>
      <c r="S183" t="s">
        <v>5097</v>
      </c>
      <c r="T183" t="str" cm="1">
        <f t="array" ref="T183">_xlfn.IFS(
  TEXT(TRIM(S183),"00000")="NULL", "Missing/Unknown",
  OR(TEXT(TRIM(S183),"00000")="89101", TEXT(TRIM(S183),"00000")="89104", TEXT(TRIM(S183),"00000")="89106", TEXT(TRIM(S183),"00000")="89102", TEXT(TRIM(S183),"00000")="89107", TEXT(TRIM(S183),"00000")="89108"), "Urban Core",
  OR(TEXT(TRIM(S183),"00000")="89110", TEXT(TRIM(S183),"00000")="89115", TEXT(TRIM(S183),"00000")="89121", TEXT(TRIM(S183),"00000")="89122", TEXT(TRIM(S183),"00000")="89142", TEXT(TRIM(S183),"00000")="89156"), "East Valley",
  OR(TEXT(TRIM(S183),"00000")="89030", TEXT(TRIM(S183),"00000")="89031", TEXT(TRIM(S183),"00000")="89032", TEXT(TRIM(S183),"00000")="89086", TEXT(TRIM(S183),"00000")="89084", TEXT(TRIM(S183),"00000")="89081"), "North LV",
  OR(TEXT(TRIM(S183),"00000")="89109", TEXT(TRIM(S183),"00000")="89103", TEXT(TRIM(S183),"00000")="89119", TEXT(TRIM(S183),"00000")="89123", TEXT(TRIM(S183),"00000")="89169", TEXT(TRIM(S183),"00000")="89118"), "South/Strip",
  OR(TEXT(TRIM(S183),"00000")="89074", TEXT(TRIM(S183),"00000")="89014", TEXT(TRIM(S183),"00000")="89015", TEXT(TRIM(S183),"00000")="89011", TEXT(TRIM(S183),"00000")="89012"), "Suburban SE",
  OR(TEXT(TRIM(S183),"00000")="89117", TEXT(TRIM(S183),"00000")="89128", TEXT(TRIM(S183),"00000")="89135", TEXT(TRIM(S183),"00000")="89144", TEXT(TRIM(S183),"00000")="89145", TEXT(TRIM(S183),"00000")="89147"), "West Valley",
  TRUE, "Other"
)</f>
        <v>Urban Core</v>
      </c>
      <c r="U183" t="s">
        <v>3298</v>
      </c>
      <c r="V183" t="str">
        <f t="shared" si="11"/>
        <v>Outdoors/Public</v>
      </c>
    </row>
    <row r="184" spans="1:22">
      <c r="A184" t="s">
        <v>3494</v>
      </c>
      <c r="B184" t="s">
        <v>3495</v>
      </c>
      <c r="C184" s="1">
        <v>45497</v>
      </c>
      <c r="D184" s="4">
        <v>111.02</v>
      </c>
      <c r="E184">
        <v>68</v>
      </c>
      <c r="F184" t="str">
        <f t="shared" si="8"/>
        <v>60's</v>
      </c>
      <c r="G184" t="str" cm="1">
        <f t="array" ref="G184">_xlfn.IFS(
  F184="10's", "Child (5–12)",
  OR(F184="20's", F184="30's"), "Young Adult (20–39)",
  OR(F184="40's", F184="50's"), "Adult (40–59)",
  OR(F184="60's", F184="70's", F184="80's", F184="90's"), "Senior (60+)",
  TRUE, "Unknown"
)</f>
        <v>Senior (60+)</v>
      </c>
      <c r="H184" t="s">
        <v>841</v>
      </c>
      <c r="I184" t="s">
        <v>68</v>
      </c>
      <c r="J184" t="str">
        <f t="shared" si="9"/>
        <v>Cardiovascular Disease</v>
      </c>
      <c r="K184" t="s">
        <v>54</v>
      </c>
      <c r="L184" t="s">
        <v>250</v>
      </c>
      <c r="M184" t="s">
        <v>4681</v>
      </c>
      <c r="N184" t="s">
        <v>5108</v>
      </c>
      <c r="O184" t="str" cm="1">
        <f t="array" ref="O184">_xlfn.IFS(
  TEXT(TRIM(N184),"00000")="NULL", "Missing/Unknown",
  OR(TEXT(TRIM(N184),"00000")="89101", TEXT(TRIM(N184),"00000")="89104", TEXT(TRIM(N184),"00000")="89106", TEXT(TRIM(N184),"00000")="89102", TEXT(TRIM(N184),"00000")="89107", TEXT(TRIM(N184),"00000")="89108"), "Urban Core",
  OR(TEXT(TRIM(N184),"00000")="89110", TEXT(TRIM(N184),"00000")="89115", TEXT(TRIM(N184),"00000")="89121", TEXT(TRIM(N184),"00000")="89122", TEXT(TRIM(N184),"00000")="89142", TEXT(TRIM(N184),"00000")="89156"), "East Valley",
  OR(TEXT(TRIM(N184),"00000")="89030", TEXT(TRIM(N184),"00000")="89031", TEXT(TRIM(N184),"00000")="89032", TEXT(TRIM(N184),"00000")="89086", TEXT(TRIM(N184),"00000")="89084", TEXT(TRIM(N184),"00000")="89081"), "North LV",
  OR(TEXT(TRIM(N184),"00000")="89109", TEXT(TRIM(N184),"00000")="89103", TEXT(TRIM(N184),"00000")="89119", TEXT(TRIM(N184),"00000")="89123", TEXT(TRIM(N184),"00000")="89169", TEXT(TRIM(N184),"00000")="89118"), "South/Strip",
  OR(TEXT(TRIM(N184),"00000")="89074", TEXT(TRIM(N184),"00000")="89014", TEXT(TRIM(N184),"00000")="89015", TEXT(TRIM(N184),"00000")="89011", TEXT(TRIM(N184),"00000")="89012"), "Suburban SE",
  OR(TEXT(TRIM(N184),"00000")="89117", TEXT(TRIM(N184),"00000")="89128", TEXT(TRIM(N184),"00000")="89135", TEXT(TRIM(N184),"00000")="89144", TEXT(TRIM(N184),"00000")="89145", TEXT(TRIM(N184),"00000")="89147"), "West Valley",
  TRUE, "Other"
)</f>
        <v>East Valley</v>
      </c>
      <c r="P184" t="s">
        <v>3298</v>
      </c>
      <c r="Q184" t="str">
        <f t="shared" si="10"/>
        <v>Outdoors/Public</v>
      </c>
      <c r="R184" t="s">
        <v>4681</v>
      </c>
      <c r="S184" t="s">
        <v>5108</v>
      </c>
      <c r="T184" t="str" cm="1">
        <f t="array" ref="T184">_xlfn.IFS(
  TEXT(TRIM(S184),"00000")="NULL", "Missing/Unknown",
  OR(TEXT(TRIM(S184),"00000")="89101", TEXT(TRIM(S184),"00000")="89104", TEXT(TRIM(S184),"00000")="89106", TEXT(TRIM(S184),"00000")="89102", TEXT(TRIM(S184),"00000")="89107", TEXT(TRIM(S184),"00000")="89108"), "Urban Core",
  OR(TEXT(TRIM(S184),"00000")="89110", TEXT(TRIM(S184),"00000")="89115", TEXT(TRIM(S184),"00000")="89121", TEXT(TRIM(S184),"00000")="89122", TEXT(TRIM(S184),"00000")="89142", TEXT(TRIM(S184),"00000")="89156"), "East Valley",
  OR(TEXT(TRIM(S184),"00000")="89030", TEXT(TRIM(S184),"00000")="89031", TEXT(TRIM(S184),"00000")="89032", TEXT(TRIM(S184),"00000")="89086", TEXT(TRIM(S184),"00000")="89084", TEXT(TRIM(S184),"00000")="89081"), "North LV",
  OR(TEXT(TRIM(S184),"00000")="89109", TEXT(TRIM(S184),"00000")="89103", TEXT(TRIM(S184),"00000")="89119", TEXT(TRIM(S184),"00000")="89123", TEXT(TRIM(S184),"00000")="89169", TEXT(TRIM(S184),"00000")="89118"), "South/Strip",
  OR(TEXT(TRIM(S184),"00000")="89074", TEXT(TRIM(S184),"00000")="89014", TEXT(TRIM(S184),"00000")="89015", TEXT(TRIM(S184),"00000")="89011", TEXT(TRIM(S184),"00000")="89012"), "Suburban SE",
  OR(TEXT(TRIM(S184),"00000")="89117", TEXT(TRIM(S184),"00000")="89128", TEXT(TRIM(S184),"00000")="89135", TEXT(TRIM(S184),"00000")="89144", TEXT(TRIM(S184),"00000")="89145", TEXT(TRIM(S184),"00000")="89147"), "West Valley",
  TRUE, "Other"
)</f>
        <v>East Valley</v>
      </c>
      <c r="U184" t="s">
        <v>3298</v>
      </c>
      <c r="V184" t="str">
        <f t="shared" si="11"/>
        <v>Outdoors/Public</v>
      </c>
    </row>
    <row r="185" spans="1:22">
      <c r="A185" t="s">
        <v>3586</v>
      </c>
      <c r="B185" t="s">
        <v>3587</v>
      </c>
      <c r="C185" s="1">
        <v>45496</v>
      </c>
      <c r="D185" s="4">
        <v>109.94</v>
      </c>
      <c r="E185">
        <v>35</v>
      </c>
      <c r="F185" t="str">
        <f t="shared" si="8"/>
        <v>30's</v>
      </c>
      <c r="G185" t="str" cm="1">
        <f t="array" ref="G185">_xlfn.IFS(
  F185="10's", "Child (5–12)",
  OR(F185="20's", F185="30's"), "Young Adult (20–39)",
  OR(F185="40's", F185="50's"), "Adult (40–59)",
  OR(F185="60's", F185="70's", F185="80's", F185="90's"), "Senior (60+)",
  TRUE, "Unknown"
)</f>
        <v>Young Adult (20–39)</v>
      </c>
      <c r="H185" t="s">
        <v>778</v>
      </c>
      <c r="I185" t="s">
        <v>97</v>
      </c>
      <c r="J185" t="str">
        <f t="shared" si="9"/>
        <v>Environmental Heat</v>
      </c>
      <c r="K185" t="s">
        <v>3588</v>
      </c>
      <c r="L185" t="s">
        <v>250</v>
      </c>
      <c r="N185" t="s">
        <v>5095</v>
      </c>
      <c r="O185" t="str" cm="1">
        <f t="array" ref="O185">_xlfn.IFS(
  TEXT(TRIM(N185),"00000")="NULL", "Missing/Unknown",
  OR(TEXT(TRIM(N185),"00000")="89101", TEXT(TRIM(N185),"00000")="89104", TEXT(TRIM(N185),"00000")="89106", TEXT(TRIM(N185),"00000")="89102", TEXT(TRIM(N185),"00000")="89107", TEXT(TRIM(N185),"00000")="89108"), "Urban Core",
  OR(TEXT(TRIM(N185),"00000")="89110", TEXT(TRIM(N185),"00000")="89115", TEXT(TRIM(N185),"00000")="89121", TEXT(TRIM(N185),"00000")="89122", TEXT(TRIM(N185),"00000")="89142", TEXT(TRIM(N185),"00000")="89156"), "East Valley",
  OR(TEXT(TRIM(N185),"00000")="89030", TEXT(TRIM(N185),"00000")="89031", TEXT(TRIM(N185),"00000")="89032", TEXT(TRIM(N185),"00000")="89086", TEXT(TRIM(N185),"00000")="89084", TEXT(TRIM(N185),"00000")="89081"), "North LV",
  OR(TEXT(TRIM(N185),"00000")="89109", TEXT(TRIM(N185),"00000")="89103", TEXT(TRIM(N185),"00000")="89119", TEXT(TRIM(N185),"00000")="89123", TEXT(TRIM(N185),"00000")="89169", TEXT(TRIM(N185),"00000")="89118"), "South/Strip",
  OR(TEXT(TRIM(N185),"00000")="89074", TEXT(TRIM(N185),"00000")="89014", TEXT(TRIM(N185),"00000")="89015", TEXT(TRIM(N185),"00000")="89011", TEXT(TRIM(N185),"00000")="89012"), "Suburban SE",
  OR(TEXT(TRIM(N185),"00000")="89117", TEXT(TRIM(N185),"00000")="89128", TEXT(TRIM(N185),"00000")="89135", TEXT(TRIM(N185),"00000")="89144", TEXT(TRIM(N185),"00000")="89145", TEXT(TRIM(N185),"00000")="89147"), "West Valley",
  TRUE, "Other"
)</f>
        <v>Missing/Unknown</v>
      </c>
      <c r="P185" t="s">
        <v>3298</v>
      </c>
      <c r="Q185" t="str">
        <f t="shared" si="10"/>
        <v>Outdoors/Public</v>
      </c>
      <c r="R185" t="s">
        <v>5055</v>
      </c>
      <c r="S185" t="s">
        <v>5119</v>
      </c>
      <c r="T185" t="str" cm="1">
        <f t="array" ref="T185">_xlfn.IFS(
  TEXT(TRIM(S185),"00000")="NULL", "Missing/Unknown",
  OR(TEXT(TRIM(S185),"00000")="89101", TEXT(TRIM(S185),"00000")="89104", TEXT(TRIM(S185),"00000")="89106", TEXT(TRIM(S185),"00000")="89102", TEXT(TRIM(S185),"00000")="89107", TEXT(TRIM(S185),"00000")="89108"), "Urban Core",
  OR(TEXT(TRIM(S185),"00000")="89110", TEXT(TRIM(S185),"00000")="89115", TEXT(TRIM(S185),"00000")="89121", TEXT(TRIM(S185),"00000")="89122", TEXT(TRIM(S185),"00000")="89142", TEXT(TRIM(S185),"00000")="89156"), "East Valley",
  OR(TEXT(TRIM(S185),"00000")="89030", TEXT(TRIM(S185),"00000")="89031", TEXT(TRIM(S185),"00000")="89032", TEXT(TRIM(S185),"00000")="89086", TEXT(TRIM(S185),"00000")="89084", TEXT(TRIM(S185),"00000")="89081"), "North LV",
  OR(TEXT(TRIM(S185),"00000")="89109", TEXT(TRIM(S185),"00000")="89103", TEXT(TRIM(S185),"00000")="89119", TEXT(TRIM(S185),"00000")="89123", TEXT(TRIM(S185),"00000")="89169", TEXT(TRIM(S185),"00000")="89118"), "South/Strip",
  OR(TEXT(TRIM(S185),"00000")="89074", TEXT(TRIM(S185),"00000")="89014", TEXT(TRIM(S185),"00000")="89015", TEXT(TRIM(S185),"00000")="89011", TEXT(TRIM(S185),"00000")="89012"), "Suburban SE",
  OR(TEXT(TRIM(S185),"00000")="89117", TEXT(TRIM(S185),"00000")="89128", TEXT(TRIM(S185),"00000")="89135", TEXT(TRIM(S185),"00000")="89144", TEXT(TRIM(S185),"00000")="89145", TEXT(TRIM(S185),"00000")="89147"), "West Valley",
  TRUE, "Other"
)</f>
        <v>Urban Core</v>
      </c>
      <c r="U185" t="s">
        <v>2433</v>
      </c>
      <c r="V185" t="str">
        <f t="shared" si="11"/>
        <v>Medical Facility</v>
      </c>
    </row>
    <row r="186" spans="1:22">
      <c r="A186" t="s">
        <v>3925</v>
      </c>
      <c r="B186" t="s">
        <v>3926</v>
      </c>
      <c r="C186" s="1">
        <v>45496</v>
      </c>
      <c r="D186" s="4">
        <v>109.94</v>
      </c>
      <c r="E186">
        <v>73</v>
      </c>
      <c r="F186" t="str">
        <f t="shared" si="8"/>
        <v>70's</v>
      </c>
      <c r="G186" t="str" cm="1">
        <f t="array" ref="G186">_xlfn.IFS(
  F186="10's", "Child (5–12)",
  OR(F186="20's", F186="30's"), "Young Adult (20–39)",
  OR(F186="40's", F186="50's"), "Adult (40–59)",
  OR(F186="60's", F186="70's", F186="80's", F186="90's"), "Senior (60+)",
  TRUE, "Unknown"
)</f>
        <v>Senior (60+)</v>
      </c>
      <c r="H186" t="s">
        <v>841</v>
      </c>
      <c r="I186" t="s">
        <v>2927</v>
      </c>
      <c r="J186" t="str">
        <f t="shared" si="9"/>
        <v>Cardiovascular Disease</v>
      </c>
      <c r="K186" t="s">
        <v>54</v>
      </c>
      <c r="L186" t="s">
        <v>250</v>
      </c>
      <c r="M186" t="s">
        <v>4604</v>
      </c>
      <c r="N186" t="s">
        <v>5101</v>
      </c>
      <c r="O186" t="str" cm="1">
        <f t="array" ref="O186">_xlfn.IFS(
  TEXT(TRIM(N186),"00000")="NULL", "Missing/Unknown",
  OR(TEXT(TRIM(N186),"00000")="89101", TEXT(TRIM(N186),"00000")="89104", TEXT(TRIM(N186),"00000")="89106", TEXT(TRIM(N186),"00000")="89102", TEXT(TRIM(N186),"00000")="89107", TEXT(TRIM(N186),"00000")="89108"), "Urban Core",
  OR(TEXT(TRIM(N186),"00000")="89110", TEXT(TRIM(N186),"00000")="89115", TEXT(TRIM(N186),"00000")="89121", TEXT(TRIM(N186),"00000")="89122", TEXT(TRIM(N186),"00000")="89142", TEXT(TRIM(N186),"00000")="89156"), "East Valley",
  OR(TEXT(TRIM(N186),"00000")="89030", TEXT(TRIM(N186),"00000")="89031", TEXT(TRIM(N186),"00000")="89032", TEXT(TRIM(N186),"00000")="89086", TEXT(TRIM(N186),"00000")="89084", TEXT(TRIM(N186),"00000")="89081"), "North LV",
  OR(TEXT(TRIM(N186),"00000")="89109", TEXT(TRIM(N186),"00000")="89103", TEXT(TRIM(N186),"00000")="89119", TEXT(TRIM(N186),"00000")="89123", TEXT(TRIM(N186),"00000")="89169", TEXT(TRIM(N186),"00000")="89118"), "South/Strip",
  OR(TEXT(TRIM(N186),"00000")="89074", TEXT(TRIM(N186),"00000")="89014", TEXT(TRIM(N186),"00000")="89015", TEXT(TRIM(N186),"00000")="89011", TEXT(TRIM(N186),"00000")="89012"), "Suburban SE",
  OR(TEXT(TRIM(N186),"00000")="89117", TEXT(TRIM(N186),"00000")="89128", TEXT(TRIM(N186),"00000")="89135", TEXT(TRIM(N186),"00000")="89144", TEXT(TRIM(N186),"00000")="89145", TEXT(TRIM(N186),"00000")="89147"), "West Valley",
  TRUE, "Other"
)</f>
        <v>Urban Core</v>
      </c>
      <c r="P186" t="s">
        <v>1042</v>
      </c>
      <c r="Q186" t="str">
        <f t="shared" si="10"/>
        <v>Business/Commercial</v>
      </c>
      <c r="R186" t="s">
        <v>4604</v>
      </c>
      <c r="S186" t="s">
        <v>5101</v>
      </c>
      <c r="T186" t="str" cm="1">
        <f t="array" ref="T186">_xlfn.IFS(
  TEXT(TRIM(S186),"00000")="NULL", "Missing/Unknown",
  OR(TEXT(TRIM(S186),"00000")="89101", TEXT(TRIM(S186),"00000")="89104", TEXT(TRIM(S186),"00000")="89106", TEXT(TRIM(S186),"00000")="89102", TEXT(TRIM(S186),"00000")="89107", TEXT(TRIM(S186),"00000")="89108"), "Urban Core",
  OR(TEXT(TRIM(S186),"00000")="89110", TEXT(TRIM(S186),"00000")="89115", TEXT(TRIM(S186),"00000")="89121", TEXT(TRIM(S186),"00000")="89122", TEXT(TRIM(S186),"00000")="89142", TEXT(TRIM(S186),"00000")="89156"), "East Valley",
  OR(TEXT(TRIM(S186),"00000")="89030", TEXT(TRIM(S186),"00000")="89031", TEXT(TRIM(S186),"00000")="89032", TEXT(TRIM(S186),"00000")="89086", TEXT(TRIM(S186),"00000")="89084", TEXT(TRIM(S186),"00000")="89081"), "North LV",
  OR(TEXT(TRIM(S186),"00000")="89109", TEXT(TRIM(S186),"00000")="89103", TEXT(TRIM(S186),"00000")="89119", TEXT(TRIM(S186),"00000")="89123", TEXT(TRIM(S186),"00000")="89169", TEXT(TRIM(S186),"00000")="89118"), "South/Strip",
  OR(TEXT(TRIM(S186),"00000")="89074", TEXT(TRIM(S186),"00000")="89014", TEXT(TRIM(S186),"00000")="89015", TEXT(TRIM(S186),"00000")="89011", TEXT(TRIM(S186),"00000")="89012"), "Suburban SE",
  OR(TEXT(TRIM(S186),"00000")="89117", TEXT(TRIM(S186),"00000")="89128", TEXT(TRIM(S186),"00000")="89135", TEXT(TRIM(S186),"00000")="89144", TEXT(TRIM(S186),"00000")="89145", TEXT(TRIM(S186),"00000")="89147"), "West Valley",
  TRUE, "Other"
)</f>
        <v>Urban Core</v>
      </c>
      <c r="U186" t="s">
        <v>1042</v>
      </c>
      <c r="V186" t="str">
        <f t="shared" si="11"/>
        <v>Business/Commercial</v>
      </c>
    </row>
    <row r="187" spans="1:22">
      <c r="A187" t="s">
        <v>2437</v>
      </c>
      <c r="B187" t="s">
        <v>2438</v>
      </c>
      <c r="C187" s="1">
        <v>45496</v>
      </c>
      <c r="D187" s="4">
        <v>109.94</v>
      </c>
      <c r="E187">
        <v>36</v>
      </c>
      <c r="F187" t="str">
        <f t="shared" si="8"/>
        <v>30's</v>
      </c>
      <c r="G187" t="str" cm="1">
        <f t="array" ref="G187">_xlfn.IFS(
  F187="10's", "Child (5–12)",
  OR(F187="20's", F187="30's"), "Young Adult (20–39)",
  OR(F187="40's", F187="50's"), "Adult (40–59)",
  OR(F187="60's", F187="70's", F187="80's", F187="90's"), "Senior (60+)",
  TRUE, "Unknown"
)</f>
        <v>Young Adult (20–39)</v>
      </c>
      <c r="H187" t="s">
        <v>841</v>
      </c>
      <c r="I187" t="s">
        <v>4011</v>
      </c>
      <c r="J187" t="str">
        <f t="shared" si="9"/>
        <v>Methamphetamine-related</v>
      </c>
      <c r="K187" t="s">
        <v>4166</v>
      </c>
      <c r="L187" t="s">
        <v>250</v>
      </c>
      <c r="M187" t="s">
        <v>4606</v>
      </c>
      <c r="N187" t="s">
        <v>5100</v>
      </c>
      <c r="O187" t="str" cm="1">
        <f t="array" ref="O187">_xlfn.IFS(
  TEXT(TRIM(N187),"00000")="NULL", "Missing/Unknown",
  OR(TEXT(TRIM(N187),"00000")="89101", TEXT(TRIM(N187),"00000")="89104", TEXT(TRIM(N187),"00000")="89106", TEXT(TRIM(N187),"00000")="89102", TEXT(TRIM(N187),"00000")="89107", TEXT(TRIM(N187),"00000")="89108"), "Urban Core",
  OR(TEXT(TRIM(N187),"00000")="89110", TEXT(TRIM(N187),"00000")="89115", TEXT(TRIM(N187),"00000")="89121", TEXT(TRIM(N187),"00000")="89122", TEXT(TRIM(N187),"00000")="89142", TEXT(TRIM(N187),"00000")="89156"), "East Valley",
  OR(TEXT(TRIM(N187),"00000")="89030", TEXT(TRIM(N187),"00000")="89031", TEXT(TRIM(N187),"00000")="89032", TEXT(TRIM(N187),"00000")="89086", TEXT(TRIM(N187),"00000")="89084", TEXT(TRIM(N187),"00000")="89081"), "North LV",
  OR(TEXT(TRIM(N187),"00000")="89109", TEXT(TRIM(N187),"00000")="89103", TEXT(TRIM(N187),"00000")="89119", TEXT(TRIM(N187),"00000")="89123", TEXT(TRIM(N187),"00000")="89169", TEXT(TRIM(N187),"00000")="89118"), "South/Strip",
  OR(TEXT(TRIM(N187),"00000")="89074", TEXT(TRIM(N187),"00000")="89014", TEXT(TRIM(N187),"00000")="89015", TEXT(TRIM(N187),"00000")="89011", TEXT(TRIM(N187),"00000")="89012"), "Suburban SE",
  OR(TEXT(TRIM(N187),"00000")="89117", TEXT(TRIM(N187),"00000")="89128", TEXT(TRIM(N187),"00000")="89135", TEXT(TRIM(N187),"00000")="89144", TEXT(TRIM(N187),"00000")="89145", TEXT(TRIM(N187),"00000")="89147"), "West Valley",
  TRUE, "Other"
)</f>
        <v>North LV</v>
      </c>
      <c r="P187" t="s">
        <v>2441</v>
      </c>
      <c r="Q187" t="str">
        <f t="shared" si="10"/>
        <v>Home/Residence</v>
      </c>
      <c r="R187" t="s">
        <v>4606</v>
      </c>
      <c r="S187" t="s">
        <v>5100</v>
      </c>
      <c r="T187" t="str" cm="1">
        <f t="array" ref="T187">_xlfn.IFS(
  TEXT(TRIM(S187),"00000")="NULL", "Missing/Unknown",
  OR(TEXT(TRIM(S187),"00000")="89101", TEXT(TRIM(S187),"00000")="89104", TEXT(TRIM(S187),"00000")="89106", TEXT(TRIM(S187),"00000")="89102", TEXT(TRIM(S187),"00000")="89107", TEXT(TRIM(S187),"00000")="89108"), "Urban Core",
  OR(TEXT(TRIM(S187),"00000")="89110", TEXT(TRIM(S187),"00000")="89115", TEXT(TRIM(S187),"00000")="89121", TEXT(TRIM(S187),"00000")="89122", TEXT(TRIM(S187),"00000")="89142", TEXT(TRIM(S187),"00000")="89156"), "East Valley",
  OR(TEXT(TRIM(S187),"00000")="89030", TEXT(TRIM(S187),"00000")="89031", TEXT(TRIM(S187),"00000")="89032", TEXT(TRIM(S187),"00000")="89086", TEXT(TRIM(S187),"00000")="89084", TEXT(TRIM(S187),"00000")="89081"), "North LV",
  OR(TEXT(TRIM(S187),"00000")="89109", TEXT(TRIM(S187),"00000")="89103", TEXT(TRIM(S187),"00000")="89119", TEXT(TRIM(S187),"00000")="89123", TEXT(TRIM(S187),"00000")="89169", TEXT(TRIM(S187),"00000")="89118"), "South/Strip",
  OR(TEXT(TRIM(S187),"00000")="89074", TEXT(TRIM(S187),"00000")="89014", TEXT(TRIM(S187),"00000")="89015", TEXT(TRIM(S187),"00000")="89011", TEXT(TRIM(S187),"00000")="89012"), "Suburban SE",
  OR(TEXT(TRIM(S187),"00000")="89117", TEXT(TRIM(S187),"00000")="89128", TEXT(TRIM(S187),"00000")="89135", TEXT(TRIM(S187),"00000")="89144", TEXT(TRIM(S187),"00000")="89145", TEXT(TRIM(S187),"00000")="89147"), "West Valley",
  TRUE, "Other"
)</f>
        <v>North LV</v>
      </c>
      <c r="U187" t="s">
        <v>2441</v>
      </c>
      <c r="V187" t="str">
        <f t="shared" si="11"/>
        <v>Home/Residence</v>
      </c>
    </row>
    <row r="188" spans="1:22">
      <c r="A188" t="s">
        <v>3940</v>
      </c>
      <c r="B188" t="s">
        <v>3941</v>
      </c>
      <c r="C188" s="1">
        <v>45496</v>
      </c>
      <c r="D188" s="4">
        <v>109.94</v>
      </c>
      <c r="E188">
        <v>63</v>
      </c>
      <c r="F188" t="str">
        <f t="shared" si="8"/>
        <v>60's</v>
      </c>
      <c r="G188" t="str" cm="1">
        <f t="array" ref="G188">_xlfn.IFS(
  F188="10's", "Child (5–12)",
  OR(F188="20's", F188="30's"), "Young Adult (20–39)",
  OR(F188="40's", F188="50's"), "Adult (40–59)",
  OR(F188="60's", F188="70's", F188="80's", F188="90's"), "Senior (60+)",
  TRUE, "Unknown"
)</f>
        <v>Senior (60+)</v>
      </c>
      <c r="H188" t="s">
        <v>841</v>
      </c>
      <c r="I188" t="s">
        <v>4049</v>
      </c>
      <c r="J188" t="str">
        <f t="shared" si="9"/>
        <v>Ethanol-related</v>
      </c>
      <c r="K188" t="s">
        <v>54</v>
      </c>
      <c r="L188" t="s">
        <v>250</v>
      </c>
      <c r="M188" t="s">
        <v>4683</v>
      </c>
      <c r="N188" t="s">
        <v>5101</v>
      </c>
      <c r="O188" t="str" cm="1">
        <f t="array" ref="O188">_xlfn.IFS(
  TEXT(TRIM(N188),"00000")="NULL", "Missing/Unknown",
  OR(TEXT(TRIM(N188),"00000")="89101", TEXT(TRIM(N188),"00000")="89104", TEXT(TRIM(N188),"00000")="89106", TEXT(TRIM(N188),"00000")="89102", TEXT(TRIM(N188),"00000")="89107", TEXT(TRIM(N188),"00000")="89108"), "Urban Core",
  OR(TEXT(TRIM(N188),"00000")="89110", TEXT(TRIM(N188),"00000")="89115", TEXT(TRIM(N188),"00000")="89121", TEXT(TRIM(N188),"00000")="89122", TEXT(TRIM(N188),"00000")="89142", TEXT(TRIM(N188),"00000")="89156"), "East Valley",
  OR(TEXT(TRIM(N188),"00000")="89030", TEXT(TRIM(N188),"00000")="89031", TEXT(TRIM(N188),"00000")="89032", TEXT(TRIM(N188),"00000")="89086", TEXT(TRIM(N188),"00000")="89084", TEXT(TRIM(N188),"00000")="89081"), "North LV",
  OR(TEXT(TRIM(N188),"00000")="89109", TEXT(TRIM(N188),"00000")="89103", TEXT(TRIM(N188),"00000")="89119", TEXT(TRIM(N188),"00000")="89123", TEXT(TRIM(N188),"00000")="89169", TEXT(TRIM(N188),"00000")="89118"), "South/Strip",
  OR(TEXT(TRIM(N188),"00000")="89074", TEXT(TRIM(N188),"00000")="89014", TEXT(TRIM(N188),"00000")="89015", TEXT(TRIM(N188),"00000")="89011", TEXT(TRIM(N188),"00000")="89012"), "Suburban SE",
  OR(TEXT(TRIM(N188),"00000")="89117", TEXT(TRIM(N188),"00000")="89128", TEXT(TRIM(N188),"00000")="89135", TEXT(TRIM(N188),"00000")="89144", TEXT(TRIM(N188),"00000")="89145", TEXT(TRIM(N188),"00000")="89147"), "West Valley",
  TRUE, "Other"
)</f>
        <v>Urban Core</v>
      </c>
      <c r="P188" t="s">
        <v>3298</v>
      </c>
      <c r="Q188" t="str">
        <f t="shared" si="10"/>
        <v>Outdoors/Public</v>
      </c>
      <c r="R188" t="s">
        <v>4683</v>
      </c>
      <c r="S188" t="s">
        <v>5101</v>
      </c>
      <c r="T188" t="str" cm="1">
        <f t="array" ref="T188">_xlfn.IFS(
  TEXT(TRIM(S188),"00000")="NULL", "Missing/Unknown",
  OR(TEXT(TRIM(S188),"00000")="89101", TEXT(TRIM(S188),"00000")="89104", TEXT(TRIM(S188),"00000")="89106", TEXT(TRIM(S188),"00000")="89102", TEXT(TRIM(S188),"00000")="89107", TEXT(TRIM(S188),"00000")="89108"), "Urban Core",
  OR(TEXT(TRIM(S188),"00000")="89110", TEXT(TRIM(S188),"00000")="89115", TEXT(TRIM(S188),"00000")="89121", TEXT(TRIM(S188),"00000")="89122", TEXT(TRIM(S188),"00000")="89142", TEXT(TRIM(S188),"00000")="89156"), "East Valley",
  OR(TEXT(TRIM(S188),"00000")="89030", TEXT(TRIM(S188),"00000")="89031", TEXT(TRIM(S188),"00000")="89032", TEXT(TRIM(S188),"00000")="89086", TEXT(TRIM(S188),"00000")="89084", TEXT(TRIM(S188),"00000")="89081"), "North LV",
  OR(TEXT(TRIM(S188),"00000")="89109", TEXT(TRIM(S188),"00000")="89103", TEXT(TRIM(S188),"00000")="89119", TEXT(TRIM(S188),"00000")="89123", TEXT(TRIM(S188),"00000")="89169", TEXT(TRIM(S188),"00000")="89118"), "South/Strip",
  OR(TEXT(TRIM(S188),"00000")="89074", TEXT(TRIM(S188),"00000")="89014", TEXT(TRIM(S188),"00000")="89015", TEXT(TRIM(S188),"00000")="89011", TEXT(TRIM(S188),"00000")="89012"), "Suburban SE",
  OR(TEXT(TRIM(S188),"00000")="89117", TEXT(TRIM(S188),"00000")="89128", TEXT(TRIM(S188),"00000")="89135", TEXT(TRIM(S188),"00000")="89144", TEXT(TRIM(S188),"00000")="89145", TEXT(TRIM(S188),"00000")="89147"), "West Valley",
  TRUE, "Other"
)</f>
        <v>Urban Core</v>
      </c>
      <c r="U188" t="s">
        <v>3298</v>
      </c>
      <c r="V188" t="str">
        <f t="shared" si="11"/>
        <v>Outdoors/Public</v>
      </c>
    </row>
    <row r="189" spans="1:22">
      <c r="A189" t="s">
        <v>3630</v>
      </c>
      <c r="B189" t="s">
        <v>3631</v>
      </c>
      <c r="C189" s="1">
        <v>45496</v>
      </c>
      <c r="D189" s="4">
        <v>109.94</v>
      </c>
      <c r="E189">
        <v>61</v>
      </c>
      <c r="F189" t="str">
        <f t="shared" si="8"/>
        <v>60's</v>
      </c>
      <c r="G189" t="str" cm="1">
        <f t="array" ref="G189">_xlfn.IFS(
  F189="10's", "Child (5–12)",
  OR(F189="20's", F189="30's"), "Young Adult (20–39)",
  OR(F189="40's", F189="50's"), "Adult (40–59)",
  OR(F189="60's", F189="70's", F189="80's", F189="90's"), "Senior (60+)",
  TRUE, "Unknown"
)</f>
        <v>Senior (60+)</v>
      </c>
      <c r="H189" t="s">
        <v>841</v>
      </c>
      <c r="I189" t="s">
        <v>1672</v>
      </c>
      <c r="J189" t="str">
        <f t="shared" si="9"/>
        <v>Dehydration / Electrolyte</v>
      </c>
      <c r="K189" t="s">
        <v>4169</v>
      </c>
      <c r="L189" t="s">
        <v>1071</v>
      </c>
      <c r="M189" t="s">
        <v>4342</v>
      </c>
      <c r="N189" t="s">
        <v>5101</v>
      </c>
      <c r="O189" t="str" cm="1">
        <f t="array" ref="O189">_xlfn.IFS(
  TEXT(TRIM(N189),"00000")="NULL", "Missing/Unknown",
  OR(TEXT(TRIM(N189),"00000")="89101", TEXT(TRIM(N189),"00000")="89104", TEXT(TRIM(N189),"00000")="89106", TEXT(TRIM(N189),"00000")="89102", TEXT(TRIM(N189),"00000")="89107", TEXT(TRIM(N189),"00000")="89108"), "Urban Core",
  OR(TEXT(TRIM(N189),"00000")="89110", TEXT(TRIM(N189),"00000")="89115", TEXT(TRIM(N189),"00000")="89121", TEXT(TRIM(N189),"00000")="89122", TEXT(TRIM(N189),"00000")="89142", TEXT(TRIM(N189),"00000")="89156"), "East Valley",
  OR(TEXT(TRIM(N189),"00000")="89030", TEXT(TRIM(N189),"00000")="89031", TEXT(TRIM(N189),"00000")="89032", TEXT(TRIM(N189),"00000")="89086", TEXT(TRIM(N189),"00000")="89084", TEXT(TRIM(N189),"00000")="89081"), "North LV",
  OR(TEXT(TRIM(N189),"00000")="89109", TEXT(TRIM(N189),"00000")="89103", TEXT(TRIM(N189),"00000")="89119", TEXT(TRIM(N189),"00000")="89123", TEXT(TRIM(N189),"00000")="89169", TEXT(TRIM(N189),"00000")="89118"), "South/Strip",
  OR(TEXT(TRIM(N189),"00000")="89074", TEXT(TRIM(N189),"00000")="89014", TEXT(TRIM(N189),"00000")="89015", TEXT(TRIM(N189),"00000")="89011", TEXT(TRIM(N189),"00000")="89012"), "Suburban SE",
  OR(TEXT(TRIM(N189),"00000")="89117", TEXT(TRIM(N189),"00000")="89128", TEXT(TRIM(N189),"00000")="89135", TEXT(TRIM(N189),"00000")="89144", TEXT(TRIM(N189),"00000")="89145", TEXT(TRIM(N189),"00000")="89147"), "West Valley",
  TRUE, "Other"
)</f>
        <v>Urban Core</v>
      </c>
      <c r="P189" t="s">
        <v>3633</v>
      </c>
      <c r="Q189" t="str">
        <f t="shared" si="10"/>
        <v>Shelter/Temporary Housing</v>
      </c>
      <c r="R189" t="s">
        <v>4342</v>
      </c>
      <c r="S189" t="s">
        <v>5101</v>
      </c>
      <c r="T189" t="str" cm="1">
        <f t="array" ref="T189">_xlfn.IFS(
  TEXT(TRIM(S189),"00000")="NULL", "Missing/Unknown",
  OR(TEXT(TRIM(S189),"00000")="89101", TEXT(TRIM(S189),"00000")="89104", TEXT(TRIM(S189),"00000")="89106", TEXT(TRIM(S189),"00000")="89102", TEXT(TRIM(S189),"00000")="89107", TEXT(TRIM(S189),"00000")="89108"), "Urban Core",
  OR(TEXT(TRIM(S189),"00000")="89110", TEXT(TRIM(S189),"00000")="89115", TEXT(TRIM(S189),"00000")="89121", TEXT(TRIM(S189),"00000")="89122", TEXT(TRIM(S189),"00000")="89142", TEXT(TRIM(S189),"00000")="89156"), "East Valley",
  OR(TEXT(TRIM(S189),"00000")="89030", TEXT(TRIM(S189),"00000")="89031", TEXT(TRIM(S189),"00000")="89032", TEXT(TRIM(S189),"00000")="89086", TEXT(TRIM(S189),"00000")="89084", TEXT(TRIM(S189),"00000")="89081"), "North LV",
  OR(TEXT(TRIM(S189),"00000")="89109", TEXT(TRIM(S189),"00000")="89103", TEXT(TRIM(S189),"00000")="89119", TEXT(TRIM(S189),"00000")="89123", TEXT(TRIM(S189),"00000")="89169", TEXT(TRIM(S189),"00000")="89118"), "South/Strip",
  OR(TEXT(TRIM(S189),"00000")="89074", TEXT(TRIM(S189),"00000")="89014", TEXT(TRIM(S189),"00000")="89015", TEXT(TRIM(S189),"00000")="89011", TEXT(TRIM(S189),"00000")="89012"), "Suburban SE",
  OR(TEXT(TRIM(S189),"00000")="89117", TEXT(TRIM(S189),"00000")="89128", TEXT(TRIM(S189),"00000")="89135", TEXT(TRIM(S189),"00000")="89144", TEXT(TRIM(S189),"00000")="89145", TEXT(TRIM(S189),"00000")="89147"), "West Valley",
  TRUE, "Other"
)</f>
        <v>Urban Core</v>
      </c>
      <c r="U189" t="s">
        <v>3633</v>
      </c>
      <c r="V189" t="str">
        <f t="shared" si="11"/>
        <v>Shelter/Temporary Housing</v>
      </c>
    </row>
    <row r="190" spans="1:22">
      <c r="A190" t="s">
        <v>3195</v>
      </c>
      <c r="B190" t="s">
        <v>3196</v>
      </c>
      <c r="C190" s="1">
        <v>45496</v>
      </c>
      <c r="D190" s="4">
        <v>109.94</v>
      </c>
      <c r="E190">
        <v>75</v>
      </c>
      <c r="F190" t="str">
        <f t="shared" si="8"/>
        <v>70's</v>
      </c>
      <c r="G190" t="str" cm="1">
        <f t="array" ref="G190">_xlfn.IFS(
  F190="10's", "Child (5–12)",
  OR(F190="20's", F190="30's"), "Young Adult (20–39)",
  OR(F190="40's", F190="50's"), "Adult (40–59)",
  OR(F190="60's", F190="70's", F190="80's", F190="90's"), "Senior (60+)",
  TRUE, "Unknown"
)</f>
        <v>Senior (60+)</v>
      </c>
      <c r="H190" t="s">
        <v>841</v>
      </c>
      <c r="I190" t="s">
        <v>54</v>
      </c>
      <c r="J190" t="str">
        <f t="shared" si="9"/>
        <v>Environmental Heat</v>
      </c>
      <c r="K190" t="s">
        <v>4168</v>
      </c>
      <c r="L190" t="s">
        <v>250</v>
      </c>
      <c r="M190" t="s">
        <v>4346</v>
      </c>
      <c r="N190" t="s">
        <v>5110</v>
      </c>
      <c r="O190" t="str" cm="1">
        <f t="array" ref="O190">_xlfn.IFS(
  TEXT(TRIM(N190),"00000")="NULL", "Missing/Unknown",
  OR(TEXT(TRIM(N190),"00000")="89101", TEXT(TRIM(N190),"00000")="89104", TEXT(TRIM(N190),"00000")="89106", TEXT(TRIM(N190),"00000")="89102", TEXT(TRIM(N190),"00000")="89107", TEXT(TRIM(N190),"00000")="89108"), "Urban Core",
  OR(TEXT(TRIM(N190),"00000")="89110", TEXT(TRIM(N190),"00000")="89115", TEXT(TRIM(N190),"00000")="89121", TEXT(TRIM(N190),"00000")="89122", TEXT(TRIM(N190),"00000")="89142", TEXT(TRIM(N190),"00000")="89156"), "East Valley",
  OR(TEXT(TRIM(N190),"00000")="89030", TEXT(TRIM(N190),"00000")="89031", TEXT(TRIM(N190),"00000")="89032", TEXT(TRIM(N190),"00000")="89086", TEXT(TRIM(N190),"00000")="89084", TEXT(TRIM(N190),"00000")="89081"), "North LV",
  OR(TEXT(TRIM(N190),"00000")="89109", TEXT(TRIM(N190),"00000")="89103", TEXT(TRIM(N190),"00000")="89119", TEXT(TRIM(N190),"00000")="89123", TEXT(TRIM(N190),"00000")="89169", TEXT(TRIM(N190),"00000")="89118"), "South/Strip",
  OR(TEXT(TRIM(N190),"00000")="89074", TEXT(TRIM(N190),"00000")="89014", TEXT(TRIM(N190),"00000")="89015", TEXT(TRIM(N190),"00000")="89011", TEXT(TRIM(N190),"00000")="89012"), "Suburban SE",
  OR(TEXT(TRIM(N190),"00000")="89117", TEXT(TRIM(N190),"00000")="89128", TEXT(TRIM(N190),"00000")="89135", TEXT(TRIM(N190),"00000")="89144", TEXT(TRIM(N190),"00000")="89145", TEXT(TRIM(N190),"00000")="89147"), "West Valley",
  TRUE, "Other"
)</f>
        <v>Suburban SE</v>
      </c>
      <c r="P190" t="s">
        <v>3199</v>
      </c>
      <c r="Q190" t="str">
        <f t="shared" si="10"/>
        <v>Outdoors/Public</v>
      </c>
      <c r="R190" t="s">
        <v>5057</v>
      </c>
      <c r="S190" t="s">
        <v>5116</v>
      </c>
      <c r="T190" t="str" cm="1">
        <f t="array" ref="T190">_xlfn.IFS(
  TEXT(TRIM(S190),"00000")="NULL", "Missing/Unknown",
  OR(TEXT(TRIM(S190),"00000")="89101", TEXT(TRIM(S190),"00000")="89104", TEXT(TRIM(S190),"00000")="89106", TEXT(TRIM(S190),"00000")="89102", TEXT(TRIM(S190),"00000")="89107", TEXT(TRIM(S190),"00000")="89108"), "Urban Core",
  OR(TEXT(TRIM(S190),"00000")="89110", TEXT(TRIM(S190),"00000")="89115", TEXT(TRIM(S190),"00000")="89121", TEXT(TRIM(S190),"00000")="89122", TEXT(TRIM(S190),"00000")="89142", TEXT(TRIM(S190),"00000")="89156"), "East Valley",
  OR(TEXT(TRIM(S190),"00000")="89030", TEXT(TRIM(S190),"00000")="89031", TEXT(TRIM(S190),"00000")="89032", TEXT(TRIM(S190),"00000")="89086", TEXT(TRIM(S190),"00000")="89084", TEXT(TRIM(S190),"00000")="89081"), "North LV",
  OR(TEXT(TRIM(S190),"00000")="89109", TEXT(TRIM(S190),"00000")="89103", TEXT(TRIM(S190),"00000")="89119", TEXT(TRIM(S190),"00000")="89123", TEXT(TRIM(S190),"00000")="89169", TEXT(TRIM(S190),"00000")="89118"), "South/Strip",
  OR(TEXT(TRIM(S190),"00000")="89074", TEXT(TRIM(S190),"00000")="89014", TEXT(TRIM(S190),"00000")="89015", TEXT(TRIM(S190),"00000")="89011", TEXT(TRIM(S190),"00000")="89012"), "Suburban SE",
  OR(TEXT(TRIM(S190),"00000")="89117", TEXT(TRIM(S190),"00000")="89128", TEXT(TRIM(S190),"00000")="89135", TEXT(TRIM(S190),"00000")="89144", TEXT(TRIM(S190),"00000")="89145", TEXT(TRIM(S190),"00000")="89147"), "West Valley",
  TRUE, "Other"
)</f>
        <v>West Valley</v>
      </c>
      <c r="U190" t="s">
        <v>4304</v>
      </c>
      <c r="V190" t="str">
        <f t="shared" si="11"/>
        <v>Home/Residence</v>
      </c>
    </row>
    <row r="191" spans="1:22">
      <c r="A191" t="s">
        <v>3399</v>
      </c>
      <c r="B191" t="s">
        <v>3400</v>
      </c>
      <c r="C191" s="1">
        <v>45496</v>
      </c>
      <c r="D191" s="4">
        <v>109.94</v>
      </c>
      <c r="E191">
        <v>27</v>
      </c>
      <c r="F191" t="str">
        <f t="shared" si="8"/>
        <v>20's</v>
      </c>
      <c r="G191" t="str" cm="1">
        <f t="array" ref="G191">_xlfn.IFS(
  F191="10's", "Child (5–12)",
  OR(F191="20's", F191="30's"), "Young Adult (20–39)",
  OR(F191="40's", F191="50's"), "Adult (40–59)",
  OR(F191="60's", F191="70's", F191="80's", F191="90's"), "Senior (60+)",
  TRUE, "Unknown"
)</f>
        <v>Young Adult (20–39)</v>
      </c>
      <c r="H191" t="s">
        <v>841</v>
      </c>
      <c r="I191" t="s">
        <v>660</v>
      </c>
      <c r="J191" t="str">
        <f t="shared" si="9"/>
        <v>Environmental Heat</v>
      </c>
      <c r="K191" t="s">
        <v>4045</v>
      </c>
      <c r="L191" t="s">
        <v>250</v>
      </c>
      <c r="M191" t="s">
        <v>4336</v>
      </c>
      <c r="N191" t="s">
        <v>5101</v>
      </c>
      <c r="O191" t="str" cm="1">
        <f t="array" ref="O191">_xlfn.IFS(
  TEXT(TRIM(N191),"00000")="NULL", "Missing/Unknown",
  OR(TEXT(TRIM(N191),"00000")="89101", TEXT(TRIM(N191),"00000")="89104", TEXT(TRIM(N191),"00000")="89106", TEXT(TRIM(N191),"00000")="89102", TEXT(TRIM(N191),"00000")="89107", TEXT(TRIM(N191),"00000")="89108"), "Urban Core",
  OR(TEXT(TRIM(N191),"00000")="89110", TEXT(TRIM(N191),"00000")="89115", TEXT(TRIM(N191),"00000")="89121", TEXT(TRIM(N191),"00000")="89122", TEXT(TRIM(N191),"00000")="89142", TEXT(TRIM(N191),"00000")="89156"), "East Valley",
  OR(TEXT(TRIM(N191),"00000")="89030", TEXT(TRIM(N191),"00000")="89031", TEXT(TRIM(N191),"00000")="89032", TEXT(TRIM(N191),"00000")="89086", TEXT(TRIM(N191),"00000")="89084", TEXT(TRIM(N191),"00000")="89081"), "North LV",
  OR(TEXT(TRIM(N191),"00000")="89109", TEXT(TRIM(N191),"00000")="89103", TEXT(TRIM(N191),"00000")="89119", TEXT(TRIM(N191),"00000")="89123", TEXT(TRIM(N191),"00000")="89169", TEXT(TRIM(N191),"00000")="89118"), "South/Strip",
  OR(TEXT(TRIM(N191),"00000")="89074", TEXT(TRIM(N191),"00000")="89014", TEXT(TRIM(N191),"00000")="89015", TEXT(TRIM(N191),"00000")="89011", TEXT(TRIM(N191),"00000")="89012"), "Suburban SE",
  OR(TEXT(TRIM(N191),"00000")="89117", TEXT(TRIM(N191),"00000")="89128", TEXT(TRIM(N191),"00000")="89135", TEXT(TRIM(N191),"00000")="89144", TEXT(TRIM(N191),"00000")="89145", TEXT(TRIM(N191),"00000")="89147"), "West Valley",
  TRUE, "Other"
)</f>
        <v>Urban Core</v>
      </c>
      <c r="P191" t="s">
        <v>3298</v>
      </c>
      <c r="Q191" t="str">
        <f t="shared" si="10"/>
        <v>Outdoors/Public</v>
      </c>
      <c r="R191" t="s">
        <v>4713</v>
      </c>
      <c r="S191" t="s">
        <v>5125</v>
      </c>
      <c r="T191" t="str" cm="1">
        <f t="array" ref="T191">_xlfn.IFS(
  TEXT(TRIM(S191),"00000")="NULL", "Missing/Unknown",
  OR(TEXT(TRIM(S191),"00000")="89101", TEXT(TRIM(S191),"00000")="89104", TEXT(TRIM(S191),"00000")="89106", TEXT(TRIM(S191),"00000")="89102", TEXT(TRIM(S191),"00000")="89107", TEXT(TRIM(S191),"00000")="89108"), "Urban Core",
  OR(TEXT(TRIM(S191),"00000")="89110", TEXT(TRIM(S191),"00000")="89115", TEXT(TRIM(S191),"00000")="89121", TEXT(TRIM(S191),"00000")="89122", TEXT(TRIM(S191),"00000")="89142", TEXT(TRIM(S191),"00000")="89156"), "East Valley",
  OR(TEXT(TRIM(S191),"00000")="89030", TEXT(TRIM(S191),"00000")="89031", TEXT(TRIM(S191),"00000")="89032", TEXT(TRIM(S191),"00000")="89086", TEXT(TRIM(S191),"00000")="89084", TEXT(TRIM(S191),"00000")="89081"), "North LV",
  OR(TEXT(TRIM(S191),"00000")="89109", TEXT(TRIM(S191),"00000")="89103", TEXT(TRIM(S191),"00000")="89119", TEXT(TRIM(S191),"00000")="89123", TEXT(TRIM(S191),"00000")="89169", TEXT(TRIM(S191),"00000")="89118"), "South/Strip",
  OR(TEXT(TRIM(S191),"00000")="89074", TEXT(TRIM(S191),"00000")="89014", TEXT(TRIM(S191),"00000")="89015", TEXT(TRIM(S191),"00000")="89011", TEXT(TRIM(S191),"00000")="89012"), "Suburban SE",
  OR(TEXT(TRIM(S191),"00000")="89117", TEXT(TRIM(S191),"00000")="89128", TEXT(TRIM(S191),"00000")="89135", TEXT(TRIM(S191),"00000")="89144", TEXT(TRIM(S191),"00000")="89145", TEXT(TRIM(S191),"00000")="89147"), "West Valley",
  TRUE, "Other"
)</f>
        <v>South/Strip</v>
      </c>
      <c r="U191" t="s">
        <v>2433</v>
      </c>
      <c r="V191" t="str">
        <f t="shared" si="11"/>
        <v>Medical Facility</v>
      </c>
    </row>
    <row r="192" spans="1:22">
      <c r="A192" t="s">
        <v>3854</v>
      </c>
      <c r="B192" t="s">
        <v>3855</v>
      </c>
      <c r="C192" s="1">
        <v>45496</v>
      </c>
      <c r="D192" s="4">
        <v>109.94</v>
      </c>
      <c r="E192">
        <v>44</v>
      </c>
      <c r="F192" t="str">
        <f t="shared" si="8"/>
        <v>40's</v>
      </c>
      <c r="G192" t="str" cm="1">
        <f t="array" ref="G192">_xlfn.IFS(
  F192="10's", "Child (5–12)",
  OR(F192="20's", F192="30's"), "Young Adult (20–39)",
  OR(F192="40's", F192="50's"), "Adult (40–59)",
  OR(F192="60's", F192="70's", F192="80's", F192="90's"), "Senior (60+)",
  TRUE, "Unknown"
)</f>
        <v>Adult (40–59)</v>
      </c>
      <c r="H192" t="s">
        <v>778</v>
      </c>
      <c r="I192" t="s">
        <v>4048</v>
      </c>
      <c r="J192" t="str">
        <f t="shared" si="9"/>
        <v>Methamphetamine-related</v>
      </c>
      <c r="K192" t="s">
        <v>54</v>
      </c>
      <c r="L192" t="s">
        <v>250</v>
      </c>
      <c r="M192" t="s">
        <v>4507</v>
      </c>
      <c r="N192" t="s">
        <v>5123</v>
      </c>
      <c r="O192" t="str" cm="1">
        <f t="array" ref="O192">_xlfn.IFS(
  TEXT(TRIM(N192),"00000")="NULL", "Missing/Unknown",
  OR(TEXT(TRIM(N192),"00000")="89101", TEXT(TRIM(N192),"00000")="89104", TEXT(TRIM(N192),"00000")="89106", TEXT(TRIM(N192),"00000")="89102", TEXT(TRIM(N192),"00000")="89107", TEXT(TRIM(N192),"00000")="89108"), "Urban Core",
  OR(TEXT(TRIM(N192),"00000")="89110", TEXT(TRIM(N192),"00000")="89115", TEXT(TRIM(N192),"00000")="89121", TEXT(TRIM(N192),"00000")="89122", TEXT(TRIM(N192),"00000")="89142", TEXT(TRIM(N192),"00000")="89156"), "East Valley",
  OR(TEXT(TRIM(N192),"00000")="89030", TEXT(TRIM(N192),"00000")="89031", TEXT(TRIM(N192),"00000")="89032", TEXT(TRIM(N192),"00000")="89086", TEXT(TRIM(N192),"00000")="89084", TEXT(TRIM(N192),"00000")="89081"), "North LV",
  OR(TEXT(TRIM(N192),"00000")="89109", TEXT(TRIM(N192),"00000")="89103", TEXT(TRIM(N192),"00000")="89119", TEXT(TRIM(N192),"00000")="89123", TEXT(TRIM(N192),"00000")="89169", TEXT(TRIM(N192),"00000")="89118"), "South/Strip",
  OR(TEXT(TRIM(N192),"00000")="89074", TEXT(TRIM(N192),"00000")="89014", TEXT(TRIM(N192),"00000")="89015", TEXT(TRIM(N192),"00000")="89011", TEXT(TRIM(N192),"00000")="89012"), "Suburban SE",
  OR(TEXT(TRIM(N192),"00000")="89117", TEXT(TRIM(N192),"00000")="89128", TEXT(TRIM(N192),"00000")="89135", TEXT(TRIM(N192),"00000")="89144", TEXT(TRIM(N192),"00000")="89145", TEXT(TRIM(N192),"00000")="89147"), "West Valley",
  TRUE, "Other"
)</f>
        <v>South/Strip</v>
      </c>
      <c r="P192" t="s">
        <v>3298</v>
      </c>
      <c r="Q192" t="str">
        <f t="shared" si="10"/>
        <v>Outdoors/Public</v>
      </c>
      <c r="R192" t="s">
        <v>4713</v>
      </c>
      <c r="S192" t="s">
        <v>5125</v>
      </c>
      <c r="T192" t="str" cm="1">
        <f t="array" ref="T192">_xlfn.IFS(
  TEXT(TRIM(S192),"00000")="NULL", "Missing/Unknown",
  OR(TEXT(TRIM(S192),"00000")="89101", TEXT(TRIM(S192),"00000")="89104", TEXT(TRIM(S192),"00000")="89106", TEXT(TRIM(S192),"00000")="89102", TEXT(TRIM(S192),"00000")="89107", TEXT(TRIM(S192),"00000")="89108"), "Urban Core",
  OR(TEXT(TRIM(S192),"00000")="89110", TEXT(TRIM(S192),"00000")="89115", TEXT(TRIM(S192),"00000")="89121", TEXT(TRIM(S192),"00000")="89122", TEXT(TRIM(S192),"00000")="89142", TEXT(TRIM(S192),"00000")="89156"), "East Valley",
  OR(TEXT(TRIM(S192),"00000")="89030", TEXT(TRIM(S192),"00000")="89031", TEXT(TRIM(S192),"00000")="89032", TEXT(TRIM(S192),"00000")="89086", TEXT(TRIM(S192),"00000")="89084", TEXT(TRIM(S192),"00000")="89081"), "North LV",
  OR(TEXT(TRIM(S192),"00000")="89109", TEXT(TRIM(S192),"00000")="89103", TEXT(TRIM(S192),"00000")="89119", TEXT(TRIM(S192),"00000")="89123", TEXT(TRIM(S192),"00000")="89169", TEXT(TRIM(S192),"00000")="89118"), "South/Strip",
  OR(TEXT(TRIM(S192),"00000")="89074", TEXT(TRIM(S192),"00000")="89014", TEXT(TRIM(S192),"00000")="89015", TEXT(TRIM(S192),"00000")="89011", TEXT(TRIM(S192),"00000")="89012"), "Suburban SE",
  OR(TEXT(TRIM(S192),"00000")="89117", TEXT(TRIM(S192),"00000")="89128", TEXT(TRIM(S192),"00000")="89135", TEXT(TRIM(S192),"00000")="89144", TEXT(TRIM(S192),"00000")="89145", TEXT(TRIM(S192),"00000")="89147"), "West Valley",
  TRUE, "Other"
)</f>
        <v>South/Strip</v>
      </c>
      <c r="U192" t="s">
        <v>2433</v>
      </c>
      <c r="V192" t="str">
        <f t="shared" si="11"/>
        <v>Medical Facility</v>
      </c>
    </row>
    <row r="193" spans="1:22">
      <c r="A193" t="s">
        <v>3122</v>
      </c>
      <c r="B193" t="s">
        <v>3123</v>
      </c>
      <c r="C193" s="1">
        <v>45496</v>
      </c>
      <c r="D193" s="4">
        <v>109.94</v>
      </c>
      <c r="E193">
        <v>48</v>
      </c>
      <c r="F193" t="str">
        <f t="shared" si="8"/>
        <v>40's</v>
      </c>
      <c r="G193" t="str" cm="1">
        <f t="array" ref="G193">_xlfn.IFS(
  F193="10's", "Child (5–12)",
  OR(F193="20's", F193="30's"), "Young Adult (20–39)",
  OR(F193="40's", F193="50's"), "Adult (40–59)",
  OR(F193="60's", F193="70's", F193="80's", F193="90's"), "Senior (60+)",
  TRUE, "Unknown"
)</f>
        <v>Adult (40–59)</v>
      </c>
      <c r="H193" t="s">
        <v>841</v>
      </c>
      <c r="I193" t="s">
        <v>54</v>
      </c>
      <c r="J193" t="str">
        <f t="shared" si="9"/>
        <v>Environmental Heat</v>
      </c>
      <c r="K193" t="s">
        <v>98</v>
      </c>
      <c r="L193" t="s">
        <v>250</v>
      </c>
      <c r="M193" t="s">
        <v>4970</v>
      </c>
      <c r="N193" t="s">
        <v>5106</v>
      </c>
      <c r="O193" t="str" cm="1">
        <f t="array" ref="O193">_xlfn.IFS(
  TEXT(TRIM(N193),"00000")="NULL", "Missing/Unknown",
  OR(TEXT(TRIM(N193),"00000")="89101", TEXT(TRIM(N193),"00000")="89104", TEXT(TRIM(N193),"00000")="89106", TEXT(TRIM(N193),"00000")="89102", TEXT(TRIM(N193),"00000")="89107", TEXT(TRIM(N193),"00000")="89108"), "Urban Core",
  OR(TEXT(TRIM(N193),"00000")="89110", TEXT(TRIM(N193),"00000")="89115", TEXT(TRIM(N193),"00000")="89121", TEXT(TRIM(N193),"00000")="89122", TEXT(TRIM(N193),"00000")="89142", TEXT(TRIM(N193),"00000")="89156"), "East Valley",
  OR(TEXT(TRIM(N193),"00000")="89030", TEXT(TRIM(N193),"00000")="89031", TEXT(TRIM(N193),"00000")="89032", TEXT(TRIM(N193),"00000")="89086", TEXT(TRIM(N193),"00000")="89084", TEXT(TRIM(N193),"00000")="89081"), "North LV",
  OR(TEXT(TRIM(N193),"00000")="89109", TEXT(TRIM(N193),"00000")="89103", TEXT(TRIM(N193),"00000")="89119", TEXT(TRIM(N193),"00000")="89123", TEXT(TRIM(N193),"00000")="89169", TEXT(TRIM(N193),"00000")="89118"), "South/Strip",
  OR(TEXT(TRIM(N193),"00000")="89074", TEXT(TRIM(N193),"00000")="89014", TEXT(TRIM(N193),"00000")="89015", TEXT(TRIM(N193),"00000")="89011", TEXT(TRIM(N193),"00000")="89012"), "Suburban SE",
  OR(TEXT(TRIM(N193),"00000")="89117", TEXT(TRIM(N193),"00000")="89128", TEXT(TRIM(N193),"00000")="89135", TEXT(TRIM(N193),"00000")="89144", TEXT(TRIM(N193),"00000")="89145", TEXT(TRIM(N193),"00000")="89147"), "West Valley",
  TRUE, "Other"
)</f>
        <v>East Valley</v>
      </c>
      <c r="P193" t="s">
        <v>65</v>
      </c>
      <c r="Q193" t="str">
        <f t="shared" si="10"/>
        <v>Vehicle-related</v>
      </c>
      <c r="R193" t="s">
        <v>4970</v>
      </c>
      <c r="S193" t="s">
        <v>5106</v>
      </c>
      <c r="T193" t="str" cm="1">
        <f t="array" ref="T193">_xlfn.IFS(
  TEXT(TRIM(S193),"00000")="NULL", "Missing/Unknown",
  OR(TEXT(TRIM(S193),"00000")="89101", TEXT(TRIM(S193),"00000")="89104", TEXT(TRIM(S193),"00000")="89106", TEXT(TRIM(S193),"00000")="89102", TEXT(TRIM(S193),"00000")="89107", TEXT(TRIM(S193),"00000")="89108"), "Urban Core",
  OR(TEXT(TRIM(S193),"00000")="89110", TEXT(TRIM(S193),"00000")="89115", TEXT(TRIM(S193),"00000")="89121", TEXT(TRIM(S193),"00000")="89122", TEXT(TRIM(S193),"00000")="89142", TEXT(TRIM(S193),"00000")="89156"), "East Valley",
  OR(TEXT(TRIM(S193),"00000")="89030", TEXT(TRIM(S193),"00000")="89031", TEXT(TRIM(S193),"00000")="89032", TEXT(TRIM(S193),"00000")="89086", TEXT(TRIM(S193),"00000")="89084", TEXT(TRIM(S193),"00000")="89081"), "North LV",
  OR(TEXT(TRIM(S193),"00000")="89109", TEXT(TRIM(S193),"00000")="89103", TEXT(TRIM(S193),"00000")="89119", TEXT(TRIM(S193),"00000")="89123", TEXT(TRIM(S193),"00000")="89169", TEXT(TRIM(S193),"00000")="89118"), "South/Strip",
  OR(TEXT(TRIM(S193),"00000")="89074", TEXT(TRIM(S193),"00000")="89014", TEXT(TRIM(S193),"00000")="89015", TEXT(TRIM(S193),"00000")="89011", TEXT(TRIM(S193),"00000")="89012"), "Suburban SE",
  OR(TEXT(TRIM(S193),"00000")="89117", TEXT(TRIM(S193),"00000")="89128", TEXT(TRIM(S193),"00000")="89135", TEXT(TRIM(S193),"00000")="89144", TEXT(TRIM(S193),"00000")="89145", TEXT(TRIM(S193),"00000")="89147"), "West Valley",
  TRUE, "Other"
)</f>
        <v>East Valley</v>
      </c>
      <c r="U193" t="s">
        <v>65</v>
      </c>
      <c r="V193" t="str">
        <f t="shared" si="11"/>
        <v>Vehicle-related</v>
      </c>
    </row>
    <row r="194" spans="1:22">
      <c r="A194" t="s">
        <v>3361</v>
      </c>
      <c r="B194" t="s">
        <v>3362</v>
      </c>
      <c r="C194" s="1">
        <v>45496</v>
      </c>
      <c r="D194" s="4">
        <v>109.94</v>
      </c>
      <c r="E194">
        <v>38</v>
      </c>
      <c r="F194" t="str">
        <f t="shared" ref="F194:F257" si="12">_xlfn.CONCAT(INT(E194/10)*10, "'s")</f>
        <v>30's</v>
      </c>
      <c r="G194" t="str" cm="1">
        <f t="array" ref="G194">_xlfn.IFS(
  F194="10's", "Child (5–12)",
  OR(F194="20's", F194="30's"), "Young Adult (20–39)",
  OR(F194="40's", F194="50's"), "Adult (40–59)",
  OR(F194="60's", F194="70's", F194="80's", F194="90's"), "Senior (60+)",
  TRUE, "Unknown"
)</f>
        <v>Young Adult (20–39)</v>
      </c>
      <c r="H194" t="s">
        <v>841</v>
      </c>
      <c r="I194" t="s">
        <v>4047</v>
      </c>
      <c r="J194" t="str">
        <f t="shared" ref="J194:J257" si="13">IF(ISNUMBER(SEARCH("heat", I194)) + ISNUMBER(SEARCH("hyperthermia", I194)) + ISNUMBER(SEARCH("heat stroke", I194)) + ISNUMBER(SEARCH("environmental", I194)), "Environmental Heat",
IF(ISNUMBER(SEARCH("meth", I194)), "Methamphetamine-related",
IF(ISNUMBER(SEARCH("fentanyl", I194)), "Fentanyl-related",
IF(ISNUMBER(SEARCH("cardio", I194)) + ISNUMBER(SEARCH("heart", I194)) + ISNUMBER(SEARCH("atherosclerotic", I194)) + ISNUMBER(SEARCH("hypertensive", I194)) + ISNUMBER(SEARCH("myocardial", I194)) + ISNUMBER(SEARCH("infarction", I194)), "Cardiovascular Disease",
IF(ISNUMBER(SEARCH("ethanol", I194)) + ISNUMBER(SEARCH("alcohol", I194)), "Ethanol-related",
IF(ISNUMBER(SEARCH("dehydration", I194)) + ISNUMBER(SEARCH("hypernatrem", I194)) + ISNUMBER(SEARCH("hyponatrem", I194)), "Dehydration / Electrolyte",
IF(ISNUMBER(SEARCH("intoxication", I194)) + ISNUMBER(SEARCH("toxicity", I194)) + ISNUMBER(SEARCH("overdose", I194)), "Mixed Drug Toxicity",
"Other / Unknown")))))))</f>
        <v>Methamphetamine-related</v>
      </c>
      <c r="K194" t="s">
        <v>54</v>
      </c>
      <c r="L194" t="s">
        <v>1071</v>
      </c>
      <c r="M194" t="s">
        <v>4971</v>
      </c>
      <c r="N194" t="s">
        <v>5127</v>
      </c>
      <c r="O194" t="str" cm="1">
        <f t="array" ref="O194">_xlfn.IFS(
  TEXT(TRIM(N194),"00000")="NULL", "Missing/Unknown",
  OR(TEXT(TRIM(N194),"00000")="89101", TEXT(TRIM(N194),"00000")="89104", TEXT(TRIM(N194),"00000")="89106", TEXT(TRIM(N194),"00000")="89102", TEXT(TRIM(N194),"00000")="89107", TEXT(TRIM(N194),"00000")="89108"), "Urban Core",
  OR(TEXT(TRIM(N194),"00000")="89110", TEXT(TRIM(N194),"00000")="89115", TEXT(TRIM(N194),"00000")="89121", TEXT(TRIM(N194),"00000")="89122", TEXT(TRIM(N194),"00000")="89142", TEXT(TRIM(N194),"00000")="89156"), "East Valley",
  OR(TEXT(TRIM(N194),"00000")="89030", TEXT(TRIM(N194),"00000")="89031", TEXT(TRIM(N194),"00000")="89032", TEXT(TRIM(N194),"00000")="89086", TEXT(TRIM(N194),"00000")="89084", TEXT(TRIM(N194),"00000")="89081"), "North LV",
  OR(TEXT(TRIM(N194),"00000")="89109", TEXT(TRIM(N194),"00000")="89103", TEXT(TRIM(N194),"00000")="89119", TEXT(TRIM(N194),"00000")="89123", TEXT(TRIM(N194),"00000")="89169", TEXT(TRIM(N194),"00000")="89118"), "South/Strip",
  OR(TEXT(TRIM(N194),"00000")="89074", TEXT(TRIM(N194),"00000")="89014", TEXT(TRIM(N194),"00000")="89015", TEXT(TRIM(N194),"00000")="89011", TEXT(TRIM(N194),"00000")="89012"), "Suburban SE",
  OR(TEXT(TRIM(N194),"00000")="89117", TEXT(TRIM(N194),"00000")="89128", TEXT(TRIM(N194),"00000")="89135", TEXT(TRIM(N194),"00000")="89144", TEXT(TRIM(N194),"00000")="89145", TEXT(TRIM(N194),"00000")="89147"), "West Valley",
  TRUE, "Other"
)</f>
        <v>Other</v>
      </c>
      <c r="P194" t="s">
        <v>65</v>
      </c>
      <c r="Q194" t="str">
        <f t="shared" ref="Q194:Q257" si="14">IF(OR(ISNUMBER(SEARCH("outdoor", P194)), ISNUMBER(SEARCH("park", P194)), ISNUMBER(SEARCH("road", P194)), ISNUMBER(SEARCH("sidewalk", P194)), ISNUMBER(SEARCH("desert", P194)), ISNUMBER(SEARCH("tunnel", P194)), ISNUMBER(SEARCH("lot", P194)), ISNUMBER(SEARCH("lake", P194)), ISNUMBER(SEARCH("bus", P194)), ISNUMBER(SEARCH("shed", P194)), ISNUMBER(SEARCH("amusement", P194))), "Outdoors/Public",
IF(OR(ISNUMBER(SEARCH("home", P194)), ISNUMBER(SEARCH("residence", P194)), ISNUMBER(SEARCH("rv", P194)), ISNUMBER(SEARCH("tent", P194)), ISNUMBER(SEARCH("bedroom", P194)), ISNUMBER(SEARCH("garage", P194)), ISNUMBER(SEARCH("trailer", P194)), ISNUMBER(SEARCH("backyard", P194))), "Home/Residence",
IF(OR(ISNUMBER(SEARCH("vehicle", P194)), ISNUMBER(SEARCH("car", P194)), ISNUMBER(SEARCH("wash", P194))), "Vehicle-related",
IF(OR(ISNUMBER(SEARCH("business", P194)), ISNUMBER(SEARCH("school", P194)), ISNUMBER(SEARCH("hotel", P194)), ISNUMBER(SEARCH("construction", P194)), ISNUMBER(SEARCH("furniture", P194)), ISNUMBER(SEARCH("public", P194))), "Business/Commercial",
IF(OR(ISNUMBER(SEARCH("hospital", P194)), ISNUMBER(SEARCH("assisted", P194)), ISNUMBER(SEARCH("residential care", P194))), "Medical Facility",
IF(OR(ISNUMBER(SEARCH("shelter", P194)), ISNUMBER(SEARCH("jail", P194))), "Shelter/Temporary Housing",
"Other / Unknown"))))))</f>
        <v>Vehicle-related</v>
      </c>
      <c r="R194" t="s">
        <v>4971</v>
      </c>
      <c r="S194" t="s">
        <v>5127</v>
      </c>
      <c r="T194" t="str" cm="1">
        <f t="array" ref="T194">_xlfn.IFS(
  TEXT(TRIM(S194),"00000")="NULL", "Missing/Unknown",
  OR(TEXT(TRIM(S194),"00000")="89101", TEXT(TRIM(S194),"00000")="89104", TEXT(TRIM(S194),"00000")="89106", TEXT(TRIM(S194),"00000")="89102", TEXT(TRIM(S194),"00000")="89107", TEXT(TRIM(S194),"00000")="89108"), "Urban Core",
  OR(TEXT(TRIM(S194),"00000")="89110", TEXT(TRIM(S194),"00000")="89115", TEXT(TRIM(S194),"00000")="89121", TEXT(TRIM(S194),"00000")="89122", TEXT(TRIM(S194),"00000")="89142", TEXT(TRIM(S194),"00000")="89156"), "East Valley",
  OR(TEXT(TRIM(S194),"00000")="89030", TEXT(TRIM(S194),"00000")="89031", TEXT(TRIM(S194),"00000")="89032", TEXT(TRIM(S194),"00000")="89086", TEXT(TRIM(S194),"00000")="89084", TEXT(TRIM(S194),"00000")="89081"), "North LV",
  OR(TEXT(TRIM(S194),"00000")="89109", TEXT(TRIM(S194),"00000")="89103", TEXT(TRIM(S194),"00000")="89119", TEXT(TRIM(S194),"00000")="89123", TEXT(TRIM(S194),"00000")="89169", TEXT(TRIM(S194),"00000")="89118"), "South/Strip",
  OR(TEXT(TRIM(S194),"00000")="89074", TEXT(TRIM(S194),"00000")="89014", TEXT(TRIM(S194),"00000")="89015", TEXT(TRIM(S194),"00000")="89011", TEXT(TRIM(S194),"00000")="89012"), "Suburban SE",
  OR(TEXT(TRIM(S194),"00000")="89117", TEXT(TRIM(S194),"00000")="89128", TEXT(TRIM(S194),"00000")="89135", TEXT(TRIM(S194),"00000")="89144", TEXT(TRIM(S194),"00000")="89145", TEXT(TRIM(S194),"00000")="89147"), "West Valley",
  TRUE, "Other"
)</f>
        <v>Other</v>
      </c>
      <c r="U194" t="s">
        <v>65</v>
      </c>
      <c r="V194" t="str">
        <f t="shared" ref="V194:V257" si="15">IF(OR(ISNUMBER(SEARCH("outdoor", U194)), ISNUMBER(SEARCH("park", U194)), ISNUMBER(SEARCH("road", U194)), ISNUMBER(SEARCH("sidewalk", U194)), ISNUMBER(SEARCH("desert", U194)), ISNUMBER(SEARCH("tunnel", U194)), ISNUMBER(SEARCH("lot", U194)), ISNUMBER(SEARCH("lake", U194)), ISNUMBER(SEARCH("bus", U194)), ISNUMBER(SEARCH("shed", U194)), ISNUMBER(SEARCH("amusement", U194))), "Outdoors/Public",
IF(OR(ISNUMBER(SEARCH("home", U194)), ISNUMBER(SEARCH("residence", U194)), ISNUMBER(SEARCH("rv", U194)), ISNUMBER(SEARCH("tent", U194)), ISNUMBER(SEARCH("bedroom", U194)), ISNUMBER(SEARCH("garage", U194)), ISNUMBER(SEARCH("trailer", U194)), ISNUMBER(SEARCH("backyard", U194))), "Home/Residence",
IF(OR(ISNUMBER(SEARCH("vehicle", U194)), ISNUMBER(SEARCH("wash", U194))), "Vehicle-related",
IF(OR(ISNUMBER(SEARCH("business", U194)), ISNUMBER(SEARCH("school", U194)), ISNUMBER(SEARCH("hotel", U194)), ISNUMBER(SEARCH("construction", U194)), ISNUMBER(SEARCH("furniture", U194)), ISNUMBER(SEARCH("public", U194))), "Business/Commercial",
IF(OR(ISNUMBER(SEARCH("hospital", U194)), ISNUMBER(SEARCH("assisted", U194)), ISNUMBER(SEARCH("residential care", U194)), ISNUMBER(SEARCH("emergency room", U194)), ISNUMBER(SEARCH("emergency", U194)), ISNUMBER(SEARCH("intensive care unit", U194)), ISNUMBER(SEARCH("icu", U194))), "Medical Facility",
IF(OR(ISNUMBER(SEARCH("shelter", U194)), ISNUMBER(SEARCH("jail", U194))), "Shelter/Temporary Housing",
"Other / Unknown"))))))</f>
        <v>Vehicle-related</v>
      </c>
    </row>
    <row r="195" spans="1:22">
      <c r="A195" t="s">
        <v>3393</v>
      </c>
      <c r="B195" t="s">
        <v>3394</v>
      </c>
      <c r="C195" s="1">
        <v>45496</v>
      </c>
      <c r="D195" s="4">
        <v>109.94</v>
      </c>
      <c r="E195">
        <v>34</v>
      </c>
      <c r="F195" t="str">
        <f t="shared" si="12"/>
        <v>30's</v>
      </c>
      <c r="G195" t="str" cm="1">
        <f t="array" ref="G195">_xlfn.IFS(
  F195="10's", "Child (5–12)",
  OR(F195="20's", F195="30's"), "Young Adult (20–39)",
  OR(F195="40's", F195="50's"), "Adult (40–59)",
  OR(F195="60's", F195="70's", F195="80's", F195="90's"), "Senior (60+)",
  TRUE, "Unknown"
)</f>
        <v>Young Adult (20–39)</v>
      </c>
      <c r="H195" t="s">
        <v>778</v>
      </c>
      <c r="I195" t="s">
        <v>660</v>
      </c>
      <c r="J195" t="str">
        <f t="shared" si="13"/>
        <v>Environmental Heat</v>
      </c>
      <c r="K195" t="s">
        <v>98</v>
      </c>
      <c r="L195" t="s">
        <v>250</v>
      </c>
      <c r="M195" t="s">
        <v>4333</v>
      </c>
      <c r="N195" t="s">
        <v>5118</v>
      </c>
      <c r="O195" t="str" cm="1">
        <f t="array" ref="O195">_xlfn.IFS(
  TEXT(TRIM(N195),"00000")="NULL", "Missing/Unknown",
  OR(TEXT(TRIM(N195),"00000")="89101", TEXT(TRIM(N195),"00000")="89104", TEXT(TRIM(N195),"00000")="89106", TEXT(TRIM(N195),"00000")="89102", TEXT(TRIM(N195),"00000")="89107", TEXT(TRIM(N195),"00000")="89108"), "Urban Core",
  OR(TEXT(TRIM(N195),"00000")="89110", TEXT(TRIM(N195),"00000")="89115", TEXT(TRIM(N195),"00000")="89121", TEXT(TRIM(N195),"00000")="89122", TEXT(TRIM(N195),"00000")="89142", TEXT(TRIM(N195),"00000")="89156"), "East Valley",
  OR(TEXT(TRIM(N195),"00000")="89030", TEXT(TRIM(N195),"00000")="89031", TEXT(TRIM(N195),"00000")="89032", TEXT(TRIM(N195),"00000")="89086", TEXT(TRIM(N195),"00000")="89084", TEXT(TRIM(N195),"00000")="89081"), "North LV",
  OR(TEXT(TRIM(N195),"00000")="89109", TEXT(TRIM(N195),"00000")="89103", TEXT(TRIM(N195),"00000")="89119", TEXT(TRIM(N195),"00000")="89123", TEXT(TRIM(N195),"00000")="89169", TEXT(TRIM(N195),"00000")="89118"), "South/Strip",
  OR(TEXT(TRIM(N195),"00000")="89074", TEXT(TRIM(N195),"00000")="89014", TEXT(TRIM(N195),"00000")="89015", TEXT(TRIM(N195),"00000")="89011", TEXT(TRIM(N195),"00000")="89012"), "Suburban SE",
  OR(TEXT(TRIM(N195),"00000")="89117", TEXT(TRIM(N195),"00000")="89128", TEXT(TRIM(N195),"00000")="89135", TEXT(TRIM(N195),"00000")="89144", TEXT(TRIM(N195),"00000")="89145", TEXT(TRIM(N195),"00000")="89147"), "West Valley",
  TRUE, "Other"
)</f>
        <v>South/Strip</v>
      </c>
      <c r="P195" t="s">
        <v>132</v>
      </c>
      <c r="Q195" t="str">
        <f t="shared" si="14"/>
        <v>Outdoors/Public</v>
      </c>
      <c r="R195" t="s">
        <v>4576</v>
      </c>
      <c r="S195" t="s">
        <v>5118</v>
      </c>
      <c r="T195" t="str" cm="1">
        <f t="array" ref="T195">_xlfn.IFS(
  TEXT(TRIM(S195),"00000")="NULL", "Missing/Unknown",
  OR(TEXT(TRIM(S195),"00000")="89101", TEXT(TRIM(S195),"00000")="89104", TEXT(TRIM(S195),"00000")="89106", TEXT(TRIM(S195),"00000")="89102", TEXT(TRIM(S195),"00000")="89107", TEXT(TRIM(S195),"00000")="89108"), "Urban Core",
  OR(TEXT(TRIM(S195),"00000")="89110", TEXT(TRIM(S195),"00000")="89115", TEXT(TRIM(S195),"00000")="89121", TEXT(TRIM(S195),"00000")="89122", TEXT(TRIM(S195),"00000")="89142", TEXT(TRIM(S195),"00000")="89156"), "East Valley",
  OR(TEXT(TRIM(S195),"00000")="89030", TEXT(TRIM(S195),"00000")="89031", TEXT(TRIM(S195),"00000")="89032", TEXT(TRIM(S195),"00000")="89086", TEXT(TRIM(S195),"00000")="89084", TEXT(TRIM(S195),"00000")="89081"), "North LV",
  OR(TEXT(TRIM(S195),"00000")="89109", TEXT(TRIM(S195),"00000")="89103", TEXT(TRIM(S195),"00000")="89119", TEXT(TRIM(S195),"00000")="89123", TEXT(TRIM(S195),"00000")="89169", TEXT(TRIM(S195),"00000")="89118"), "South/Strip",
  OR(TEXT(TRIM(S195),"00000")="89074", TEXT(TRIM(S195),"00000")="89014", TEXT(TRIM(S195),"00000")="89015", TEXT(TRIM(S195),"00000")="89011", TEXT(TRIM(S195),"00000")="89012"), "Suburban SE",
  OR(TEXT(TRIM(S195),"00000")="89117", TEXT(TRIM(S195),"00000")="89128", TEXT(TRIM(S195),"00000")="89135", TEXT(TRIM(S195),"00000")="89144", TEXT(TRIM(S195),"00000")="89145", TEXT(TRIM(S195),"00000")="89147"), "West Valley",
  TRUE, "Other"
)</f>
        <v>South/Strip</v>
      </c>
      <c r="U195" t="s">
        <v>2537</v>
      </c>
      <c r="V195" t="str">
        <f t="shared" si="15"/>
        <v>Medical Facility</v>
      </c>
    </row>
    <row r="196" spans="1:22">
      <c r="A196" t="s">
        <v>3369</v>
      </c>
      <c r="B196" t="s">
        <v>3370</v>
      </c>
      <c r="C196" s="1">
        <v>45496</v>
      </c>
      <c r="D196" s="4">
        <v>109.94</v>
      </c>
      <c r="E196">
        <v>88</v>
      </c>
      <c r="F196" t="str">
        <f t="shared" si="12"/>
        <v>80's</v>
      </c>
      <c r="G196" t="str" cm="1">
        <f t="array" ref="G196">_xlfn.IFS(
  F196="10's", "Child (5–12)",
  OR(F196="20's", F196="30's"), "Young Adult (20–39)",
  OR(F196="40's", F196="50's"), "Adult (40–59)",
  OR(F196="60's", F196="70's", F196="80's", F196="90's"), "Senior (60+)",
  TRUE, "Unknown"
)</f>
        <v>Senior (60+)</v>
      </c>
      <c r="H196" t="s">
        <v>841</v>
      </c>
      <c r="I196" t="s">
        <v>549</v>
      </c>
      <c r="J196" t="str">
        <f t="shared" si="13"/>
        <v>Other / Unknown</v>
      </c>
      <c r="K196" t="s">
        <v>54</v>
      </c>
      <c r="L196" t="s">
        <v>1071</v>
      </c>
      <c r="M196" t="s">
        <v>5018</v>
      </c>
      <c r="N196" t="s">
        <v>5099</v>
      </c>
      <c r="O196" t="str" cm="1">
        <f t="array" ref="O196">_xlfn.IFS(
  TEXT(TRIM(N196),"00000")="NULL", "Missing/Unknown",
  OR(TEXT(TRIM(N196),"00000")="89101", TEXT(TRIM(N196),"00000")="89104", TEXT(TRIM(N196),"00000")="89106", TEXT(TRIM(N196),"00000")="89102", TEXT(TRIM(N196),"00000")="89107", TEXT(TRIM(N196),"00000")="89108"), "Urban Core",
  OR(TEXT(TRIM(N196),"00000")="89110", TEXT(TRIM(N196),"00000")="89115", TEXT(TRIM(N196),"00000")="89121", TEXT(TRIM(N196),"00000")="89122", TEXT(TRIM(N196),"00000")="89142", TEXT(TRIM(N196),"00000")="89156"), "East Valley",
  OR(TEXT(TRIM(N196),"00000")="89030", TEXT(TRIM(N196),"00000")="89031", TEXT(TRIM(N196),"00000")="89032", TEXT(TRIM(N196),"00000")="89086", TEXT(TRIM(N196),"00000")="89084", TEXT(TRIM(N196),"00000")="89081"), "North LV",
  OR(TEXT(TRIM(N196),"00000")="89109", TEXT(TRIM(N196),"00000")="89103", TEXT(TRIM(N196),"00000")="89119", TEXT(TRIM(N196),"00000")="89123", TEXT(TRIM(N196),"00000")="89169", TEXT(TRIM(N196),"00000")="89118"), "South/Strip",
  OR(TEXT(TRIM(N196),"00000")="89074", TEXT(TRIM(N196),"00000")="89014", TEXT(TRIM(N196),"00000")="89015", TEXT(TRIM(N196),"00000")="89011", TEXT(TRIM(N196),"00000")="89012"), "Suburban SE",
  OR(TEXT(TRIM(N196),"00000")="89117", TEXT(TRIM(N196),"00000")="89128", TEXT(TRIM(N196),"00000")="89135", TEXT(TRIM(N196),"00000")="89144", TEXT(TRIM(N196),"00000")="89145", TEXT(TRIM(N196),"00000")="89147"), "West Valley",
  TRUE, "Other"
)</f>
        <v>Urban Core</v>
      </c>
      <c r="P196" t="s">
        <v>3298</v>
      </c>
      <c r="Q196" t="str">
        <f t="shared" si="14"/>
        <v>Outdoors/Public</v>
      </c>
      <c r="R196" t="s">
        <v>5018</v>
      </c>
      <c r="S196" t="s">
        <v>5099</v>
      </c>
      <c r="T196" t="str" cm="1">
        <f t="array" ref="T196">_xlfn.IFS(
  TEXT(TRIM(S196),"00000")="NULL", "Missing/Unknown",
  OR(TEXT(TRIM(S196),"00000")="89101", TEXT(TRIM(S196),"00000")="89104", TEXT(TRIM(S196),"00000")="89106", TEXT(TRIM(S196),"00000")="89102", TEXT(TRIM(S196),"00000")="89107", TEXT(TRIM(S196),"00000")="89108"), "Urban Core",
  OR(TEXT(TRIM(S196),"00000")="89110", TEXT(TRIM(S196),"00000")="89115", TEXT(TRIM(S196),"00000")="89121", TEXT(TRIM(S196),"00000")="89122", TEXT(TRIM(S196),"00000")="89142", TEXT(TRIM(S196),"00000")="89156"), "East Valley",
  OR(TEXT(TRIM(S196),"00000")="89030", TEXT(TRIM(S196),"00000")="89031", TEXT(TRIM(S196),"00000")="89032", TEXT(TRIM(S196),"00000")="89086", TEXT(TRIM(S196),"00000")="89084", TEXT(TRIM(S196),"00000")="89081"), "North LV",
  OR(TEXT(TRIM(S196),"00000")="89109", TEXT(TRIM(S196),"00000")="89103", TEXT(TRIM(S196),"00000")="89119", TEXT(TRIM(S196),"00000")="89123", TEXT(TRIM(S196),"00000")="89169", TEXT(TRIM(S196),"00000")="89118"), "South/Strip",
  OR(TEXT(TRIM(S196),"00000")="89074", TEXT(TRIM(S196),"00000")="89014", TEXT(TRIM(S196),"00000")="89015", TEXT(TRIM(S196),"00000")="89011", TEXT(TRIM(S196),"00000")="89012"), "Suburban SE",
  OR(TEXT(TRIM(S196),"00000")="89117", TEXT(TRIM(S196),"00000")="89128", TEXT(TRIM(S196),"00000")="89135", TEXT(TRIM(S196),"00000")="89144", TEXT(TRIM(S196),"00000")="89145", TEXT(TRIM(S196),"00000")="89147"), "West Valley",
  TRUE, "Other"
)</f>
        <v>Urban Core</v>
      </c>
      <c r="U196" t="s">
        <v>3298</v>
      </c>
      <c r="V196" t="str">
        <f t="shared" si="15"/>
        <v>Outdoors/Public</v>
      </c>
    </row>
    <row r="197" spans="1:22">
      <c r="A197" t="s">
        <v>2623</v>
      </c>
      <c r="B197" t="s">
        <v>2624</v>
      </c>
      <c r="C197" s="1">
        <v>45496</v>
      </c>
      <c r="D197" s="4">
        <v>109.94</v>
      </c>
      <c r="E197">
        <v>83</v>
      </c>
      <c r="F197" t="str">
        <f t="shared" si="12"/>
        <v>80's</v>
      </c>
      <c r="G197" t="str" cm="1">
        <f t="array" ref="G197">_xlfn.IFS(
  F197="10's", "Child (5–12)",
  OR(F197="20's", F197="30's"), "Young Adult (20–39)",
  OR(F197="40's", F197="50's"), "Adult (40–59)",
  OR(F197="60's", F197="70's", F197="80's", F197="90's"), "Senior (60+)",
  TRUE, "Unknown"
)</f>
        <v>Senior (60+)</v>
      </c>
      <c r="H197" t="s">
        <v>841</v>
      </c>
      <c r="I197" t="s">
        <v>63</v>
      </c>
      <c r="J197" t="str">
        <f t="shared" si="13"/>
        <v>Cardiovascular Disease</v>
      </c>
      <c r="K197" t="s">
        <v>54</v>
      </c>
      <c r="L197" t="s">
        <v>1071</v>
      </c>
      <c r="M197" t="s">
        <v>4918</v>
      </c>
      <c r="N197" t="s">
        <v>5111</v>
      </c>
      <c r="O197" t="str" cm="1">
        <f t="array" ref="O197">_xlfn.IFS(
  TEXT(TRIM(N197),"00000")="NULL", "Missing/Unknown",
  OR(TEXT(TRIM(N197),"00000")="89101", TEXT(TRIM(N197),"00000")="89104", TEXT(TRIM(N197),"00000")="89106", TEXT(TRIM(N197),"00000")="89102", TEXT(TRIM(N197),"00000")="89107", TEXT(TRIM(N197),"00000")="89108"), "Urban Core",
  OR(TEXT(TRIM(N197),"00000")="89110", TEXT(TRIM(N197),"00000")="89115", TEXT(TRIM(N197),"00000")="89121", TEXT(TRIM(N197),"00000")="89122", TEXT(TRIM(N197),"00000")="89142", TEXT(TRIM(N197),"00000")="89156"), "East Valley",
  OR(TEXT(TRIM(N197),"00000")="89030", TEXT(TRIM(N197),"00000")="89031", TEXT(TRIM(N197),"00000")="89032", TEXT(TRIM(N197),"00000")="89086", TEXT(TRIM(N197),"00000")="89084", TEXT(TRIM(N197),"00000")="89081"), "North LV",
  OR(TEXT(TRIM(N197),"00000")="89109", TEXT(TRIM(N197),"00000")="89103", TEXT(TRIM(N197),"00000")="89119", TEXT(TRIM(N197),"00000")="89123", TEXT(TRIM(N197),"00000")="89169", TEXT(TRIM(N197),"00000")="89118"), "South/Strip",
  OR(TEXT(TRIM(N197),"00000")="89074", TEXT(TRIM(N197),"00000")="89014", TEXT(TRIM(N197),"00000")="89015", TEXT(TRIM(N197),"00000")="89011", TEXT(TRIM(N197),"00000")="89012"), "Suburban SE",
  OR(TEXT(TRIM(N197),"00000")="89117", TEXT(TRIM(N197),"00000")="89128", TEXT(TRIM(N197),"00000")="89135", TEXT(TRIM(N197),"00000")="89144", TEXT(TRIM(N197),"00000")="89145", TEXT(TRIM(N197),"00000")="89147"), "West Valley",
  TRUE, "Other"
)</f>
        <v>West Valley</v>
      </c>
      <c r="P197" t="s">
        <v>1073</v>
      </c>
      <c r="Q197" t="str">
        <f t="shared" si="14"/>
        <v>Home/Residence</v>
      </c>
      <c r="R197" t="s">
        <v>4918</v>
      </c>
      <c r="S197" t="s">
        <v>5111</v>
      </c>
      <c r="T197" t="str" cm="1">
        <f t="array" ref="T197">_xlfn.IFS(
  TEXT(TRIM(S197),"00000")="NULL", "Missing/Unknown",
  OR(TEXT(TRIM(S197),"00000")="89101", TEXT(TRIM(S197),"00000")="89104", TEXT(TRIM(S197),"00000")="89106", TEXT(TRIM(S197),"00000")="89102", TEXT(TRIM(S197),"00000")="89107", TEXT(TRIM(S197),"00000")="89108"), "Urban Core",
  OR(TEXT(TRIM(S197),"00000")="89110", TEXT(TRIM(S197),"00000")="89115", TEXT(TRIM(S197),"00000")="89121", TEXT(TRIM(S197),"00000")="89122", TEXT(TRIM(S197),"00000")="89142", TEXT(TRIM(S197),"00000")="89156"), "East Valley",
  OR(TEXT(TRIM(S197),"00000")="89030", TEXT(TRIM(S197),"00000")="89031", TEXT(TRIM(S197),"00000")="89032", TEXT(TRIM(S197),"00000")="89086", TEXT(TRIM(S197),"00000")="89084", TEXT(TRIM(S197),"00000")="89081"), "North LV",
  OR(TEXT(TRIM(S197),"00000")="89109", TEXT(TRIM(S197),"00000")="89103", TEXT(TRIM(S197),"00000")="89119", TEXT(TRIM(S197),"00000")="89123", TEXT(TRIM(S197),"00000")="89169", TEXT(TRIM(S197),"00000")="89118"), "South/Strip",
  OR(TEXT(TRIM(S197),"00000")="89074", TEXT(TRIM(S197),"00000")="89014", TEXT(TRIM(S197),"00000")="89015", TEXT(TRIM(S197),"00000")="89011", TEXT(TRIM(S197),"00000")="89012"), "Suburban SE",
  OR(TEXT(TRIM(S197),"00000")="89117", TEXT(TRIM(S197),"00000")="89128", TEXT(TRIM(S197),"00000")="89135", TEXT(TRIM(S197),"00000")="89144", TEXT(TRIM(S197),"00000")="89145", TEXT(TRIM(S197),"00000")="89147"), "West Valley",
  TRUE, "Other"
)</f>
        <v>West Valley</v>
      </c>
      <c r="U197" t="s">
        <v>1073</v>
      </c>
      <c r="V197" t="str">
        <f t="shared" si="15"/>
        <v>Home/Residence</v>
      </c>
    </row>
    <row r="198" spans="1:22">
      <c r="A198" t="s">
        <v>3131</v>
      </c>
      <c r="B198" t="s">
        <v>3132</v>
      </c>
      <c r="C198" s="1">
        <v>45496</v>
      </c>
      <c r="D198" s="4">
        <v>109.94</v>
      </c>
      <c r="E198">
        <v>47</v>
      </c>
      <c r="F198" t="str">
        <f t="shared" si="12"/>
        <v>40's</v>
      </c>
      <c r="G198" t="str" cm="1">
        <f t="array" ref="G198">_xlfn.IFS(
  F198="10's", "Child (5–12)",
  OR(F198="20's", F198="30's"), "Young Adult (20–39)",
  OR(F198="40's", F198="50's"), "Adult (40–59)",
  OR(F198="60's", F198="70's", F198="80's", F198="90's"), "Senior (60+)",
  TRUE, "Unknown"
)</f>
        <v>Adult (40–59)</v>
      </c>
      <c r="H198" t="s">
        <v>841</v>
      </c>
      <c r="I198" t="s">
        <v>54</v>
      </c>
      <c r="J198" t="str">
        <f t="shared" si="13"/>
        <v>Environmental Heat</v>
      </c>
      <c r="K198" t="s">
        <v>3133</v>
      </c>
      <c r="L198" t="s">
        <v>1071</v>
      </c>
      <c r="M198" t="s">
        <v>4682</v>
      </c>
      <c r="N198" t="s">
        <v>5133</v>
      </c>
      <c r="O198" t="str" cm="1">
        <f t="array" ref="O198">_xlfn.IFS(
  TEXT(TRIM(N198),"00000")="NULL", "Missing/Unknown",
  OR(TEXT(TRIM(N198),"00000")="89101", TEXT(TRIM(N198),"00000")="89104", TEXT(TRIM(N198),"00000")="89106", TEXT(TRIM(N198),"00000")="89102", TEXT(TRIM(N198),"00000")="89107", TEXT(TRIM(N198),"00000")="89108"), "Urban Core",
  OR(TEXT(TRIM(N198),"00000")="89110", TEXT(TRIM(N198),"00000")="89115", TEXT(TRIM(N198),"00000")="89121", TEXT(TRIM(N198),"00000")="89122", TEXT(TRIM(N198),"00000")="89142", TEXT(TRIM(N198),"00000")="89156"), "East Valley",
  OR(TEXT(TRIM(N198),"00000")="89030", TEXT(TRIM(N198),"00000")="89031", TEXT(TRIM(N198),"00000")="89032", TEXT(TRIM(N198),"00000")="89086", TEXT(TRIM(N198),"00000")="89084", TEXT(TRIM(N198),"00000")="89081"), "North LV",
  OR(TEXT(TRIM(N198),"00000")="89109", TEXT(TRIM(N198),"00000")="89103", TEXT(TRIM(N198),"00000")="89119", TEXT(TRIM(N198),"00000")="89123", TEXT(TRIM(N198),"00000")="89169", TEXT(TRIM(N198),"00000")="89118"), "South/Strip",
  OR(TEXT(TRIM(N198),"00000")="89074", TEXT(TRIM(N198),"00000")="89014", TEXT(TRIM(N198),"00000")="89015", TEXT(TRIM(N198),"00000")="89011", TEXT(TRIM(N198),"00000")="89012"), "Suburban SE",
  OR(TEXT(TRIM(N198),"00000")="89117", TEXT(TRIM(N198),"00000")="89128", TEXT(TRIM(N198),"00000")="89135", TEXT(TRIM(N198),"00000")="89144", TEXT(TRIM(N198),"00000")="89145", TEXT(TRIM(N198),"00000")="89147"), "West Valley",
  TRUE, "Other"
)</f>
        <v>Other</v>
      </c>
      <c r="P198" t="s">
        <v>3298</v>
      </c>
      <c r="Q198" t="str">
        <f t="shared" si="14"/>
        <v>Outdoors/Public</v>
      </c>
      <c r="R198" t="s">
        <v>4682</v>
      </c>
      <c r="S198" t="s">
        <v>5133</v>
      </c>
      <c r="T198" t="str" cm="1">
        <f t="array" ref="T198">_xlfn.IFS(
  TEXT(TRIM(S198),"00000")="NULL", "Missing/Unknown",
  OR(TEXT(TRIM(S198),"00000")="89101", TEXT(TRIM(S198),"00000")="89104", TEXT(TRIM(S198),"00000")="89106", TEXT(TRIM(S198),"00000")="89102", TEXT(TRIM(S198),"00000")="89107", TEXT(TRIM(S198),"00000")="89108"), "Urban Core",
  OR(TEXT(TRIM(S198),"00000")="89110", TEXT(TRIM(S198),"00000")="89115", TEXT(TRIM(S198),"00000")="89121", TEXT(TRIM(S198),"00000")="89122", TEXT(TRIM(S198),"00000")="89142", TEXT(TRIM(S198),"00000")="89156"), "East Valley",
  OR(TEXT(TRIM(S198),"00000")="89030", TEXT(TRIM(S198),"00000")="89031", TEXT(TRIM(S198),"00000")="89032", TEXT(TRIM(S198),"00000")="89086", TEXT(TRIM(S198),"00000")="89084", TEXT(TRIM(S198),"00000")="89081"), "North LV",
  OR(TEXT(TRIM(S198),"00000")="89109", TEXT(TRIM(S198),"00000")="89103", TEXT(TRIM(S198),"00000")="89119", TEXT(TRIM(S198),"00000")="89123", TEXT(TRIM(S198),"00000")="89169", TEXT(TRIM(S198),"00000")="89118"), "South/Strip",
  OR(TEXT(TRIM(S198),"00000")="89074", TEXT(TRIM(S198),"00000")="89014", TEXT(TRIM(S198),"00000")="89015", TEXT(TRIM(S198),"00000")="89011", TEXT(TRIM(S198),"00000")="89012"), "Suburban SE",
  OR(TEXT(TRIM(S198),"00000")="89117", TEXT(TRIM(S198),"00000")="89128", TEXT(TRIM(S198),"00000")="89135", TEXT(TRIM(S198),"00000")="89144", TEXT(TRIM(S198),"00000")="89145", TEXT(TRIM(S198),"00000")="89147"), "West Valley",
  TRUE, "Other"
)</f>
        <v>Other</v>
      </c>
      <c r="U198" t="s">
        <v>3298</v>
      </c>
      <c r="V198" t="str">
        <f t="shared" si="15"/>
        <v>Outdoors/Public</v>
      </c>
    </row>
    <row r="199" spans="1:22">
      <c r="A199" t="s">
        <v>3128</v>
      </c>
      <c r="B199" t="s">
        <v>3129</v>
      </c>
      <c r="C199" s="1">
        <v>45496</v>
      </c>
      <c r="D199" s="4">
        <v>109.94</v>
      </c>
      <c r="E199">
        <v>81</v>
      </c>
      <c r="F199" t="str">
        <f t="shared" si="12"/>
        <v>80's</v>
      </c>
      <c r="G199" t="str" cm="1">
        <f t="array" ref="G199">_xlfn.IFS(
  F199="10's", "Child (5–12)",
  OR(F199="20's", F199="30's"), "Young Adult (20–39)",
  OR(F199="40's", F199="50's"), "Adult (40–59)",
  OR(F199="60's", F199="70's", F199="80's", F199="90's"), "Senior (60+)",
  TRUE, "Unknown"
)</f>
        <v>Senior (60+)</v>
      </c>
      <c r="H199" t="s">
        <v>841</v>
      </c>
      <c r="I199" t="s">
        <v>54</v>
      </c>
      <c r="J199" t="str">
        <f t="shared" si="13"/>
        <v>Environmental Heat</v>
      </c>
      <c r="K199" t="s">
        <v>98</v>
      </c>
      <c r="L199" t="s">
        <v>250</v>
      </c>
      <c r="N199" t="s">
        <v>5095</v>
      </c>
      <c r="O199" t="str" cm="1">
        <f t="array" ref="O199">_xlfn.IFS(
  TEXT(TRIM(N199),"00000")="NULL", "Missing/Unknown",
  OR(TEXT(TRIM(N199),"00000")="89101", TEXT(TRIM(N199),"00000")="89104", TEXT(TRIM(N199),"00000")="89106", TEXT(TRIM(N199),"00000")="89102", TEXT(TRIM(N199),"00000")="89107", TEXT(TRIM(N199),"00000")="89108"), "Urban Core",
  OR(TEXT(TRIM(N199),"00000")="89110", TEXT(TRIM(N199),"00000")="89115", TEXT(TRIM(N199),"00000")="89121", TEXT(TRIM(N199),"00000")="89122", TEXT(TRIM(N199),"00000")="89142", TEXT(TRIM(N199),"00000")="89156"), "East Valley",
  OR(TEXT(TRIM(N199),"00000")="89030", TEXT(TRIM(N199),"00000")="89031", TEXT(TRIM(N199),"00000")="89032", TEXT(TRIM(N199),"00000")="89086", TEXT(TRIM(N199),"00000")="89084", TEXT(TRIM(N199),"00000")="89081"), "North LV",
  OR(TEXT(TRIM(N199),"00000")="89109", TEXT(TRIM(N199),"00000")="89103", TEXT(TRIM(N199),"00000")="89119", TEXT(TRIM(N199),"00000")="89123", TEXT(TRIM(N199),"00000")="89169", TEXT(TRIM(N199),"00000")="89118"), "South/Strip",
  OR(TEXT(TRIM(N199),"00000")="89074", TEXT(TRIM(N199),"00000")="89014", TEXT(TRIM(N199),"00000")="89015", TEXT(TRIM(N199),"00000")="89011", TEXT(TRIM(N199),"00000")="89012"), "Suburban SE",
  OR(TEXT(TRIM(N199),"00000")="89117", TEXT(TRIM(N199),"00000")="89128", TEXT(TRIM(N199),"00000")="89135", TEXT(TRIM(N199),"00000")="89144", TEXT(TRIM(N199),"00000")="89145", TEXT(TRIM(N199),"00000")="89147"), "West Valley",
  TRUE, "Other"
)</f>
        <v>Missing/Unknown</v>
      </c>
      <c r="P199" t="s">
        <v>2666</v>
      </c>
      <c r="Q199" t="str">
        <f t="shared" si="14"/>
        <v>Outdoors/Public</v>
      </c>
      <c r="R199" t="s">
        <v>4598</v>
      </c>
      <c r="S199" t="s">
        <v>5106</v>
      </c>
      <c r="T199" t="str" cm="1">
        <f t="array" ref="T199">_xlfn.IFS(
  TEXT(TRIM(S199),"00000")="NULL", "Missing/Unknown",
  OR(TEXT(TRIM(S199),"00000")="89101", TEXT(TRIM(S199),"00000")="89104", TEXT(TRIM(S199),"00000")="89106", TEXT(TRIM(S199),"00000")="89102", TEXT(TRIM(S199),"00000")="89107", TEXT(TRIM(S199),"00000")="89108"), "Urban Core",
  OR(TEXT(TRIM(S199),"00000")="89110", TEXT(TRIM(S199),"00000")="89115", TEXT(TRIM(S199),"00000")="89121", TEXT(TRIM(S199),"00000")="89122", TEXT(TRIM(S199),"00000")="89142", TEXT(TRIM(S199),"00000")="89156"), "East Valley",
  OR(TEXT(TRIM(S199),"00000")="89030", TEXT(TRIM(S199),"00000")="89031", TEXT(TRIM(S199),"00000")="89032", TEXT(TRIM(S199),"00000")="89086", TEXT(TRIM(S199),"00000")="89084", TEXT(TRIM(S199),"00000")="89081"), "North LV",
  OR(TEXT(TRIM(S199),"00000")="89109", TEXT(TRIM(S199),"00000")="89103", TEXT(TRIM(S199),"00000")="89119", TEXT(TRIM(S199),"00000")="89123", TEXT(TRIM(S199),"00000")="89169", TEXT(TRIM(S199),"00000")="89118"), "South/Strip",
  OR(TEXT(TRIM(S199),"00000")="89074", TEXT(TRIM(S199),"00000")="89014", TEXT(TRIM(S199),"00000")="89015", TEXT(TRIM(S199),"00000")="89011", TEXT(TRIM(S199),"00000")="89012"), "Suburban SE",
  OR(TEXT(TRIM(S199),"00000")="89117", TEXT(TRIM(S199),"00000")="89128", TEXT(TRIM(S199),"00000")="89135", TEXT(TRIM(S199),"00000")="89144", TEXT(TRIM(S199),"00000")="89145", TEXT(TRIM(S199),"00000")="89147"), "West Valley",
  TRUE, "Other"
)</f>
        <v>East Valley</v>
      </c>
      <c r="U199" t="s">
        <v>2666</v>
      </c>
      <c r="V199" t="str">
        <f t="shared" si="15"/>
        <v>Outdoors/Public</v>
      </c>
    </row>
    <row r="200" spans="1:22">
      <c r="A200" t="s">
        <v>2841</v>
      </c>
      <c r="B200" t="s">
        <v>2842</v>
      </c>
      <c r="C200" s="1">
        <v>45496</v>
      </c>
      <c r="D200" s="4">
        <v>109.94</v>
      </c>
      <c r="E200">
        <v>63</v>
      </c>
      <c r="F200" t="str">
        <f t="shared" si="12"/>
        <v>60's</v>
      </c>
      <c r="G200" t="str" cm="1">
        <f t="array" ref="G200">_xlfn.IFS(
  F200="10's", "Child (5–12)",
  OR(F200="20's", F200="30's"), "Young Adult (20–39)",
  OR(F200="40's", F200="50's"), "Adult (40–59)",
  OR(F200="60's", F200="70's", F200="80's", F200="90's"), "Senior (60+)",
  TRUE, "Unknown"
)</f>
        <v>Senior (60+)</v>
      </c>
      <c r="H200" t="s">
        <v>778</v>
      </c>
      <c r="I200" t="s">
        <v>349</v>
      </c>
      <c r="J200" t="str">
        <f t="shared" si="13"/>
        <v>Other / Unknown</v>
      </c>
      <c r="K200" t="s">
        <v>4167</v>
      </c>
      <c r="L200" t="s">
        <v>250</v>
      </c>
      <c r="N200" t="s">
        <v>5095</v>
      </c>
      <c r="O200" t="str" cm="1">
        <f t="array" ref="O200">_xlfn.IFS(
  TEXT(TRIM(N200),"00000")="NULL", "Missing/Unknown",
  OR(TEXT(TRIM(N200),"00000")="89101", TEXT(TRIM(N200),"00000")="89104", TEXT(TRIM(N200),"00000")="89106", TEXT(TRIM(N200),"00000")="89102", TEXT(TRIM(N200),"00000")="89107", TEXT(TRIM(N200),"00000")="89108"), "Urban Core",
  OR(TEXT(TRIM(N200),"00000")="89110", TEXT(TRIM(N200),"00000")="89115", TEXT(TRIM(N200),"00000")="89121", TEXT(TRIM(N200),"00000")="89122", TEXT(TRIM(N200),"00000")="89142", TEXT(TRIM(N200),"00000")="89156"), "East Valley",
  OR(TEXT(TRIM(N200),"00000")="89030", TEXT(TRIM(N200),"00000")="89031", TEXT(TRIM(N200),"00000")="89032", TEXT(TRIM(N200),"00000")="89086", TEXT(TRIM(N200),"00000")="89084", TEXT(TRIM(N200),"00000")="89081"), "North LV",
  OR(TEXT(TRIM(N200),"00000")="89109", TEXT(TRIM(N200),"00000")="89103", TEXT(TRIM(N200),"00000")="89119", TEXT(TRIM(N200),"00000")="89123", TEXT(TRIM(N200),"00000")="89169", TEXT(TRIM(N200),"00000")="89118"), "South/Strip",
  OR(TEXT(TRIM(N200),"00000")="89074", TEXT(TRIM(N200),"00000")="89014", TEXT(TRIM(N200),"00000")="89015", TEXT(TRIM(N200),"00000")="89011", TEXT(TRIM(N200),"00000")="89012"), "Suburban SE",
  OR(TEXT(TRIM(N200),"00000")="89117", TEXT(TRIM(N200),"00000")="89128", TEXT(TRIM(N200),"00000")="89135", TEXT(TRIM(N200),"00000")="89144", TEXT(TRIM(N200),"00000")="89145", TEXT(TRIM(N200),"00000")="89147"), "West Valley",
  TRUE, "Other"
)</f>
        <v>Missing/Unknown</v>
      </c>
      <c r="P200" t="s">
        <v>3298</v>
      </c>
      <c r="Q200" t="str">
        <f t="shared" si="14"/>
        <v>Outdoors/Public</v>
      </c>
      <c r="R200" t="s">
        <v>4713</v>
      </c>
      <c r="S200" t="s">
        <v>5125</v>
      </c>
      <c r="T200" t="str" cm="1">
        <f t="array" ref="T200">_xlfn.IFS(
  TEXT(TRIM(S200),"00000")="NULL", "Missing/Unknown",
  OR(TEXT(TRIM(S200),"00000")="89101", TEXT(TRIM(S200),"00000")="89104", TEXT(TRIM(S200),"00000")="89106", TEXT(TRIM(S200),"00000")="89102", TEXT(TRIM(S200),"00000")="89107", TEXT(TRIM(S200),"00000")="89108"), "Urban Core",
  OR(TEXT(TRIM(S200),"00000")="89110", TEXT(TRIM(S200),"00000")="89115", TEXT(TRIM(S200),"00000")="89121", TEXT(TRIM(S200),"00000")="89122", TEXT(TRIM(S200),"00000")="89142", TEXT(TRIM(S200),"00000")="89156"), "East Valley",
  OR(TEXT(TRIM(S200),"00000")="89030", TEXT(TRIM(S200),"00000")="89031", TEXT(TRIM(S200),"00000")="89032", TEXT(TRIM(S200),"00000")="89086", TEXT(TRIM(S200),"00000")="89084", TEXT(TRIM(S200),"00000")="89081"), "North LV",
  OR(TEXT(TRIM(S200),"00000")="89109", TEXT(TRIM(S200),"00000")="89103", TEXT(TRIM(S200),"00000")="89119", TEXT(TRIM(S200),"00000")="89123", TEXT(TRIM(S200),"00000")="89169", TEXT(TRIM(S200),"00000")="89118"), "South/Strip",
  OR(TEXT(TRIM(S200),"00000")="89074", TEXT(TRIM(S200),"00000")="89014", TEXT(TRIM(S200),"00000")="89015", TEXT(TRIM(S200),"00000")="89011", TEXT(TRIM(S200),"00000")="89012"), "Suburban SE",
  OR(TEXT(TRIM(S200),"00000")="89117", TEXT(TRIM(S200),"00000")="89128", TEXT(TRIM(S200),"00000")="89135", TEXT(TRIM(S200),"00000")="89144", TEXT(TRIM(S200),"00000")="89145", TEXT(TRIM(S200),"00000")="89147"), "West Valley",
  TRUE, "Other"
)</f>
        <v>South/Strip</v>
      </c>
      <c r="U200" t="s">
        <v>2413</v>
      </c>
      <c r="V200" t="str">
        <f t="shared" si="15"/>
        <v>Medical Facility</v>
      </c>
    </row>
    <row r="201" spans="1:22">
      <c r="A201" t="s">
        <v>3125</v>
      </c>
      <c r="B201" t="s">
        <v>3126</v>
      </c>
      <c r="C201" s="1">
        <v>45496</v>
      </c>
      <c r="D201" s="4">
        <v>109.94</v>
      </c>
      <c r="E201">
        <v>63</v>
      </c>
      <c r="F201" t="str">
        <f t="shared" si="12"/>
        <v>60's</v>
      </c>
      <c r="G201" t="str" cm="1">
        <f t="array" ref="G201">_xlfn.IFS(
  F201="10's", "Child (5–12)",
  OR(F201="20's", F201="30's"), "Young Adult (20–39)",
  OR(F201="40's", F201="50's"), "Adult (40–59)",
  OR(F201="60's", F201="70's", F201="80's", F201="90's"), "Senior (60+)",
  TRUE, "Unknown"
)</f>
        <v>Senior (60+)</v>
      </c>
      <c r="H201" t="s">
        <v>841</v>
      </c>
      <c r="I201" t="s">
        <v>54</v>
      </c>
      <c r="J201" t="str">
        <f t="shared" si="13"/>
        <v>Environmental Heat</v>
      </c>
      <c r="K201" t="s">
        <v>98</v>
      </c>
      <c r="L201" t="s">
        <v>1071</v>
      </c>
      <c r="N201" t="s">
        <v>5095</v>
      </c>
      <c r="O201" t="str" cm="1">
        <f t="array" ref="O201">_xlfn.IFS(
  TEXT(TRIM(N201),"00000")="NULL", "Missing/Unknown",
  OR(TEXT(TRIM(N201),"00000")="89101", TEXT(TRIM(N201),"00000")="89104", TEXT(TRIM(N201),"00000")="89106", TEXT(TRIM(N201),"00000")="89102", TEXT(TRIM(N201),"00000")="89107", TEXT(TRIM(N201),"00000")="89108"), "Urban Core",
  OR(TEXT(TRIM(N201),"00000")="89110", TEXT(TRIM(N201),"00000")="89115", TEXT(TRIM(N201),"00000")="89121", TEXT(TRIM(N201),"00000")="89122", TEXT(TRIM(N201),"00000")="89142", TEXT(TRIM(N201),"00000")="89156"), "East Valley",
  OR(TEXT(TRIM(N201),"00000")="89030", TEXT(TRIM(N201),"00000")="89031", TEXT(TRIM(N201),"00000")="89032", TEXT(TRIM(N201),"00000")="89086", TEXT(TRIM(N201),"00000")="89084", TEXT(TRIM(N201),"00000")="89081"), "North LV",
  OR(TEXT(TRIM(N201),"00000")="89109", TEXT(TRIM(N201),"00000")="89103", TEXT(TRIM(N201),"00000")="89119", TEXT(TRIM(N201),"00000")="89123", TEXT(TRIM(N201),"00000")="89169", TEXT(TRIM(N201),"00000")="89118"), "South/Strip",
  OR(TEXT(TRIM(N201),"00000")="89074", TEXT(TRIM(N201),"00000")="89014", TEXT(TRIM(N201),"00000")="89015", TEXT(TRIM(N201),"00000")="89011", TEXT(TRIM(N201),"00000")="89012"), "Suburban SE",
  OR(TEXT(TRIM(N201),"00000")="89117", TEXT(TRIM(N201),"00000")="89128", TEXT(TRIM(N201),"00000")="89135", TEXT(TRIM(N201),"00000")="89144", TEXT(TRIM(N201),"00000")="89145", TEXT(TRIM(N201),"00000")="89147"), "West Valley",
  TRUE, "Other"
)</f>
        <v>Missing/Unknown</v>
      </c>
      <c r="P201" t="s">
        <v>38</v>
      </c>
      <c r="Q201" t="str">
        <f t="shared" si="14"/>
        <v>Home/Residence</v>
      </c>
      <c r="R201" t="s">
        <v>5090</v>
      </c>
      <c r="S201" t="s">
        <v>5097</v>
      </c>
      <c r="T201" t="str" cm="1">
        <f t="array" ref="T201">_xlfn.IFS(
  TEXT(TRIM(S201),"00000")="NULL", "Missing/Unknown",
  OR(TEXT(TRIM(S201),"00000")="89101", TEXT(TRIM(S201),"00000")="89104", TEXT(TRIM(S201),"00000")="89106", TEXT(TRIM(S201),"00000")="89102", TEXT(TRIM(S201),"00000")="89107", TEXT(TRIM(S201),"00000")="89108"), "Urban Core",
  OR(TEXT(TRIM(S201),"00000")="89110", TEXT(TRIM(S201),"00000")="89115", TEXT(TRIM(S201),"00000")="89121", TEXT(TRIM(S201),"00000")="89122", TEXT(TRIM(S201),"00000")="89142", TEXT(TRIM(S201),"00000")="89156"), "East Valley",
  OR(TEXT(TRIM(S201),"00000")="89030", TEXT(TRIM(S201),"00000")="89031", TEXT(TRIM(S201),"00000")="89032", TEXT(TRIM(S201),"00000")="89086", TEXT(TRIM(S201),"00000")="89084", TEXT(TRIM(S201),"00000")="89081"), "North LV",
  OR(TEXT(TRIM(S201),"00000")="89109", TEXT(TRIM(S201),"00000")="89103", TEXT(TRIM(S201),"00000")="89119", TEXT(TRIM(S201),"00000")="89123", TEXT(TRIM(S201),"00000")="89169", TEXT(TRIM(S201),"00000")="89118"), "South/Strip",
  OR(TEXT(TRIM(S201),"00000")="89074", TEXT(TRIM(S201),"00000")="89014", TEXT(TRIM(S201),"00000")="89015", TEXT(TRIM(S201),"00000")="89011", TEXT(TRIM(S201),"00000")="89012"), "Suburban SE",
  OR(TEXT(TRIM(S201),"00000")="89117", TEXT(TRIM(S201),"00000")="89128", TEXT(TRIM(S201),"00000")="89135", TEXT(TRIM(S201),"00000")="89144", TEXT(TRIM(S201),"00000")="89145", TEXT(TRIM(S201),"00000")="89147"), "West Valley",
  TRUE, "Other"
)</f>
        <v>Urban Core</v>
      </c>
      <c r="U201" t="s">
        <v>38</v>
      </c>
      <c r="V201" t="str">
        <f t="shared" si="15"/>
        <v>Home/Residence</v>
      </c>
    </row>
    <row r="202" spans="1:22">
      <c r="A202" t="s">
        <v>3389</v>
      </c>
      <c r="B202" t="s">
        <v>3390</v>
      </c>
      <c r="C202" s="1">
        <v>45495</v>
      </c>
      <c r="D202" s="4">
        <v>109.94</v>
      </c>
      <c r="E202">
        <v>52</v>
      </c>
      <c r="F202" t="str">
        <f t="shared" si="12"/>
        <v>50's</v>
      </c>
      <c r="G202" t="str" cm="1">
        <f t="array" ref="G202">_xlfn.IFS(
  F202="10's", "Child (5–12)",
  OR(F202="20's", F202="30's"), "Young Adult (20–39)",
  OR(F202="40's", F202="50's"), "Adult (40–59)",
  OR(F202="60's", F202="70's", F202="80's", F202="90's"), "Senior (60+)",
  TRUE, "Unknown"
)</f>
        <v>Adult (40–59)</v>
      </c>
      <c r="H202" t="s">
        <v>841</v>
      </c>
      <c r="I202" t="s">
        <v>660</v>
      </c>
      <c r="J202" t="str">
        <f t="shared" si="13"/>
        <v>Environmental Heat</v>
      </c>
      <c r="K202" t="s">
        <v>4171</v>
      </c>
      <c r="L202" t="s">
        <v>250</v>
      </c>
      <c r="M202" t="s">
        <v>4684</v>
      </c>
      <c r="N202" t="s">
        <v>5127</v>
      </c>
      <c r="O202" t="str" cm="1">
        <f t="array" ref="O202">_xlfn.IFS(
  TEXT(TRIM(N202),"00000")="NULL", "Missing/Unknown",
  OR(TEXT(TRIM(N202),"00000")="89101", TEXT(TRIM(N202),"00000")="89104", TEXT(TRIM(N202),"00000")="89106", TEXT(TRIM(N202),"00000")="89102", TEXT(TRIM(N202),"00000")="89107", TEXT(TRIM(N202),"00000")="89108"), "Urban Core",
  OR(TEXT(TRIM(N202),"00000")="89110", TEXT(TRIM(N202),"00000")="89115", TEXT(TRIM(N202),"00000")="89121", TEXT(TRIM(N202),"00000")="89122", TEXT(TRIM(N202),"00000")="89142", TEXT(TRIM(N202),"00000")="89156"), "East Valley",
  OR(TEXT(TRIM(N202),"00000")="89030", TEXT(TRIM(N202),"00000")="89031", TEXT(TRIM(N202),"00000")="89032", TEXT(TRIM(N202),"00000")="89086", TEXT(TRIM(N202),"00000")="89084", TEXT(TRIM(N202),"00000")="89081"), "North LV",
  OR(TEXT(TRIM(N202),"00000")="89109", TEXT(TRIM(N202),"00000")="89103", TEXT(TRIM(N202),"00000")="89119", TEXT(TRIM(N202),"00000")="89123", TEXT(TRIM(N202),"00000")="89169", TEXT(TRIM(N202),"00000")="89118"), "South/Strip",
  OR(TEXT(TRIM(N202),"00000")="89074", TEXT(TRIM(N202),"00000")="89014", TEXT(TRIM(N202),"00000")="89015", TEXT(TRIM(N202),"00000")="89011", TEXT(TRIM(N202),"00000")="89012"), "Suburban SE",
  OR(TEXT(TRIM(N202),"00000")="89117", TEXT(TRIM(N202),"00000")="89128", TEXT(TRIM(N202),"00000")="89135", TEXT(TRIM(N202),"00000")="89144", TEXT(TRIM(N202),"00000")="89145", TEXT(TRIM(N202),"00000")="89147"), "West Valley",
  TRUE, "Other"
)</f>
        <v>Other</v>
      </c>
      <c r="P202" t="s">
        <v>3298</v>
      </c>
      <c r="Q202" t="str">
        <f t="shared" si="14"/>
        <v>Outdoors/Public</v>
      </c>
      <c r="R202" t="s">
        <v>4684</v>
      </c>
      <c r="S202" t="s">
        <v>5127</v>
      </c>
      <c r="T202" t="str" cm="1">
        <f t="array" ref="T202">_xlfn.IFS(
  TEXT(TRIM(S202),"00000")="NULL", "Missing/Unknown",
  OR(TEXT(TRIM(S202),"00000")="89101", TEXT(TRIM(S202),"00000")="89104", TEXT(TRIM(S202),"00000")="89106", TEXT(TRIM(S202),"00000")="89102", TEXT(TRIM(S202),"00000")="89107", TEXT(TRIM(S202),"00000")="89108"), "Urban Core",
  OR(TEXT(TRIM(S202),"00000")="89110", TEXT(TRIM(S202),"00000")="89115", TEXT(TRIM(S202),"00000")="89121", TEXT(TRIM(S202),"00000")="89122", TEXT(TRIM(S202),"00000")="89142", TEXT(TRIM(S202),"00000")="89156"), "East Valley",
  OR(TEXT(TRIM(S202),"00000")="89030", TEXT(TRIM(S202),"00000")="89031", TEXT(TRIM(S202),"00000")="89032", TEXT(TRIM(S202),"00000")="89086", TEXT(TRIM(S202),"00000")="89084", TEXT(TRIM(S202),"00000")="89081"), "North LV",
  OR(TEXT(TRIM(S202),"00000")="89109", TEXT(TRIM(S202),"00000")="89103", TEXT(TRIM(S202),"00000")="89119", TEXT(TRIM(S202),"00000")="89123", TEXT(TRIM(S202),"00000")="89169", TEXT(TRIM(S202),"00000")="89118"), "South/Strip",
  OR(TEXT(TRIM(S202),"00000")="89074", TEXT(TRIM(S202),"00000")="89014", TEXT(TRIM(S202),"00000")="89015", TEXT(TRIM(S202),"00000")="89011", TEXT(TRIM(S202),"00000")="89012"), "Suburban SE",
  OR(TEXT(TRIM(S202),"00000")="89117", TEXT(TRIM(S202),"00000")="89128", TEXT(TRIM(S202),"00000")="89135", TEXT(TRIM(S202),"00000")="89144", TEXT(TRIM(S202),"00000")="89145", TEXT(TRIM(S202),"00000")="89147"), "West Valley",
  TRUE, "Other"
)</f>
        <v>Other</v>
      </c>
      <c r="U202" t="s">
        <v>3298</v>
      </c>
      <c r="V202" t="str">
        <f t="shared" si="15"/>
        <v>Outdoors/Public</v>
      </c>
    </row>
    <row r="203" spans="1:22">
      <c r="A203" t="s">
        <v>3282</v>
      </c>
      <c r="B203" t="s">
        <v>3283</v>
      </c>
      <c r="C203" s="1">
        <v>45495</v>
      </c>
      <c r="D203" s="4">
        <v>109.94</v>
      </c>
      <c r="E203">
        <v>46</v>
      </c>
      <c r="F203" t="str">
        <f t="shared" si="12"/>
        <v>40's</v>
      </c>
      <c r="G203" t="str" cm="1">
        <f t="array" ref="G203">_xlfn.IFS(
  F203="10's", "Child (5–12)",
  OR(F203="20's", F203="30's"), "Young Adult (20–39)",
  OR(F203="40's", F203="50's"), "Adult (40–59)",
  OR(F203="60's", F203="70's", F203="80's", F203="90's"), "Senior (60+)",
  TRUE, "Unknown"
)</f>
        <v>Adult (40–59)</v>
      </c>
      <c r="H203" t="s">
        <v>841</v>
      </c>
      <c r="I203" t="s">
        <v>4050</v>
      </c>
      <c r="J203" t="str">
        <f t="shared" si="13"/>
        <v>Environmental Heat</v>
      </c>
      <c r="K203" t="s">
        <v>4170</v>
      </c>
      <c r="L203" t="s">
        <v>250</v>
      </c>
      <c r="N203" t="s">
        <v>5095</v>
      </c>
      <c r="O203" t="str" cm="1">
        <f t="array" ref="O203">_xlfn.IFS(
  TEXT(TRIM(N203),"00000")="NULL", "Missing/Unknown",
  OR(TEXT(TRIM(N203),"00000")="89101", TEXT(TRIM(N203),"00000")="89104", TEXT(TRIM(N203),"00000")="89106", TEXT(TRIM(N203),"00000")="89102", TEXT(TRIM(N203),"00000")="89107", TEXT(TRIM(N203),"00000")="89108"), "Urban Core",
  OR(TEXT(TRIM(N203),"00000")="89110", TEXT(TRIM(N203),"00000")="89115", TEXT(TRIM(N203),"00000")="89121", TEXT(TRIM(N203),"00000")="89122", TEXT(TRIM(N203),"00000")="89142", TEXT(TRIM(N203),"00000")="89156"), "East Valley",
  OR(TEXT(TRIM(N203),"00000")="89030", TEXT(TRIM(N203),"00000")="89031", TEXT(TRIM(N203),"00000")="89032", TEXT(TRIM(N203),"00000")="89086", TEXT(TRIM(N203),"00000")="89084", TEXT(TRIM(N203),"00000")="89081"), "North LV",
  OR(TEXT(TRIM(N203),"00000")="89109", TEXT(TRIM(N203),"00000")="89103", TEXT(TRIM(N203),"00000")="89119", TEXT(TRIM(N203),"00000")="89123", TEXT(TRIM(N203),"00000")="89169", TEXT(TRIM(N203),"00000")="89118"), "South/Strip",
  OR(TEXT(TRIM(N203),"00000")="89074", TEXT(TRIM(N203),"00000")="89014", TEXT(TRIM(N203),"00000")="89015", TEXT(TRIM(N203),"00000")="89011", TEXT(TRIM(N203),"00000")="89012"), "Suburban SE",
  OR(TEXT(TRIM(N203),"00000")="89117", TEXT(TRIM(N203),"00000")="89128", TEXT(TRIM(N203),"00000")="89135", TEXT(TRIM(N203),"00000")="89144", TEXT(TRIM(N203),"00000")="89145", TEXT(TRIM(N203),"00000")="89147"), "West Valley",
  TRUE, "Other"
)</f>
        <v>Missing/Unknown</v>
      </c>
      <c r="P203" t="s">
        <v>3298</v>
      </c>
      <c r="Q203" t="str">
        <f t="shared" si="14"/>
        <v>Outdoors/Public</v>
      </c>
      <c r="R203" t="s">
        <v>5055</v>
      </c>
      <c r="S203" t="s">
        <v>5119</v>
      </c>
      <c r="T203" t="str" cm="1">
        <f t="array" ref="T203">_xlfn.IFS(
  TEXT(TRIM(S203),"00000")="NULL", "Missing/Unknown",
  OR(TEXT(TRIM(S203),"00000")="89101", TEXT(TRIM(S203),"00000")="89104", TEXT(TRIM(S203),"00000")="89106", TEXT(TRIM(S203),"00000")="89102", TEXT(TRIM(S203),"00000")="89107", TEXT(TRIM(S203),"00000")="89108"), "Urban Core",
  OR(TEXT(TRIM(S203),"00000")="89110", TEXT(TRIM(S203),"00000")="89115", TEXT(TRIM(S203),"00000")="89121", TEXT(TRIM(S203),"00000")="89122", TEXT(TRIM(S203),"00000")="89142", TEXT(TRIM(S203),"00000")="89156"), "East Valley",
  OR(TEXT(TRIM(S203),"00000")="89030", TEXT(TRIM(S203),"00000")="89031", TEXT(TRIM(S203),"00000")="89032", TEXT(TRIM(S203),"00000")="89086", TEXT(TRIM(S203),"00000")="89084", TEXT(TRIM(S203),"00000")="89081"), "North LV",
  OR(TEXT(TRIM(S203),"00000")="89109", TEXT(TRIM(S203),"00000")="89103", TEXT(TRIM(S203),"00000")="89119", TEXT(TRIM(S203),"00000")="89123", TEXT(TRIM(S203),"00000")="89169", TEXT(TRIM(S203),"00000")="89118"), "South/Strip",
  OR(TEXT(TRIM(S203),"00000")="89074", TEXT(TRIM(S203),"00000")="89014", TEXT(TRIM(S203),"00000")="89015", TEXT(TRIM(S203),"00000")="89011", TEXT(TRIM(S203),"00000")="89012"), "Suburban SE",
  OR(TEXT(TRIM(S203),"00000")="89117", TEXT(TRIM(S203),"00000")="89128", TEXT(TRIM(S203),"00000")="89135", TEXT(TRIM(S203),"00000")="89144", TEXT(TRIM(S203),"00000")="89145", TEXT(TRIM(S203),"00000")="89147"), "West Valley",
  TRUE, "Other"
)</f>
        <v>Urban Core</v>
      </c>
      <c r="U203" t="s">
        <v>4298</v>
      </c>
      <c r="V203" t="str">
        <f t="shared" si="15"/>
        <v>Other / Unknown</v>
      </c>
    </row>
    <row r="204" spans="1:22">
      <c r="A204" t="s">
        <v>3987</v>
      </c>
      <c r="B204" t="s">
        <v>3988</v>
      </c>
      <c r="C204" s="1">
        <v>45495</v>
      </c>
      <c r="D204" s="4">
        <v>109.94</v>
      </c>
      <c r="E204">
        <v>35</v>
      </c>
      <c r="F204" t="str">
        <f t="shared" si="12"/>
        <v>30's</v>
      </c>
      <c r="G204" t="str" cm="1">
        <f t="array" ref="G204">_xlfn.IFS(
  F204="10's", "Child (5–12)",
  OR(F204="20's", F204="30's"), "Young Adult (20–39)",
  OR(F204="40's", F204="50's"), "Adult (40–59)",
  OR(F204="60's", F204="70's", F204="80's", F204="90's"), "Senior (60+)",
  TRUE, "Unknown"
)</f>
        <v>Young Adult (20–39)</v>
      </c>
      <c r="H204" t="s">
        <v>778</v>
      </c>
      <c r="I204" t="s">
        <v>4025</v>
      </c>
      <c r="J204" t="str">
        <f t="shared" si="13"/>
        <v>Methamphetamine-related</v>
      </c>
      <c r="K204" t="s">
        <v>48</v>
      </c>
      <c r="L204" t="s">
        <v>250</v>
      </c>
      <c r="M204" t="s">
        <v>5020</v>
      </c>
      <c r="N204" t="s">
        <v>5106</v>
      </c>
      <c r="O204" t="str" cm="1">
        <f t="array" ref="O204">_xlfn.IFS(
  TEXT(TRIM(N204),"00000")="NULL", "Missing/Unknown",
  OR(TEXT(TRIM(N204),"00000")="89101", TEXT(TRIM(N204),"00000")="89104", TEXT(TRIM(N204),"00000")="89106", TEXT(TRIM(N204),"00000")="89102", TEXT(TRIM(N204),"00000")="89107", TEXT(TRIM(N204),"00000")="89108"), "Urban Core",
  OR(TEXT(TRIM(N204),"00000")="89110", TEXT(TRIM(N204),"00000")="89115", TEXT(TRIM(N204),"00000")="89121", TEXT(TRIM(N204),"00000")="89122", TEXT(TRIM(N204),"00000")="89142", TEXT(TRIM(N204),"00000")="89156"), "East Valley",
  OR(TEXT(TRIM(N204),"00000")="89030", TEXT(TRIM(N204),"00000")="89031", TEXT(TRIM(N204),"00000")="89032", TEXT(TRIM(N204),"00000")="89086", TEXT(TRIM(N204),"00000")="89084", TEXT(TRIM(N204),"00000")="89081"), "North LV",
  OR(TEXT(TRIM(N204),"00000")="89109", TEXT(TRIM(N204),"00000")="89103", TEXT(TRIM(N204),"00000")="89119", TEXT(TRIM(N204),"00000")="89123", TEXT(TRIM(N204),"00000")="89169", TEXT(TRIM(N204),"00000")="89118"), "South/Strip",
  OR(TEXT(TRIM(N204),"00000")="89074", TEXT(TRIM(N204),"00000")="89014", TEXT(TRIM(N204),"00000")="89015", TEXT(TRIM(N204),"00000")="89011", TEXT(TRIM(N204),"00000")="89012"), "Suburban SE",
  OR(TEXT(TRIM(N204),"00000")="89117", TEXT(TRIM(N204),"00000")="89128", TEXT(TRIM(N204),"00000")="89135", TEXT(TRIM(N204),"00000")="89144", TEXT(TRIM(N204),"00000")="89145", TEXT(TRIM(N204),"00000")="89147"), "West Valley",
  TRUE, "Other"
)</f>
        <v>East Valley</v>
      </c>
      <c r="P204" t="s">
        <v>3298</v>
      </c>
      <c r="Q204" t="str">
        <f t="shared" si="14"/>
        <v>Outdoors/Public</v>
      </c>
      <c r="R204" t="s">
        <v>5020</v>
      </c>
      <c r="S204" t="s">
        <v>5106</v>
      </c>
      <c r="T204" t="str" cm="1">
        <f t="array" ref="T204">_xlfn.IFS(
  TEXT(TRIM(S204),"00000")="NULL", "Missing/Unknown",
  OR(TEXT(TRIM(S204),"00000")="89101", TEXT(TRIM(S204),"00000")="89104", TEXT(TRIM(S204),"00000")="89106", TEXT(TRIM(S204),"00000")="89102", TEXT(TRIM(S204),"00000")="89107", TEXT(TRIM(S204),"00000")="89108"), "Urban Core",
  OR(TEXT(TRIM(S204),"00000")="89110", TEXT(TRIM(S204),"00000")="89115", TEXT(TRIM(S204),"00000")="89121", TEXT(TRIM(S204),"00000")="89122", TEXT(TRIM(S204),"00000")="89142", TEXT(TRIM(S204),"00000")="89156"), "East Valley",
  OR(TEXT(TRIM(S204),"00000")="89030", TEXT(TRIM(S204),"00000")="89031", TEXT(TRIM(S204),"00000")="89032", TEXT(TRIM(S204),"00000")="89086", TEXT(TRIM(S204),"00000")="89084", TEXT(TRIM(S204),"00000")="89081"), "North LV",
  OR(TEXT(TRIM(S204),"00000")="89109", TEXT(TRIM(S204),"00000")="89103", TEXT(TRIM(S204),"00000")="89119", TEXT(TRIM(S204),"00000")="89123", TEXT(TRIM(S204),"00000")="89169", TEXT(TRIM(S204),"00000")="89118"), "South/Strip",
  OR(TEXT(TRIM(S204),"00000")="89074", TEXT(TRIM(S204),"00000")="89014", TEXT(TRIM(S204),"00000")="89015", TEXT(TRIM(S204),"00000")="89011", TEXT(TRIM(S204),"00000")="89012"), "Suburban SE",
  OR(TEXT(TRIM(S204),"00000")="89117", TEXT(TRIM(S204),"00000")="89128", TEXT(TRIM(S204),"00000")="89135", TEXT(TRIM(S204),"00000")="89144", TEXT(TRIM(S204),"00000")="89145", TEXT(TRIM(S204),"00000")="89147"), "West Valley",
  TRUE, "Other"
)</f>
        <v>East Valley</v>
      </c>
      <c r="U204" t="s">
        <v>3298</v>
      </c>
      <c r="V204" t="str">
        <f t="shared" si="15"/>
        <v>Outdoors/Public</v>
      </c>
    </row>
    <row r="205" spans="1:22">
      <c r="A205" t="s">
        <v>2884</v>
      </c>
      <c r="B205" t="s">
        <v>2885</v>
      </c>
      <c r="C205" s="1">
        <v>45495</v>
      </c>
      <c r="D205" s="4">
        <v>109.94</v>
      </c>
      <c r="E205">
        <v>83</v>
      </c>
      <c r="F205" t="str">
        <f t="shared" si="12"/>
        <v>80's</v>
      </c>
      <c r="G205" t="str" cm="1">
        <f t="array" ref="G205">_xlfn.IFS(
  F205="10's", "Child (5–12)",
  OR(F205="20's", F205="30's"), "Young Adult (20–39)",
  OR(F205="40's", F205="50's"), "Adult (40–59)",
  OR(F205="60's", F205="70's", F205="80's", F205="90's"), "Senior (60+)",
  TRUE, "Unknown"
)</f>
        <v>Senior (60+)</v>
      </c>
      <c r="H205" t="s">
        <v>841</v>
      </c>
      <c r="I205" t="s">
        <v>35</v>
      </c>
      <c r="J205" t="str">
        <f t="shared" si="13"/>
        <v>Environmental Heat</v>
      </c>
      <c r="K205" t="s">
        <v>28</v>
      </c>
      <c r="L205" t="s">
        <v>1071</v>
      </c>
      <c r="M205" t="s">
        <v>5021</v>
      </c>
      <c r="N205" t="s">
        <v>5134</v>
      </c>
      <c r="O205" t="str" cm="1">
        <f t="array" ref="O205">_xlfn.IFS(
  TEXT(TRIM(N205),"00000")="NULL", "Missing/Unknown",
  OR(TEXT(TRIM(N205),"00000")="89101", TEXT(TRIM(N205),"00000")="89104", TEXT(TRIM(N205),"00000")="89106", TEXT(TRIM(N205),"00000")="89102", TEXT(TRIM(N205),"00000")="89107", TEXT(TRIM(N205),"00000")="89108"), "Urban Core",
  OR(TEXT(TRIM(N205),"00000")="89110", TEXT(TRIM(N205),"00000")="89115", TEXT(TRIM(N205),"00000")="89121", TEXT(TRIM(N205),"00000")="89122", TEXT(TRIM(N205),"00000")="89142", TEXT(TRIM(N205),"00000")="89156"), "East Valley",
  OR(TEXT(TRIM(N205),"00000")="89030", TEXT(TRIM(N205),"00000")="89031", TEXT(TRIM(N205),"00000")="89032", TEXT(TRIM(N205),"00000")="89086", TEXT(TRIM(N205),"00000")="89084", TEXT(TRIM(N205),"00000")="89081"), "North LV",
  OR(TEXT(TRIM(N205),"00000")="89109", TEXT(TRIM(N205),"00000")="89103", TEXT(TRIM(N205),"00000")="89119", TEXT(TRIM(N205),"00000")="89123", TEXT(TRIM(N205),"00000")="89169", TEXT(TRIM(N205),"00000")="89118"), "South/Strip",
  OR(TEXT(TRIM(N205),"00000")="89074", TEXT(TRIM(N205),"00000")="89014", TEXT(TRIM(N205),"00000")="89015", TEXT(TRIM(N205),"00000")="89011", TEXT(TRIM(N205),"00000")="89012"), "Suburban SE",
  OR(TEXT(TRIM(N205),"00000")="89117", TEXT(TRIM(N205),"00000")="89128", TEXT(TRIM(N205),"00000")="89135", TEXT(TRIM(N205),"00000")="89144", TEXT(TRIM(N205),"00000")="89145", TEXT(TRIM(N205),"00000")="89147"), "West Valley",
  TRUE, "Other"
)</f>
        <v>Other</v>
      </c>
      <c r="P205" t="s">
        <v>3298</v>
      </c>
      <c r="Q205" t="str">
        <f t="shared" si="14"/>
        <v>Outdoors/Public</v>
      </c>
      <c r="R205" t="s">
        <v>5021</v>
      </c>
      <c r="S205" t="s">
        <v>5134</v>
      </c>
      <c r="T205" t="str" cm="1">
        <f t="array" ref="T205">_xlfn.IFS(
  TEXT(TRIM(S205),"00000")="NULL", "Missing/Unknown",
  OR(TEXT(TRIM(S205),"00000")="89101", TEXT(TRIM(S205),"00000")="89104", TEXT(TRIM(S205),"00000")="89106", TEXT(TRIM(S205),"00000")="89102", TEXT(TRIM(S205),"00000")="89107", TEXT(TRIM(S205),"00000")="89108"), "Urban Core",
  OR(TEXT(TRIM(S205),"00000")="89110", TEXT(TRIM(S205),"00000")="89115", TEXT(TRIM(S205),"00000")="89121", TEXT(TRIM(S205),"00000")="89122", TEXT(TRIM(S205),"00000")="89142", TEXT(TRIM(S205),"00000")="89156"), "East Valley",
  OR(TEXT(TRIM(S205),"00000")="89030", TEXT(TRIM(S205),"00000")="89031", TEXT(TRIM(S205),"00000")="89032", TEXT(TRIM(S205),"00000")="89086", TEXT(TRIM(S205),"00000")="89084", TEXT(TRIM(S205),"00000")="89081"), "North LV",
  OR(TEXT(TRIM(S205),"00000")="89109", TEXT(TRIM(S205),"00000")="89103", TEXT(TRIM(S205),"00000")="89119", TEXT(TRIM(S205),"00000")="89123", TEXT(TRIM(S205),"00000")="89169", TEXT(TRIM(S205),"00000")="89118"), "South/Strip",
  OR(TEXT(TRIM(S205),"00000")="89074", TEXT(TRIM(S205),"00000")="89014", TEXT(TRIM(S205),"00000")="89015", TEXT(TRIM(S205),"00000")="89011", TEXT(TRIM(S205),"00000")="89012"), "Suburban SE",
  OR(TEXT(TRIM(S205),"00000")="89117", TEXT(TRIM(S205),"00000")="89128", TEXT(TRIM(S205),"00000")="89135", TEXT(TRIM(S205),"00000")="89144", TEXT(TRIM(S205),"00000")="89145", TEXT(TRIM(S205),"00000")="89147"), "West Valley",
  TRUE, "Other"
)</f>
        <v>Other</v>
      </c>
      <c r="U205" t="s">
        <v>3298</v>
      </c>
      <c r="V205" t="str">
        <f t="shared" si="15"/>
        <v>Outdoors/Public</v>
      </c>
    </row>
    <row r="206" spans="1:22">
      <c r="A206" t="s">
        <v>3120</v>
      </c>
      <c r="B206" t="s">
        <v>3121</v>
      </c>
      <c r="C206" s="1">
        <v>45495</v>
      </c>
      <c r="D206" s="4">
        <v>109.94</v>
      </c>
      <c r="E206">
        <v>71</v>
      </c>
      <c r="F206" t="str">
        <f t="shared" si="12"/>
        <v>70's</v>
      </c>
      <c r="G206" t="str" cm="1">
        <f t="array" ref="G206">_xlfn.IFS(
  F206="10's", "Child (5–12)",
  OR(F206="20's", F206="30's"), "Young Adult (20–39)",
  OR(F206="40's", F206="50's"), "Adult (40–59)",
  OR(F206="60's", F206="70's", F206="80's", F206="90's"), "Senior (60+)",
  TRUE, "Unknown"
)</f>
        <v>Senior (60+)</v>
      </c>
      <c r="H206" t="s">
        <v>778</v>
      </c>
      <c r="I206" t="s">
        <v>54</v>
      </c>
      <c r="J206" t="str">
        <f t="shared" si="13"/>
        <v>Environmental Heat</v>
      </c>
      <c r="K206" t="s">
        <v>63</v>
      </c>
      <c r="L206" t="s">
        <v>1071</v>
      </c>
      <c r="M206" t="s">
        <v>5019</v>
      </c>
      <c r="N206" t="s">
        <v>5097</v>
      </c>
      <c r="O206" t="str" cm="1">
        <f t="array" ref="O206">_xlfn.IFS(
  TEXT(TRIM(N206),"00000")="NULL", "Missing/Unknown",
  OR(TEXT(TRIM(N206),"00000")="89101", TEXT(TRIM(N206),"00000")="89104", TEXT(TRIM(N206),"00000")="89106", TEXT(TRIM(N206),"00000")="89102", TEXT(TRIM(N206),"00000")="89107", TEXT(TRIM(N206),"00000")="89108"), "Urban Core",
  OR(TEXT(TRIM(N206),"00000")="89110", TEXT(TRIM(N206),"00000")="89115", TEXT(TRIM(N206),"00000")="89121", TEXT(TRIM(N206),"00000")="89122", TEXT(TRIM(N206),"00000")="89142", TEXT(TRIM(N206),"00000")="89156"), "East Valley",
  OR(TEXT(TRIM(N206),"00000")="89030", TEXT(TRIM(N206),"00000")="89031", TEXT(TRIM(N206),"00000")="89032", TEXT(TRIM(N206),"00000")="89086", TEXT(TRIM(N206),"00000")="89084", TEXT(TRIM(N206),"00000")="89081"), "North LV",
  OR(TEXT(TRIM(N206),"00000")="89109", TEXT(TRIM(N206),"00000")="89103", TEXT(TRIM(N206),"00000")="89119", TEXT(TRIM(N206),"00000")="89123", TEXT(TRIM(N206),"00000")="89169", TEXT(TRIM(N206),"00000")="89118"), "South/Strip",
  OR(TEXT(TRIM(N206),"00000")="89074", TEXT(TRIM(N206),"00000")="89014", TEXT(TRIM(N206),"00000")="89015", TEXT(TRIM(N206),"00000")="89011", TEXT(TRIM(N206),"00000")="89012"), "Suburban SE",
  OR(TEXT(TRIM(N206),"00000")="89117", TEXT(TRIM(N206),"00000")="89128", TEXT(TRIM(N206),"00000")="89135", TEXT(TRIM(N206),"00000")="89144", TEXT(TRIM(N206),"00000")="89145", TEXT(TRIM(N206),"00000")="89147"), "West Valley",
  TRUE, "Other"
)</f>
        <v>Urban Core</v>
      </c>
      <c r="P206" t="s">
        <v>3298</v>
      </c>
      <c r="Q206" t="str">
        <f t="shared" si="14"/>
        <v>Outdoors/Public</v>
      </c>
      <c r="R206" t="s">
        <v>5019</v>
      </c>
      <c r="S206" t="s">
        <v>5097</v>
      </c>
      <c r="T206" t="str" cm="1">
        <f t="array" ref="T206">_xlfn.IFS(
  TEXT(TRIM(S206),"00000")="NULL", "Missing/Unknown",
  OR(TEXT(TRIM(S206),"00000")="89101", TEXT(TRIM(S206),"00000")="89104", TEXT(TRIM(S206),"00000")="89106", TEXT(TRIM(S206),"00000")="89102", TEXT(TRIM(S206),"00000")="89107", TEXT(TRIM(S206),"00000")="89108"), "Urban Core",
  OR(TEXT(TRIM(S206),"00000")="89110", TEXT(TRIM(S206),"00000")="89115", TEXT(TRIM(S206),"00000")="89121", TEXT(TRIM(S206),"00000")="89122", TEXT(TRIM(S206),"00000")="89142", TEXT(TRIM(S206),"00000")="89156"), "East Valley",
  OR(TEXT(TRIM(S206),"00000")="89030", TEXT(TRIM(S206),"00000")="89031", TEXT(TRIM(S206),"00000")="89032", TEXT(TRIM(S206),"00000")="89086", TEXT(TRIM(S206),"00000")="89084", TEXT(TRIM(S206),"00000")="89081"), "North LV",
  OR(TEXT(TRIM(S206),"00000")="89109", TEXT(TRIM(S206),"00000")="89103", TEXT(TRIM(S206),"00000")="89119", TEXT(TRIM(S206),"00000")="89123", TEXT(TRIM(S206),"00000")="89169", TEXT(TRIM(S206),"00000")="89118"), "South/Strip",
  OR(TEXT(TRIM(S206),"00000")="89074", TEXT(TRIM(S206),"00000")="89014", TEXT(TRIM(S206),"00000")="89015", TEXT(TRIM(S206),"00000")="89011", TEXT(TRIM(S206),"00000")="89012"), "Suburban SE",
  OR(TEXT(TRIM(S206),"00000")="89117", TEXT(TRIM(S206),"00000")="89128", TEXT(TRIM(S206),"00000")="89135", TEXT(TRIM(S206),"00000")="89144", TEXT(TRIM(S206),"00000")="89145", TEXT(TRIM(S206),"00000")="89147"), "West Valley",
  TRUE, "Other"
)</f>
        <v>Urban Core</v>
      </c>
      <c r="U206" t="s">
        <v>3298</v>
      </c>
      <c r="V206" t="str">
        <f t="shared" si="15"/>
        <v>Outdoors/Public</v>
      </c>
    </row>
    <row r="207" spans="1:22">
      <c r="A207" t="s">
        <v>3664</v>
      </c>
      <c r="B207" t="s">
        <v>3665</v>
      </c>
      <c r="C207" s="1">
        <v>45494</v>
      </c>
      <c r="D207" s="4">
        <v>111.92</v>
      </c>
      <c r="E207">
        <v>50</v>
      </c>
      <c r="F207" t="str">
        <f t="shared" si="12"/>
        <v>50's</v>
      </c>
      <c r="G207" t="str" cm="1">
        <f t="array" ref="G207">_xlfn.IFS(
  F207="10's", "Child (5–12)",
  OR(F207="20's", F207="30's"), "Young Adult (20–39)",
  OR(F207="40's", F207="50's"), "Adult (40–59)",
  OR(F207="60's", F207="70's", F207="80's", F207="90's"), "Senior (60+)",
  TRUE, "Unknown"
)</f>
        <v>Adult (40–59)</v>
      </c>
      <c r="H207" t="s">
        <v>841</v>
      </c>
      <c r="I207" t="s">
        <v>4045</v>
      </c>
      <c r="J207" t="str">
        <f t="shared" si="13"/>
        <v>Methamphetamine-related</v>
      </c>
      <c r="K207" t="s">
        <v>54</v>
      </c>
      <c r="L207" t="s">
        <v>250</v>
      </c>
      <c r="M207" t="s">
        <v>4632</v>
      </c>
      <c r="N207" t="s">
        <v>5119</v>
      </c>
      <c r="O207" t="str" cm="1">
        <f t="array" ref="O207">_xlfn.IFS(
  TEXT(TRIM(N207),"00000")="NULL", "Missing/Unknown",
  OR(TEXT(TRIM(N207),"00000")="89101", TEXT(TRIM(N207),"00000")="89104", TEXT(TRIM(N207),"00000")="89106", TEXT(TRIM(N207),"00000")="89102", TEXT(TRIM(N207),"00000")="89107", TEXT(TRIM(N207),"00000")="89108"), "Urban Core",
  OR(TEXT(TRIM(N207),"00000")="89110", TEXT(TRIM(N207),"00000")="89115", TEXT(TRIM(N207),"00000")="89121", TEXT(TRIM(N207),"00000")="89122", TEXT(TRIM(N207),"00000")="89142", TEXT(TRIM(N207),"00000")="89156"), "East Valley",
  OR(TEXT(TRIM(N207),"00000")="89030", TEXT(TRIM(N207),"00000")="89031", TEXT(TRIM(N207),"00000")="89032", TEXT(TRIM(N207),"00000")="89086", TEXT(TRIM(N207),"00000")="89084", TEXT(TRIM(N207),"00000")="89081"), "North LV",
  OR(TEXT(TRIM(N207),"00000")="89109", TEXT(TRIM(N207),"00000")="89103", TEXT(TRIM(N207),"00000")="89119", TEXT(TRIM(N207),"00000")="89123", TEXT(TRIM(N207),"00000")="89169", TEXT(TRIM(N207),"00000")="89118"), "South/Strip",
  OR(TEXT(TRIM(N207),"00000")="89074", TEXT(TRIM(N207),"00000")="89014", TEXT(TRIM(N207),"00000")="89015", TEXT(TRIM(N207),"00000")="89011", TEXT(TRIM(N207),"00000")="89012"), "Suburban SE",
  OR(TEXT(TRIM(N207),"00000")="89117", TEXT(TRIM(N207),"00000")="89128", TEXT(TRIM(N207),"00000")="89135", TEXT(TRIM(N207),"00000")="89144", TEXT(TRIM(N207),"00000")="89145", TEXT(TRIM(N207),"00000")="89147"), "West Valley",
  TRUE, "Other"
)</f>
        <v>Urban Core</v>
      </c>
      <c r="P207" t="s">
        <v>3298</v>
      </c>
      <c r="Q207" t="str">
        <f t="shared" si="14"/>
        <v>Outdoors/Public</v>
      </c>
      <c r="R207" t="s">
        <v>4632</v>
      </c>
      <c r="S207" t="s">
        <v>5119</v>
      </c>
      <c r="T207" t="str" cm="1">
        <f t="array" ref="T207">_xlfn.IFS(
  TEXT(TRIM(S207),"00000")="NULL", "Missing/Unknown",
  OR(TEXT(TRIM(S207),"00000")="89101", TEXT(TRIM(S207),"00000")="89104", TEXT(TRIM(S207),"00000")="89106", TEXT(TRIM(S207),"00000")="89102", TEXT(TRIM(S207),"00000")="89107", TEXT(TRIM(S207),"00000")="89108"), "Urban Core",
  OR(TEXT(TRIM(S207),"00000")="89110", TEXT(TRIM(S207),"00000")="89115", TEXT(TRIM(S207),"00000")="89121", TEXT(TRIM(S207),"00000")="89122", TEXT(TRIM(S207),"00000")="89142", TEXT(TRIM(S207),"00000")="89156"), "East Valley",
  OR(TEXT(TRIM(S207),"00000")="89030", TEXT(TRIM(S207),"00000")="89031", TEXT(TRIM(S207),"00000")="89032", TEXT(TRIM(S207),"00000")="89086", TEXT(TRIM(S207),"00000")="89084", TEXT(TRIM(S207),"00000")="89081"), "North LV",
  OR(TEXT(TRIM(S207),"00000")="89109", TEXT(TRIM(S207),"00000")="89103", TEXT(TRIM(S207),"00000")="89119", TEXT(TRIM(S207),"00000")="89123", TEXT(TRIM(S207),"00000")="89169", TEXT(TRIM(S207),"00000")="89118"), "South/Strip",
  OR(TEXT(TRIM(S207),"00000")="89074", TEXT(TRIM(S207),"00000")="89014", TEXT(TRIM(S207),"00000")="89015", TEXT(TRIM(S207),"00000")="89011", TEXT(TRIM(S207),"00000")="89012"), "Suburban SE",
  OR(TEXT(TRIM(S207),"00000")="89117", TEXT(TRIM(S207),"00000")="89128", TEXT(TRIM(S207),"00000")="89135", TEXT(TRIM(S207),"00000")="89144", TEXT(TRIM(S207),"00000")="89145", TEXT(TRIM(S207),"00000")="89147"), "West Valley",
  TRUE, "Other"
)</f>
        <v>Urban Core</v>
      </c>
      <c r="U207" t="s">
        <v>3298</v>
      </c>
      <c r="V207" t="str">
        <f t="shared" si="15"/>
        <v>Outdoors/Public</v>
      </c>
    </row>
    <row r="208" spans="1:22">
      <c r="A208" t="s">
        <v>3386</v>
      </c>
      <c r="B208" t="s">
        <v>3387</v>
      </c>
      <c r="C208" s="1">
        <v>45494</v>
      </c>
      <c r="D208" s="4">
        <v>111.92</v>
      </c>
      <c r="E208">
        <v>36</v>
      </c>
      <c r="F208" t="str">
        <f t="shared" si="12"/>
        <v>30's</v>
      </c>
      <c r="G208" t="str" cm="1">
        <f t="array" ref="G208">_xlfn.IFS(
  F208="10's", "Child (5–12)",
  OR(F208="20's", F208="30's"), "Young Adult (20–39)",
  OR(F208="40's", F208="50's"), "Adult (40–59)",
  OR(F208="60's", F208="70's", F208="80's", F208="90's"), "Senior (60+)",
  TRUE, "Unknown"
)</f>
        <v>Young Adult (20–39)</v>
      </c>
      <c r="H208" t="s">
        <v>27</v>
      </c>
      <c r="I208" t="s">
        <v>660</v>
      </c>
      <c r="J208" t="str">
        <f t="shared" si="13"/>
        <v>Environmental Heat</v>
      </c>
      <c r="K208" t="s">
        <v>4011</v>
      </c>
      <c r="L208" t="s">
        <v>250</v>
      </c>
      <c r="M208" t="s">
        <v>4598</v>
      </c>
      <c r="N208" t="s">
        <v>5106</v>
      </c>
      <c r="O208" t="str" cm="1">
        <f t="array" ref="O208">_xlfn.IFS(
  TEXT(TRIM(N208),"00000")="NULL", "Missing/Unknown",
  OR(TEXT(TRIM(N208),"00000")="89101", TEXT(TRIM(N208),"00000")="89104", TEXT(TRIM(N208),"00000")="89106", TEXT(TRIM(N208),"00000")="89102", TEXT(TRIM(N208),"00000")="89107", TEXT(TRIM(N208),"00000")="89108"), "Urban Core",
  OR(TEXT(TRIM(N208),"00000")="89110", TEXT(TRIM(N208),"00000")="89115", TEXT(TRIM(N208),"00000")="89121", TEXT(TRIM(N208),"00000")="89122", TEXT(TRIM(N208),"00000")="89142", TEXT(TRIM(N208),"00000")="89156"), "East Valley",
  OR(TEXT(TRIM(N208),"00000")="89030", TEXT(TRIM(N208),"00000")="89031", TEXT(TRIM(N208),"00000")="89032", TEXT(TRIM(N208),"00000")="89086", TEXT(TRIM(N208),"00000")="89084", TEXT(TRIM(N208),"00000")="89081"), "North LV",
  OR(TEXT(TRIM(N208),"00000")="89109", TEXT(TRIM(N208),"00000")="89103", TEXT(TRIM(N208),"00000")="89119", TEXT(TRIM(N208),"00000")="89123", TEXT(TRIM(N208),"00000")="89169", TEXT(TRIM(N208),"00000")="89118"), "South/Strip",
  OR(TEXT(TRIM(N208),"00000")="89074", TEXT(TRIM(N208),"00000")="89014", TEXT(TRIM(N208),"00000")="89015", TEXT(TRIM(N208),"00000")="89011", TEXT(TRIM(N208),"00000")="89012"), "Suburban SE",
  OR(TEXT(TRIM(N208),"00000")="89117", TEXT(TRIM(N208),"00000")="89128", TEXT(TRIM(N208),"00000")="89135", TEXT(TRIM(N208),"00000")="89144", TEXT(TRIM(N208),"00000")="89145", TEXT(TRIM(N208),"00000")="89147"), "West Valley",
  TRUE, "Other"
)</f>
        <v>East Valley</v>
      </c>
      <c r="P208" t="s">
        <v>3298</v>
      </c>
      <c r="Q208" t="str">
        <f t="shared" si="14"/>
        <v>Outdoors/Public</v>
      </c>
      <c r="R208" t="s">
        <v>4341</v>
      </c>
      <c r="S208" t="s">
        <v>5100</v>
      </c>
      <c r="T208" t="str" cm="1">
        <f t="array" ref="T208">_xlfn.IFS(
  TEXT(TRIM(S208),"00000")="NULL", "Missing/Unknown",
  OR(TEXT(TRIM(S208),"00000")="89101", TEXT(TRIM(S208),"00000")="89104", TEXT(TRIM(S208),"00000")="89106", TEXT(TRIM(S208),"00000")="89102", TEXT(TRIM(S208),"00000")="89107", TEXT(TRIM(S208),"00000")="89108"), "Urban Core",
  OR(TEXT(TRIM(S208),"00000")="89110", TEXT(TRIM(S208),"00000")="89115", TEXT(TRIM(S208),"00000")="89121", TEXT(TRIM(S208),"00000")="89122", TEXT(TRIM(S208),"00000")="89142", TEXT(TRIM(S208),"00000")="89156"), "East Valley",
  OR(TEXT(TRIM(S208),"00000")="89030", TEXT(TRIM(S208),"00000")="89031", TEXT(TRIM(S208),"00000")="89032", TEXT(TRIM(S208),"00000")="89086", TEXT(TRIM(S208),"00000")="89084", TEXT(TRIM(S208),"00000")="89081"), "North LV",
  OR(TEXT(TRIM(S208),"00000")="89109", TEXT(TRIM(S208),"00000")="89103", TEXT(TRIM(S208),"00000")="89119", TEXT(TRIM(S208),"00000")="89123", TEXT(TRIM(S208),"00000")="89169", TEXT(TRIM(S208),"00000")="89118"), "South/Strip",
  OR(TEXT(TRIM(S208),"00000")="89074", TEXT(TRIM(S208),"00000")="89014", TEXT(TRIM(S208),"00000")="89015", TEXT(TRIM(S208),"00000")="89011", TEXT(TRIM(S208),"00000")="89012"), "Suburban SE",
  OR(TEXT(TRIM(S208),"00000")="89117", TEXT(TRIM(S208),"00000")="89128", TEXT(TRIM(S208),"00000")="89135", TEXT(TRIM(S208),"00000")="89144", TEXT(TRIM(S208),"00000")="89145", TEXT(TRIM(S208),"00000")="89147"), "West Valley",
  TRUE, "Other"
)</f>
        <v>North LV</v>
      </c>
      <c r="U208" t="s">
        <v>2413</v>
      </c>
      <c r="V208" t="str">
        <f t="shared" si="15"/>
        <v>Medical Facility</v>
      </c>
    </row>
    <row r="209" spans="1:22">
      <c r="A209" t="s">
        <v>2837</v>
      </c>
      <c r="B209" t="s">
        <v>2838</v>
      </c>
      <c r="C209" s="1">
        <v>45494</v>
      </c>
      <c r="D209" s="4">
        <v>111.92</v>
      </c>
      <c r="E209">
        <v>63</v>
      </c>
      <c r="F209" t="str">
        <f t="shared" si="12"/>
        <v>60's</v>
      </c>
      <c r="G209" t="str" cm="1">
        <f t="array" ref="G209">_xlfn.IFS(
  F209="10's", "Child (5–12)",
  OR(F209="20's", F209="30's"), "Young Adult (20–39)",
  OR(F209="40's", F209="50's"), "Adult (40–59)",
  OR(F209="60's", F209="70's", F209="80's", F209="90's"), "Senior (60+)",
  TRUE, "Unknown"
)</f>
        <v>Senior (60+)</v>
      </c>
      <c r="H209" t="s">
        <v>778</v>
      </c>
      <c r="I209" t="s">
        <v>349</v>
      </c>
      <c r="J209" t="str">
        <f t="shared" si="13"/>
        <v>Other / Unknown</v>
      </c>
      <c r="K209" t="s">
        <v>2839</v>
      </c>
      <c r="L209" t="s">
        <v>250</v>
      </c>
      <c r="M209" t="s">
        <v>4611</v>
      </c>
      <c r="N209" t="s">
        <v>5097</v>
      </c>
      <c r="O209" t="str" cm="1">
        <f t="array" ref="O209">_xlfn.IFS(
  TEXT(TRIM(N209),"00000")="NULL", "Missing/Unknown",
  OR(TEXT(TRIM(N209),"00000")="89101", TEXT(TRIM(N209),"00000")="89104", TEXT(TRIM(N209),"00000")="89106", TEXT(TRIM(N209),"00000")="89102", TEXT(TRIM(N209),"00000")="89107", TEXT(TRIM(N209),"00000")="89108"), "Urban Core",
  OR(TEXT(TRIM(N209),"00000")="89110", TEXT(TRIM(N209),"00000")="89115", TEXT(TRIM(N209),"00000")="89121", TEXT(TRIM(N209),"00000")="89122", TEXT(TRIM(N209),"00000")="89142", TEXT(TRIM(N209),"00000")="89156"), "East Valley",
  OR(TEXT(TRIM(N209),"00000")="89030", TEXT(TRIM(N209),"00000")="89031", TEXT(TRIM(N209),"00000")="89032", TEXT(TRIM(N209),"00000")="89086", TEXT(TRIM(N209),"00000")="89084", TEXT(TRIM(N209),"00000")="89081"), "North LV",
  OR(TEXT(TRIM(N209),"00000")="89109", TEXT(TRIM(N209),"00000")="89103", TEXT(TRIM(N209),"00000")="89119", TEXT(TRIM(N209),"00000")="89123", TEXT(TRIM(N209),"00000")="89169", TEXT(TRIM(N209),"00000")="89118"), "South/Strip",
  OR(TEXT(TRIM(N209),"00000")="89074", TEXT(TRIM(N209),"00000")="89014", TEXT(TRIM(N209),"00000")="89015", TEXT(TRIM(N209),"00000")="89011", TEXT(TRIM(N209),"00000")="89012"), "Suburban SE",
  OR(TEXT(TRIM(N209),"00000")="89117", TEXT(TRIM(N209),"00000")="89128", TEXT(TRIM(N209),"00000")="89135", TEXT(TRIM(N209),"00000")="89144", TEXT(TRIM(N209),"00000")="89145", TEXT(TRIM(N209),"00000")="89147"), "West Valley",
  TRUE, "Other"
)</f>
        <v>Urban Core</v>
      </c>
      <c r="P209" t="s">
        <v>271</v>
      </c>
      <c r="Q209" t="str">
        <f t="shared" si="14"/>
        <v>Home/Residence</v>
      </c>
      <c r="R209" t="s">
        <v>4611</v>
      </c>
      <c r="S209" t="s">
        <v>5097</v>
      </c>
      <c r="T209" t="str" cm="1">
        <f t="array" ref="T209">_xlfn.IFS(
  TEXT(TRIM(S209),"00000")="NULL", "Missing/Unknown",
  OR(TEXT(TRIM(S209),"00000")="89101", TEXT(TRIM(S209),"00000")="89104", TEXT(TRIM(S209),"00000")="89106", TEXT(TRIM(S209),"00000")="89102", TEXT(TRIM(S209),"00000")="89107", TEXT(TRIM(S209),"00000")="89108"), "Urban Core",
  OR(TEXT(TRIM(S209),"00000")="89110", TEXT(TRIM(S209),"00000")="89115", TEXT(TRIM(S209),"00000")="89121", TEXT(TRIM(S209),"00000")="89122", TEXT(TRIM(S209),"00000")="89142", TEXT(TRIM(S209),"00000")="89156"), "East Valley",
  OR(TEXT(TRIM(S209),"00000")="89030", TEXT(TRIM(S209),"00000")="89031", TEXT(TRIM(S209),"00000")="89032", TEXT(TRIM(S209),"00000")="89086", TEXT(TRIM(S209),"00000")="89084", TEXT(TRIM(S209),"00000")="89081"), "North LV",
  OR(TEXT(TRIM(S209),"00000")="89109", TEXT(TRIM(S209),"00000")="89103", TEXT(TRIM(S209),"00000")="89119", TEXT(TRIM(S209),"00000")="89123", TEXT(TRIM(S209),"00000")="89169", TEXT(TRIM(S209),"00000")="89118"), "South/Strip",
  OR(TEXT(TRIM(S209),"00000")="89074", TEXT(TRIM(S209),"00000")="89014", TEXT(TRIM(S209),"00000")="89015", TEXT(TRIM(S209),"00000")="89011", TEXT(TRIM(S209),"00000")="89012"), "Suburban SE",
  OR(TEXT(TRIM(S209),"00000")="89117", TEXT(TRIM(S209),"00000")="89128", TEXT(TRIM(S209),"00000")="89135", TEXT(TRIM(S209),"00000")="89144", TEXT(TRIM(S209),"00000")="89145", TEXT(TRIM(S209),"00000")="89147"), "West Valley",
  TRUE, "Other"
)</f>
        <v>Urban Core</v>
      </c>
      <c r="U209" t="s">
        <v>271</v>
      </c>
      <c r="V209" t="str">
        <f t="shared" si="15"/>
        <v>Home/Residence</v>
      </c>
    </row>
    <row r="210" spans="1:22">
      <c r="A210" t="s">
        <v>2461</v>
      </c>
      <c r="B210" t="s">
        <v>2462</v>
      </c>
      <c r="C210" s="1">
        <v>45494</v>
      </c>
      <c r="D210" s="4">
        <v>111.92</v>
      </c>
      <c r="E210">
        <v>58</v>
      </c>
      <c r="F210" t="str">
        <f t="shared" si="12"/>
        <v>50's</v>
      </c>
      <c r="G210" t="str" cm="1">
        <f t="array" ref="G210">_xlfn.IFS(
  F210="10's", "Child (5–12)",
  OR(F210="20's", F210="30's"), "Young Adult (20–39)",
  OR(F210="40's", F210="50's"), "Adult (40–59)",
  OR(F210="60's", F210="70's", F210="80's", F210="90's"), "Senior (60+)",
  TRUE, "Unknown"
)</f>
        <v>Adult (40–59)</v>
      </c>
      <c r="H210" t="s">
        <v>841</v>
      </c>
      <c r="I210" t="s">
        <v>4040</v>
      </c>
      <c r="J210" t="str">
        <f t="shared" si="13"/>
        <v>Methamphetamine-related</v>
      </c>
      <c r="K210" t="s">
        <v>2463</v>
      </c>
      <c r="L210" t="s">
        <v>250</v>
      </c>
      <c r="N210" t="s">
        <v>5095</v>
      </c>
      <c r="O210" t="str" cm="1">
        <f t="array" ref="O210">_xlfn.IFS(
  TEXT(TRIM(N210),"00000")="NULL", "Missing/Unknown",
  OR(TEXT(TRIM(N210),"00000")="89101", TEXT(TRIM(N210),"00000")="89104", TEXT(TRIM(N210),"00000")="89106", TEXT(TRIM(N210),"00000")="89102", TEXT(TRIM(N210),"00000")="89107", TEXT(TRIM(N210),"00000")="89108"), "Urban Core",
  OR(TEXT(TRIM(N210),"00000")="89110", TEXT(TRIM(N210),"00000")="89115", TEXT(TRIM(N210),"00000")="89121", TEXT(TRIM(N210),"00000")="89122", TEXT(TRIM(N210),"00000")="89142", TEXT(TRIM(N210),"00000")="89156"), "East Valley",
  OR(TEXT(TRIM(N210),"00000")="89030", TEXT(TRIM(N210),"00000")="89031", TEXT(TRIM(N210),"00000")="89032", TEXT(TRIM(N210),"00000")="89086", TEXT(TRIM(N210),"00000")="89084", TEXT(TRIM(N210),"00000")="89081"), "North LV",
  OR(TEXT(TRIM(N210),"00000")="89109", TEXT(TRIM(N210),"00000")="89103", TEXT(TRIM(N210),"00000")="89119", TEXT(TRIM(N210),"00000")="89123", TEXT(TRIM(N210),"00000")="89169", TEXT(TRIM(N210),"00000")="89118"), "South/Strip",
  OR(TEXT(TRIM(N210),"00000")="89074", TEXT(TRIM(N210),"00000")="89014", TEXT(TRIM(N210),"00000")="89015", TEXT(TRIM(N210),"00000")="89011", TEXT(TRIM(N210),"00000")="89012"), "Suburban SE",
  OR(TEXT(TRIM(N210),"00000")="89117", TEXT(TRIM(N210),"00000")="89128", TEXT(TRIM(N210),"00000")="89135", TEXT(TRIM(N210),"00000")="89144", TEXT(TRIM(N210),"00000")="89145", TEXT(TRIM(N210),"00000")="89147"), "West Valley",
  TRUE, "Other"
)</f>
        <v>Missing/Unknown</v>
      </c>
      <c r="P210" t="s">
        <v>3298</v>
      </c>
      <c r="Q210" t="str">
        <f t="shared" si="14"/>
        <v>Outdoors/Public</v>
      </c>
      <c r="R210" t="s">
        <v>5052</v>
      </c>
      <c r="S210" t="s">
        <v>5130</v>
      </c>
      <c r="T210" t="str" cm="1">
        <f t="array" ref="T210">_xlfn.IFS(
  TEXT(TRIM(S210),"00000")="NULL", "Missing/Unknown",
  OR(TEXT(TRIM(S210),"00000")="89101", TEXT(TRIM(S210),"00000")="89104", TEXT(TRIM(S210),"00000")="89106", TEXT(TRIM(S210),"00000")="89102", TEXT(TRIM(S210),"00000")="89107", TEXT(TRIM(S210),"00000")="89108"), "Urban Core",
  OR(TEXT(TRIM(S210),"00000")="89110", TEXT(TRIM(S210),"00000")="89115", TEXT(TRIM(S210),"00000")="89121", TEXT(TRIM(S210),"00000")="89122", TEXT(TRIM(S210),"00000")="89142", TEXT(TRIM(S210),"00000")="89156"), "East Valley",
  OR(TEXT(TRIM(S210),"00000")="89030", TEXT(TRIM(S210),"00000")="89031", TEXT(TRIM(S210),"00000")="89032", TEXT(TRIM(S210),"00000")="89086", TEXT(TRIM(S210),"00000")="89084", TEXT(TRIM(S210),"00000")="89081"), "North LV",
  OR(TEXT(TRIM(S210),"00000")="89109", TEXT(TRIM(S210),"00000")="89103", TEXT(TRIM(S210),"00000")="89119", TEXT(TRIM(S210),"00000")="89123", TEXT(TRIM(S210),"00000")="89169", TEXT(TRIM(S210),"00000")="89118"), "South/Strip",
  OR(TEXT(TRIM(S210),"00000")="89074", TEXT(TRIM(S210),"00000")="89014", TEXT(TRIM(S210),"00000")="89015", TEXT(TRIM(S210),"00000")="89011", TEXT(TRIM(S210),"00000")="89012"), "Suburban SE",
  OR(TEXT(TRIM(S210),"00000")="89117", TEXT(TRIM(S210),"00000")="89128", TEXT(TRIM(S210),"00000")="89135", TEXT(TRIM(S210),"00000")="89144", TEXT(TRIM(S210),"00000")="89145", TEXT(TRIM(S210),"00000")="89147"), "West Valley",
  TRUE, "Other"
)</f>
        <v>Other</v>
      </c>
      <c r="U210" t="s">
        <v>2465</v>
      </c>
      <c r="V210" t="str">
        <f t="shared" si="15"/>
        <v>Medical Facility</v>
      </c>
    </row>
    <row r="211" spans="1:22">
      <c r="A211" t="s">
        <v>3116</v>
      </c>
      <c r="B211" t="s">
        <v>3117</v>
      </c>
      <c r="C211" s="1">
        <v>45494</v>
      </c>
      <c r="D211" s="4">
        <v>111.92</v>
      </c>
      <c r="E211">
        <v>63</v>
      </c>
      <c r="F211" t="str">
        <f t="shared" si="12"/>
        <v>60's</v>
      </c>
      <c r="G211" t="str" cm="1">
        <f t="array" ref="G211">_xlfn.IFS(
  F211="10's", "Child (5–12)",
  OR(F211="20's", F211="30's"), "Young Adult (20–39)",
  OR(F211="40's", F211="50's"), "Adult (40–59)",
  OR(F211="60's", F211="70's", F211="80's", F211="90's"), "Senior (60+)",
  TRUE, "Unknown"
)</f>
        <v>Senior (60+)</v>
      </c>
      <c r="H211" t="s">
        <v>841</v>
      </c>
      <c r="I211" t="s">
        <v>54</v>
      </c>
      <c r="J211" t="str">
        <f t="shared" si="13"/>
        <v>Environmental Heat</v>
      </c>
      <c r="K211" t="s">
        <v>1124</v>
      </c>
      <c r="L211" t="s">
        <v>250</v>
      </c>
      <c r="N211" t="s">
        <v>5095</v>
      </c>
      <c r="O211" t="str" cm="1">
        <f t="array" ref="O211">_xlfn.IFS(
  TEXT(TRIM(N211),"00000")="NULL", "Missing/Unknown",
  OR(TEXT(TRIM(N211),"00000")="89101", TEXT(TRIM(N211),"00000")="89104", TEXT(TRIM(N211),"00000")="89106", TEXT(TRIM(N211),"00000")="89102", TEXT(TRIM(N211),"00000")="89107", TEXT(TRIM(N211),"00000")="89108"), "Urban Core",
  OR(TEXT(TRIM(N211),"00000")="89110", TEXT(TRIM(N211),"00000")="89115", TEXT(TRIM(N211),"00000")="89121", TEXT(TRIM(N211),"00000")="89122", TEXT(TRIM(N211),"00000")="89142", TEXT(TRIM(N211),"00000")="89156"), "East Valley",
  OR(TEXT(TRIM(N211),"00000")="89030", TEXT(TRIM(N211),"00000")="89031", TEXT(TRIM(N211),"00000")="89032", TEXT(TRIM(N211),"00000")="89086", TEXT(TRIM(N211),"00000")="89084", TEXT(TRIM(N211),"00000")="89081"), "North LV",
  OR(TEXT(TRIM(N211),"00000")="89109", TEXT(TRIM(N211),"00000")="89103", TEXT(TRIM(N211),"00000")="89119", TEXT(TRIM(N211),"00000")="89123", TEXT(TRIM(N211),"00000")="89169", TEXT(TRIM(N211),"00000")="89118"), "South/Strip",
  OR(TEXT(TRIM(N211),"00000")="89074", TEXT(TRIM(N211),"00000")="89014", TEXT(TRIM(N211),"00000")="89015", TEXT(TRIM(N211),"00000")="89011", TEXT(TRIM(N211),"00000")="89012"), "Suburban SE",
  OR(TEXT(TRIM(N211),"00000")="89117", TEXT(TRIM(N211),"00000")="89128", TEXT(TRIM(N211),"00000")="89135", TEXT(TRIM(N211),"00000")="89144", TEXT(TRIM(N211),"00000")="89145", TEXT(TRIM(N211),"00000")="89147"), "West Valley",
  TRUE, "Other"
)</f>
        <v>Missing/Unknown</v>
      </c>
      <c r="P211" t="s">
        <v>3298</v>
      </c>
      <c r="Q211" t="str">
        <f t="shared" si="14"/>
        <v>Outdoors/Public</v>
      </c>
      <c r="S211" t="s">
        <v>5095</v>
      </c>
      <c r="T211" t="str" cm="1">
        <f t="array" ref="T211">_xlfn.IFS(
  TEXT(TRIM(S211),"00000")="NULL", "Missing/Unknown",
  OR(TEXT(TRIM(S211),"00000")="89101", TEXT(TRIM(S211),"00000")="89104", TEXT(TRIM(S211),"00000")="89106", TEXT(TRIM(S211),"00000")="89102", TEXT(TRIM(S211),"00000")="89107", TEXT(TRIM(S211),"00000")="89108"), "Urban Core",
  OR(TEXT(TRIM(S211),"00000")="89110", TEXT(TRIM(S211),"00000")="89115", TEXT(TRIM(S211),"00000")="89121", TEXT(TRIM(S211),"00000")="89122", TEXT(TRIM(S211),"00000")="89142", TEXT(TRIM(S211),"00000")="89156"), "East Valley",
  OR(TEXT(TRIM(S211),"00000")="89030", TEXT(TRIM(S211),"00000")="89031", TEXT(TRIM(S211),"00000")="89032", TEXT(TRIM(S211),"00000")="89086", TEXT(TRIM(S211),"00000")="89084", TEXT(TRIM(S211),"00000")="89081"), "North LV",
  OR(TEXT(TRIM(S211),"00000")="89109", TEXT(TRIM(S211),"00000")="89103", TEXT(TRIM(S211),"00000")="89119", TEXT(TRIM(S211),"00000")="89123", TEXT(TRIM(S211),"00000")="89169", TEXT(TRIM(S211),"00000")="89118"), "South/Strip",
  OR(TEXT(TRIM(S211),"00000")="89074", TEXT(TRIM(S211),"00000")="89014", TEXT(TRIM(S211),"00000")="89015", TEXT(TRIM(S211),"00000")="89011", TEXT(TRIM(S211),"00000")="89012"), "Suburban SE",
  OR(TEXT(TRIM(S211),"00000")="89117", TEXT(TRIM(S211),"00000")="89128", TEXT(TRIM(S211),"00000")="89135", TEXT(TRIM(S211),"00000")="89144", TEXT(TRIM(S211),"00000")="89145", TEXT(TRIM(S211),"00000")="89147"), "West Valley",
  TRUE, "Other"
)</f>
        <v>Missing/Unknown</v>
      </c>
      <c r="U211" t="s">
        <v>3298</v>
      </c>
      <c r="V211" t="str">
        <f t="shared" si="15"/>
        <v>Outdoors/Public</v>
      </c>
    </row>
    <row r="212" spans="1:22">
      <c r="A212" t="s">
        <v>3118</v>
      </c>
      <c r="B212" t="s">
        <v>3119</v>
      </c>
      <c r="C212" s="1">
        <v>45494</v>
      </c>
      <c r="D212" s="4">
        <v>111.92</v>
      </c>
      <c r="E212">
        <v>69</v>
      </c>
      <c r="F212" t="str">
        <f t="shared" si="12"/>
        <v>60's</v>
      </c>
      <c r="G212" t="str" cm="1">
        <f t="array" ref="G212">_xlfn.IFS(
  F212="10's", "Child (5–12)",
  OR(F212="20's", F212="30's"), "Young Adult (20–39)",
  OR(F212="40's", F212="50's"), "Adult (40–59)",
  OR(F212="60's", F212="70's", F212="80's", F212="90's"), "Senior (60+)",
  TRUE, "Unknown"
)</f>
        <v>Senior (60+)</v>
      </c>
      <c r="H212" t="s">
        <v>841</v>
      </c>
      <c r="I212" t="s">
        <v>54</v>
      </c>
      <c r="J212" t="str">
        <f t="shared" si="13"/>
        <v>Environmental Heat</v>
      </c>
      <c r="K212" t="s">
        <v>63</v>
      </c>
      <c r="L212" t="s">
        <v>250</v>
      </c>
      <c r="N212" t="s">
        <v>5095</v>
      </c>
      <c r="O212" t="str" cm="1">
        <f t="array" ref="O212">_xlfn.IFS(
  TEXT(TRIM(N212),"00000")="NULL", "Missing/Unknown",
  OR(TEXT(TRIM(N212),"00000")="89101", TEXT(TRIM(N212),"00000")="89104", TEXT(TRIM(N212),"00000")="89106", TEXT(TRIM(N212),"00000")="89102", TEXT(TRIM(N212),"00000")="89107", TEXT(TRIM(N212),"00000")="89108"), "Urban Core",
  OR(TEXT(TRIM(N212),"00000")="89110", TEXT(TRIM(N212),"00000")="89115", TEXT(TRIM(N212),"00000")="89121", TEXT(TRIM(N212),"00000")="89122", TEXT(TRIM(N212),"00000")="89142", TEXT(TRIM(N212),"00000")="89156"), "East Valley",
  OR(TEXT(TRIM(N212),"00000")="89030", TEXT(TRIM(N212),"00000")="89031", TEXT(TRIM(N212),"00000")="89032", TEXT(TRIM(N212),"00000")="89086", TEXT(TRIM(N212),"00000")="89084", TEXT(TRIM(N212),"00000")="89081"), "North LV",
  OR(TEXT(TRIM(N212),"00000")="89109", TEXT(TRIM(N212),"00000")="89103", TEXT(TRIM(N212),"00000")="89119", TEXT(TRIM(N212),"00000")="89123", TEXT(TRIM(N212),"00000")="89169", TEXT(TRIM(N212),"00000")="89118"), "South/Strip",
  OR(TEXT(TRIM(N212),"00000")="89074", TEXT(TRIM(N212),"00000")="89014", TEXT(TRIM(N212),"00000")="89015", TEXT(TRIM(N212),"00000")="89011", TEXT(TRIM(N212),"00000")="89012"), "Suburban SE",
  OR(TEXT(TRIM(N212),"00000")="89117", TEXT(TRIM(N212),"00000")="89128", TEXT(TRIM(N212),"00000")="89135", TEXT(TRIM(N212),"00000")="89144", TEXT(TRIM(N212),"00000")="89145", TEXT(TRIM(N212),"00000")="89147"), "West Valley",
  TRUE, "Other"
)</f>
        <v>Missing/Unknown</v>
      </c>
      <c r="P212" t="s">
        <v>3298</v>
      </c>
      <c r="Q212" t="str">
        <f t="shared" si="14"/>
        <v>Outdoors/Public</v>
      </c>
      <c r="S212" t="s">
        <v>5095</v>
      </c>
      <c r="T212" t="str" cm="1">
        <f t="array" ref="T212">_xlfn.IFS(
  TEXT(TRIM(S212),"00000")="NULL", "Missing/Unknown",
  OR(TEXT(TRIM(S212),"00000")="89101", TEXT(TRIM(S212),"00000")="89104", TEXT(TRIM(S212),"00000")="89106", TEXT(TRIM(S212),"00000")="89102", TEXT(TRIM(S212),"00000")="89107", TEXT(TRIM(S212),"00000")="89108"), "Urban Core",
  OR(TEXT(TRIM(S212),"00000")="89110", TEXT(TRIM(S212),"00000")="89115", TEXT(TRIM(S212),"00000")="89121", TEXT(TRIM(S212),"00000")="89122", TEXT(TRIM(S212),"00000")="89142", TEXT(TRIM(S212),"00000")="89156"), "East Valley",
  OR(TEXT(TRIM(S212),"00000")="89030", TEXT(TRIM(S212),"00000")="89031", TEXT(TRIM(S212),"00000")="89032", TEXT(TRIM(S212),"00000")="89086", TEXT(TRIM(S212),"00000")="89084", TEXT(TRIM(S212),"00000")="89081"), "North LV",
  OR(TEXT(TRIM(S212),"00000")="89109", TEXT(TRIM(S212),"00000")="89103", TEXT(TRIM(S212),"00000")="89119", TEXT(TRIM(S212),"00000")="89123", TEXT(TRIM(S212),"00000")="89169", TEXT(TRIM(S212),"00000")="89118"), "South/Strip",
  OR(TEXT(TRIM(S212),"00000")="89074", TEXT(TRIM(S212),"00000")="89014", TEXT(TRIM(S212),"00000")="89015", TEXT(TRIM(S212),"00000")="89011", TEXT(TRIM(S212),"00000")="89012"), "Suburban SE",
  OR(TEXT(TRIM(S212),"00000")="89117", TEXT(TRIM(S212),"00000")="89128", TEXT(TRIM(S212),"00000")="89135", TEXT(TRIM(S212),"00000")="89144", TEXT(TRIM(S212),"00000")="89145", TEXT(TRIM(S212),"00000")="89147"), "West Valley",
  TRUE, "Other"
)</f>
        <v>Missing/Unknown</v>
      </c>
      <c r="U212" t="s">
        <v>3298</v>
      </c>
      <c r="V212" t="str">
        <f t="shared" si="15"/>
        <v>Outdoors/Public</v>
      </c>
    </row>
    <row r="213" spans="1:22">
      <c r="A213" t="s">
        <v>3109</v>
      </c>
      <c r="B213" t="s">
        <v>3110</v>
      </c>
      <c r="C213" s="1">
        <v>45493</v>
      </c>
      <c r="D213" s="4">
        <v>111.92</v>
      </c>
      <c r="E213">
        <v>77</v>
      </c>
      <c r="F213" t="str">
        <f t="shared" si="12"/>
        <v>70's</v>
      </c>
      <c r="G213" t="str" cm="1">
        <f t="array" ref="G213">_xlfn.IFS(
  F213="10's", "Child (5–12)",
  OR(F213="20's", F213="30's"), "Young Adult (20–39)",
  OR(F213="40's", F213="50's"), "Adult (40–59)",
  OR(F213="60's", F213="70's", F213="80's", F213="90's"), "Senior (60+)",
  TRUE, "Unknown"
)</f>
        <v>Senior (60+)</v>
      </c>
      <c r="H213" t="s">
        <v>778</v>
      </c>
      <c r="I213" t="s">
        <v>54</v>
      </c>
      <c r="J213" t="str">
        <f t="shared" si="13"/>
        <v>Environmental Heat</v>
      </c>
      <c r="K213" t="s">
        <v>4172</v>
      </c>
      <c r="L213" t="s">
        <v>1071</v>
      </c>
      <c r="M213" t="s">
        <v>4920</v>
      </c>
      <c r="N213" t="s">
        <v>5135</v>
      </c>
      <c r="O213" t="str" cm="1">
        <f t="array" ref="O213">_xlfn.IFS(
  TEXT(TRIM(N213),"00000")="NULL", "Missing/Unknown",
  OR(TEXT(TRIM(N213),"00000")="89101", TEXT(TRIM(N213),"00000")="89104", TEXT(TRIM(N213),"00000")="89106", TEXT(TRIM(N213),"00000")="89102", TEXT(TRIM(N213),"00000")="89107", TEXT(TRIM(N213),"00000")="89108"), "Urban Core",
  OR(TEXT(TRIM(N213),"00000")="89110", TEXT(TRIM(N213),"00000")="89115", TEXT(TRIM(N213),"00000")="89121", TEXT(TRIM(N213),"00000")="89122", TEXT(TRIM(N213),"00000")="89142", TEXT(TRIM(N213),"00000")="89156"), "East Valley",
  OR(TEXT(TRIM(N213),"00000")="89030", TEXT(TRIM(N213),"00000")="89031", TEXT(TRIM(N213),"00000")="89032", TEXT(TRIM(N213),"00000")="89086", TEXT(TRIM(N213),"00000")="89084", TEXT(TRIM(N213),"00000")="89081"), "North LV",
  OR(TEXT(TRIM(N213),"00000")="89109", TEXT(TRIM(N213),"00000")="89103", TEXT(TRIM(N213),"00000")="89119", TEXT(TRIM(N213),"00000")="89123", TEXT(TRIM(N213),"00000")="89169", TEXT(TRIM(N213),"00000")="89118"), "South/Strip",
  OR(TEXT(TRIM(N213),"00000")="89074", TEXT(TRIM(N213),"00000")="89014", TEXT(TRIM(N213),"00000")="89015", TEXT(TRIM(N213),"00000")="89011", TEXT(TRIM(N213),"00000")="89012"), "Suburban SE",
  OR(TEXT(TRIM(N213),"00000")="89117", TEXT(TRIM(N213),"00000")="89128", TEXT(TRIM(N213),"00000")="89135", TEXT(TRIM(N213),"00000")="89144", TEXT(TRIM(N213),"00000")="89145", TEXT(TRIM(N213),"00000")="89147"), "West Valley",
  TRUE, "Other"
)</f>
        <v>Other</v>
      </c>
      <c r="P213" t="s">
        <v>1073</v>
      </c>
      <c r="Q213" t="str">
        <f t="shared" si="14"/>
        <v>Home/Residence</v>
      </c>
      <c r="R213" t="s">
        <v>4920</v>
      </c>
      <c r="S213" t="s">
        <v>5135</v>
      </c>
      <c r="T213" t="str" cm="1">
        <f t="array" ref="T213">_xlfn.IFS(
  TEXT(TRIM(S213),"00000")="NULL", "Missing/Unknown",
  OR(TEXT(TRIM(S213),"00000")="89101", TEXT(TRIM(S213),"00000")="89104", TEXT(TRIM(S213),"00000")="89106", TEXT(TRIM(S213),"00000")="89102", TEXT(TRIM(S213),"00000")="89107", TEXT(TRIM(S213),"00000")="89108"), "Urban Core",
  OR(TEXT(TRIM(S213),"00000")="89110", TEXT(TRIM(S213),"00000")="89115", TEXT(TRIM(S213),"00000")="89121", TEXT(TRIM(S213),"00000")="89122", TEXT(TRIM(S213),"00000")="89142", TEXT(TRIM(S213),"00000")="89156"), "East Valley",
  OR(TEXT(TRIM(S213),"00000")="89030", TEXT(TRIM(S213),"00000")="89031", TEXT(TRIM(S213),"00000")="89032", TEXT(TRIM(S213),"00000")="89086", TEXT(TRIM(S213),"00000")="89084", TEXT(TRIM(S213),"00000")="89081"), "North LV",
  OR(TEXT(TRIM(S213),"00000")="89109", TEXT(TRIM(S213),"00000")="89103", TEXT(TRIM(S213),"00000")="89119", TEXT(TRIM(S213),"00000")="89123", TEXT(TRIM(S213),"00000")="89169", TEXT(TRIM(S213),"00000")="89118"), "South/Strip",
  OR(TEXT(TRIM(S213),"00000")="89074", TEXT(TRIM(S213),"00000")="89014", TEXT(TRIM(S213),"00000")="89015", TEXT(TRIM(S213),"00000")="89011", TEXT(TRIM(S213),"00000")="89012"), "Suburban SE",
  OR(TEXT(TRIM(S213),"00000")="89117", TEXT(TRIM(S213),"00000")="89128", TEXT(TRIM(S213),"00000")="89135", TEXT(TRIM(S213),"00000")="89144", TEXT(TRIM(S213),"00000")="89145", TEXT(TRIM(S213),"00000")="89147"), "West Valley",
  TRUE, "Other"
)</f>
        <v>Other</v>
      </c>
      <c r="U213" t="s">
        <v>1073</v>
      </c>
      <c r="V213" t="str">
        <f t="shared" si="15"/>
        <v>Home/Residence</v>
      </c>
    </row>
    <row r="214" spans="1:22">
      <c r="A214" t="s">
        <v>2506</v>
      </c>
      <c r="B214" t="s">
        <v>2507</v>
      </c>
      <c r="C214" s="1">
        <v>45493</v>
      </c>
      <c r="D214" s="4">
        <v>111.92</v>
      </c>
      <c r="E214">
        <v>45</v>
      </c>
      <c r="F214" t="str">
        <f t="shared" si="12"/>
        <v>40's</v>
      </c>
      <c r="G214" t="str" cm="1">
        <f t="array" ref="G214">_xlfn.IFS(
  F214="10's", "Child (5–12)",
  OR(F214="20's", F214="30's"), "Young Adult (20–39)",
  OR(F214="40's", F214="50's"), "Adult (40–59)",
  OR(F214="60's", F214="70's", F214="80's", F214="90's"), "Senior (60+)",
  TRUE, "Unknown"
)</f>
        <v>Adult (40–59)</v>
      </c>
      <c r="H214" t="s">
        <v>778</v>
      </c>
      <c r="I214" t="s">
        <v>34</v>
      </c>
      <c r="J214" t="str">
        <f t="shared" si="13"/>
        <v>Methamphetamine-related</v>
      </c>
      <c r="K214" t="s">
        <v>54</v>
      </c>
      <c r="L214" t="s">
        <v>250</v>
      </c>
      <c r="N214" t="s">
        <v>5095</v>
      </c>
      <c r="O214" t="str" cm="1">
        <f t="array" ref="O214">_xlfn.IFS(
  TEXT(TRIM(N214),"00000")="NULL", "Missing/Unknown",
  OR(TEXT(TRIM(N214),"00000")="89101", TEXT(TRIM(N214),"00000")="89104", TEXT(TRIM(N214),"00000")="89106", TEXT(TRIM(N214),"00000")="89102", TEXT(TRIM(N214),"00000")="89107", TEXT(TRIM(N214),"00000")="89108"), "Urban Core",
  OR(TEXT(TRIM(N214),"00000")="89110", TEXT(TRIM(N214),"00000")="89115", TEXT(TRIM(N214),"00000")="89121", TEXT(TRIM(N214),"00000")="89122", TEXT(TRIM(N214),"00000")="89142", TEXT(TRIM(N214),"00000")="89156"), "East Valley",
  OR(TEXT(TRIM(N214),"00000")="89030", TEXT(TRIM(N214),"00000")="89031", TEXT(TRIM(N214),"00000")="89032", TEXT(TRIM(N214),"00000")="89086", TEXT(TRIM(N214),"00000")="89084", TEXT(TRIM(N214),"00000")="89081"), "North LV",
  OR(TEXT(TRIM(N214),"00000")="89109", TEXT(TRIM(N214),"00000")="89103", TEXT(TRIM(N214),"00000")="89119", TEXT(TRIM(N214),"00000")="89123", TEXT(TRIM(N214),"00000")="89169", TEXT(TRIM(N214),"00000")="89118"), "South/Strip",
  OR(TEXT(TRIM(N214),"00000")="89074", TEXT(TRIM(N214),"00000")="89014", TEXT(TRIM(N214),"00000")="89015", TEXT(TRIM(N214),"00000")="89011", TEXT(TRIM(N214),"00000")="89012"), "Suburban SE",
  OR(TEXT(TRIM(N214),"00000")="89117", TEXT(TRIM(N214),"00000")="89128", TEXT(TRIM(N214),"00000")="89135", TEXT(TRIM(N214),"00000")="89144", TEXT(TRIM(N214),"00000")="89145", TEXT(TRIM(N214),"00000")="89147"), "West Valley",
  TRUE, "Other"
)</f>
        <v>Missing/Unknown</v>
      </c>
      <c r="P214" t="s">
        <v>3298</v>
      </c>
      <c r="Q214" t="str">
        <f t="shared" si="14"/>
        <v>Outdoors/Public</v>
      </c>
      <c r="R214" t="s">
        <v>4341</v>
      </c>
      <c r="S214" t="s">
        <v>5100</v>
      </c>
      <c r="T214" t="str" cm="1">
        <f t="array" ref="T214">_xlfn.IFS(
  TEXT(TRIM(S214),"00000")="NULL", "Missing/Unknown",
  OR(TEXT(TRIM(S214),"00000")="89101", TEXT(TRIM(S214),"00000")="89104", TEXT(TRIM(S214),"00000")="89106", TEXT(TRIM(S214),"00000")="89102", TEXT(TRIM(S214),"00000")="89107", TEXT(TRIM(S214),"00000")="89108"), "Urban Core",
  OR(TEXT(TRIM(S214),"00000")="89110", TEXT(TRIM(S214),"00000")="89115", TEXT(TRIM(S214),"00000")="89121", TEXT(TRIM(S214),"00000")="89122", TEXT(TRIM(S214),"00000")="89142", TEXT(TRIM(S214),"00000")="89156"), "East Valley",
  OR(TEXT(TRIM(S214),"00000")="89030", TEXT(TRIM(S214),"00000")="89031", TEXT(TRIM(S214),"00000")="89032", TEXT(TRIM(S214),"00000")="89086", TEXT(TRIM(S214),"00000")="89084", TEXT(TRIM(S214),"00000")="89081"), "North LV",
  OR(TEXT(TRIM(S214),"00000")="89109", TEXT(TRIM(S214),"00000")="89103", TEXT(TRIM(S214),"00000")="89119", TEXT(TRIM(S214),"00000")="89123", TEXT(TRIM(S214),"00000")="89169", TEXT(TRIM(S214),"00000")="89118"), "South/Strip",
  OR(TEXT(TRIM(S214),"00000")="89074", TEXT(TRIM(S214),"00000")="89014", TEXT(TRIM(S214),"00000")="89015", TEXT(TRIM(S214),"00000")="89011", TEXT(TRIM(S214),"00000")="89012"), "Suburban SE",
  OR(TEXT(TRIM(S214),"00000")="89117", TEXT(TRIM(S214),"00000")="89128", TEXT(TRIM(S214),"00000")="89135", TEXT(TRIM(S214),"00000")="89144", TEXT(TRIM(S214),"00000")="89145", TEXT(TRIM(S214),"00000")="89147"), "West Valley",
  TRUE, "Other"
)</f>
        <v>North LV</v>
      </c>
      <c r="U214" t="s">
        <v>2465</v>
      </c>
      <c r="V214" t="str">
        <f t="shared" si="15"/>
        <v>Medical Facility</v>
      </c>
    </row>
    <row r="215" spans="1:22">
      <c r="A215" t="s">
        <v>3113</v>
      </c>
      <c r="B215" t="s">
        <v>3114</v>
      </c>
      <c r="C215" s="1">
        <v>45493</v>
      </c>
      <c r="D215" s="4">
        <v>111.92</v>
      </c>
      <c r="E215">
        <v>80</v>
      </c>
      <c r="F215" t="str">
        <f t="shared" si="12"/>
        <v>80's</v>
      </c>
      <c r="G215" t="str" cm="1">
        <f t="array" ref="G215">_xlfn.IFS(
  F215="10's", "Child (5–12)",
  OR(F215="20's", F215="30's"), "Young Adult (20–39)",
  OR(F215="40's", F215="50's"), "Adult (40–59)",
  OR(F215="60's", F215="70's", F215="80's", F215="90's"), "Senior (60+)",
  TRUE, "Unknown"
)</f>
        <v>Senior (60+)</v>
      </c>
      <c r="H215" t="s">
        <v>841</v>
      </c>
      <c r="I215" t="s">
        <v>54</v>
      </c>
      <c r="J215" t="str">
        <f t="shared" si="13"/>
        <v>Environmental Heat</v>
      </c>
      <c r="K215" t="s">
        <v>181</v>
      </c>
      <c r="L215" t="s">
        <v>1071</v>
      </c>
      <c r="M215" t="s">
        <v>4921</v>
      </c>
      <c r="N215" t="s">
        <v>5114</v>
      </c>
      <c r="O215" t="str" cm="1">
        <f t="array" ref="O215">_xlfn.IFS(
  TEXT(TRIM(N215),"00000")="NULL", "Missing/Unknown",
  OR(TEXT(TRIM(N215),"00000")="89101", TEXT(TRIM(N215),"00000")="89104", TEXT(TRIM(N215),"00000")="89106", TEXT(TRIM(N215),"00000")="89102", TEXT(TRIM(N215),"00000")="89107", TEXT(TRIM(N215),"00000")="89108"), "Urban Core",
  OR(TEXT(TRIM(N215),"00000")="89110", TEXT(TRIM(N215),"00000")="89115", TEXT(TRIM(N215),"00000")="89121", TEXT(TRIM(N215),"00000")="89122", TEXT(TRIM(N215),"00000")="89142", TEXT(TRIM(N215),"00000")="89156"), "East Valley",
  OR(TEXT(TRIM(N215),"00000")="89030", TEXT(TRIM(N215),"00000")="89031", TEXT(TRIM(N215),"00000")="89032", TEXT(TRIM(N215),"00000")="89086", TEXT(TRIM(N215),"00000")="89084", TEXT(TRIM(N215),"00000")="89081"), "North LV",
  OR(TEXT(TRIM(N215),"00000")="89109", TEXT(TRIM(N215),"00000")="89103", TEXT(TRIM(N215),"00000")="89119", TEXT(TRIM(N215),"00000")="89123", TEXT(TRIM(N215),"00000")="89169", TEXT(TRIM(N215),"00000")="89118"), "South/Strip",
  OR(TEXT(TRIM(N215),"00000")="89074", TEXT(TRIM(N215),"00000")="89014", TEXT(TRIM(N215),"00000")="89015", TEXT(TRIM(N215),"00000")="89011", TEXT(TRIM(N215),"00000")="89012"), "Suburban SE",
  OR(TEXT(TRIM(N215),"00000")="89117", TEXT(TRIM(N215),"00000")="89128", TEXT(TRIM(N215),"00000")="89135", TEXT(TRIM(N215),"00000")="89144", TEXT(TRIM(N215),"00000")="89145", TEXT(TRIM(N215),"00000")="89147"), "West Valley",
  TRUE, "Other"
)</f>
        <v>Other</v>
      </c>
      <c r="P215" t="s">
        <v>1073</v>
      </c>
      <c r="Q215" t="str">
        <f t="shared" si="14"/>
        <v>Home/Residence</v>
      </c>
      <c r="R215" t="s">
        <v>4921</v>
      </c>
      <c r="S215" t="s">
        <v>5114</v>
      </c>
      <c r="T215" t="str" cm="1">
        <f t="array" ref="T215">_xlfn.IFS(
  TEXT(TRIM(S215),"00000")="NULL", "Missing/Unknown",
  OR(TEXT(TRIM(S215),"00000")="89101", TEXT(TRIM(S215),"00000")="89104", TEXT(TRIM(S215),"00000")="89106", TEXT(TRIM(S215),"00000")="89102", TEXT(TRIM(S215),"00000")="89107", TEXT(TRIM(S215),"00000")="89108"), "Urban Core",
  OR(TEXT(TRIM(S215),"00000")="89110", TEXT(TRIM(S215),"00000")="89115", TEXT(TRIM(S215),"00000")="89121", TEXT(TRIM(S215),"00000")="89122", TEXT(TRIM(S215),"00000")="89142", TEXT(TRIM(S215),"00000")="89156"), "East Valley",
  OR(TEXT(TRIM(S215),"00000")="89030", TEXT(TRIM(S215),"00000")="89031", TEXT(TRIM(S215),"00000")="89032", TEXT(TRIM(S215),"00000")="89086", TEXT(TRIM(S215),"00000")="89084", TEXT(TRIM(S215),"00000")="89081"), "North LV",
  OR(TEXT(TRIM(S215),"00000")="89109", TEXT(TRIM(S215),"00000")="89103", TEXT(TRIM(S215),"00000")="89119", TEXT(TRIM(S215),"00000")="89123", TEXT(TRIM(S215),"00000")="89169", TEXT(TRIM(S215),"00000")="89118"), "South/Strip",
  OR(TEXT(TRIM(S215),"00000")="89074", TEXT(TRIM(S215),"00000")="89014", TEXT(TRIM(S215),"00000")="89015", TEXT(TRIM(S215),"00000")="89011", TEXT(TRIM(S215),"00000")="89012"), "Suburban SE",
  OR(TEXT(TRIM(S215),"00000")="89117", TEXT(TRIM(S215),"00000")="89128", TEXT(TRIM(S215),"00000")="89135", TEXT(TRIM(S215),"00000")="89144", TEXT(TRIM(S215),"00000")="89145", TEXT(TRIM(S215),"00000")="89147"), "West Valley",
  TRUE, "Other"
)</f>
        <v>Other</v>
      </c>
      <c r="U215" t="s">
        <v>1073</v>
      </c>
      <c r="V215" t="str">
        <f t="shared" si="15"/>
        <v>Home/Residence</v>
      </c>
    </row>
    <row r="216" spans="1:22">
      <c r="A216" t="s">
        <v>3984</v>
      </c>
      <c r="B216" t="s">
        <v>3985</v>
      </c>
      <c r="C216" s="1">
        <v>45493</v>
      </c>
      <c r="D216" s="4">
        <v>111.92</v>
      </c>
      <c r="E216">
        <v>52</v>
      </c>
      <c r="F216" t="str">
        <f t="shared" si="12"/>
        <v>50's</v>
      </c>
      <c r="G216" t="str" cm="1">
        <f t="array" ref="G216">_xlfn.IFS(
  F216="10's", "Child (5–12)",
  OR(F216="20's", F216="30's"), "Young Adult (20–39)",
  OR(F216="40's", F216="50's"), "Adult (40–59)",
  OR(F216="60's", F216="70's", F216="80's", F216="90's"), "Senior (60+)",
  TRUE, "Unknown"
)</f>
        <v>Adult (40–59)</v>
      </c>
      <c r="H216" t="s">
        <v>841</v>
      </c>
      <c r="I216" t="s">
        <v>4025</v>
      </c>
      <c r="J216" t="str">
        <f t="shared" si="13"/>
        <v>Methamphetamine-related</v>
      </c>
      <c r="K216" t="s">
        <v>54</v>
      </c>
      <c r="L216" t="s">
        <v>250</v>
      </c>
      <c r="M216" t="s">
        <v>4685</v>
      </c>
      <c r="N216" t="s">
        <v>5123</v>
      </c>
      <c r="O216" t="str" cm="1">
        <f t="array" ref="O216">_xlfn.IFS(
  TEXT(TRIM(N216),"00000")="NULL", "Missing/Unknown",
  OR(TEXT(TRIM(N216),"00000")="89101", TEXT(TRIM(N216),"00000")="89104", TEXT(TRIM(N216),"00000")="89106", TEXT(TRIM(N216),"00000")="89102", TEXT(TRIM(N216),"00000")="89107", TEXT(TRIM(N216),"00000")="89108"), "Urban Core",
  OR(TEXT(TRIM(N216),"00000")="89110", TEXT(TRIM(N216),"00000")="89115", TEXT(TRIM(N216),"00000")="89121", TEXT(TRIM(N216),"00000")="89122", TEXT(TRIM(N216),"00000")="89142", TEXT(TRIM(N216),"00000")="89156"), "East Valley",
  OR(TEXT(TRIM(N216),"00000")="89030", TEXT(TRIM(N216),"00000")="89031", TEXT(TRIM(N216),"00000")="89032", TEXT(TRIM(N216),"00000")="89086", TEXT(TRIM(N216),"00000")="89084", TEXT(TRIM(N216),"00000")="89081"), "North LV",
  OR(TEXT(TRIM(N216),"00000")="89109", TEXT(TRIM(N216),"00000")="89103", TEXT(TRIM(N216),"00000")="89119", TEXT(TRIM(N216),"00000")="89123", TEXT(TRIM(N216),"00000")="89169", TEXT(TRIM(N216),"00000")="89118"), "South/Strip",
  OR(TEXT(TRIM(N216),"00000")="89074", TEXT(TRIM(N216),"00000")="89014", TEXT(TRIM(N216),"00000")="89015", TEXT(TRIM(N216),"00000")="89011", TEXT(TRIM(N216),"00000")="89012"), "Suburban SE",
  OR(TEXT(TRIM(N216),"00000")="89117", TEXT(TRIM(N216),"00000")="89128", TEXT(TRIM(N216),"00000")="89135", TEXT(TRIM(N216),"00000")="89144", TEXT(TRIM(N216),"00000")="89145", TEXT(TRIM(N216),"00000")="89147"), "West Valley",
  TRUE, "Other"
)</f>
        <v>South/Strip</v>
      </c>
      <c r="P216" t="s">
        <v>3298</v>
      </c>
      <c r="Q216" t="str">
        <f t="shared" si="14"/>
        <v>Outdoors/Public</v>
      </c>
      <c r="R216" t="s">
        <v>4685</v>
      </c>
      <c r="S216" t="s">
        <v>5123</v>
      </c>
      <c r="T216" t="str" cm="1">
        <f t="array" ref="T216">_xlfn.IFS(
  TEXT(TRIM(S216),"00000")="NULL", "Missing/Unknown",
  OR(TEXT(TRIM(S216),"00000")="89101", TEXT(TRIM(S216),"00000")="89104", TEXT(TRIM(S216),"00000")="89106", TEXT(TRIM(S216),"00000")="89102", TEXT(TRIM(S216),"00000")="89107", TEXT(TRIM(S216),"00000")="89108"), "Urban Core",
  OR(TEXT(TRIM(S216),"00000")="89110", TEXT(TRIM(S216),"00000")="89115", TEXT(TRIM(S216),"00000")="89121", TEXT(TRIM(S216),"00000")="89122", TEXT(TRIM(S216),"00000")="89142", TEXT(TRIM(S216),"00000")="89156"), "East Valley",
  OR(TEXT(TRIM(S216),"00000")="89030", TEXT(TRIM(S216),"00000")="89031", TEXT(TRIM(S216),"00000")="89032", TEXT(TRIM(S216),"00000")="89086", TEXT(TRIM(S216),"00000")="89084", TEXT(TRIM(S216),"00000")="89081"), "North LV",
  OR(TEXT(TRIM(S216),"00000")="89109", TEXT(TRIM(S216),"00000")="89103", TEXT(TRIM(S216),"00000")="89119", TEXT(TRIM(S216),"00000")="89123", TEXT(TRIM(S216),"00000")="89169", TEXT(TRIM(S216),"00000")="89118"), "South/Strip",
  OR(TEXT(TRIM(S216),"00000")="89074", TEXT(TRIM(S216),"00000")="89014", TEXT(TRIM(S216),"00000")="89015", TEXT(TRIM(S216),"00000")="89011", TEXT(TRIM(S216),"00000")="89012"), "Suburban SE",
  OR(TEXT(TRIM(S216),"00000")="89117", TEXT(TRIM(S216),"00000")="89128", TEXT(TRIM(S216),"00000")="89135", TEXT(TRIM(S216),"00000")="89144", TEXT(TRIM(S216),"00000")="89145", TEXT(TRIM(S216),"00000")="89147"), "West Valley",
  TRUE, "Other"
)</f>
        <v>South/Strip</v>
      </c>
      <c r="U216" t="s">
        <v>3298</v>
      </c>
      <c r="V216" t="str">
        <f t="shared" si="15"/>
        <v>Outdoors/Public</v>
      </c>
    </row>
    <row r="217" spans="1:22">
      <c r="A217" t="s">
        <v>3583</v>
      </c>
      <c r="B217" t="s">
        <v>3584</v>
      </c>
      <c r="C217" s="1">
        <v>45493</v>
      </c>
      <c r="D217" s="4">
        <v>111.92</v>
      </c>
      <c r="E217">
        <v>43</v>
      </c>
      <c r="F217" t="str">
        <f t="shared" si="12"/>
        <v>40's</v>
      </c>
      <c r="G217" t="str" cm="1">
        <f t="array" ref="G217">_xlfn.IFS(
  F217="10's", "Child (5–12)",
  OR(F217="20's", F217="30's"), "Young Adult (20–39)",
  OR(F217="40's", F217="50's"), "Adult (40–59)",
  OR(F217="60's", F217="70's", F217="80's", F217="90's"), "Senior (60+)",
  TRUE, "Unknown"
)</f>
        <v>Adult (40–59)</v>
      </c>
      <c r="H217" t="s">
        <v>27</v>
      </c>
      <c r="I217" t="s">
        <v>97</v>
      </c>
      <c r="J217" t="str">
        <f t="shared" si="13"/>
        <v>Environmental Heat</v>
      </c>
      <c r="K217" t="s">
        <v>4025</v>
      </c>
      <c r="L217" t="s">
        <v>250</v>
      </c>
      <c r="M217" t="s">
        <v>4337</v>
      </c>
      <c r="N217" t="s">
        <v>5097</v>
      </c>
      <c r="O217" t="str" cm="1">
        <f t="array" ref="O217">_xlfn.IFS(
  TEXT(TRIM(N217),"00000")="NULL", "Missing/Unknown",
  OR(TEXT(TRIM(N217),"00000")="89101", TEXT(TRIM(N217),"00000")="89104", TEXT(TRIM(N217),"00000")="89106", TEXT(TRIM(N217),"00000")="89102", TEXT(TRIM(N217),"00000")="89107", TEXT(TRIM(N217),"00000")="89108"), "Urban Core",
  OR(TEXT(TRIM(N217),"00000")="89110", TEXT(TRIM(N217),"00000")="89115", TEXT(TRIM(N217),"00000")="89121", TEXT(TRIM(N217),"00000")="89122", TEXT(TRIM(N217),"00000")="89142", TEXT(TRIM(N217),"00000")="89156"), "East Valley",
  OR(TEXT(TRIM(N217),"00000")="89030", TEXT(TRIM(N217),"00000")="89031", TEXT(TRIM(N217),"00000")="89032", TEXT(TRIM(N217),"00000")="89086", TEXT(TRIM(N217),"00000")="89084", TEXT(TRIM(N217),"00000")="89081"), "North LV",
  OR(TEXT(TRIM(N217),"00000")="89109", TEXT(TRIM(N217),"00000")="89103", TEXT(TRIM(N217),"00000")="89119", TEXT(TRIM(N217),"00000")="89123", TEXT(TRIM(N217),"00000")="89169", TEXT(TRIM(N217),"00000")="89118"), "South/Strip",
  OR(TEXT(TRIM(N217),"00000")="89074", TEXT(TRIM(N217),"00000")="89014", TEXT(TRIM(N217),"00000")="89015", TEXT(TRIM(N217),"00000")="89011", TEXT(TRIM(N217),"00000")="89012"), "Suburban SE",
  OR(TEXT(TRIM(N217),"00000")="89117", TEXT(TRIM(N217),"00000")="89128", TEXT(TRIM(N217),"00000")="89135", TEXT(TRIM(N217),"00000")="89144", TEXT(TRIM(N217),"00000")="89145", TEXT(TRIM(N217),"00000")="89147"), "West Valley",
  TRUE, "Other"
)</f>
        <v>Urban Core</v>
      </c>
      <c r="P217" t="s">
        <v>3298</v>
      </c>
      <c r="Q217" t="str">
        <f t="shared" si="14"/>
        <v>Outdoors/Public</v>
      </c>
      <c r="R217" t="s">
        <v>5054</v>
      </c>
      <c r="S217" t="s">
        <v>5097</v>
      </c>
      <c r="T217" t="str" cm="1">
        <f t="array" ref="T217">_xlfn.IFS(
  TEXT(TRIM(S217),"00000")="NULL", "Missing/Unknown",
  OR(TEXT(TRIM(S217),"00000")="89101", TEXT(TRIM(S217),"00000")="89104", TEXT(TRIM(S217),"00000")="89106", TEXT(TRIM(S217),"00000")="89102", TEXT(TRIM(S217),"00000")="89107", TEXT(TRIM(S217),"00000")="89108"), "Urban Core",
  OR(TEXT(TRIM(S217),"00000")="89110", TEXT(TRIM(S217),"00000")="89115", TEXT(TRIM(S217),"00000")="89121", TEXT(TRIM(S217),"00000")="89122", TEXT(TRIM(S217),"00000")="89142", TEXT(TRIM(S217),"00000")="89156"), "East Valley",
  OR(TEXT(TRIM(S217),"00000")="89030", TEXT(TRIM(S217),"00000")="89031", TEXT(TRIM(S217),"00000")="89032", TEXT(TRIM(S217),"00000")="89086", TEXT(TRIM(S217),"00000")="89084", TEXT(TRIM(S217),"00000")="89081"), "North LV",
  OR(TEXT(TRIM(S217),"00000")="89109", TEXT(TRIM(S217),"00000")="89103", TEXT(TRIM(S217),"00000")="89119", TEXT(TRIM(S217),"00000")="89123", TEXT(TRIM(S217),"00000")="89169", TEXT(TRIM(S217),"00000")="89118"), "South/Strip",
  OR(TEXT(TRIM(S217),"00000")="89074", TEXT(TRIM(S217),"00000")="89014", TEXT(TRIM(S217),"00000")="89015", TEXT(TRIM(S217),"00000")="89011", TEXT(TRIM(S217),"00000")="89012"), "Suburban SE",
  OR(TEXT(TRIM(S217),"00000")="89117", TEXT(TRIM(S217),"00000")="89128", TEXT(TRIM(S217),"00000")="89135", TEXT(TRIM(S217),"00000")="89144", TEXT(TRIM(S217),"00000")="89145", TEXT(TRIM(S217),"00000")="89147"), "West Valley",
  TRUE, "Other"
)</f>
        <v>Urban Core</v>
      </c>
      <c r="U217" t="s">
        <v>4301</v>
      </c>
      <c r="V217" t="str">
        <f t="shared" si="15"/>
        <v>Medical Facility</v>
      </c>
    </row>
    <row r="218" spans="1:22">
      <c r="A218" t="s">
        <v>3319</v>
      </c>
      <c r="B218" t="s">
        <v>3320</v>
      </c>
      <c r="C218" s="1">
        <v>45493</v>
      </c>
      <c r="D218" s="4">
        <v>111.92</v>
      </c>
      <c r="E218">
        <v>41</v>
      </c>
      <c r="F218" t="str">
        <f t="shared" si="12"/>
        <v>40's</v>
      </c>
      <c r="G218" t="str" cm="1">
        <f t="array" ref="G218">_xlfn.IFS(
  F218="10's", "Child (5–12)",
  OR(F218="20's", F218="30's"), "Young Adult (20–39)",
  OR(F218="40's", F218="50's"), "Adult (40–59)",
  OR(F218="60's", F218="70's", F218="80's", F218="90's"), "Senior (60+)",
  TRUE, "Unknown"
)</f>
        <v>Adult (40–59)</v>
      </c>
      <c r="H218" t="s">
        <v>841</v>
      </c>
      <c r="I218" t="s">
        <v>163</v>
      </c>
      <c r="J218" t="str">
        <f t="shared" si="13"/>
        <v>Environmental Heat</v>
      </c>
      <c r="K218" t="s">
        <v>172</v>
      </c>
      <c r="L218" t="s">
        <v>1071</v>
      </c>
      <c r="M218" t="s">
        <v>4586</v>
      </c>
      <c r="N218" t="s">
        <v>5123</v>
      </c>
      <c r="O218" t="str" cm="1">
        <f t="array" ref="O218">_xlfn.IFS(
  TEXT(TRIM(N218),"00000")="NULL", "Missing/Unknown",
  OR(TEXT(TRIM(N218),"00000")="89101", TEXT(TRIM(N218),"00000")="89104", TEXT(TRIM(N218),"00000")="89106", TEXT(TRIM(N218),"00000")="89102", TEXT(TRIM(N218),"00000")="89107", TEXT(TRIM(N218),"00000")="89108"), "Urban Core",
  OR(TEXT(TRIM(N218),"00000")="89110", TEXT(TRIM(N218),"00000")="89115", TEXT(TRIM(N218),"00000")="89121", TEXT(TRIM(N218),"00000")="89122", TEXT(TRIM(N218),"00000")="89142", TEXT(TRIM(N218),"00000")="89156"), "East Valley",
  OR(TEXT(TRIM(N218),"00000")="89030", TEXT(TRIM(N218),"00000")="89031", TEXT(TRIM(N218),"00000")="89032", TEXT(TRIM(N218),"00000")="89086", TEXT(TRIM(N218),"00000")="89084", TEXT(TRIM(N218),"00000")="89081"), "North LV",
  OR(TEXT(TRIM(N218),"00000")="89109", TEXT(TRIM(N218),"00000")="89103", TEXT(TRIM(N218),"00000")="89119", TEXT(TRIM(N218),"00000")="89123", TEXT(TRIM(N218),"00000")="89169", TEXT(TRIM(N218),"00000")="89118"), "South/Strip",
  OR(TEXT(TRIM(N218),"00000")="89074", TEXT(TRIM(N218),"00000")="89014", TEXT(TRIM(N218),"00000")="89015", TEXT(TRIM(N218),"00000")="89011", TEXT(TRIM(N218),"00000")="89012"), "Suburban SE",
  OR(TEXT(TRIM(N218),"00000")="89117", TEXT(TRIM(N218),"00000")="89128", TEXT(TRIM(N218),"00000")="89135", TEXT(TRIM(N218),"00000")="89144", TEXT(TRIM(N218),"00000")="89145", TEXT(TRIM(N218),"00000")="89147"), "West Valley",
  TRUE, "Other"
)</f>
        <v>South/Strip</v>
      </c>
      <c r="P218" t="s">
        <v>208</v>
      </c>
      <c r="Q218" t="str">
        <f t="shared" si="14"/>
        <v>Outdoors/Public</v>
      </c>
      <c r="R218" t="s">
        <v>5065</v>
      </c>
      <c r="S218" t="s">
        <v>5144</v>
      </c>
      <c r="T218" t="str" cm="1">
        <f t="array" ref="T218">_xlfn.IFS(
  TEXT(TRIM(S218),"00000")="NULL", "Missing/Unknown",
  OR(TEXT(TRIM(S218),"00000")="89101", TEXT(TRIM(S218),"00000")="89104", TEXT(TRIM(S218),"00000")="89106", TEXT(TRIM(S218),"00000")="89102", TEXT(TRIM(S218),"00000")="89107", TEXT(TRIM(S218),"00000")="89108"), "Urban Core",
  OR(TEXT(TRIM(S218),"00000")="89110", TEXT(TRIM(S218),"00000")="89115", TEXT(TRIM(S218),"00000")="89121", TEXT(TRIM(S218),"00000")="89122", TEXT(TRIM(S218),"00000")="89142", TEXT(TRIM(S218),"00000")="89156"), "East Valley",
  OR(TEXT(TRIM(S218),"00000")="89030", TEXT(TRIM(S218),"00000")="89031", TEXT(TRIM(S218),"00000")="89032", TEXT(TRIM(S218),"00000")="89086", TEXT(TRIM(S218),"00000")="89084", TEXT(TRIM(S218),"00000")="89081"), "North LV",
  OR(TEXT(TRIM(S218),"00000")="89109", TEXT(TRIM(S218),"00000")="89103", TEXT(TRIM(S218),"00000")="89119", TEXT(TRIM(S218),"00000")="89123", TEXT(TRIM(S218),"00000")="89169", TEXT(TRIM(S218),"00000")="89118"), "South/Strip",
  OR(TEXT(TRIM(S218),"00000")="89074", TEXT(TRIM(S218),"00000")="89014", TEXT(TRIM(S218),"00000")="89015", TEXT(TRIM(S218),"00000")="89011", TEXT(TRIM(S218),"00000")="89012"), "Suburban SE",
  OR(TEXT(TRIM(S218),"00000")="89117", TEXT(TRIM(S218),"00000")="89128", TEXT(TRIM(S218),"00000")="89135", TEXT(TRIM(S218),"00000")="89144", TEXT(TRIM(S218),"00000")="89145", TEXT(TRIM(S218),"00000")="89147"), "West Valley",
  TRUE, "Other"
)</f>
        <v>Other</v>
      </c>
      <c r="U218" t="s">
        <v>4305</v>
      </c>
      <c r="V218" t="str">
        <f t="shared" si="15"/>
        <v>Medical Facility</v>
      </c>
    </row>
    <row r="219" spans="1:22">
      <c r="A219" t="s">
        <v>2424</v>
      </c>
      <c r="B219" t="s">
        <v>2425</v>
      </c>
      <c r="C219" s="1">
        <v>45493</v>
      </c>
      <c r="D219" s="4">
        <v>111.92</v>
      </c>
      <c r="E219">
        <v>47</v>
      </c>
      <c r="F219" t="str">
        <f t="shared" si="12"/>
        <v>40's</v>
      </c>
      <c r="G219" t="str" cm="1">
        <f t="array" ref="G219">_xlfn.IFS(
  F219="10's", "Child (5–12)",
  OR(F219="20's", F219="30's"), "Young Adult (20–39)",
  OR(F219="40's", F219="50's"), "Adult (40–59)",
  OR(F219="60's", F219="70's", F219="80's", F219="90's"), "Senior (60+)",
  TRUE, "Unknown"
)</f>
        <v>Adult (40–59)</v>
      </c>
      <c r="H219" t="s">
        <v>841</v>
      </c>
      <c r="I219" t="s">
        <v>2426</v>
      </c>
      <c r="J219" t="str">
        <f t="shared" si="13"/>
        <v>Methamphetamine-related</v>
      </c>
      <c r="K219" t="s">
        <v>54</v>
      </c>
      <c r="L219" t="s">
        <v>250</v>
      </c>
      <c r="M219" t="s">
        <v>4997</v>
      </c>
      <c r="N219" t="s">
        <v>5101</v>
      </c>
      <c r="O219" t="str" cm="1">
        <f t="array" ref="O219">_xlfn.IFS(
  TEXT(TRIM(N219),"00000")="NULL", "Missing/Unknown",
  OR(TEXT(TRIM(N219),"00000")="89101", TEXT(TRIM(N219),"00000")="89104", TEXT(TRIM(N219),"00000")="89106", TEXT(TRIM(N219),"00000")="89102", TEXT(TRIM(N219),"00000")="89107", TEXT(TRIM(N219),"00000")="89108"), "Urban Core",
  OR(TEXT(TRIM(N219),"00000")="89110", TEXT(TRIM(N219),"00000")="89115", TEXT(TRIM(N219),"00000")="89121", TEXT(TRIM(N219),"00000")="89122", TEXT(TRIM(N219),"00000")="89142", TEXT(TRIM(N219),"00000")="89156"), "East Valley",
  OR(TEXT(TRIM(N219),"00000")="89030", TEXT(TRIM(N219),"00000")="89031", TEXT(TRIM(N219),"00000")="89032", TEXT(TRIM(N219),"00000")="89086", TEXT(TRIM(N219),"00000")="89084", TEXT(TRIM(N219),"00000")="89081"), "North LV",
  OR(TEXT(TRIM(N219),"00000")="89109", TEXT(TRIM(N219),"00000")="89103", TEXT(TRIM(N219),"00000")="89119", TEXT(TRIM(N219),"00000")="89123", TEXT(TRIM(N219),"00000")="89169", TEXT(TRIM(N219),"00000")="89118"), "South/Strip",
  OR(TEXT(TRIM(N219),"00000")="89074", TEXT(TRIM(N219),"00000")="89014", TEXT(TRIM(N219),"00000")="89015", TEXT(TRIM(N219),"00000")="89011", TEXT(TRIM(N219),"00000")="89012"), "Suburban SE",
  OR(TEXT(TRIM(N219),"00000")="89117", TEXT(TRIM(N219),"00000")="89128", TEXT(TRIM(N219),"00000")="89135", TEXT(TRIM(N219),"00000")="89144", TEXT(TRIM(N219),"00000")="89145", TEXT(TRIM(N219),"00000")="89147"), "West Valley",
  TRUE, "Other"
)</f>
        <v>Urban Core</v>
      </c>
      <c r="P219" t="s">
        <v>24</v>
      </c>
      <c r="Q219" t="str">
        <f t="shared" si="14"/>
        <v>Outdoors/Public</v>
      </c>
      <c r="R219" t="s">
        <v>5054</v>
      </c>
      <c r="S219" t="s">
        <v>5097</v>
      </c>
      <c r="T219" t="str" cm="1">
        <f t="array" ref="T219">_xlfn.IFS(
  TEXT(TRIM(S219),"00000")="NULL", "Missing/Unknown",
  OR(TEXT(TRIM(S219),"00000")="89101", TEXT(TRIM(S219),"00000")="89104", TEXT(TRIM(S219),"00000")="89106", TEXT(TRIM(S219),"00000")="89102", TEXT(TRIM(S219),"00000")="89107", TEXT(TRIM(S219),"00000")="89108"), "Urban Core",
  OR(TEXT(TRIM(S219),"00000")="89110", TEXT(TRIM(S219),"00000")="89115", TEXT(TRIM(S219),"00000")="89121", TEXT(TRIM(S219),"00000")="89122", TEXT(TRIM(S219),"00000")="89142", TEXT(TRIM(S219),"00000")="89156"), "East Valley",
  OR(TEXT(TRIM(S219),"00000")="89030", TEXT(TRIM(S219),"00000")="89031", TEXT(TRIM(S219),"00000")="89032", TEXT(TRIM(S219),"00000")="89086", TEXT(TRIM(S219),"00000")="89084", TEXT(TRIM(S219),"00000")="89081"), "North LV",
  OR(TEXT(TRIM(S219),"00000")="89109", TEXT(TRIM(S219),"00000")="89103", TEXT(TRIM(S219),"00000")="89119", TEXT(TRIM(S219),"00000")="89123", TEXT(TRIM(S219),"00000")="89169", TEXT(TRIM(S219),"00000")="89118"), "South/Strip",
  OR(TEXT(TRIM(S219),"00000")="89074", TEXT(TRIM(S219),"00000")="89014", TEXT(TRIM(S219),"00000")="89015", TEXT(TRIM(S219),"00000")="89011", TEXT(TRIM(S219),"00000")="89012"), "Suburban SE",
  OR(TEXT(TRIM(S219),"00000")="89117", TEXT(TRIM(S219),"00000")="89128", TEXT(TRIM(S219),"00000")="89135", TEXT(TRIM(S219),"00000")="89144", TEXT(TRIM(S219),"00000")="89145", TEXT(TRIM(S219),"00000")="89147"), "West Valley",
  TRUE, "Other"
)</f>
        <v>Urban Core</v>
      </c>
      <c r="U219" t="s">
        <v>24</v>
      </c>
      <c r="V219" t="str">
        <f t="shared" si="15"/>
        <v>Outdoors/Public</v>
      </c>
    </row>
    <row r="220" spans="1:22">
      <c r="A220" t="s">
        <v>2591</v>
      </c>
      <c r="B220" t="s">
        <v>2592</v>
      </c>
      <c r="C220" s="1">
        <v>45493</v>
      </c>
      <c r="D220" s="4">
        <v>111.92</v>
      </c>
      <c r="E220">
        <v>57</v>
      </c>
      <c r="F220" t="str">
        <f t="shared" si="12"/>
        <v>50's</v>
      </c>
      <c r="G220" t="str" cm="1">
        <f t="array" ref="G220">_xlfn.IFS(
  F220="10's", "Child (5–12)",
  OR(F220="20's", F220="30's"), "Young Adult (20–39)",
  OR(F220="40's", F220="50's"), "Adult (40–59)",
  OR(F220="60's", F220="70's", F220="80's", F220="90's"), "Senior (60+)",
  TRUE, "Unknown"
)</f>
        <v>Adult (40–59)</v>
      </c>
      <c r="H220" t="s">
        <v>841</v>
      </c>
      <c r="I220" t="s">
        <v>4051</v>
      </c>
      <c r="J220" t="str">
        <f t="shared" si="13"/>
        <v>Cardiovascular Disease</v>
      </c>
      <c r="K220" t="s">
        <v>54</v>
      </c>
      <c r="L220" t="s">
        <v>1071</v>
      </c>
      <c r="N220" t="s">
        <v>5095</v>
      </c>
      <c r="O220" t="str" cm="1">
        <f t="array" ref="O220">_xlfn.IFS(
  TEXT(TRIM(N220),"00000")="NULL", "Missing/Unknown",
  OR(TEXT(TRIM(N220),"00000")="89101", TEXT(TRIM(N220),"00000")="89104", TEXT(TRIM(N220),"00000")="89106", TEXT(TRIM(N220),"00000")="89102", TEXT(TRIM(N220),"00000")="89107", TEXT(TRIM(N220),"00000")="89108"), "Urban Core",
  OR(TEXT(TRIM(N220),"00000")="89110", TEXT(TRIM(N220),"00000")="89115", TEXT(TRIM(N220),"00000")="89121", TEXT(TRIM(N220),"00000")="89122", TEXT(TRIM(N220),"00000")="89142", TEXT(TRIM(N220),"00000")="89156"), "East Valley",
  OR(TEXT(TRIM(N220),"00000")="89030", TEXT(TRIM(N220),"00000")="89031", TEXT(TRIM(N220),"00000")="89032", TEXT(TRIM(N220),"00000")="89086", TEXT(TRIM(N220),"00000")="89084", TEXT(TRIM(N220),"00000")="89081"), "North LV",
  OR(TEXT(TRIM(N220),"00000")="89109", TEXT(TRIM(N220),"00000")="89103", TEXT(TRIM(N220),"00000")="89119", TEXT(TRIM(N220),"00000")="89123", TEXT(TRIM(N220),"00000")="89169", TEXT(TRIM(N220),"00000")="89118"), "South/Strip",
  OR(TEXT(TRIM(N220),"00000")="89074", TEXT(TRIM(N220),"00000")="89014", TEXT(TRIM(N220),"00000")="89015", TEXT(TRIM(N220),"00000")="89011", TEXT(TRIM(N220),"00000")="89012"), "Suburban SE",
  OR(TEXT(TRIM(N220),"00000")="89117", TEXT(TRIM(N220),"00000")="89128", TEXT(TRIM(N220),"00000")="89135", TEXT(TRIM(N220),"00000")="89144", TEXT(TRIM(N220),"00000")="89145", TEXT(TRIM(N220),"00000")="89147"), "West Valley",
  TRUE, "Other"
)</f>
        <v>Missing/Unknown</v>
      </c>
      <c r="P220" t="s">
        <v>3298</v>
      </c>
      <c r="Q220" t="str">
        <f t="shared" si="14"/>
        <v>Outdoors/Public</v>
      </c>
      <c r="R220" t="s">
        <v>5054</v>
      </c>
      <c r="S220" t="s">
        <v>5097</v>
      </c>
      <c r="T220" t="str" cm="1">
        <f t="array" ref="T220">_xlfn.IFS(
  TEXT(TRIM(S220),"00000")="NULL", "Missing/Unknown",
  OR(TEXT(TRIM(S220),"00000")="89101", TEXT(TRIM(S220),"00000")="89104", TEXT(TRIM(S220),"00000")="89106", TEXT(TRIM(S220),"00000")="89102", TEXT(TRIM(S220),"00000")="89107", TEXT(TRIM(S220),"00000")="89108"), "Urban Core",
  OR(TEXT(TRIM(S220),"00000")="89110", TEXT(TRIM(S220),"00000")="89115", TEXT(TRIM(S220),"00000")="89121", TEXT(TRIM(S220),"00000")="89122", TEXT(TRIM(S220),"00000")="89142", TEXT(TRIM(S220),"00000")="89156"), "East Valley",
  OR(TEXT(TRIM(S220),"00000")="89030", TEXT(TRIM(S220),"00000")="89031", TEXT(TRIM(S220),"00000")="89032", TEXT(TRIM(S220),"00000")="89086", TEXT(TRIM(S220),"00000")="89084", TEXT(TRIM(S220),"00000")="89081"), "North LV",
  OR(TEXT(TRIM(S220),"00000")="89109", TEXT(TRIM(S220),"00000")="89103", TEXT(TRIM(S220),"00000")="89119", TEXT(TRIM(S220),"00000")="89123", TEXT(TRIM(S220),"00000")="89169", TEXT(TRIM(S220),"00000")="89118"), "South/Strip",
  OR(TEXT(TRIM(S220),"00000")="89074", TEXT(TRIM(S220),"00000")="89014", TEXT(TRIM(S220),"00000")="89015", TEXT(TRIM(S220),"00000")="89011", TEXT(TRIM(S220),"00000")="89012"), "Suburban SE",
  OR(TEXT(TRIM(S220),"00000")="89117", TEXT(TRIM(S220),"00000")="89128", TEXT(TRIM(S220),"00000")="89135", TEXT(TRIM(S220),"00000")="89144", TEXT(TRIM(S220),"00000")="89145", TEXT(TRIM(S220),"00000")="89147"), "West Valley",
  TRUE, "Other"
)</f>
        <v>Urban Core</v>
      </c>
      <c r="U220" t="s">
        <v>3298</v>
      </c>
      <c r="V220" t="str">
        <f t="shared" si="15"/>
        <v>Outdoors/Public</v>
      </c>
    </row>
    <row r="221" spans="1:22">
      <c r="A221" t="s">
        <v>3530</v>
      </c>
      <c r="B221" t="s">
        <v>3531</v>
      </c>
      <c r="C221" s="1">
        <v>45493</v>
      </c>
      <c r="D221" s="4">
        <v>111.92</v>
      </c>
      <c r="E221">
        <v>85</v>
      </c>
      <c r="F221" t="str">
        <f t="shared" si="12"/>
        <v>80's</v>
      </c>
      <c r="G221" t="str" cm="1">
        <f t="array" ref="G221">_xlfn.IFS(
  F221="10's", "Child (5–12)",
  OR(F221="20's", F221="30's"), "Young Adult (20–39)",
  OR(F221="40's", F221="50's"), "Adult (40–59)",
  OR(F221="60's", F221="70's", F221="80's", F221="90's"), "Senior (60+)",
  TRUE, "Unknown"
)</f>
        <v>Senior (60+)</v>
      </c>
      <c r="H221" t="s">
        <v>4309</v>
      </c>
      <c r="I221" t="s">
        <v>28</v>
      </c>
      <c r="J221" t="str">
        <f t="shared" si="13"/>
        <v>Cardiovascular Disease</v>
      </c>
      <c r="K221" t="s">
        <v>54</v>
      </c>
      <c r="L221" t="s">
        <v>1071</v>
      </c>
      <c r="N221" t="s">
        <v>5095</v>
      </c>
      <c r="O221" t="str" cm="1">
        <f t="array" ref="O221">_xlfn.IFS(
  TEXT(TRIM(N221),"00000")="NULL", "Missing/Unknown",
  OR(TEXT(TRIM(N221),"00000")="89101", TEXT(TRIM(N221),"00000")="89104", TEXT(TRIM(N221),"00000")="89106", TEXT(TRIM(N221),"00000")="89102", TEXT(TRIM(N221),"00000")="89107", TEXT(TRIM(N221),"00000")="89108"), "Urban Core",
  OR(TEXT(TRIM(N221),"00000")="89110", TEXT(TRIM(N221),"00000")="89115", TEXT(TRIM(N221),"00000")="89121", TEXT(TRIM(N221),"00000")="89122", TEXT(TRIM(N221),"00000")="89142", TEXT(TRIM(N221),"00000")="89156"), "East Valley",
  OR(TEXT(TRIM(N221),"00000")="89030", TEXT(TRIM(N221),"00000")="89031", TEXT(TRIM(N221),"00000")="89032", TEXT(TRIM(N221),"00000")="89086", TEXT(TRIM(N221),"00000")="89084", TEXT(TRIM(N221),"00000")="89081"), "North LV",
  OR(TEXT(TRIM(N221),"00000")="89109", TEXT(TRIM(N221),"00000")="89103", TEXT(TRIM(N221),"00000")="89119", TEXT(TRIM(N221),"00000")="89123", TEXT(TRIM(N221),"00000")="89169", TEXT(TRIM(N221),"00000")="89118"), "South/Strip",
  OR(TEXT(TRIM(N221),"00000")="89074", TEXT(TRIM(N221),"00000")="89014", TEXT(TRIM(N221),"00000")="89015", TEXT(TRIM(N221),"00000")="89011", TEXT(TRIM(N221),"00000")="89012"), "Suburban SE",
  OR(TEXT(TRIM(N221),"00000")="89117", TEXT(TRIM(N221),"00000")="89128", TEXT(TRIM(N221),"00000")="89135", TEXT(TRIM(N221),"00000")="89144", TEXT(TRIM(N221),"00000")="89145", TEXT(TRIM(N221),"00000")="89147"), "West Valley",
  TRUE, "Other"
)</f>
        <v>Missing/Unknown</v>
      </c>
      <c r="P221" t="s">
        <v>3298</v>
      </c>
      <c r="Q221" t="str">
        <f t="shared" si="14"/>
        <v>Outdoors/Public</v>
      </c>
      <c r="R221" t="s">
        <v>5087</v>
      </c>
      <c r="S221" t="s">
        <v>5161</v>
      </c>
      <c r="T221" t="str" cm="1">
        <f t="array" ref="T221">_xlfn.IFS(
  TEXT(TRIM(S221),"00000")="NULL", "Missing/Unknown",
  OR(TEXT(TRIM(S221),"00000")="89101", TEXT(TRIM(S221),"00000")="89104", TEXT(TRIM(S221),"00000")="89106", TEXT(TRIM(S221),"00000")="89102", TEXT(TRIM(S221),"00000")="89107", TEXT(TRIM(S221),"00000")="89108"), "Urban Core",
  OR(TEXT(TRIM(S221),"00000")="89110", TEXT(TRIM(S221),"00000")="89115", TEXT(TRIM(S221),"00000")="89121", TEXT(TRIM(S221),"00000")="89122", TEXT(TRIM(S221),"00000")="89142", TEXT(TRIM(S221),"00000")="89156"), "East Valley",
  OR(TEXT(TRIM(S221),"00000")="89030", TEXT(TRIM(S221),"00000")="89031", TEXT(TRIM(S221),"00000")="89032", TEXT(TRIM(S221),"00000")="89086", TEXT(TRIM(S221),"00000")="89084", TEXT(TRIM(S221),"00000")="89081"), "North LV",
  OR(TEXT(TRIM(S221),"00000")="89109", TEXT(TRIM(S221),"00000")="89103", TEXT(TRIM(S221),"00000")="89119", TEXT(TRIM(S221),"00000")="89123", TEXT(TRIM(S221),"00000")="89169", TEXT(TRIM(S221),"00000")="89118"), "South/Strip",
  OR(TEXT(TRIM(S221),"00000")="89074", TEXT(TRIM(S221),"00000")="89014", TEXT(TRIM(S221),"00000")="89015", TEXT(TRIM(S221),"00000")="89011", TEXT(TRIM(S221),"00000")="89012"), "Suburban SE",
  OR(TEXT(TRIM(S221),"00000")="89117", TEXT(TRIM(S221),"00000")="89128", TEXT(TRIM(S221),"00000")="89135", TEXT(TRIM(S221),"00000")="89144", TEXT(TRIM(S221),"00000")="89145", TEXT(TRIM(S221),"00000")="89147"), "West Valley",
  TRUE, "Other"
)</f>
        <v>Other</v>
      </c>
      <c r="U221" t="s">
        <v>3298</v>
      </c>
      <c r="V221" t="str">
        <f t="shared" si="15"/>
        <v>Outdoors/Public</v>
      </c>
    </row>
    <row r="222" spans="1:22">
      <c r="A222" t="s">
        <v>3106</v>
      </c>
      <c r="B222" t="s">
        <v>3107</v>
      </c>
      <c r="C222" s="1">
        <v>45492</v>
      </c>
      <c r="D222" s="4">
        <v>107.96</v>
      </c>
      <c r="E222">
        <v>72</v>
      </c>
      <c r="F222" t="str">
        <f t="shared" si="12"/>
        <v>70's</v>
      </c>
      <c r="G222" t="str" cm="1">
        <f t="array" ref="G222">_xlfn.IFS(
  F222="10's", "Child (5–12)",
  OR(F222="20's", F222="30's"), "Young Adult (20–39)",
  OR(F222="40's", F222="50's"), "Adult (40–59)",
  OR(F222="60's", F222="70's", F222="80's", F222="90's"), "Senior (60+)",
  TRUE, "Unknown"
)</f>
        <v>Senior (60+)</v>
      </c>
      <c r="H222" t="s">
        <v>841</v>
      </c>
      <c r="I222" t="s">
        <v>54</v>
      </c>
      <c r="J222" t="str">
        <f t="shared" si="13"/>
        <v>Environmental Heat</v>
      </c>
      <c r="K222" t="s">
        <v>98</v>
      </c>
      <c r="L222" t="s">
        <v>1071</v>
      </c>
      <c r="M222" t="s">
        <v>4947</v>
      </c>
      <c r="N222" t="s">
        <v>5136</v>
      </c>
      <c r="O222" t="str" cm="1">
        <f t="array" ref="O222">_xlfn.IFS(
  TEXT(TRIM(N222),"00000")="NULL", "Missing/Unknown",
  OR(TEXT(TRIM(N222),"00000")="89101", TEXT(TRIM(N222),"00000")="89104", TEXT(TRIM(N222),"00000")="89106", TEXT(TRIM(N222),"00000")="89102", TEXT(TRIM(N222),"00000")="89107", TEXT(TRIM(N222),"00000")="89108"), "Urban Core",
  OR(TEXT(TRIM(N222),"00000")="89110", TEXT(TRIM(N222),"00000")="89115", TEXT(TRIM(N222),"00000")="89121", TEXT(TRIM(N222),"00000")="89122", TEXT(TRIM(N222),"00000")="89142", TEXT(TRIM(N222),"00000")="89156"), "East Valley",
  OR(TEXT(TRIM(N222),"00000")="89030", TEXT(TRIM(N222),"00000")="89031", TEXT(TRIM(N222),"00000")="89032", TEXT(TRIM(N222),"00000")="89086", TEXT(TRIM(N222),"00000")="89084", TEXT(TRIM(N222),"00000")="89081"), "North LV",
  OR(TEXT(TRIM(N222),"00000")="89109", TEXT(TRIM(N222),"00000")="89103", TEXT(TRIM(N222),"00000")="89119", TEXT(TRIM(N222),"00000")="89123", TEXT(TRIM(N222),"00000")="89169", TEXT(TRIM(N222),"00000")="89118"), "South/Strip",
  OR(TEXT(TRIM(N222),"00000")="89074", TEXT(TRIM(N222),"00000")="89014", TEXT(TRIM(N222),"00000")="89015", TEXT(TRIM(N222),"00000")="89011", TEXT(TRIM(N222),"00000")="89012"), "Suburban SE",
  OR(TEXT(TRIM(N222),"00000")="89117", TEXT(TRIM(N222),"00000")="89128", TEXT(TRIM(N222),"00000")="89135", TEXT(TRIM(N222),"00000")="89144", TEXT(TRIM(N222),"00000")="89145", TEXT(TRIM(N222),"00000")="89147"), "West Valley",
  TRUE, "Other"
)</f>
        <v>Other</v>
      </c>
      <c r="P222" t="s">
        <v>1073</v>
      </c>
      <c r="Q222" t="str">
        <f t="shared" si="14"/>
        <v>Home/Residence</v>
      </c>
      <c r="R222" t="s">
        <v>4947</v>
      </c>
      <c r="S222" t="s">
        <v>5136</v>
      </c>
      <c r="T222" t="str" cm="1">
        <f t="array" ref="T222">_xlfn.IFS(
  TEXT(TRIM(S222),"00000")="NULL", "Missing/Unknown",
  OR(TEXT(TRIM(S222),"00000")="89101", TEXT(TRIM(S222),"00000")="89104", TEXT(TRIM(S222),"00000")="89106", TEXT(TRIM(S222),"00000")="89102", TEXT(TRIM(S222),"00000")="89107", TEXT(TRIM(S222),"00000")="89108"), "Urban Core",
  OR(TEXT(TRIM(S222),"00000")="89110", TEXT(TRIM(S222),"00000")="89115", TEXT(TRIM(S222),"00000")="89121", TEXT(TRIM(S222),"00000")="89122", TEXT(TRIM(S222),"00000")="89142", TEXT(TRIM(S222),"00000")="89156"), "East Valley",
  OR(TEXT(TRIM(S222),"00000")="89030", TEXT(TRIM(S222),"00000")="89031", TEXT(TRIM(S222),"00000")="89032", TEXT(TRIM(S222),"00000")="89086", TEXT(TRIM(S222),"00000")="89084", TEXT(TRIM(S222),"00000")="89081"), "North LV",
  OR(TEXT(TRIM(S222),"00000")="89109", TEXT(TRIM(S222),"00000")="89103", TEXT(TRIM(S222),"00000")="89119", TEXT(TRIM(S222),"00000")="89123", TEXT(TRIM(S222),"00000")="89169", TEXT(TRIM(S222),"00000")="89118"), "South/Strip",
  OR(TEXT(TRIM(S222),"00000")="89074", TEXT(TRIM(S222),"00000")="89014", TEXT(TRIM(S222),"00000")="89015", TEXT(TRIM(S222),"00000")="89011", TEXT(TRIM(S222),"00000")="89012"), "Suburban SE",
  OR(TEXT(TRIM(S222),"00000")="89117", TEXT(TRIM(S222),"00000")="89128", TEXT(TRIM(S222),"00000")="89135", TEXT(TRIM(S222),"00000")="89144", TEXT(TRIM(S222),"00000")="89145", TEXT(TRIM(S222),"00000")="89147"), "West Valley",
  TRUE, "Other"
)</f>
        <v>Other</v>
      </c>
      <c r="U222" t="s">
        <v>1073</v>
      </c>
      <c r="V222" t="str">
        <f t="shared" si="15"/>
        <v>Home/Residence</v>
      </c>
    </row>
    <row r="223" spans="1:22">
      <c r="A223" t="s">
        <v>3349</v>
      </c>
      <c r="B223" t="s">
        <v>3350</v>
      </c>
      <c r="C223" s="1">
        <v>45492</v>
      </c>
      <c r="D223" s="4">
        <v>107.96</v>
      </c>
      <c r="E223">
        <v>32</v>
      </c>
      <c r="F223" t="str">
        <f t="shared" si="12"/>
        <v>30's</v>
      </c>
      <c r="G223" t="str" cm="1">
        <f t="array" ref="G223">_xlfn.IFS(
  F223="10's", "Child (5–12)",
  OR(F223="20's", F223="30's"), "Young Adult (20–39)",
  OR(F223="40's", F223="50's"), "Adult (40–59)",
  OR(F223="60's", F223="70's", F223="80's", F223="90's"), "Senior (60+)",
  TRUE, "Unknown"
)</f>
        <v>Young Adult (20–39)</v>
      </c>
      <c r="H223" t="s">
        <v>841</v>
      </c>
      <c r="I223" t="s">
        <v>4052</v>
      </c>
      <c r="J223" t="str">
        <f t="shared" si="13"/>
        <v>Methamphetamine-related</v>
      </c>
      <c r="K223" t="s">
        <v>54</v>
      </c>
      <c r="L223" t="s">
        <v>250</v>
      </c>
      <c r="M223" t="s">
        <v>5023</v>
      </c>
      <c r="N223" t="s">
        <v>5137</v>
      </c>
      <c r="O223" t="str" cm="1">
        <f t="array" ref="O223">_xlfn.IFS(
  TEXT(TRIM(N223),"00000")="NULL", "Missing/Unknown",
  OR(TEXT(TRIM(N223),"00000")="89101", TEXT(TRIM(N223),"00000")="89104", TEXT(TRIM(N223),"00000")="89106", TEXT(TRIM(N223),"00000")="89102", TEXT(TRIM(N223),"00000")="89107", TEXT(TRIM(N223),"00000")="89108"), "Urban Core",
  OR(TEXT(TRIM(N223),"00000")="89110", TEXT(TRIM(N223),"00000")="89115", TEXT(TRIM(N223),"00000")="89121", TEXT(TRIM(N223),"00000")="89122", TEXT(TRIM(N223),"00000")="89142", TEXT(TRIM(N223),"00000")="89156"), "East Valley",
  OR(TEXT(TRIM(N223),"00000")="89030", TEXT(TRIM(N223),"00000")="89031", TEXT(TRIM(N223),"00000")="89032", TEXT(TRIM(N223),"00000")="89086", TEXT(TRIM(N223),"00000")="89084", TEXT(TRIM(N223),"00000")="89081"), "North LV",
  OR(TEXT(TRIM(N223),"00000")="89109", TEXT(TRIM(N223),"00000")="89103", TEXT(TRIM(N223),"00000")="89119", TEXT(TRIM(N223),"00000")="89123", TEXT(TRIM(N223),"00000")="89169", TEXT(TRIM(N223),"00000")="89118"), "South/Strip",
  OR(TEXT(TRIM(N223),"00000")="89074", TEXT(TRIM(N223),"00000")="89014", TEXT(TRIM(N223),"00000")="89015", TEXT(TRIM(N223),"00000")="89011", TEXT(TRIM(N223),"00000")="89012"), "Suburban SE",
  OR(TEXT(TRIM(N223),"00000")="89117", TEXT(TRIM(N223),"00000")="89128", TEXT(TRIM(N223),"00000")="89135", TEXT(TRIM(N223),"00000")="89144", TEXT(TRIM(N223),"00000")="89145", TEXT(TRIM(N223),"00000")="89147"), "West Valley",
  TRUE, "Other"
)</f>
        <v>Other</v>
      </c>
      <c r="P223" t="s">
        <v>3298</v>
      </c>
      <c r="Q223" t="str">
        <f t="shared" si="14"/>
        <v>Outdoors/Public</v>
      </c>
      <c r="R223" t="s">
        <v>5023</v>
      </c>
      <c r="S223" t="s">
        <v>5137</v>
      </c>
      <c r="T223" t="str" cm="1">
        <f t="array" ref="T223">_xlfn.IFS(
  TEXT(TRIM(S223),"00000")="NULL", "Missing/Unknown",
  OR(TEXT(TRIM(S223),"00000")="89101", TEXT(TRIM(S223),"00000")="89104", TEXT(TRIM(S223),"00000")="89106", TEXT(TRIM(S223),"00000")="89102", TEXT(TRIM(S223),"00000")="89107", TEXT(TRIM(S223),"00000")="89108"), "Urban Core",
  OR(TEXT(TRIM(S223),"00000")="89110", TEXT(TRIM(S223),"00000")="89115", TEXT(TRIM(S223),"00000")="89121", TEXT(TRIM(S223),"00000")="89122", TEXT(TRIM(S223),"00000")="89142", TEXT(TRIM(S223),"00000")="89156"), "East Valley",
  OR(TEXT(TRIM(S223),"00000")="89030", TEXT(TRIM(S223),"00000")="89031", TEXT(TRIM(S223),"00000")="89032", TEXT(TRIM(S223),"00000")="89086", TEXT(TRIM(S223),"00000")="89084", TEXT(TRIM(S223),"00000")="89081"), "North LV",
  OR(TEXT(TRIM(S223),"00000")="89109", TEXT(TRIM(S223),"00000")="89103", TEXT(TRIM(S223),"00000")="89119", TEXT(TRIM(S223),"00000")="89123", TEXT(TRIM(S223),"00000")="89169", TEXT(TRIM(S223),"00000")="89118"), "South/Strip",
  OR(TEXT(TRIM(S223),"00000")="89074", TEXT(TRIM(S223),"00000")="89014", TEXT(TRIM(S223),"00000")="89015", TEXT(TRIM(S223),"00000")="89011", TEXT(TRIM(S223),"00000")="89012"), "Suburban SE",
  OR(TEXT(TRIM(S223),"00000")="89117", TEXT(TRIM(S223),"00000")="89128", TEXT(TRIM(S223),"00000")="89135", TEXT(TRIM(S223),"00000")="89144", TEXT(TRIM(S223),"00000")="89145", TEXT(TRIM(S223),"00000")="89147"), "West Valley",
  TRUE, "Other"
)</f>
        <v>Other</v>
      </c>
      <c r="U223" t="s">
        <v>3298</v>
      </c>
      <c r="V223" t="str">
        <f t="shared" si="15"/>
        <v>Outdoors/Public</v>
      </c>
    </row>
    <row r="224" spans="1:22">
      <c r="A224" t="s">
        <v>3674</v>
      </c>
      <c r="B224" t="s">
        <v>3675</v>
      </c>
      <c r="C224" s="1">
        <v>45492</v>
      </c>
      <c r="D224" s="4">
        <v>107.96</v>
      </c>
      <c r="E224">
        <v>37</v>
      </c>
      <c r="F224" t="str">
        <f t="shared" si="12"/>
        <v>30's</v>
      </c>
      <c r="G224" t="str" cm="1">
        <f t="array" ref="G224">_xlfn.IFS(
  F224="10's", "Child (5–12)",
  OR(F224="20's", F224="30's"), "Young Adult (20–39)",
  OR(F224="40's", F224="50's"), "Adult (40–59)",
  OR(F224="60's", F224="70's", F224="80's", F224="90's"), "Senior (60+)",
  TRUE, "Unknown"
)</f>
        <v>Young Adult (20–39)</v>
      </c>
      <c r="H224" t="s">
        <v>841</v>
      </c>
      <c r="I224" t="s">
        <v>4053</v>
      </c>
      <c r="J224" t="str">
        <f t="shared" si="13"/>
        <v>Methamphetamine-related</v>
      </c>
      <c r="K224" t="s">
        <v>54</v>
      </c>
      <c r="L224" t="s">
        <v>250</v>
      </c>
      <c r="M224" t="s">
        <v>5024</v>
      </c>
      <c r="N224" t="s">
        <v>5128</v>
      </c>
      <c r="O224" t="str" cm="1">
        <f t="array" ref="O224">_xlfn.IFS(
  TEXT(TRIM(N224),"00000")="NULL", "Missing/Unknown",
  OR(TEXT(TRIM(N224),"00000")="89101", TEXT(TRIM(N224),"00000")="89104", TEXT(TRIM(N224),"00000")="89106", TEXT(TRIM(N224),"00000")="89102", TEXT(TRIM(N224),"00000")="89107", TEXT(TRIM(N224),"00000")="89108"), "Urban Core",
  OR(TEXT(TRIM(N224),"00000")="89110", TEXT(TRIM(N224),"00000")="89115", TEXT(TRIM(N224),"00000")="89121", TEXT(TRIM(N224),"00000")="89122", TEXT(TRIM(N224),"00000")="89142", TEXT(TRIM(N224),"00000")="89156"), "East Valley",
  OR(TEXT(TRIM(N224),"00000")="89030", TEXT(TRIM(N224),"00000")="89031", TEXT(TRIM(N224),"00000")="89032", TEXT(TRIM(N224),"00000")="89086", TEXT(TRIM(N224),"00000")="89084", TEXT(TRIM(N224),"00000")="89081"), "North LV",
  OR(TEXT(TRIM(N224),"00000")="89109", TEXT(TRIM(N224),"00000")="89103", TEXT(TRIM(N224),"00000")="89119", TEXT(TRIM(N224),"00000")="89123", TEXT(TRIM(N224),"00000")="89169", TEXT(TRIM(N224),"00000")="89118"), "South/Strip",
  OR(TEXT(TRIM(N224),"00000")="89074", TEXT(TRIM(N224),"00000")="89014", TEXT(TRIM(N224),"00000")="89015", TEXT(TRIM(N224),"00000")="89011", TEXT(TRIM(N224),"00000")="89012"), "Suburban SE",
  OR(TEXT(TRIM(N224),"00000")="89117", TEXT(TRIM(N224),"00000")="89128", TEXT(TRIM(N224),"00000")="89135", TEXT(TRIM(N224),"00000")="89144", TEXT(TRIM(N224),"00000")="89145", TEXT(TRIM(N224),"00000")="89147"), "West Valley",
  TRUE, "Other"
)</f>
        <v>East Valley</v>
      </c>
      <c r="P224" t="s">
        <v>3298</v>
      </c>
      <c r="Q224" t="str">
        <f t="shared" si="14"/>
        <v>Outdoors/Public</v>
      </c>
      <c r="R224" t="s">
        <v>5024</v>
      </c>
      <c r="S224" t="s">
        <v>5128</v>
      </c>
      <c r="T224" t="str" cm="1">
        <f t="array" ref="T224">_xlfn.IFS(
  TEXT(TRIM(S224),"00000")="NULL", "Missing/Unknown",
  OR(TEXT(TRIM(S224),"00000")="89101", TEXT(TRIM(S224),"00000")="89104", TEXT(TRIM(S224),"00000")="89106", TEXT(TRIM(S224),"00000")="89102", TEXT(TRIM(S224),"00000")="89107", TEXT(TRIM(S224),"00000")="89108"), "Urban Core",
  OR(TEXT(TRIM(S224),"00000")="89110", TEXT(TRIM(S224),"00000")="89115", TEXT(TRIM(S224),"00000")="89121", TEXT(TRIM(S224),"00000")="89122", TEXT(TRIM(S224),"00000")="89142", TEXT(TRIM(S224),"00000")="89156"), "East Valley",
  OR(TEXT(TRIM(S224),"00000")="89030", TEXT(TRIM(S224),"00000")="89031", TEXT(TRIM(S224),"00000")="89032", TEXT(TRIM(S224),"00000")="89086", TEXT(TRIM(S224),"00000")="89084", TEXT(TRIM(S224),"00000")="89081"), "North LV",
  OR(TEXT(TRIM(S224),"00000")="89109", TEXT(TRIM(S224),"00000")="89103", TEXT(TRIM(S224),"00000")="89119", TEXT(TRIM(S224),"00000")="89123", TEXT(TRIM(S224),"00000")="89169", TEXT(TRIM(S224),"00000")="89118"), "South/Strip",
  OR(TEXT(TRIM(S224),"00000")="89074", TEXT(TRIM(S224),"00000")="89014", TEXT(TRIM(S224),"00000")="89015", TEXT(TRIM(S224),"00000")="89011", TEXT(TRIM(S224),"00000")="89012"), "Suburban SE",
  OR(TEXT(TRIM(S224),"00000")="89117", TEXT(TRIM(S224),"00000")="89128", TEXT(TRIM(S224),"00000")="89135", TEXT(TRIM(S224),"00000")="89144", TEXT(TRIM(S224),"00000")="89145", TEXT(TRIM(S224),"00000")="89147"), "West Valley",
  TRUE, "Other"
)</f>
        <v>East Valley</v>
      </c>
      <c r="U224" t="s">
        <v>3298</v>
      </c>
      <c r="V224" t="str">
        <f t="shared" si="15"/>
        <v>Outdoors/Public</v>
      </c>
    </row>
    <row r="225" spans="1:22">
      <c r="A225" t="s">
        <v>3579</v>
      </c>
      <c r="B225" t="s">
        <v>3580</v>
      </c>
      <c r="C225" s="1">
        <v>45492</v>
      </c>
      <c r="D225" s="4">
        <v>107.96</v>
      </c>
      <c r="E225">
        <v>71</v>
      </c>
      <c r="F225" t="str">
        <f t="shared" si="12"/>
        <v>70's</v>
      </c>
      <c r="G225" t="str" cm="1">
        <f t="array" ref="G225">_xlfn.IFS(
  F225="10's", "Child (5–12)",
  OR(F225="20's", F225="30's"), "Young Adult (20–39)",
  OR(F225="40's", F225="50's"), "Adult (40–59)",
  OR(F225="60's", F225="70's", F225="80's", F225="90's"), "Senior (60+)",
  TRUE, "Unknown"
)</f>
        <v>Senior (60+)</v>
      </c>
      <c r="H225" t="s">
        <v>778</v>
      </c>
      <c r="I225" t="s">
        <v>97</v>
      </c>
      <c r="J225" t="str">
        <f t="shared" si="13"/>
        <v>Environmental Heat</v>
      </c>
      <c r="K225" t="s">
        <v>3581</v>
      </c>
      <c r="L225" t="s">
        <v>1071</v>
      </c>
      <c r="M225" t="s">
        <v>4633</v>
      </c>
      <c r="N225" t="s">
        <v>5138</v>
      </c>
      <c r="O225" t="str" cm="1">
        <f t="array" ref="O225">_xlfn.IFS(
  TEXT(TRIM(N225),"00000")="NULL", "Missing/Unknown",
  OR(TEXT(TRIM(N225),"00000")="89101", TEXT(TRIM(N225),"00000")="89104", TEXT(TRIM(N225),"00000")="89106", TEXT(TRIM(N225),"00000")="89102", TEXT(TRIM(N225),"00000")="89107", TEXT(TRIM(N225),"00000")="89108"), "Urban Core",
  OR(TEXT(TRIM(N225),"00000")="89110", TEXT(TRIM(N225),"00000")="89115", TEXT(TRIM(N225),"00000")="89121", TEXT(TRIM(N225),"00000")="89122", TEXT(TRIM(N225),"00000")="89142", TEXT(TRIM(N225),"00000")="89156"), "East Valley",
  OR(TEXT(TRIM(N225),"00000")="89030", TEXT(TRIM(N225),"00000")="89031", TEXT(TRIM(N225),"00000")="89032", TEXT(TRIM(N225),"00000")="89086", TEXT(TRIM(N225),"00000")="89084", TEXT(TRIM(N225),"00000")="89081"), "North LV",
  OR(TEXT(TRIM(N225),"00000")="89109", TEXT(TRIM(N225),"00000")="89103", TEXT(TRIM(N225),"00000")="89119", TEXT(TRIM(N225),"00000")="89123", TEXT(TRIM(N225),"00000")="89169", TEXT(TRIM(N225),"00000")="89118"), "South/Strip",
  OR(TEXT(TRIM(N225),"00000")="89074", TEXT(TRIM(N225),"00000")="89014", TEXT(TRIM(N225),"00000")="89015", TEXT(TRIM(N225),"00000")="89011", TEXT(TRIM(N225),"00000")="89012"), "Suburban SE",
  OR(TEXT(TRIM(N225),"00000")="89117", TEXT(TRIM(N225),"00000")="89128", TEXT(TRIM(N225),"00000")="89135", TEXT(TRIM(N225),"00000")="89144", TEXT(TRIM(N225),"00000")="89145", TEXT(TRIM(N225),"00000")="89147"), "West Valley",
  TRUE, "Other"
)</f>
        <v>Other</v>
      </c>
      <c r="P225" t="s">
        <v>3298</v>
      </c>
      <c r="Q225" t="str">
        <f t="shared" si="14"/>
        <v>Outdoors/Public</v>
      </c>
      <c r="R225" t="s">
        <v>4633</v>
      </c>
      <c r="S225" t="s">
        <v>5138</v>
      </c>
      <c r="T225" t="str" cm="1">
        <f t="array" ref="T225">_xlfn.IFS(
  TEXT(TRIM(S225),"00000")="NULL", "Missing/Unknown",
  OR(TEXT(TRIM(S225),"00000")="89101", TEXT(TRIM(S225),"00000")="89104", TEXT(TRIM(S225),"00000")="89106", TEXT(TRIM(S225),"00000")="89102", TEXT(TRIM(S225),"00000")="89107", TEXT(TRIM(S225),"00000")="89108"), "Urban Core",
  OR(TEXT(TRIM(S225),"00000")="89110", TEXT(TRIM(S225),"00000")="89115", TEXT(TRIM(S225),"00000")="89121", TEXT(TRIM(S225),"00000")="89122", TEXT(TRIM(S225),"00000")="89142", TEXT(TRIM(S225),"00000")="89156"), "East Valley",
  OR(TEXT(TRIM(S225),"00000")="89030", TEXT(TRIM(S225),"00000")="89031", TEXT(TRIM(S225),"00000")="89032", TEXT(TRIM(S225),"00000")="89086", TEXT(TRIM(S225),"00000")="89084", TEXT(TRIM(S225),"00000")="89081"), "North LV",
  OR(TEXT(TRIM(S225),"00000")="89109", TEXT(TRIM(S225),"00000")="89103", TEXT(TRIM(S225),"00000")="89119", TEXT(TRIM(S225),"00000")="89123", TEXT(TRIM(S225),"00000")="89169", TEXT(TRIM(S225),"00000")="89118"), "South/Strip",
  OR(TEXT(TRIM(S225),"00000")="89074", TEXT(TRIM(S225),"00000")="89014", TEXT(TRIM(S225),"00000")="89015", TEXT(TRIM(S225),"00000")="89011", TEXT(TRIM(S225),"00000")="89012"), "Suburban SE",
  OR(TEXT(TRIM(S225),"00000")="89117", TEXT(TRIM(S225),"00000")="89128", TEXT(TRIM(S225),"00000")="89135", TEXT(TRIM(S225),"00000")="89144", TEXT(TRIM(S225),"00000")="89145", TEXT(TRIM(S225),"00000")="89147"), "West Valley",
  TRUE, "Other"
)</f>
        <v>Other</v>
      </c>
      <c r="U225" t="s">
        <v>3298</v>
      </c>
      <c r="V225" t="str">
        <f t="shared" si="15"/>
        <v>Outdoors/Public</v>
      </c>
    </row>
    <row r="226" spans="1:22">
      <c r="A226" t="s">
        <v>2503</v>
      </c>
      <c r="B226" t="s">
        <v>2504</v>
      </c>
      <c r="C226" s="1">
        <v>45492</v>
      </c>
      <c r="D226" s="4">
        <v>107.96</v>
      </c>
      <c r="E226">
        <v>41</v>
      </c>
      <c r="F226" t="str">
        <f t="shared" si="12"/>
        <v>40's</v>
      </c>
      <c r="G226" t="str" cm="1">
        <f t="array" ref="G226">_xlfn.IFS(
  F226="10's", "Child (5–12)",
  OR(F226="20's", F226="30's"), "Young Adult (20–39)",
  OR(F226="40's", F226="50's"), "Adult (40–59)",
  OR(F226="60's", F226="70's", F226="80's", F226="90's"), "Senior (60+)",
  TRUE, "Unknown"
)</f>
        <v>Adult (40–59)</v>
      </c>
      <c r="H226" t="s">
        <v>4309</v>
      </c>
      <c r="I226" t="s">
        <v>34</v>
      </c>
      <c r="J226" t="str">
        <f t="shared" si="13"/>
        <v>Methamphetamine-related</v>
      </c>
      <c r="K226" t="s">
        <v>54</v>
      </c>
      <c r="L226" t="s">
        <v>250</v>
      </c>
      <c r="M226" t="s">
        <v>4317</v>
      </c>
      <c r="N226" t="s">
        <v>5100</v>
      </c>
      <c r="O226" t="str" cm="1">
        <f t="array" ref="O226">_xlfn.IFS(
  TEXT(TRIM(N226),"00000")="NULL", "Missing/Unknown",
  OR(TEXT(TRIM(N226),"00000")="89101", TEXT(TRIM(N226),"00000")="89104", TEXT(TRIM(N226),"00000")="89106", TEXT(TRIM(N226),"00000")="89102", TEXT(TRIM(N226),"00000")="89107", TEXT(TRIM(N226),"00000")="89108"), "Urban Core",
  OR(TEXT(TRIM(N226),"00000")="89110", TEXT(TRIM(N226),"00000")="89115", TEXT(TRIM(N226),"00000")="89121", TEXT(TRIM(N226),"00000")="89122", TEXT(TRIM(N226),"00000")="89142", TEXT(TRIM(N226),"00000")="89156"), "East Valley",
  OR(TEXT(TRIM(N226),"00000")="89030", TEXT(TRIM(N226),"00000")="89031", TEXT(TRIM(N226),"00000")="89032", TEXT(TRIM(N226),"00000")="89086", TEXT(TRIM(N226),"00000")="89084", TEXT(TRIM(N226),"00000")="89081"), "North LV",
  OR(TEXT(TRIM(N226),"00000")="89109", TEXT(TRIM(N226),"00000")="89103", TEXT(TRIM(N226),"00000")="89119", TEXT(TRIM(N226),"00000")="89123", TEXT(TRIM(N226),"00000")="89169", TEXT(TRIM(N226),"00000")="89118"), "South/Strip",
  OR(TEXT(TRIM(N226),"00000")="89074", TEXT(TRIM(N226),"00000")="89014", TEXT(TRIM(N226),"00000")="89015", TEXT(TRIM(N226),"00000")="89011", TEXT(TRIM(N226),"00000")="89012"), "Suburban SE",
  OR(TEXT(TRIM(N226),"00000")="89117", TEXT(TRIM(N226),"00000")="89128", TEXT(TRIM(N226),"00000")="89135", TEXT(TRIM(N226),"00000")="89144", TEXT(TRIM(N226),"00000")="89145", TEXT(TRIM(N226),"00000")="89147"), "West Valley",
  TRUE, "Other"
)</f>
        <v>North LV</v>
      </c>
      <c r="P226" t="s">
        <v>3298</v>
      </c>
      <c r="Q226" t="str">
        <f t="shared" si="14"/>
        <v>Outdoors/Public</v>
      </c>
      <c r="R226" t="s">
        <v>4317</v>
      </c>
      <c r="S226" t="s">
        <v>5100</v>
      </c>
      <c r="T226" t="str" cm="1">
        <f t="array" ref="T226">_xlfn.IFS(
  TEXT(TRIM(S226),"00000")="NULL", "Missing/Unknown",
  OR(TEXT(TRIM(S226),"00000")="89101", TEXT(TRIM(S226),"00000")="89104", TEXT(TRIM(S226),"00000")="89106", TEXT(TRIM(S226),"00000")="89102", TEXT(TRIM(S226),"00000")="89107", TEXT(TRIM(S226),"00000")="89108"), "Urban Core",
  OR(TEXT(TRIM(S226),"00000")="89110", TEXT(TRIM(S226),"00000")="89115", TEXT(TRIM(S226),"00000")="89121", TEXT(TRIM(S226),"00000")="89122", TEXT(TRIM(S226),"00000")="89142", TEXT(TRIM(S226),"00000")="89156"), "East Valley",
  OR(TEXT(TRIM(S226),"00000")="89030", TEXT(TRIM(S226),"00000")="89031", TEXT(TRIM(S226),"00000")="89032", TEXT(TRIM(S226),"00000")="89086", TEXT(TRIM(S226),"00000")="89084", TEXT(TRIM(S226),"00000")="89081"), "North LV",
  OR(TEXT(TRIM(S226),"00000")="89109", TEXT(TRIM(S226),"00000")="89103", TEXT(TRIM(S226),"00000")="89119", TEXT(TRIM(S226),"00000")="89123", TEXT(TRIM(S226),"00000")="89169", TEXT(TRIM(S226),"00000")="89118"), "South/Strip",
  OR(TEXT(TRIM(S226),"00000")="89074", TEXT(TRIM(S226),"00000")="89014", TEXT(TRIM(S226),"00000")="89015", TEXT(TRIM(S226),"00000")="89011", TEXT(TRIM(S226),"00000")="89012"), "Suburban SE",
  OR(TEXT(TRIM(S226),"00000")="89117", TEXT(TRIM(S226),"00000")="89128", TEXT(TRIM(S226),"00000")="89135", TEXT(TRIM(S226),"00000")="89144", TEXT(TRIM(S226),"00000")="89145", TEXT(TRIM(S226),"00000")="89147"), "West Valley",
  TRUE, "Other"
)</f>
        <v>North LV</v>
      </c>
      <c r="U226" t="s">
        <v>3298</v>
      </c>
      <c r="V226" t="str">
        <f t="shared" si="15"/>
        <v>Outdoors/Public</v>
      </c>
    </row>
    <row r="227" spans="1:22">
      <c r="A227" t="s">
        <v>2671</v>
      </c>
      <c r="B227" t="s">
        <v>2672</v>
      </c>
      <c r="C227" s="1">
        <v>45492</v>
      </c>
      <c r="D227" s="4">
        <v>107.96</v>
      </c>
      <c r="E227">
        <v>77</v>
      </c>
      <c r="F227" t="str">
        <f t="shared" si="12"/>
        <v>70's</v>
      </c>
      <c r="G227" t="str" cm="1">
        <f t="array" ref="G227">_xlfn.IFS(
  F227="10's", "Child (5–12)",
  OR(F227="20's", F227="30's"), "Young Adult (20–39)",
  OR(F227="40's", F227="50's"), "Adult (40–59)",
  OR(F227="60's", F227="70's", F227="80's", F227="90's"), "Senior (60+)",
  TRUE, "Unknown"
)</f>
        <v>Senior (60+)</v>
      </c>
      <c r="H227" t="s">
        <v>778</v>
      </c>
      <c r="I227" t="s">
        <v>1083</v>
      </c>
      <c r="J227" t="str">
        <f t="shared" si="13"/>
        <v>Other / Unknown</v>
      </c>
      <c r="K227" t="s">
        <v>4173</v>
      </c>
      <c r="L227" t="s">
        <v>250</v>
      </c>
      <c r="N227" t="s">
        <v>5095</v>
      </c>
      <c r="O227" t="str" cm="1">
        <f t="array" ref="O227">_xlfn.IFS(
  TEXT(TRIM(N227),"00000")="NULL", "Missing/Unknown",
  OR(TEXT(TRIM(N227),"00000")="89101", TEXT(TRIM(N227),"00000")="89104", TEXT(TRIM(N227),"00000")="89106", TEXT(TRIM(N227),"00000")="89102", TEXT(TRIM(N227),"00000")="89107", TEXT(TRIM(N227),"00000")="89108"), "Urban Core",
  OR(TEXT(TRIM(N227),"00000")="89110", TEXT(TRIM(N227),"00000")="89115", TEXT(TRIM(N227),"00000")="89121", TEXT(TRIM(N227),"00000")="89122", TEXT(TRIM(N227),"00000")="89142", TEXT(TRIM(N227),"00000")="89156"), "East Valley",
  OR(TEXT(TRIM(N227),"00000")="89030", TEXT(TRIM(N227),"00000")="89031", TEXT(TRIM(N227),"00000")="89032", TEXT(TRIM(N227),"00000")="89086", TEXT(TRIM(N227),"00000")="89084", TEXT(TRIM(N227),"00000")="89081"), "North LV",
  OR(TEXT(TRIM(N227),"00000")="89109", TEXT(TRIM(N227),"00000")="89103", TEXT(TRIM(N227),"00000")="89119", TEXT(TRIM(N227),"00000")="89123", TEXT(TRIM(N227),"00000")="89169", TEXT(TRIM(N227),"00000")="89118"), "South/Strip",
  OR(TEXT(TRIM(N227),"00000")="89074", TEXT(TRIM(N227),"00000")="89014", TEXT(TRIM(N227),"00000")="89015", TEXT(TRIM(N227),"00000")="89011", TEXT(TRIM(N227),"00000")="89012"), "Suburban SE",
  OR(TEXT(TRIM(N227),"00000")="89117", TEXT(TRIM(N227),"00000")="89128", TEXT(TRIM(N227),"00000")="89135", TEXT(TRIM(N227),"00000")="89144", TEXT(TRIM(N227),"00000")="89145", TEXT(TRIM(N227),"00000")="89147"), "West Valley",
  TRUE, "Other"
)</f>
        <v>Missing/Unknown</v>
      </c>
      <c r="P227" t="s">
        <v>3298</v>
      </c>
      <c r="Q227" t="str">
        <f t="shared" si="14"/>
        <v>Outdoors/Public</v>
      </c>
      <c r="S227" t="s">
        <v>5095</v>
      </c>
      <c r="T227" t="str" cm="1">
        <f t="array" ref="T227">_xlfn.IFS(
  TEXT(TRIM(S227),"00000")="NULL", "Missing/Unknown",
  OR(TEXT(TRIM(S227),"00000")="89101", TEXT(TRIM(S227),"00000")="89104", TEXT(TRIM(S227),"00000")="89106", TEXT(TRIM(S227),"00000")="89102", TEXT(TRIM(S227),"00000")="89107", TEXT(TRIM(S227),"00000")="89108"), "Urban Core",
  OR(TEXT(TRIM(S227),"00000")="89110", TEXT(TRIM(S227),"00000")="89115", TEXT(TRIM(S227),"00000")="89121", TEXT(TRIM(S227),"00000")="89122", TEXT(TRIM(S227),"00000")="89142", TEXT(TRIM(S227),"00000")="89156"), "East Valley",
  OR(TEXT(TRIM(S227),"00000")="89030", TEXT(TRIM(S227),"00000")="89031", TEXT(TRIM(S227),"00000")="89032", TEXT(TRIM(S227),"00000")="89086", TEXT(TRIM(S227),"00000")="89084", TEXT(TRIM(S227),"00000")="89081"), "North LV",
  OR(TEXT(TRIM(S227),"00000")="89109", TEXT(TRIM(S227),"00000")="89103", TEXT(TRIM(S227),"00000")="89119", TEXT(TRIM(S227),"00000")="89123", TEXT(TRIM(S227),"00000")="89169", TEXT(TRIM(S227),"00000")="89118"), "South/Strip",
  OR(TEXT(TRIM(S227),"00000")="89074", TEXT(TRIM(S227),"00000")="89014", TEXT(TRIM(S227),"00000")="89015", TEXT(TRIM(S227),"00000")="89011", TEXT(TRIM(S227),"00000")="89012"), "Suburban SE",
  OR(TEXT(TRIM(S227),"00000")="89117", TEXT(TRIM(S227),"00000")="89128", TEXT(TRIM(S227),"00000")="89135", TEXT(TRIM(S227),"00000")="89144", TEXT(TRIM(S227),"00000")="89145", TEXT(TRIM(S227),"00000")="89147"), "West Valley",
  TRUE, "Other"
)</f>
        <v>Missing/Unknown</v>
      </c>
      <c r="U227" t="s">
        <v>3298</v>
      </c>
      <c r="V227" t="str">
        <f t="shared" si="15"/>
        <v>Outdoors/Public</v>
      </c>
    </row>
    <row r="228" spans="1:22">
      <c r="A228" t="s">
        <v>3104</v>
      </c>
      <c r="B228" t="s">
        <v>3105</v>
      </c>
      <c r="C228" s="1">
        <v>45492</v>
      </c>
      <c r="D228" s="4">
        <v>107.96</v>
      </c>
      <c r="E228">
        <v>59</v>
      </c>
      <c r="F228" t="str">
        <f t="shared" si="12"/>
        <v>50's</v>
      </c>
      <c r="G228" t="str" cm="1">
        <f t="array" ref="G228">_xlfn.IFS(
  F228="10's", "Child (5–12)",
  OR(F228="20's", F228="30's"), "Young Adult (20–39)",
  OR(F228="40's", F228="50's"), "Adult (40–59)",
  OR(F228="60's", F228="70's", F228="80's", F228="90's"), "Senior (60+)",
  TRUE, "Unknown"
)</f>
        <v>Adult (40–59)</v>
      </c>
      <c r="H228" t="s">
        <v>841</v>
      </c>
      <c r="I228" t="s">
        <v>54</v>
      </c>
      <c r="J228" t="str">
        <f t="shared" si="13"/>
        <v>Environmental Heat</v>
      </c>
      <c r="K228" t="s">
        <v>98</v>
      </c>
      <c r="L228" t="s">
        <v>250</v>
      </c>
      <c r="N228" t="s">
        <v>5095</v>
      </c>
      <c r="O228" t="str" cm="1">
        <f t="array" ref="O228">_xlfn.IFS(
  TEXT(TRIM(N228),"00000")="NULL", "Missing/Unknown",
  OR(TEXT(TRIM(N228),"00000")="89101", TEXT(TRIM(N228),"00000")="89104", TEXT(TRIM(N228),"00000")="89106", TEXT(TRIM(N228),"00000")="89102", TEXT(TRIM(N228),"00000")="89107", TEXT(TRIM(N228),"00000")="89108"), "Urban Core",
  OR(TEXT(TRIM(N228),"00000")="89110", TEXT(TRIM(N228),"00000")="89115", TEXT(TRIM(N228),"00000")="89121", TEXT(TRIM(N228),"00000")="89122", TEXT(TRIM(N228),"00000")="89142", TEXT(TRIM(N228),"00000")="89156"), "East Valley",
  OR(TEXT(TRIM(N228),"00000")="89030", TEXT(TRIM(N228),"00000")="89031", TEXT(TRIM(N228),"00000")="89032", TEXT(TRIM(N228),"00000")="89086", TEXT(TRIM(N228),"00000")="89084", TEXT(TRIM(N228),"00000")="89081"), "North LV",
  OR(TEXT(TRIM(N228),"00000")="89109", TEXT(TRIM(N228),"00000")="89103", TEXT(TRIM(N228),"00000")="89119", TEXT(TRIM(N228),"00000")="89123", TEXT(TRIM(N228),"00000")="89169", TEXT(TRIM(N228),"00000")="89118"), "South/Strip",
  OR(TEXT(TRIM(N228),"00000")="89074", TEXT(TRIM(N228),"00000")="89014", TEXT(TRIM(N228),"00000")="89015", TEXT(TRIM(N228),"00000")="89011", TEXT(TRIM(N228),"00000")="89012"), "Suburban SE",
  OR(TEXT(TRIM(N228),"00000")="89117", TEXT(TRIM(N228),"00000")="89128", TEXT(TRIM(N228),"00000")="89135", TEXT(TRIM(N228),"00000")="89144", TEXT(TRIM(N228),"00000")="89145", TEXT(TRIM(N228),"00000")="89147"), "West Valley",
  TRUE, "Other"
)</f>
        <v>Missing/Unknown</v>
      </c>
      <c r="P228" t="s">
        <v>24</v>
      </c>
      <c r="Q228" t="str">
        <f t="shared" si="14"/>
        <v>Outdoors/Public</v>
      </c>
      <c r="S228" t="s">
        <v>5095</v>
      </c>
      <c r="T228" t="str" cm="1">
        <f t="array" ref="T228">_xlfn.IFS(
  TEXT(TRIM(S228),"00000")="NULL", "Missing/Unknown",
  OR(TEXT(TRIM(S228),"00000")="89101", TEXT(TRIM(S228),"00000")="89104", TEXT(TRIM(S228),"00000")="89106", TEXT(TRIM(S228),"00000")="89102", TEXT(TRIM(S228),"00000")="89107", TEXT(TRIM(S228),"00000")="89108"), "Urban Core",
  OR(TEXT(TRIM(S228),"00000")="89110", TEXT(TRIM(S228),"00000")="89115", TEXT(TRIM(S228),"00000")="89121", TEXT(TRIM(S228),"00000")="89122", TEXT(TRIM(S228),"00000")="89142", TEXT(TRIM(S228),"00000")="89156"), "East Valley",
  OR(TEXT(TRIM(S228),"00000")="89030", TEXT(TRIM(S228),"00000")="89031", TEXT(TRIM(S228),"00000")="89032", TEXT(TRIM(S228),"00000")="89086", TEXT(TRIM(S228),"00000")="89084", TEXT(TRIM(S228),"00000")="89081"), "North LV",
  OR(TEXT(TRIM(S228),"00000")="89109", TEXT(TRIM(S228),"00000")="89103", TEXT(TRIM(S228),"00000")="89119", TEXT(TRIM(S228),"00000")="89123", TEXT(TRIM(S228),"00000")="89169", TEXT(TRIM(S228),"00000")="89118"), "South/Strip",
  OR(TEXT(TRIM(S228),"00000")="89074", TEXT(TRIM(S228),"00000")="89014", TEXT(TRIM(S228),"00000")="89015", TEXT(TRIM(S228),"00000")="89011", TEXT(TRIM(S228),"00000")="89012"), "Suburban SE",
  OR(TEXT(TRIM(S228),"00000")="89117", TEXT(TRIM(S228),"00000")="89128", TEXT(TRIM(S228),"00000")="89135", TEXT(TRIM(S228),"00000")="89144", TEXT(TRIM(S228),"00000")="89145", TEXT(TRIM(S228),"00000")="89147"), "West Valley",
  TRUE, "Other"
)</f>
        <v>Missing/Unknown</v>
      </c>
      <c r="U228" t="s">
        <v>24</v>
      </c>
      <c r="V228" t="str">
        <f t="shared" si="15"/>
        <v>Outdoors/Public</v>
      </c>
    </row>
    <row r="229" spans="1:22">
      <c r="A229" t="s">
        <v>3089</v>
      </c>
      <c r="B229" t="s">
        <v>3090</v>
      </c>
      <c r="C229" s="1">
        <v>45491</v>
      </c>
      <c r="D229" s="4">
        <v>105.08</v>
      </c>
      <c r="E229">
        <v>52</v>
      </c>
      <c r="F229" t="str">
        <f t="shared" si="12"/>
        <v>50's</v>
      </c>
      <c r="G229" t="str" cm="1">
        <f t="array" ref="G229">_xlfn.IFS(
  F229="10's", "Child (5–12)",
  OR(F229="20's", F229="30's"), "Young Adult (20–39)",
  OR(F229="40's", F229="50's"), "Adult (40–59)",
  OR(F229="60's", F229="70's", F229="80's", F229="90's"), "Senior (60+)",
  TRUE, "Unknown"
)</f>
        <v>Adult (40–59)</v>
      </c>
      <c r="H229" t="s">
        <v>4309</v>
      </c>
      <c r="I229" t="s">
        <v>54</v>
      </c>
      <c r="J229" t="str">
        <f t="shared" si="13"/>
        <v>Environmental Heat</v>
      </c>
      <c r="K229" t="s">
        <v>98</v>
      </c>
      <c r="L229" t="s">
        <v>250</v>
      </c>
      <c r="M229" t="s">
        <v>5039</v>
      </c>
      <c r="N229" t="s">
        <v>5122</v>
      </c>
      <c r="O229" t="str" cm="1">
        <f t="array" ref="O229">_xlfn.IFS(
  TEXT(TRIM(N229),"00000")="NULL", "Missing/Unknown",
  OR(TEXT(TRIM(N229),"00000")="89101", TEXT(TRIM(N229),"00000")="89104", TEXT(TRIM(N229),"00000")="89106", TEXT(TRIM(N229),"00000")="89102", TEXT(TRIM(N229),"00000")="89107", TEXT(TRIM(N229),"00000")="89108"), "Urban Core",
  OR(TEXT(TRIM(N229),"00000")="89110", TEXT(TRIM(N229),"00000")="89115", TEXT(TRIM(N229),"00000")="89121", TEXT(TRIM(N229),"00000")="89122", TEXT(TRIM(N229),"00000")="89142", TEXT(TRIM(N229),"00000")="89156"), "East Valley",
  OR(TEXT(TRIM(N229),"00000")="89030", TEXT(TRIM(N229),"00000")="89031", TEXT(TRIM(N229),"00000")="89032", TEXT(TRIM(N229),"00000")="89086", TEXT(TRIM(N229),"00000")="89084", TEXT(TRIM(N229),"00000")="89081"), "North LV",
  OR(TEXT(TRIM(N229),"00000")="89109", TEXT(TRIM(N229),"00000")="89103", TEXT(TRIM(N229),"00000")="89119", TEXT(TRIM(N229),"00000")="89123", TEXT(TRIM(N229),"00000")="89169", TEXT(TRIM(N229),"00000")="89118"), "South/Strip",
  OR(TEXT(TRIM(N229),"00000")="89074", TEXT(TRIM(N229),"00000")="89014", TEXT(TRIM(N229),"00000")="89015", TEXT(TRIM(N229),"00000")="89011", TEXT(TRIM(N229),"00000")="89012"), "Suburban SE",
  OR(TEXT(TRIM(N229),"00000")="89117", TEXT(TRIM(N229),"00000")="89128", TEXT(TRIM(N229),"00000")="89135", TEXT(TRIM(N229),"00000")="89144", TEXT(TRIM(N229),"00000")="89145", TEXT(TRIM(N229),"00000")="89147"), "West Valley",
  TRUE, "Other"
)</f>
        <v>East Valley</v>
      </c>
      <c r="P229" t="s">
        <v>38</v>
      </c>
      <c r="Q229" t="str">
        <f t="shared" si="14"/>
        <v>Home/Residence</v>
      </c>
      <c r="R229" t="s">
        <v>5039</v>
      </c>
      <c r="S229" t="s">
        <v>5122</v>
      </c>
      <c r="T229" t="str" cm="1">
        <f t="array" ref="T229">_xlfn.IFS(
  TEXT(TRIM(S229),"00000")="NULL", "Missing/Unknown",
  OR(TEXT(TRIM(S229),"00000")="89101", TEXT(TRIM(S229),"00000")="89104", TEXT(TRIM(S229),"00000")="89106", TEXT(TRIM(S229),"00000")="89102", TEXT(TRIM(S229),"00000")="89107", TEXT(TRIM(S229),"00000")="89108"), "Urban Core",
  OR(TEXT(TRIM(S229),"00000")="89110", TEXT(TRIM(S229),"00000")="89115", TEXT(TRIM(S229),"00000")="89121", TEXT(TRIM(S229),"00000")="89122", TEXT(TRIM(S229),"00000")="89142", TEXT(TRIM(S229),"00000")="89156"), "East Valley",
  OR(TEXT(TRIM(S229),"00000")="89030", TEXT(TRIM(S229),"00000")="89031", TEXT(TRIM(S229),"00000")="89032", TEXT(TRIM(S229),"00000")="89086", TEXT(TRIM(S229),"00000")="89084", TEXT(TRIM(S229),"00000")="89081"), "North LV",
  OR(TEXT(TRIM(S229),"00000")="89109", TEXT(TRIM(S229),"00000")="89103", TEXT(TRIM(S229),"00000")="89119", TEXT(TRIM(S229),"00000")="89123", TEXT(TRIM(S229),"00000")="89169", TEXT(TRIM(S229),"00000")="89118"), "South/Strip",
  OR(TEXT(TRIM(S229),"00000")="89074", TEXT(TRIM(S229),"00000")="89014", TEXT(TRIM(S229),"00000")="89015", TEXT(TRIM(S229),"00000")="89011", TEXT(TRIM(S229),"00000")="89012"), "Suburban SE",
  OR(TEXT(TRIM(S229),"00000")="89117", TEXT(TRIM(S229),"00000")="89128", TEXT(TRIM(S229),"00000")="89135", TEXT(TRIM(S229),"00000")="89144", TEXT(TRIM(S229),"00000")="89145", TEXT(TRIM(S229),"00000")="89147"), "West Valley",
  TRUE, "Other"
)</f>
        <v>East Valley</v>
      </c>
      <c r="U229" t="s">
        <v>38</v>
      </c>
      <c r="V229" t="str">
        <f t="shared" si="15"/>
        <v>Home/Residence</v>
      </c>
    </row>
    <row r="230" spans="1:22">
      <c r="A230" t="s">
        <v>2826</v>
      </c>
      <c r="B230" t="s">
        <v>2827</v>
      </c>
      <c r="C230" s="1">
        <v>45491</v>
      </c>
      <c r="D230" s="4">
        <v>105.08</v>
      </c>
      <c r="E230">
        <v>94</v>
      </c>
      <c r="F230" t="str">
        <f t="shared" si="12"/>
        <v>90's</v>
      </c>
      <c r="G230" t="str" cm="1">
        <f t="array" ref="G230">_xlfn.IFS(
  F230="10's", "Child (5–12)",
  OR(F230="20's", F230="30's"), "Young Adult (20–39)",
  OR(F230="40's", F230="50's"), "Adult (40–59)",
  OR(F230="60's", F230="70's", F230="80's", F230="90's"), "Senior (60+)",
  TRUE, "Unknown"
)</f>
        <v>Senior (60+)</v>
      </c>
      <c r="H230" t="s">
        <v>841</v>
      </c>
      <c r="I230" t="s">
        <v>4031</v>
      </c>
      <c r="J230" t="str">
        <f t="shared" si="13"/>
        <v>Other / Unknown</v>
      </c>
      <c r="K230" t="s">
        <v>4174</v>
      </c>
      <c r="L230" t="s">
        <v>1071</v>
      </c>
      <c r="M230" t="s">
        <v>4922</v>
      </c>
      <c r="N230" t="s">
        <v>5098</v>
      </c>
      <c r="O230" t="str" cm="1">
        <f t="array" ref="O230">_xlfn.IFS(
  TEXT(TRIM(N230),"00000")="NULL", "Missing/Unknown",
  OR(TEXT(TRIM(N230),"00000")="89101", TEXT(TRIM(N230),"00000")="89104", TEXT(TRIM(N230),"00000")="89106", TEXT(TRIM(N230),"00000")="89102", TEXT(TRIM(N230),"00000")="89107", TEXT(TRIM(N230),"00000")="89108"), "Urban Core",
  OR(TEXT(TRIM(N230),"00000")="89110", TEXT(TRIM(N230),"00000")="89115", TEXT(TRIM(N230),"00000")="89121", TEXT(TRIM(N230),"00000")="89122", TEXT(TRIM(N230),"00000")="89142", TEXT(TRIM(N230),"00000")="89156"), "East Valley",
  OR(TEXT(TRIM(N230),"00000")="89030", TEXT(TRIM(N230),"00000")="89031", TEXT(TRIM(N230),"00000")="89032", TEXT(TRIM(N230),"00000")="89086", TEXT(TRIM(N230),"00000")="89084", TEXT(TRIM(N230),"00000")="89081"), "North LV",
  OR(TEXT(TRIM(N230),"00000")="89109", TEXT(TRIM(N230),"00000")="89103", TEXT(TRIM(N230),"00000")="89119", TEXT(TRIM(N230),"00000")="89123", TEXT(TRIM(N230),"00000")="89169", TEXT(TRIM(N230),"00000")="89118"), "South/Strip",
  OR(TEXT(TRIM(N230),"00000")="89074", TEXT(TRIM(N230),"00000")="89014", TEXT(TRIM(N230),"00000")="89015", TEXT(TRIM(N230),"00000")="89011", TEXT(TRIM(N230),"00000")="89012"), "Suburban SE",
  OR(TEXT(TRIM(N230),"00000")="89117", TEXT(TRIM(N230),"00000")="89128", TEXT(TRIM(N230),"00000")="89135", TEXT(TRIM(N230),"00000")="89144", TEXT(TRIM(N230),"00000")="89145", TEXT(TRIM(N230),"00000")="89147"), "West Valley",
  TRUE, "Other"
)</f>
        <v>Urban Core</v>
      </c>
      <c r="P230" t="s">
        <v>1073</v>
      </c>
      <c r="Q230" t="str">
        <f t="shared" si="14"/>
        <v>Home/Residence</v>
      </c>
      <c r="R230" t="s">
        <v>4922</v>
      </c>
      <c r="S230" t="s">
        <v>5098</v>
      </c>
      <c r="T230" t="str" cm="1">
        <f t="array" ref="T230">_xlfn.IFS(
  TEXT(TRIM(S230),"00000")="NULL", "Missing/Unknown",
  OR(TEXT(TRIM(S230),"00000")="89101", TEXT(TRIM(S230),"00000")="89104", TEXT(TRIM(S230),"00000")="89106", TEXT(TRIM(S230),"00000")="89102", TEXT(TRIM(S230),"00000")="89107", TEXT(TRIM(S230),"00000")="89108"), "Urban Core",
  OR(TEXT(TRIM(S230),"00000")="89110", TEXT(TRIM(S230),"00000")="89115", TEXT(TRIM(S230),"00000")="89121", TEXT(TRIM(S230),"00000")="89122", TEXT(TRIM(S230),"00000")="89142", TEXT(TRIM(S230),"00000")="89156"), "East Valley",
  OR(TEXT(TRIM(S230),"00000")="89030", TEXT(TRIM(S230),"00000")="89031", TEXT(TRIM(S230),"00000")="89032", TEXT(TRIM(S230),"00000")="89086", TEXT(TRIM(S230),"00000")="89084", TEXT(TRIM(S230),"00000")="89081"), "North LV",
  OR(TEXT(TRIM(S230),"00000")="89109", TEXT(TRIM(S230),"00000")="89103", TEXT(TRIM(S230),"00000")="89119", TEXT(TRIM(S230),"00000")="89123", TEXT(TRIM(S230),"00000")="89169", TEXT(TRIM(S230),"00000")="89118"), "South/Strip",
  OR(TEXT(TRIM(S230),"00000")="89074", TEXT(TRIM(S230),"00000")="89014", TEXT(TRIM(S230),"00000")="89015", TEXT(TRIM(S230),"00000")="89011", TEXT(TRIM(S230),"00000")="89012"), "Suburban SE",
  OR(TEXT(TRIM(S230),"00000")="89117", TEXT(TRIM(S230),"00000")="89128", TEXT(TRIM(S230),"00000")="89135", TEXT(TRIM(S230),"00000")="89144", TEXT(TRIM(S230),"00000")="89145", TEXT(TRIM(S230),"00000")="89147"), "West Valley",
  TRUE, "Other"
)</f>
        <v>Urban Core</v>
      </c>
      <c r="U230" t="s">
        <v>1073</v>
      </c>
      <c r="V230" t="str">
        <f t="shared" si="15"/>
        <v>Home/Residence</v>
      </c>
    </row>
    <row r="231" spans="1:22">
      <c r="A231" t="s">
        <v>3101</v>
      </c>
      <c r="B231" t="s">
        <v>3102</v>
      </c>
      <c r="C231" s="1">
        <v>45491</v>
      </c>
      <c r="D231" s="4">
        <v>105.08</v>
      </c>
      <c r="E231">
        <v>79</v>
      </c>
      <c r="F231" t="str">
        <f t="shared" si="12"/>
        <v>70's</v>
      </c>
      <c r="G231" t="str" cm="1">
        <f t="array" ref="G231">_xlfn.IFS(
  F231="10's", "Child (5–12)",
  OR(F231="20's", F231="30's"), "Young Adult (20–39)",
  OR(F231="40's", F231="50's"), "Adult (40–59)",
  OR(F231="60's", F231="70's", F231="80's", F231="90's"), "Senior (60+)",
  TRUE, "Unknown"
)</f>
        <v>Senior (60+)</v>
      </c>
      <c r="H231" t="s">
        <v>841</v>
      </c>
      <c r="I231" t="s">
        <v>54</v>
      </c>
      <c r="J231" t="str">
        <f t="shared" si="13"/>
        <v>Environmental Heat</v>
      </c>
      <c r="K231" t="s">
        <v>28</v>
      </c>
      <c r="L231" t="s">
        <v>1071</v>
      </c>
      <c r="M231" t="s">
        <v>4925</v>
      </c>
      <c r="N231" t="s">
        <v>5099</v>
      </c>
      <c r="O231" t="str" cm="1">
        <f t="array" ref="O231">_xlfn.IFS(
  TEXT(TRIM(N231),"00000")="NULL", "Missing/Unknown",
  OR(TEXT(TRIM(N231),"00000")="89101", TEXT(TRIM(N231),"00000")="89104", TEXT(TRIM(N231),"00000")="89106", TEXT(TRIM(N231),"00000")="89102", TEXT(TRIM(N231),"00000")="89107", TEXT(TRIM(N231),"00000")="89108"), "Urban Core",
  OR(TEXT(TRIM(N231),"00000")="89110", TEXT(TRIM(N231),"00000")="89115", TEXT(TRIM(N231),"00000")="89121", TEXT(TRIM(N231),"00000")="89122", TEXT(TRIM(N231),"00000")="89142", TEXT(TRIM(N231),"00000")="89156"), "East Valley",
  OR(TEXT(TRIM(N231),"00000")="89030", TEXT(TRIM(N231),"00000")="89031", TEXT(TRIM(N231),"00000")="89032", TEXT(TRIM(N231),"00000")="89086", TEXT(TRIM(N231),"00000")="89084", TEXT(TRIM(N231),"00000")="89081"), "North LV",
  OR(TEXT(TRIM(N231),"00000")="89109", TEXT(TRIM(N231),"00000")="89103", TEXT(TRIM(N231),"00000")="89119", TEXT(TRIM(N231),"00000")="89123", TEXT(TRIM(N231),"00000")="89169", TEXT(TRIM(N231),"00000")="89118"), "South/Strip",
  OR(TEXT(TRIM(N231),"00000")="89074", TEXT(TRIM(N231),"00000")="89014", TEXT(TRIM(N231),"00000")="89015", TEXT(TRIM(N231),"00000")="89011", TEXT(TRIM(N231),"00000")="89012"), "Suburban SE",
  OR(TEXT(TRIM(N231),"00000")="89117", TEXT(TRIM(N231),"00000")="89128", TEXT(TRIM(N231),"00000")="89135", TEXT(TRIM(N231),"00000")="89144", TEXT(TRIM(N231),"00000")="89145", TEXT(TRIM(N231),"00000")="89147"), "West Valley",
  TRUE, "Other"
)</f>
        <v>Urban Core</v>
      </c>
      <c r="P231" t="s">
        <v>1073</v>
      </c>
      <c r="Q231" t="str">
        <f t="shared" si="14"/>
        <v>Home/Residence</v>
      </c>
      <c r="R231" t="s">
        <v>4925</v>
      </c>
      <c r="S231" t="s">
        <v>5099</v>
      </c>
      <c r="T231" t="str" cm="1">
        <f t="array" ref="T231">_xlfn.IFS(
  TEXT(TRIM(S231),"00000")="NULL", "Missing/Unknown",
  OR(TEXT(TRIM(S231),"00000")="89101", TEXT(TRIM(S231),"00000")="89104", TEXT(TRIM(S231),"00000")="89106", TEXT(TRIM(S231),"00000")="89102", TEXT(TRIM(S231),"00000")="89107", TEXT(TRIM(S231),"00000")="89108"), "Urban Core",
  OR(TEXT(TRIM(S231),"00000")="89110", TEXT(TRIM(S231),"00000")="89115", TEXT(TRIM(S231),"00000")="89121", TEXT(TRIM(S231),"00000")="89122", TEXT(TRIM(S231),"00000")="89142", TEXT(TRIM(S231),"00000")="89156"), "East Valley",
  OR(TEXT(TRIM(S231),"00000")="89030", TEXT(TRIM(S231),"00000")="89031", TEXT(TRIM(S231),"00000")="89032", TEXT(TRIM(S231),"00000")="89086", TEXT(TRIM(S231),"00000")="89084", TEXT(TRIM(S231),"00000")="89081"), "North LV",
  OR(TEXT(TRIM(S231),"00000")="89109", TEXT(TRIM(S231),"00000")="89103", TEXT(TRIM(S231),"00000")="89119", TEXT(TRIM(S231),"00000")="89123", TEXT(TRIM(S231),"00000")="89169", TEXT(TRIM(S231),"00000")="89118"), "South/Strip",
  OR(TEXT(TRIM(S231),"00000")="89074", TEXT(TRIM(S231),"00000")="89014", TEXT(TRIM(S231),"00000")="89015", TEXT(TRIM(S231),"00000")="89011", TEXT(TRIM(S231),"00000")="89012"), "Suburban SE",
  OR(TEXT(TRIM(S231),"00000")="89117", TEXT(TRIM(S231),"00000")="89128", TEXT(TRIM(S231),"00000")="89135", TEXT(TRIM(S231),"00000")="89144", TEXT(TRIM(S231),"00000")="89145", TEXT(TRIM(S231),"00000")="89147"), "West Valley",
  TRUE, "Other"
)</f>
        <v>Urban Core</v>
      </c>
      <c r="U231" t="s">
        <v>1073</v>
      </c>
      <c r="V231" t="str">
        <f t="shared" si="15"/>
        <v>Home/Residence</v>
      </c>
    </row>
    <row r="232" spans="1:22">
      <c r="A232" t="s">
        <v>3365</v>
      </c>
      <c r="B232" t="s">
        <v>3366</v>
      </c>
      <c r="C232" s="1">
        <v>45491</v>
      </c>
      <c r="D232" s="4">
        <v>105.08</v>
      </c>
      <c r="E232">
        <v>57</v>
      </c>
      <c r="F232" t="str">
        <f t="shared" si="12"/>
        <v>50's</v>
      </c>
      <c r="G232" t="str" cm="1">
        <f t="array" ref="G232">_xlfn.IFS(
  F232="10's", "Child (5–12)",
  OR(F232="20's", F232="30's"), "Young Adult (20–39)",
  OR(F232="40's", F232="50's"), "Adult (40–59)",
  OR(F232="60's", F232="70's", F232="80's", F232="90's"), "Senior (60+)",
  TRUE, "Unknown"
)</f>
        <v>Adult (40–59)</v>
      </c>
      <c r="H232" t="s">
        <v>27</v>
      </c>
      <c r="I232" t="s">
        <v>4056</v>
      </c>
      <c r="J232" t="str">
        <f t="shared" si="13"/>
        <v>Methamphetamine-related</v>
      </c>
      <c r="K232" t="s">
        <v>54</v>
      </c>
      <c r="L232" t="s">
        <v>250</v>
      </c>
      <c r="M232" t="s">
        <v>4686</v>
      </c>
      <c r="N232" t="s">
        <v>5096</v>
      </c>
      <c r="O232" t="str" cm="1">
        <f t="array" ref="O232">_xlfn.IFS(
  TEXT(TRIM(N232),"00000")="NULL", "Missing/Unknown",
  OR(TEXT(TRIM(N232),"00000")="89101", TEXT(TRIM(N232),"00000")="89104", TEXT(TRIM(N232),"00000")="89106", TEXT(TRIM(N232),"00000")="89102", TEXT(TRIM(N232),"00000")="89107", TEXT(TRIM(N232),"00000")="89108"), "Urban Core",
  OR(TEXT(TRIM(N232),"00000")="89110", TEXT(TRIM(N232),"00000")="89115", TEXT(TRIM(N232),"00000")="89121", TEXT(TRIM(N232),"00000")="89122", TEXT(TRIM(N232),"00000")="89142", TEXT(TRIM(N232),"00000")="89156"), "East Valley",
  OR(TEXT(TRIM(N232),"00000")="89030", TEXT(TRIM(N232),"00000")="89031", TEXT(TRIM(N232),"00000")="89032", TEXT(TRIM(N232),"00000")="89086", TEXT(TRIM(N232),"00000")="89084", TEXT(TRIM(N232),"00000")="89081"), "North LV",
  OR(TEXT(TRIM(N232),"00000")="89109", TEXT(TRIM(N232),"00000")="89103", TEXT(TRIM(N232),"00000")="89119", TEXT(TRIM(N232),"00000")="89123", TEXT(TRIM(N232),"00000")="89169", TEXT(TRIM(N232),"00000")="89118"), "South/Strip",
  OR(TEXT(TRIM(N232),"00000")="89074", TEXT(TRIM(N232),"00000")="89014", TEXT(TRIM(N232),"00000")="89015", TEXT(TRIM(N232),"00000")="89011", TEXT(TRIM(N232),"00000")="89012"), "Suburban SE",
  OR(TEXT(TRIM(N232),"00000")="89117", TEXT(TRIM(N232),"00000")="89128", TEXT(TRIM(N232),"00000")="89135", TEXT(TRIM(N232),"00000")="89144", TEXT(TRIM(N232),"00000")="89145", TEXT(TRIM(N232),"00000")="89147"), "West Valley",
  TRUE, "Other"
)</f>
        <v>South/Strip</v>
      </c>
      <c r="P232" t="s">
        <v>3298</v>
      </c>
      <c r="Q232" t="str">
        <f t="shared" si="14"/>
        <v>Outdoors/Public</v>
      </c>
      <c r="R232" t="s">
        <v>4686</v>
      </c>
      <c r="S232" t="s">
        <v>5096</v>
      </c>
      <c r="T232" t="str" cm="1">
        <f t="array" ref="T232">_xlfn.IFS(
  TEXT(TRIM(S232),"00000")="NULL", "Missing/Unknown",
  OR(TEXT(TRIM(S232),"00000")="89101", TEXT(TRIM(S232),"00000")="89104", TEXT(TRIM(S232),"00000")="89106", TEXT(TRIM(S232),"00000")="89102", TEXT(TRIM(S232),"00000")="89107", TEXT(TRIM(S232),"00000")="89108"), "Urban Core",
  OR(TEXT(TRIM(S232),"00000")="89110", TEXT(TRIM(S232),"00000")="89115", TEXT(TRIM(S232),"00000")="89121", TEXT(TRIM(S232),"00000")="89122", TEXT(TRIM(S232),"00000")="89142", TEXT(TRIM(S232),"00000")="89156"), "East Valley",
  OR(TEXT(TRIM(S232),"00000")="89030", TEXT(TRIM(S232),"00000")="89031", TEXT(TRIM(S232),"00000")="89032", TEXT(TRIM(S232),"00000")="89086", TEXT(TRIM(S232),"00000")="89084", TEXT(TRIM(S232),"00000")="89081"), "North LV",
  OR(TEXT(TRIM(S232),"00000")="89109", TEXT(TRIM(S232),"00000")="89103", TEXT(TRIM(S232),"00000")="89119", TEXT(TRIM(S232),"00000")="89123", TEXT(TRIM(S232),"00000")="89169", TEXT(TRIM(S232),"00000")="89118"), "South/Strip",
  OR(TEXT(TRIM(S232),"00000")="89074", TEXT(TRIM(S232),"00000")="89014", TEXT(TRIM(S232),"00000")="89015", TEXT(TRIM(S232),"00000")="89011", TEXT(TRIM(S232),"00000")="89012"), "Suburban SE",
  OR(TEXT(TRIM(S232),"00000")="89117", TEXT(TRIM(S232),"00000")="89128", TEXT(TRIM(S232),"00000")="89135", TEXT(TRIM(S232),"00000")="89144", TEXT(TRIM(S232),"00000")="89145", TEXT(TRIM(S232),"00000")="89147"), "West Valley",
  TRUE, "Other"
)</f>
        <v>South/Strip</v>
      </c>
      <c r="U232" t="s">
        <v>3298</v>
      </c>
      <c r="V232" t="str">
        <f t="shared" si="15"/>
        <v>Outdoors/Public</v>
      </c>
    </row>
    <row r="233" spans="1:22">
      <c r="A233" t="s">
        <v>3671</v>
      </c>
      <c r="B233" t="s">
        <v>3672</v>
      </c>
      <c r="C233" s="1">
        <v>45491</v>
      </c>
      <c r="D233" s="4">
        <v>105.08</v>
      </c>
      <c r="E233">
        <v>32</v>
      </c>
      <c r="F233" t="str">
        <f t="shared" si="12"/>
        <v>30's</v>
      </c>
      <c r="G233" t="str" cm="1">
        <f t="array" ref="G233">_xlfn.IFS(
  F233="10's", "Child (5–12)",
  OR(F233="20's", F233="30's"), "Young Adult (20–39)",
  OR(F233="40's", F233="50's"), "Adult (40–59)",
  OR(F233="60's", F233="70's", F233="80's", F233="90's"), "Senior (60+)",
  TRUE, "Unknown"
)</f>
        <v>Young Adult (20–39)</v>
      </c>
      <c r="H233" t="s">
        <v>841</v>
      </c>
      <c r="I233" t="s">
        <v>4053</v>
      </c>
      <c r="J233" t="str">
        <f t="shared" si="13"/>
        <v>Methamphetamine-related</v>
      </c>
      <c r="K233" t="s">
        <v>54</v>
      </c>
      <c r="L233" t="s">
        <v>250</v>
      </c>
      <c r="M233" t="s">
        <v>5025</v>
      </c>
      <c r="N233" t="s">
        <v>5096</v>
      </c>
      <c r="O233" t="str" cm="1">
        <f t="array" ref="O233">_xlfn.IFS(
  TEXT(TRIM(N233),"00000")="NULL", "Missing/Unknown",
  OR(TEXT(TRIM(N233),"00000")="89101", TEXT(TRIM(N233),"00000")="89104", TEXT(TRIM(N233),"00000")="89106", TEXT(TRIM(N233),"00000")="89102", TEXT(TRIM(N233),"00000")="89107", TEXT(TRIM(N233),"00000")="89108"), "Urban Core",
  OR(TEXT(TRIM(N233),"00000")="89110", TEXT(TRIM(N233),"00000")="89115", TEXT(TRIM(N233),"00000")="89121", TEXT(TRIM(N233),"00000")="89122", TEXT(TRIM(N233),"00000")="89142", TEXT(TRIM(N233),"00000")="89156"), "East Valley",
  OR(TEXT(TRIM(N233),"00000")="89030", TEXT(TRIM(N233),"00000")="89031", TEXT(TRIM(N233),"00000")="89032", TEXT(TRIM(N233),"00000")="89086", TEXT(TRIM(N233),"00000")="89084", TEXT(TRIM(N233),"00000")="89081"), "North LV",
  OR(TEXT(TRIM(N233),"00000")="89109", TEXT(TRIM(N233),"00000")="89103", TEXT(TRIM(N233),"00000")="89119", TEXT(TRIM(N233),"00000")="89123", TEXT(TRIM(N233),"00000")="89169", TEXT(TRIM(N233),"00000")="89118"), "South/Strip",
  OR(TEXT(TRIM(N233),"00000")="89074", TEXT(TRIM(N233),"00000")="89014", TEXT(TRIM(N233),"00000")="89015", TEXT(TRIM(N233),"00000")="89011", TEXT(TRIM(N233),"00000")="89012"), "Suburban SE",
  OR(TEXT(TRIM(N233),"00000")="89117", TEXT(TRIM(N233),"00000")="89128", TEXT(TRIM(N233),"00000")="89135", TEXT(TRIM(N233),"00000")="89144", TEXT(TRIM(N233),"00000")="89145", TEXT(TRIM(N233),"00000")="89147"), "West Valley",
  TRUE, "Other"
)</f>
        <v>South/Strip</v>
      </c>
      <c r="P233" t="s">
        <v>3298</v>
      </c>
      <c r="Q233" t="str">
        <f t="shared" si="14"/>
        <v>Outdoors/Public</v>
      </c>
      <c r="R233" t="s">
        <v>5025</v>
      </c>
      <c r="S233" t="s">
        <v>5096</v>
      </c>
      <c r="T233" t="str" cm="1">
        <f t="array" ref="T233">_xlfn.IFS(
  TEXT(TRIM(S233),"00000")="NULL", "Missing/Unknown",
  OR(TEXT(TRIM(S233),"00000")="89101", TEXT(TRIM(S233),"00000")="89104", TEXT(TRIM(S233),"00000")="89106", TEXT(TRIM(S233),"00000")="89102", TEXT(TRIM(S233),"00000")="89107", TEXT(TRIM(S233),"00000")="89108"), "Urban Core",
  OR(TEXT(TRIM(S233),"00000")="89110", TEXT(TRIM(S233),"00000")="89115", TEXT(TRIM(S233),"00000")="89121", TEXT(TRIM(S233),"00000")="89122", TEXT(TRIM(S233),"00000")="89142", TEXT(TRIM(S233),"00000")="89156"), "East Valley",
  OR(TEXT(TRIM(S233),"00000")="89030", TEXT(TRIM(S233),"00000")="89031", TEXT(TRIM(S233),"00000")="89032", TEXT(TRIM(S233),"00000")="89086", TEXT(TRIM(S233),"00000")="89084", TEXT(TRIM(S233),"00000")="89081"), "North LV",
  OR(TEXT(TRIM(S233),"00000")="89109", TEXT(TRIM(S233),"00000")="89103", TEXT(TRIM(S233),"00000")="89119", TEXT(TRIM(S233),"00000")="89123", TEXT(TRIM(S233),"00000")="89169", TEXT(TRIM(S233),"00000")="89118"), "South/Strip",
  OR(TEXT(TRIM(S233),"00000")="89074", TEXT(TRIM(S233),"00000")="89014", TEXT(TRIM(S233),"00000")="89015", TEXT(TRIM(S233),"00000")="89011", TEXT(TRIM(S233),"00000")="89012"), "Suburban SE",
  OR(TEXT(TRIM(S233),"00000")="89117", TEXT(TRIM(S233),"00000")="89128", TEXT(TRIM(S233),"00000")="89135", TEXT(TRIM(S233),"00000")="89144", TEXT(TRIM(S233),"00000")="89145", TEXT(TRIM(S233),"00000")="89147"), "West Valley",
  TRUE, "Other"
)</f>
        <v>South/Strip</v>
      </c>
      <c r="U233" t="s">
        <v>3298</v>
      </c>
      <c r="V233" t="str">
        <f t="shared" si="15"/>
        <v>Outdoors/Public</v>
      </c>
    </row>
    <row r="234" spans="1:22">
      <c r="A234" t="s">
        <v>3094</v>
      </c>
      <c r="B234" t="s">
        <v>3095</v>
      </c>
      <c r="C234" s="1">
        <v>45491</v>
      </c>
      <c r="D234" s="4">
        <v>105.08</v>
      </c>
      <c r="E234">
        <v>78</v>
      </c>
      <c r="F234" t="str">
        <f t="shared" si="12"/>
        <v>70's</v>
      </c>
      <c r="G234" t="str" cm="1">
        <f t="array" ref="G234">_xlfn.IFS(
  F234="10's", "Child (5–12)",
  OR(F234="20's", F234="30's"), "Young Adult (20–39)",
  OR(F234="40's", F234="50's"), "Adult (40–59)",
  OR(F234="60's", F234="70's", F234="80's", F234="90's"), "Senior (60+)",
  TRUE, "Unknown"
)</f>
        <v>Senior (60+)</v>
      </c>
      <c r="H234" t="s">
        <v>841</v>
      </c>
      <c r="I234" t="s">
        <v>54</v>
      </c>
      <c r="J234" t="str">
        <f t="shared" si="13"/>
        <v>Environmental Heat</v>
      </c>
      <c r="K234" t="s">
        <v>1824</v>
      </c>
      <c r="L234" t="s">
        <v>1071</v>
      </c>
      <c r="M234" t="s">
        <v>4923</v>
      </c>
      <c r="N234" t="s">
        <v>5108</v>
      </c>
      <c r="O234" t="str" cm="1">
        <f t="array" ref="O234">_xlfn.IFS(
  TEXT(TRIM(N234),"00000")="NULL", "Missing/Unknown",
  OR(TEXT(TRIM(N234),"00000")="89101", TEXT(TRIM(N234),"00000")="89104", TEXT(TRIM(N234),"00000")="89106", TEXT(TRIM(N234),"00000")="89102", TEXT(TRIM(N234),"00000")="89107", TEXT(TRIM(N234),"00000")="89108"), "Urban Core",
  OR(TEXT(TRIM(N234),"00000")="89110", TEXT(TRIM(N234),"00000")="89115", TEXT(TRIM(N234),"00000")="89121", TEXT(TRIM(N234),"00000")="89122", TEXT(TRIM(N234),"00000")="89142", TEXT(TRIM(N234),"00000")="89156"), "East Valley",
  OR(TEXT(TRIM(N234),"00000")="89030", TEXT(TRIM(N234),"00000")="89031", TEXT(TRIM(N234),"00000")="89032", TEXT(TRIM(N234),"00000")="89086", TEXT(TRIM(N234),"00000")="89084", TEXT(TRIM(N234),"00000")="89081"), "North LV",
  OR(TEXT(TRIM(N234),"00000")="89109", TEXT(TRIM(N234),"00000")="89103", TEXT(TRIM(N234),"00000")="89119", TEXT(TRIM(N234),"00000")="89123", TEXT(TRIM(N234),"00000")="89169", TEXT(TRIM(N234),"00000")="89118"), "South/Strip",
  OR(TEXT(TRIM(N234),"00000")="89074", TEXT(TRIM(N234),"00000")="89014", TEXT(TRIM(N234),"00000")="89015", TEXT(TRIM(N234),"00000")="89011", TEXT(TRIM(N234),"00000")="89012"), "Suburban SE",
  OR(TEXT(TRIM(N234),"00000")="89117", TEXT(TRIM(N234),"00000")="89128", TEXT(TRIM(N234),"00000")="89135", TEXT(TRIM(N234),"00000")="89144", TEXT(TRIM(N234),"00000")="89145", TEXT(TRIM(N234),"00000")="89147"), "West Valley",
  TRUE, "Other"
)</f>
        <v>East Valley</v>
      </c>
      <c r="P234" t="s">
        <v>1073</v>
      </c>
      <c r="Q234" t="str">
        <f t="shared" si="14"/>
        <v>Home/Residence</v>
      </c>
      <c r="R234" t="s">
        <v>4923</v>
      </c>
      <c r="S234" t="s">
        <v>5108</v>
      </c>
      <c r="T234" t="str" cm="1">
        <f t="array" ref="T234">_xlfn.IFS(
  TEXT(TRIM(S234),"00000")="NULL", "Missing/Unknown",
  OR(TEXT(TRIM(S234),"00000")="89101", TEXT(TRIM(S234),"00000")="89104", TEXT(TRIM(S234),"00000")="89106", TEXT(TRIM(S234),"00000")="89102", TEXT(TRIM(S234),"00000")="89107", TEXT(TRIM(S234),"00000")="89108"), "Urban Core",
  OR(TEXT(TRIM(S234),"00000")="89110", TEXT(TRIM(S234),"00000")="89115", TEXT(TRIM(S234),"00000")="89121", TEXT(TRIM(S234),"00000")="89122", TEXT(TRIM(S234),"00000")="89142", TEXT(TRIM(S234),"00000")="89156"), "East Valley",
  OR(TEXT(TRIM(S234),"00000")="89030", TEXT(TRIM(S234),"00000")="89031", TEXT(TRIM(S234),"00000")="89032", TEXT(TRIM(S234),"00000")="89086", TEXT(TRIM(S234),"00000")="89084", TEXT(TRIM(S234),"00000")="89081"), "North LV",
  OR(TEXT(TRIM(S234),"00000")="89109", TEXT(TRIM(S234),"00000")="89103", TEXT(TRIM(S234),"00000")="89119", TEXT(TRIM(S234),"00000")="89123", TEXT(TRIM(S234),"00000")="89169", TEXT(TRIM(S234),"00000")="89118"), "South/Strip",
  OR(TEXT(TRIM(S234),"00000")="89074", TEXT(TRIM(S234),"00000")="89014", TEXT(TRIM(S234),"00000")="89015", TEXT(TRIM(S234),"00000")="89011", TEXT(TRIM(S234),"00000")="89012"), "Suburban SE",
  OR(TEXT(TRIM(S234),"00000")="89117", TEXT(TRIM(S234),"00000")="89128", TEXT(TRIM(S234),"00000")="89135", TEXT(TRIM(S234),"00000")="89144", TEXT(TRIM(S234),"00000")="89145", TEXT(TRIM(S234),"00000")="89147"), "West Valley",
  TRUE, "Other"
)</f>
        <v>East Valley</v>
      </c>
      <c r="U234" t="s">
        <v>1073</v>
      </c>
      <c r="V234" t="str">
        <f t="shared" si="15"/>
        <v>Home/Residence</v>
      </c>
    </row>
    <row r="235" spans="1:22">
      <c r="A235" t="s">
        <v>3097</v>
      </c>
      <c r="B235" t="s">
        <v>3098</v>
      </c>
      <c r="C235" s="1">
        <v>45491</v>
      </c>
      <c r="D235" s="4">
        <v>105.08</v>
      </c>
      <c r="E235">
        <v>65</v>
      </c>
      <c r="F235" t="str">
        <f t="shared" si="12"/>
        <v>60's</v>
      </c>
      <c r="G235" t="str" cm="1">
        <f t="array" ref="G235">_xlfn.IFS(
  F235="10's", "Child (5–12)",
  OR(F235="20's", F235="30's"), "Young Adult (20–39)",
  OR(F235="40's", F235="50's"), "Adult (40–59)",
  OR(F235="60's", F235="70's", F235="80's", F235="90's"), "Senior (60+)",
  TRUE, "Unknown"
)</f>
        <v>Senior (60+)</v>
      </c>
      <c r="H235" t="s">
        <v>778</v>
      </c>
      <c r="I235" t="s">
        <v>54</v>
      </c>
      <c r="J235" t="str">
        <f t="shared" si="13"/>
        <v>Environmental Heat</v>
      </c>
      <c r="K235" t="s">
        <v>3099</v>
      </c>
      <c r="L235" t="s">
        <v>1071</v>
      </c>
      <c r="M235" t="s">
        <v>4924</v>
      </c>
      <c r="N235" t="s">
        <v>5105</v>
      </c>
      <c r="O235" t="str" cm="1">
        <f t="array" ref="O235">_xlfn.IFS(
  TEXT(TRIM(N235),"00000")="NULL", "Missing/Unknown",
  OR(TEXT(TRIM(N235),"00000")="89101", TEXT(TRIM(N235),"00000")="89104", TEXT(TRIM(N235),"00000")="89106", TEXT(TRIM(N235),"00000")="89102", TEXT(TRIM(N235),"00000")="89107", TEXT(TRIM(N235),"00000")="89108"), "Urban Core",
  OR(TEXT(TRIM(N235),"00000")="89110", TEXT(TRIM(N235),"00000")="89115", TEXT(TRIM(N235),"00000")="89121", TEXT(TRIM(N235),"00000")="89122", TEXT(TRIM(N235),"00000")="89142", TEXT(TRIM(N235),"00000")="89156"), "East Valley",
  OR(TEXT(TRIM(N235),"00000")="89030", TEXT(TRIM(N235),"00000")="89031", TEXT(TRIM(N235),"00000")="89032", TEXT(TRIM(N235),"00000")="89086", TEXT(TRIM(N235),"00000")="89084", TEXT(TRIM(N235),"00000")="89081"), "North LV",
  OR(TEXT(TRIM(N235),"00000")="89109", TEXT(TRIM(N235),"00000")="89103", TEXT(TRIM(N235),"00000")="89119", TEXT(TRIM(N235),"00000")="89123", TEXT(TRIM(N235),"00000")="89169", TEXT(TRIM(N235),"00000")="89118"), "South/Strip",
  OR(TEXT(TRIM(N235),"00000")="89074", TEXT(TRIM(N235),"00000")="89014", TEXT(TRIM(N235),"00000")="89015", TEXT(TRIM(N235),"00000")="89011", TEXT(TRIM(N235),"00000")="89012"), "Suburban SE",
  OR(TEXT(TRIM(N235),"00000")="89117", TEXT(TRIM(N235),"00000")="89128", TEXT(TRIM(N235),"00000")="89135", TEXT(TRIM(N235),"00000")="89144", TEXT(TRIM(N235),"00000")="89145", TEXT(TRIM(N235),"00000")="89147"), "West Valley",
  TRUE, "Other"
)</f>
        <v>East Valley</v>
      </c>
      <c r="P235" t="s">
        <v>1073</v>
      </c>
      <c r="Q235" t="str">
        <f t="shared" si="14"/>
        <v>Home/Residence</v>
      </c>
      <c r="R235" t="s">
        <v>4924</v>
      </c>
      <c r="S235" t="s">
        <v>5105</v>
      </c>
      <c r="T235" t="str" cm="1">
        <f t="array" ref="T235">_xlfn.IFS(
  TEXT(TRIM(S235),"00000")="NULL", "Missing/Unknown",
  OR(TEXT(TRIM(S235),"00000")="89101", TEXT(TRIM(S235),"00000")="89104", TEXT(TRIM(S235),"00000")="89106", TEXT(TRIM(S235),"00000")="89102", TEXT(TRIM(S235),"00000")="89107", TEXT(TRIM(S235),"00000")="89108"), "Urban Core",
  OR(TEXT(TRIM(S235),"00000")="89110", TEXT(TRIM(S235),"00000")="89115", TEXT(TRIM(S235),"00000")="89121", TEXT(TRIM(S235),"00000")="89122", TEXT(TRIM(S235),"00000")="89142", TEXT(TRIM(S235),"00000")="89156"), "East Valley",
  OR(TEXT(TRIM(S235),"00000")="89030", TEXT(TRIM(S235),"00000")="89031", TEXT(TRIM(S235),"00000")="89032", TEXT(TRIM(S235),"00000")="89086", TEXT(TRIM(S235),"00000")="89084", TEXT(TRIM(S235),"00000")="89081"), "North LV",
  OR(TEXT(TRIM(S235),"00000")="89109", TEXT(TRIM(S235),"00000")="89103", TEXT(TRIM(S235),"00000")="89119", TEXT(TRIM(S235),"00000")="89123", TEXT(TRIM(S235),"00000")="89169", TEXT(TRIM(S235),"00000")="89118"), "South/Strip",
  OR(TEXT(TRIM(S235),"00000")="89074", TEXT(TRIM(S235),"00000")="89014", TEXT(TRIM(S235),"00000")="89015", TEXT(TRIM(S235),"00000")="89011", TEXT(TRIM(S235),"00000")="89012"), "Suburban SE",
  OR(TEXT(TRIM(S235),"00000")="89117", TEXT(TRIM(S235),"00000")="89128", TEXT(TRIM(S235),"00000")="89135", TEXT(TRIM(S235),"00000")="89144", TEXT(TRIM(S235),"00000")="89145", TEXT(TRIM(S235),"00000")="89147"), "West Valley",
  TRUE, "Other"
)</f>
        <v>East Valley</v>
      </c>
      <c r="U235" t="s">
        <v>1073</v>
      </c>
      <c r="V235" t="str">
        <f t="shared" si="15"/>
        <v>Home/Residence</v>
      </c>
    </row>
    <row r="236" spans="1:22">
      <c r="A236" t="s">
        <v>2449</v>
      </c>
      <c r="B236" t="s">
        <v>2450</v>
      </c>
      <c r="C236" s="1">
        <v>45491</v>
      </c>
      <c r="D236" s="4">
        <v>105.08</v>
      </c>
      <c r="E236">
        <v>65</v>
      </c>
      <c r="F236" t="str">
        <f t="shared" si="12"/>
        <v>60's</v>
      </c>
      <c r="G236" t="str" cm="1">
        <f t="array" ref="G236">_xlfn.IFS(
  F236="10's", "Child (5–12)",
  OR(F236="20's", F236="30's"), "Young Adult (20–39)",
  OR(F236="40's", F236="50's"), "Adult (40–59)",
  OR(F236="60's", F236="70's", F236="80's", F236="90's"), "Senior (60+)",
  TRUE, "Unknown"
)</f>
        <v>Senior (60+)</v>
      </c>
      <c r="H236" t="s">
        <v>841</v>
      </c>
      <c r="I236" t="s">
        <v>4055</v>
      </c>
      <c r="J236" t="str">
        <f t="shared" si="13"/>
        <v>Methamphetamine-related</v>
      </c>
      <c r="K236" t="s">
        <v>54</v>
      </c>
      <c r="L236" t="s">
        <v>250</v>
      </c>
      <c r="M236" t="s">
        <v>4336</v>
      </c>
      <c r="N236" t="s">
        <v>5101</v>
      </c>
      <c r="O236" t="str" cm="1">
        <f t="array" ref="O236">_xlfn.IFS(
  TEXT(TRIM(N236),"00000")="NULL", "Missing/Unknown",
  OR(TEXT(TRIM(N236),"00000")="89101", TEXT(TRIM(N236),"00000")="89104", TEXT(TRIM(N236),"00000")="89106", TEXT(TRIM(N236),"00000")="89102", TEXT(TRIM(N236),"00000")="89107", TEXT(TRIM(N236),"00000")="89108"), "Urban Core",
  OR(TEXT(TRIM(N236),"00000")="89110", TEXT(TRIM(N236),"00000")="89115", TEXT(TRIM(N236),"00000")="89121", TEXT(TRIM(N236),"00000")="89122", TEXT(TRIM(N236),"00000")="89142", TEXT(TRIM(N236),"00000")="89156"), "East Valley",
  OR(TEXT(TRIM(N236),"00000")="89030", TEXT(TRIM(N236),"00000")="89031", TEXT(TRIM(N236),"00000")="89032", TEXT(TRIM(N236),"00000")="89086", TEXT(TRIM(N236),"00000")="89084", TEXT(TRIM(N236),"00000")="89081"), "North LV",
  OR(TEXT(TRIM(N236),"00000")="89109", TEXT(TRIM(N236),"00000")="89103", TEXT(TRIM(N236),"00000")="89119", TEXT(TRIM(N236),"00000")="89123", TEXT(TRIM(N236),"00000")="89169", TEXT(TRIM(N236),"00000")="89118"), "South/Strip",
  OR(TEXT(TRIM(N236),"00000")="89074", TEXT(TRIM(N236),"00000")="89014", TEXT(TRIM(N236),"00000")="89015", TEXT(TRIM(N236),"00000")="89011", TEXT(TRIM(N236),"00000")="89012"), "Suburban SE",
  OR(TEXT(TRIM(N236),"00000")="89117", TEXT(TRIM(N236),"00000")="89128", TEXT(TRIM(N236),"00000")="89135", TEXT(TRIM(N236),"00000")="89144", TEXT(TRIM(N236),"00000")="89145", TEXT(TRIM(N236),"00000")="89147"), "West Valley",
  TRUE, "Other"
)</f>
        <v>Urban Core</v>
      </c>
      <c r="P236" t="s">
        <v>3298</v>
      </c>
      <c r="Q236" t="str">
        <f t="shared" si="14"/>
        <v>Outdoors/Public</v>
      </c>
      <c r="R236" t="s">
        <v>4336</v>
      </c>
      <c r="S236" t="s">
        <v>5101</v>
      </c>
      <c r="T236" t="str" cm="1">
        <f t="array" ref="T236">_xlfn.IFS(
  TEXT(TRIM(S236),"00000")="NULL", "Missing/Unknown",
  OR(TEXT(TRIM(S236),"00000")="89101", TEXT(TRIM(S236),"00000")="89104", TEXT(TRIM(S236),"00000")="89106", TEXT(TRIM(S236),"00000")="89102", TEXT(TRIM(S236),"00000")="89107", TEXT(TRIM(S236),"00000")="89108"), "Urban Core",
  OR(TEXT(TRIM(S236),"00000")="89110", TEXT(TRIM(S236),"00000")="89115", TEXT(TRIM(S236),"00000")="89121", TEXT(TRIM(S236),"00000")="89122", TEXT(TRIM(S236),"00000")="89142", TEXT(TRIM(S236),"00000")="89156"), "East Valley",
  OR(TEXT(TRIM(S236),"00000")="89030", TEXT(TRIM(S236),"00000")="89031", TEXT(TRIM(S236),"00000")="89032", TEXT(TRIM(S236),"00000")="89086", TEXT(TRIM(S236),"00000")="89084", TEXT(TRIM(S236),"00000")="89081"), "North LV",
  OR(TEXT(TRIM(S236),"00000")="89109", TEXT(TRIM(S236),"00000")="89103", TEXT(TRIM(S236),"00000")="89119", TEXT(TRIM(S236),"00000")="89123", TEXT(TRIM(S236),"00000")="89169", TEXT(TRIM(S236),"00000")="89118"), "South/Strip",
  OR(TEXT(TRIM(S236),"00000")="89074", TEXT(TRIM(S236),"00000")="89014", TEXT(TRIM(S236),"00000")="89015", TEXT(TRIM(S236),"00000")="89011", TEXT(TRIM(S236),"00000")="89012"), "Suburban SE",
  OR(TEXT(TRIM(S236),"00000")="89117", TEXT(TRIM(S236),"00000")="89128", TEXT(TRIM(S236),"00000")="89135", TEXT(TRIM(S236),"00000")="89144", TEXT(TRIM(S236),"00000")="89145", TEXT(TRIM(S236),"00000")="89147"), "West Valley",
  TRUE, "Other"
)</f>
        <v>Urban Core</v>
      </c>
      <c r="U236" t="s">
        <v>3298</v>
      </c>
      <c r="V236" t="str">
        <f t="shared" si="15"/>
        <v>Outdoors/Public</v>
      </c>
    </row>
    <row r="237" spans="1:22">
      <c r="A237" t="s">
        <v>2421</v>
      </c>
      <c r="B237" t="s">
        <v>2422</v>
      </c>
      <c r="C237" s="1">
        <v>45491</v>
      </c>
      <c r="D237" s="4">
        <v>105.08</v>
      </c>
      <c r="E237">
        <v>29</v>
      </c>
      <c r="F237" t="str">
        <f t="shared" si="12"/>
        <v>20's</v>
      </c>
      <c r="G237" t="str" cm="1">
        <f t="array" ref="G237">_xlfn.IFS(
  F237="10's", "Child (5–12)",
  OR(F237="20's", F237="30's"), "Young Adult (20–39)",
  OR(F237="40's", F237="50's"), "Adult (40–59)",
  OR(F237="60's", F237="70's", F237="80's", F237="90's"), "Senior (60+)",
  TRUE, "Unknown"
)</f>
        <v>Young Adult (20–39)</v>
      </c>
      <c r="H237" t="s">
        <v>27</v>
      </c>
      <c r="I237" t="s">
        <v>4054</v>
      </c>
      <c r="J237" t="str">
        <f t="shared" si="13"/>
        <v>Methamphetamine-related</v>
      </c>
      <c r="K237" t="s">
        <v>54</v>
      </c>
      <c r="L237" t="s">
        <v>250</v>
      </c>
      <c r="N237" t="s">
        <v>5095</v>
      </c>
      <c r="O237" t="str" cm="1">
        <f t="array" ref="O237">_xlfn.IFS(
  TEXT(TRIM(N237),"00000")="NULL", "Missing/Unknown",
  OR(TEXT(TRIM(N237),"00000")="89101", TEXT(TRIM(N237),"00000")="89104", TEXT(TRIM(N237),"00000")="89106", TEXT(TRIM(N237),"00000")="89102", TEXT(TRIM(N237),"00000")="89107", TEXT(TRIM(N237),"00000")="89108"), "Urban Core",
  OR(TEXT(TRIM(N237),"00000")="89110", TEXT(TRIM(N237),"00000")="89115", TEXT(TRIM(N237),"00000")="89121", TEXT(TRIM(N237),"00000")="89122", TEXT(TRIM(N237),"00000")="89142", TEXT(TRIM(N237),"00000")="89156"), "East Valley",
  OR(TEXT(TRIM(N237),"00000")="89030", TEXT(TRIM(N237),"00000")="89031", TEXT(TRIM(N237),"00000")="89032", TEXT(TRIM(N237),"00000")="89086", TEXT(TRIM(N237),"00000")="89084", TEXT(TRIM(N237),"00000")="89081"), "North LV",
  OR(TEXT(TRIM(N237),"00000")="89109", TEXT(TRIM(N237),"00000")="89103", TEXT(TRIM(N237),"00000")="89119", TEXT(TRIM(N237),"00000")="89123", TEXT(TRIM(N237),"00000")="89169", TEXT(TRIM(N237),"00000")="89118"), "South/Strip",
  OR(TEXT(TRIM(N237),"00000")="89074", TEXT(TRIM(N237),"00000")="89014", TEXT(TRIM(N237),"00000")="89015", TEXT(TRIM(N237),"00000")="89011", TEXT(TRIM(N237),"00000")="89012"), "Suburban SE",
  OR(TEXT(TRIM(N237),"00000")="89117", TEXT(TRIM(N237),"00000")="89128", TEXT(TRIM(N237),"00000")="89135", TEXT(TRIM(N237),"00000")="89144", TEXT(TRIM(N237),"00000")="89145", TEXT(TRIM(N237),"00000")="89147"), "West Valley",
  TRUE, "Other"
)</f>
        <v>Missing/Unknown</v>
      </c>
      <c r="P237" t="s">
        <v>3298</v>
      </c>
      <c r="Q237" t="str">
        <f t="shared" si="14"/>
        <v>Outdoors/Public</v>
      </c>
      <c r="S237" t="s">
        <v>5095</v>
      </c>
      <c r="T237" t="str" cm="1">
        <f t="array" ref="T237">_xlfn.IFS(
  TEXT(TRIM(S237),"00000")="NULL", "Missing/Unknown",
  OR(TEXT(TRIM(S237),"00000")="89101", TEXT(TRIM(S237),"00000")="89104", TEXT(TRIM(S237),"00000")="89106", TEXT(TRIM(S237),"00000")="89102", TEXT(TRIM(S237),"00000")="89107", TEXT(TRIM(S237),"00000")="89108"), "Urban Core",
  OR(TEXT(TRIM(S237),"00000")="89110", TEXT(TRIM(S237),"00000")="89115", TEXT(TRIM(S237),"00000")="89121", TEXT(TRIM(S237),"00000")="89122", TEXT(TRIM(S237),"00000")="89142", TEXT(TRIM(S237),"00000")="89156"), "East Valley",
  OR(TEXT(TRIM(S237),"00000")="89030", TEXT(TRIM(S237),"00000")="89031", TEXT(TRIM(S237),"00000")="89032", TEXT(TRIM(S237),"00000")="89086", TEXT(TRIM(S237),"00000")="89084", TEXT(TRIM(S237),"00000")="89081"), "North LV",
  OR(TEXT(TRIM(S237),"00000")="89109", TEXT(TRIM(S237),"00000")="89103", TEXT(TRIM(S237),"00000")="89119", TEXT(TRIM(S237),"00000")="89123", TEXT(TRIM(S237),"00000")="89169", TEXT(TRIM(S237),"00000")="89118"), "South/Strip",
  OR(TEXT(TRIM(S237),"00000")="89074", TEXT(TRIM(S237),"00000")="89014", TEXT(TRIM(S237),"00000")="89015", TEXT(TRIM(S237),"00000")="89011", TEXT(TRIM(S237),"00000")="89012"), "Suburban SE",
  OR(TEXT(TRIM(S237),"00000")="89117", TEXT(TRIM(S237),"00000")="89128", TEXT(TRIM(S237),"00000")="89135", TEXT(TRIM(S237),"00000")="89144", TEXT(TRIM(S237),"00000")="89145", TEXT(TRIM(S237),"00000")="89147"), "West Valley",
  TRUE, "Other"
)</f>
        <v>Missing/Unknown</v>
      </c>
      <c r="U237" t="s">
        <v>3298</v>
      </c>
      <c r="V237" t="str">
        <f t="shared" si="15"/>
        <v>Outdoors/Public</v>
      </c>
    </row>
    <row r="238" spans="1:22">
      <c r="A238" t="s">
        <v>3786</v>
      </c>
      <c r="B238" t="s">
        <v>3787</v>
      </c>
      <c r="C238" s="1">
        <v>45491</v>
      </c>
      <c r="D238" s="4">
        <v>105.08</v>
      </c>
      <c r="E238">
        <v>55</v>
      </c>
      <c r="F238" t="str">
        <f t="shared" si="12"/>
        <v>50's</v>
      </c>
      <c r="G238" t="str" cm="1">
        <f t="array" ref="G238">_xlfn.IFS(
  F238="10's", "Child (5–12)",
  OR(F238="20's", F238="30's"), "Young Adult (20–39)",
  OR(F238="40's", F238="50's"), "Adult (40–59)",
  OR(F238="60's", F238="70's", F238="80's", F238="90's"), "Senior (60+)",
  TRUE, "Unknown"
)</f>
        <v>Adult (40–59)</v>
      </c>
      <c r="H238" t="s">
        <v>841</v>
      </c>
      <c r="I238" t="s">
        <v>172</v>
      </c>
      <c r="J238" t="str">
        <f t="shared" si="13"/>
        <v>Methamphetamine-related</v>
      </c>
      <c r="K238" t="s">
        <v>48</v>
      </c>
      <c r="L238" t="s">
        <v>250</v>
      </c>
      <c r="N238" t="s">
        <v>5095</v>
      </c>
      <c r="O238" t="str" cm="1">
        <f t="array" ref="O238">_xlfn.IFS(
  TEXT(TRIM(N238),"00000")="NULL", "Missing/Unknown",
  OR(TEXT(TRIM(N238),"00000")="89101", TEXT(TRIM(N238),"00000")="89104", TEXT(TRIM(N238),"00000")="89106", TEXT(TRIM(N238),"00000")="89102", TEXT(TRIM(N238),"00000")="89107", TEXT(TRIM(N238),"00000")="89108"), "Urban Core",
  OR(TEXT(TRIM(N238),"00000")="89110", TEXT(TRIM(N238),"00000")="89115", TEXT(TRIM(N238),"00000")="89121", TEXT(TRIM(N238),"00000")="89122", TEXT(TRIM(N238),"00000")="89142", TEXT(TRIM(N238),"00000")="89156"), "East Valley",
  OR(TEXT(TRIM(N238),"00000")="89030", TEXT(TRIM(N238),"00000")="89031", TEXT(TRIM(N238),"00000")="89032", TEXT(TRIM(N238),"00000")="89086", TEXT(TRIM(N238),"00000")="89084", TEXT(TRIM(N238),"00000")="89081"), "North LV",
  OR(TEXT(TRIM(N238),"00000")="89109", TEXT(TRIM(N238),"00000")="89103", TEXT(TRIM(N238),"00000")="89119", TEXT(TRIM(N238),"00000")="89123", TEXT(TRIM(N238),"00000")="89169", TEXT(TRIM(N238),"00000")="89118"), "South/Strip",
  OR(TEXT(TRIM(N238),"00000")="89074", TEXT(TRIM(N238),"00000")="89014", TEXT(TRIM(N238),"00000")="89015", TEXT(TRIM(N238),"00000")="89011", TEXT(TRIM(N238),"00000")="89012"), "Suburban SE",
  OR(TEXT(TRIM(N238),"00000")="89117", TEXT(TRIM(N238),"00000")="89128", TEXT(TRIM(N238),"00000")="89135", TEXT(TRIM(N238),"00000")="89144", TEXT(TRIM(N238),"00000")="89145", TEXT(TRIM(N238),"00000")="89147"), "West Valley",
  TRUE, "Other"
)</f>
        <v>Missing/Unknown</v>
      </c>
      <c r="P238" t="s">
        <v>3298</v>
      </c>
      <c r="Q238" t="str">
        <f t="shared" si="14"/>
        <v>Outdoors/Public</v>
      </c>
      <c r="S238" t="s">
        <v>5095</v>
      </c>
      <c r="T238" t="str" cm="1">
        <f t="array" ref="T238">_xlfn.IFS(
  TEXT(TRIM(S238),"00000")="NULL", "Missing/Unknown",
  OR(TEXT(TRIM(S238),"00000")="89101", TEXT(TRIM(S238),"00000")="89104", TEXT(TRIM(S238),"00000")="89106", TEXT(TRIM(S238),"00000")="89102", TEXT(TRIM(S238),"00000")="89107", TEXT(TRIM(S238),"00000")="89108"), "Urban Core",
  OR(TEXT(TRIM(S238),"00000")="89110", TEXT(TRIM(S238),"00000")="89115", TEXT(TRIM(S238),"00000")="89121", TEXT(TRIM(S238),"00000")="89122", TEXT(TRIM(S238),"00000")="89142", TEXT(TRIM(S238),"00000")="89156"), "East Valley",
  OR(TEXT(TRIM(S238),"00000")="89030", TEXT(TRIM(S238),"00000")="89031", TEXT(TRIM(S238),"00000")="89032", TEXT(TRIM(S238),"00000")="89086", TEXT(TRIM(S238),"00000")="89084", TEXT(TRIM(S238),"00000")="89081"), "North LV",
  OR(TEXT(TRIM(S238),"00000")="89109", TEXT(TRIM(S238),"00000")="89103", TEXT(TRIM(S238),"00000")="89119", TEXT(TRIM(S238),"00000")="89123", TEXT(TRIM(S238),"00000")="89169", TEXT(TRIM(S238),"00000")="89118"), "South/Strip",
  OR(TEXT(TRIM(S238),"00000")="89074", TEXT(TRIM(S238),"00000")="89014", TEXT(TRIM(S238),"00000")="89015", TEXT(TRIM(S238),"00000")="89011", TEXT(TRIM(S238),"00000")="89012"), "Suburban SE",
  OR(TEXT(TRIM(S238),"00000")="89117", TEXT(TRIM(S238),"00000")="89128", TEXT(TRIM(S238),"00000")="89135", TEXT(TRIM(S238),"00000")="89144", TEXT(TRIM(S238),"00000")="89145", TEXT(TRIM(S238),"00000")="89147"), "West Valley",
  TRUE, "Other"
)</f>
        <v>Missing/Unknown</v>
      </c>
      <c r="U238" t="s">
        <v>3298</v>
      </c>
      <c r="V238" t="str">
        <f t="shared" si="15"/>
        <v>Outdoors/Public</v>
      </c>
    </row>
    <row r="239" spans="1:22">
      <c r="A239" t="s">
        <v>3092</v>
      </c>
      <c r="B239" t="s">
        <v>3093</v>
      </c>
      <c r="C239" s="1">
        <v>45491</v>
      </c>
      <c r="D239" s="4">
        <v>105.08</v>
      </c>
      <c r="E239">
        <v>58</v>
      </c>
      <c r="F239" t="str">
        <f t="shared" si="12"/>
        <v>50's</v>
      </c>
      <c r="G239" t="str" cm="1">
        <f t="array" ref="G239">_xlfn.IFS(
  F239="10's", "Child (5–12)",
  OR(F239="20's", F239="30's"), "Young Adult (20–39)",
  OR(F239="40's", F239="50's"), "Adult (40–59)",
  OR(F239="60's", F239="70's", F239="80's", F239="90's"), "Senior (60+)",
  TRUE, "Unknown"
)</f>
        <v>Adult (40–59)</v>
      </c>
      <c r="H239" t="s">
        <v>841</v>
      </c>
      <c r="I239" t="s">
        <v>54</v>
      </c>
      <c r="J239" t="str">
        <f t="shared" si="13"/>
        <v>Environmental Heat</v>
      </c>
      <c r="K239" t="s">
        <v>98</v>
      </c>
      <c r="L239" t="s">
        <v>250</v>
      </c>
      <c r="N239" t="s">
        <v>5095</v>
      </c>
      <c r="O239" t="str" cm="1">
        <f t="array" ref="O239">_xlfn.IFS(
  TEXT(TRIM(N239),"00000")="NULL", "Missing/Unknown",
  OR(TEXT(TRIM(N239),"00000")="89101", TEXT(TRIM(N239),"00000")="89104", TEXT(TRIM(N239),"00000")="89106", TEXT(TRIM(N239),"00000")="89102", TEXT(TRIM(N239),"00000")="89107", TEXT(TRIM(N239),"00000")="89108"), "Urban Core",
  OR(TEXT(TRIM(N239),"00000")="89110", TEXT(TRIM(N239),"00000")="89115", TEXT(TRIM(N239),"00000")="89121", TEXT(TRIM(N239),"00000")="89122", TEXT(TRIM(N239),"00000")="89142", TEXT(TRIM(N239),"00000")="89156"), "East Valley",
  OR(TEXT(TRIM(N239),"00000")="89030", TEXT(TRIM(N239),"00000")="89031", TEXT(TRIM(N239),"00000")="89032", TEXT(TRIM(N239),"00000")="89086", TEXT(TRIM(N239),"00000")="89084", TEXT(TRIM(N239),"00000")="89081"), "North LV",
  OR(TEXT(TRIM(N239),"00000")="89109", TEXT(TRIM(N239),"00000")="89103", TEXT(TRIM(N239),"00000")="89119", TEXT(TRIM(N239),"00000")="89123", TEXT(TRIM(N239),"00000")="89169", TEXT(TRIM(N239),"00000")="89118"), "South/Strip",
  OR(TEXT(TRIM(N239),"00000")="89074", TEXT(TRIM(N239),"00000")="89014", TEXT(TRIM(N239),"00000")="89015", TEXT(TRIM(N239),"00000")="89011", TEXT(TRIM(N239),"00000")="89012"), "Suburban SE",
  OR(TEXT(TRIM(N239),"00000")="89117", TEXT(TRIM(N239),"00000")="89128", TEXT(TRIM(N239),"00000")="89135", TEXT(TRIM(N239),"00000")="89144", TEXT(TRIM(N239),"00000")="89145", TEXT(TRIM(N239),"00000")="89147"), "West Valley",
  TRUE, "Other"
)</f>
        <v>Missing/Unknown</v>
      </c>
      <c r="P239" t="s">
        <v>3298</v>
      </c>
      <c r="Q239" t="str">
        <f t="shared" si="14"/>
        <v>Outdoors/Public</v>
      </c>
      <c r="S239" t="s">
        <v>5095</v>
      </c>
      <c r="T239" t="str" cm="1">
        <f t="array" ref="T239">_xlfn.IFS(
  TEXT(TRIM(S239),"00000")="NULL", "Missing/Unknown",
  OR(TEXT(TRIM(S239),"00000")="89101", TEXT(TRIM(S239),"00000")="89104", TEXT(TRIM(S239),"00000")="89106", TEXT(TRIM(S239),"00000")="89102", TEXT(TRIM(S239),"00000")="89107", TEXT(TRIM(S239),"00000")="89108"), "Urban Core",
  OR(TEXT(TRIM(S239),"00000")="89110", TEXT(TRIM(S239),"00000")="89115", TEXT(TRIM(S239),"00000")="89121", TEXT(TRIM(S239),"00000")="89122", TEXT(TRIM(S239),"00000")="89142", TEXT(TRIM(S239),"00000")="89156"), "East Valley",
  OR(TEXT(TRIM(S239),"00000")="89030", TEXT(TRIM(S239),"00000")="89031", TEXT(TRIM(S239),"00000")="89032", TEXT(TRIM(S239),"00000")="89086", TEXT(TRIM(S239),"00000")="89084", TEXT(TRIM(S239),"00000")="89081"), "North LV",
  OR(TEXT(TRIM(S239),"00000")="89109", TEXT(TRIM(S239),"00000")="89103", TEXT(TRIM(S239),"00000")="89119", TEXT(TRIM(S239),"00000")="89123", TEXT(TRIM(S239),"00000")="89169", TEXT(TRIM(S239),"00000")="89118"), "South/Strip",
  OR(TEXT(TRIM(S239),"00000")="89074", TEXT(TRIM(S239),"00000")="89014", TEXT(TRIM(S239),"00000")="89015", TEXT(TRIM(S239),"00000")="89011", TEXT(TRIM(S239),"00000")="89012"), "Suburban SE",
  OR(TEXT(TRIM(S239),"00000")="89117", TEXT(TRIM(S239),"00000")="89128", TEXT(TRIM(S239),"00000")="89135", TEXT(TRIM(S239),"00000")="89144", TEXT(TRIM(S239),"00000")="89145", TEXT(TRIM(S239),"00000")="89147"), "West Valley",
  TRUE, "Other"
)</f>
        <v>Missing/Unknown</v>
      </c>
      <c r="U239" t="s">
        <v>3298</v>
      </c>
      <c r="V239" t="str">
        <f t="shared" si="15"/>
        <v>Outdoors/Public</v>
      </c>
    </row>
    <row r="240" spans="1:22">
      <c r="A240" t="s">
        <v>3783</v>
      </c>
      <c r="B240" t="s">
        <v>3784</v>
      </c>
      <c r="C240" s="1">
        <v>45490</v>
      </c>
      <c r="D240" s="4">
        <v>111.02</v>
      </c>
      <c r="E240">
        <v>55</v>
      </c>
      <c r="F240" t="str">
        <f t="shared" si="12"/>
        <v>50's</v>
      </c>
      <c r="G240" t="str" cm="1">
        <f t="array" ref="G240">_xlfn.IFS(
  F240="10's", "Child (5–12)",
  OR(F240="20's", F240="30's"), "Young Adult (20–39)",
  OR(F240="40's", F240="50's"), "Adult (40–59)",
  OR(F240="60's", F240="70's", F240="80's", F240="90's"), "Senior (60+)",
  TRUE, "Unknown"
)</f>
        <v>Adult (40–59)</v>
      </c>
      <c r="H240" t="s">
        <v>27</v>
      </c>
      <c r="I240" t="s">
        <v>172</v>
      </c>
      <c r="J240" t="str">
        <f t="shared" si="13"/>
        <v>Methamphetamine-related</v>
      </c>
      <c r="K240" t="s">
        <v>54</v>
      </c>
      <c r="L240" t="s">
        <v>250</v>
      </c>
      <c r="M240" t="s">
        <v>4612</v>
      </c>
      <c r="N240" t="s">
        <v>5128</v>
      </c>
      <c r="O240" t="str" cm="1">
        <f t="array" ref="O240">_xlfn.IFS(
  TEXT(TRIM(N240),"00000")="NULL", "Missing/Unknown",
  OR(TEXT(TRIM(N240),"00000")="89101", TEXT(TRIM(N240),"00000")="89104", TEXT(TRIM(N240),"00000")="89106", TEXT(TRIM(N240),"00000")="89102", TEXT(TRIM(N240),"00000")="89107", TEXT(TRIM(N240),"00000")="89108"), "Urban Core",
  OR(TEXT(TRIM(N240),"00000")="89110", TEXT(TRIM(N240),"00000")="89115", TEXT(TRIM(N240),"00000")="89121", TEXT(TRIM(N240),"00000")="89122", TEXT(TRIM(N240),"00000")="89142", TEXT(TRIM(N240),"00000")="89156"), "East Valley",
  OR(TEXT(TRIM(N240),"00000")="89030", TEXT(TRIM(N240),"00000")="89031", TEXT(TRIM(N240),"00000")="89032", TEXT(TRIM(N240),"00000")="89086", TEXT(TRIM(N240),"00000")="89084", TEXT(TRIM(N240),"00000")="89081"), "North LV",
  OR(TEXT(TRIM(N240),"00000")="89109", TEXT(TRIM(N240),"00000")="89103", TEXT(TRIM(N240),"00000")="89119", TEXT(TRIM(N240),"00000")="89123", TEXT(TRIM(N240),"00000")="89169", TEXT(TRIM(N240),"00000")="89118"), "South/Strip",
  OR(TEXT(TRIM(N240),"00000")="89074", TEXT(TRIM(N240),"00000")="89014", TEXT(TRIM(N240),"00000")="89015", TEXT(TRIM(N240),"00000")="89011", TEXT(TRIM(N240),"00000")="89012"), "Suburban SE",
  OR(TEXT(TRIM(N240),"00000")="89117", TEXT(TRIM(N240),"00000")="89128", TEXT(TRIM(N240),"00000")="89135", TEXT(TRIM(N240),"00000")="89144", TEXT(TRIM(N240),"00000")="89145", TEXT(TRIM(N240),"00000")="89147"), "West Valley",
  TRUE, "Other"
)</f>
        <v>East Valley</v>
      </c>
      <c r="P240" t="s">
        <v>271</v>
      </c>
      <c r="Q240" t="str">
        <f t="shared" si="14"/>
        <v>Home/Residence</v>
      </c>
      <c r="R240" t="s">
        <v>4612</v>
      </c>
      <c r="S240" t="s">
        <v>5128</v>
      </c>
      <c r="T240" t="str" cm="1">
        <f t="array" ref="T240">_xlfn.IFS(
  TEXT(TRIM(S240),"00000")="NULL", "Missing/Unknown",
  OR(TEXT(TRIM(S240),"00000")="89101", TEXT(TRIM(S240),"00000")="89104", TEXT(TRIM(S240),"00000")="89106", TEXT(TRIM(S240),"00000")="89102", TEXT(TRIM(S240),"00000")="89107", TEXT(TRIM(S240),"00000")="89108"), "Urban Core",
  OR(TEXT(TRIM(S240),"00000")="89110", TEXT(TRIM(S240),"00000")="89115", TEXT(TRIM(S240),"00000")="89121", TEXT(TRIM(S240),"00000")="89122", TEXT(TRIM(S240),"00000")="89142", TEXT(TRIM(S240),"00000")="89156"), "East Valley",
  OR(TEXT(TRIM(S240),"00000")="89030", TEXT(TRIM(S240),"00000")="89031", TEXT(TRIM(S240),"00000")="89032", TEXT(TRIM(S240),"00000")="89086", TEXT(TRIM(S240),"00000")="89084", TEXT(TRIM(S240),"00000")="89081"), "North LV",
  OR(TEXT(TRIM(S240),"00000")="89109", TEXT(TRIM(S240),"00000")="89103", TEXT(TRIM(S240),"00000")="89119", TEXT(TRIM(S240),"00000")="89123", TEXT(TRIM(S240),"00000")="89169", TEXT(TRIM(S240),"00000")="89118"), "South/Strip",
  OR(TEXT(TRIM(S240),"00000")="89074", TEXT(TRIM(S240),"00000")="89014", TEXT(TRIM(S240),"00000")="89015", TEXT(TRIM(S240),"00000")="89011", TEXT(TRIM(S240),"00000")="89012"), "Suburban SE",
  OR(TEXT(TRIM(S240),"00000")="89117", TEXT(TRIM(S240),"00000")="89128", TEXT(TRIM(S240),"00000")="89135", TEXT(TRIM(S240),"00000")="89144", TEXT(TRIM(S240),"00000")="89145", TEXT(TRIM(S240),"00000")="89147"), "West Valley",
  TRUE, "Other"
)</f>
        <v>East Valley</v>
      </c>
      <c r="U240" t="s">
        <v>271</v>
      </c>
      <c r="V240" t="str">
        <f t="shared" si="15"/>
        <v>Home/Residence</v>
      </c>
    </row>
    <row r="241" spans="1:22">
      <c r="A241" t="s">
        <v>3081</v>
      </c>
      <c r="B241" t="s">
        <v>3082</v>
      </c>
      <c r="C241" s="1">
        <v>45490</v>
      </c>
      <c r="D241" s="4">
        <v>111.02</v>
      </c>
      <c r="E241">
        <v>62</v>
      </c>
      <c r="F241" t="str">
        <f t="shared" si="12"/>
        <v>60's</v>
      </c>
      <c r="G241" t="str" cm="1">
        <f t="array" ref="G241">_xlfn.IFS(
  F241="10's", "Child (5–12)",
  OR(F241="20's", F241="30's"), "Young Adult (20–39)",
  OR(F241="40's", F241="50's"), "Adult (40–59)",
  OR(F241="60's", F241="70's", F241="80's", F241="90's"), "Senior (60+)",
  TRUE, "Unknown"
)</f>
        <v>Senior (60+)</v>
      </c>
      <c r="H241" t="s">
        <v>841</v>
      </c>
      <c r="I241" t="s">
        <v>54</v>
      </c>
      <c r="J241" t="str">
        <f t="shared" si="13"/>
        <v>Environmental Heat</v>
      </c>
      <c r="K241" t="s">
        <v>98</v>
      </c>
      <c r="L241" t="s">
        <v>1071</v>
      </c>
      <c r="N241" t="s">
        <v>5095</v>
      </c>
      <c r="O241" t="str" cm="1">
        <f t="array" ref="O241">_xlfn.IFS(
  TEXT(TRIM(N241),"00000")="NULL", "Missing/Unknown",
  OR(TEXT(TRIM(N241),"00000")="89101", TEXT(TRIM(N241),"00000")="89104", TEXT(TRIM(N241),"00000")="89106", TEXT(TRIM(N241),"00000")="89102", TEXT(TRIM(N241),"00000")="89107", TEXT(TRIM(N241),"00000")="89108"), "Urban Core",
  OR(TEXT(TRIM(N241),"00000")="89110", TEXT(TRIM(N241),"00000")="89115", TEXT(TRIM(N241),"00000")="89121", TEXT(TRIM(N241),"00000")="89122", TEXT(TRIM(N241),"00000")="89142", TEXT(TRIM(N241),"00000")="89156"), "East Valley",
  OR(TEXT(TRIM(N241),"00000")="89030", TEXT(TRIM(N241),"00000")="89031", TEXT(TRIM(N241),"00000")="89032", TEXT(TRIM(N241),"00000")="89086", TEXT(TRIM(N241),"00000")="89084", TEXT(TRIM(N241),"00000")="89081"), "North LV",
  OR(TEXT(TRIM(N241),"00000")="89109", TEXT(TRIM(N241),"00000")="89103", TEXT(TRIM(N241),"00000")="89119", TEXT(TRIM(N241),"00000")="89123", TEXT(TRIM(N241),"00000")="89169", TEXT(TRIM(N241),"00000")="89118"), "South/Strip",
  OR(TEXT(TRIM(N241),"00000")="89074", TEXT(TRIM(N241),"00000")="89014", TEXT(TRIM(N241),"00000")="89015", TEXT(TRIM(N241),"00000")="89011", TEXT(TRIM(N241),"00000")="89012"), "Suburban SE",
  OR(TEXT(TRIM(N241),"00000")="89117", TEXT(TRIM(N241),"00000")="89128", TEXT(TRIM(N241),"00000")="89135", TEXT(TRIM(N241),"00000")="89144", TEXT(TRIM(N241),"00000")="89145", TEXT(TRIM(N241),"00000")="89147"), "West Valley",
  TRUE, "Other"
)</f>
        <v>Missing/Unknown</v>
      </c>
      <c r="P241" t="s">
        <v>38</v>
      </c>
      <c r="Q241" t="str">
        <f t="shared" si="14"/>
        <v>Home/Residence</v>
      </c>
      <c r="R241" t="s">
        <v>5019</v>
      </c>
      <c r="S241" t="s">
        <v>5097</v>
      </c>
      <c r="T241" t="str" cm="1">
        <f t="array" ref="T241">_xlfn.IFS(
  TEXT(TRIM(S241),"00000")="NULL", "Missing/Unknown",
  OR(TEXT(TRIM(S241),"00000")="89101", TEXT(TRIM(S241),"00000")="89104", TEXT(TRIM(S241),"00000")="89106", TEXT(TRIM(S241),"00000")="89102", TEXT(TRIM(S241),"00000")="89107", TEXT(TRIM(S241),"00000")="89108"), "Urban Core",
  OR(TEXT(TRIM(S241),"00000")="89110", TEXT(TRIM(S241),"00000")="89115", TEXT(TRIM(S241),"00000")="89121", TEXT(TRIM(S241),"00000")="89122", TEXT(TRIM(S241),"00000")="89142", TEXT(TRIM(S241),"00000")="89156"), "East Valley",
  OR(TEXT(TRIM(S241),"00000")="89030", TEXT(TRIM(S241),"00000")="89031", TEXT(TRIM(S241),"00000")="89032", TEXT(TRIM(S241),"00000")="89086", TEXT(TRIM(S241),"00000")="89084", TEXT(TRIM(S241),"00000")="89081"), "North LV",
  OR(TEXT(TRIM(S241),"00000")="89109", TEXT(TRIM(S241),"00000")="89103", TEXT(TRIM(S241),"00000")="89119", TEXT(TRIM(S241),"00000")="89123", TEXT(TRIM(S241),"00000")="89169", TEXT(TRIM(S241),"00000")="89118"), "South/Strip",
  OR(TEXT(TRIM(S241),"00000")="89074", TEXT(TRIM(S241),"00000")="89014", TEXT(TRIM(S241),"00000")="89015", TEXT(TRIM(S241),"00000")="89011", TEXT(TRIM(S241),"00000")="89012"), "Suburban SE",
  OR(TEXT(TRIM(S241),"00000")="89117", TEXT(TRIM(S241),"00000")="89128", TEXT(TRIM(S241),"00000")="89135", TEXT(TRIM(S241),"00000")="89144", TEXT(TRIM(S241),"00000")="89145", TEXT(TRIM(S241),"00000")="89147"), "West Valley",
  TRUE, "Other"
)</f>
        <v>Urban Core</v>
      </c>
      <c r="U241" t="s">
        <v>38</v>
      </c>
      <c r="V241" t="str">
        <f t="shared" si="15"/>
        <v>Home/Residence</v>
      </c>
    </row>
    <row r="242" spans="1:22">
      <c r="A242" t="s">
        <v>3078</v>
      </c>
      <c r="B242" t="s">
        <v>3079</v>
      </c>
      <c r="C242" s="1">
        <v>45490</v>
      </c>
      <c r="D242" s="4">
        <v>111.02</v>
      </c>
      <c r="E242">
        <v>60</v>
      </c>
      <c r="F242" t="str">
        <f t="shared" si="12"/>
        <v>60's</v>
      </c>
      <c r="G242" t="str" cm="1">
        <f t="array" ref="G242">_xlfn.IFS(
  F242="10's", "Child (5–12)",
  OR(F242="20's", F242="30's"), "Young Adult (20–39)",
  OR(F242="40's", F242="50's"), "Adult (40–59)",
  OR(F242="60's", F242="70's", F242="80's", F242="90's"), "Senior (60+)",
  TRUE, "Unknown"
)</f>
        <v>Senior (60+)</v>
      </c>
      <c r="H242" t="s">
        <v>841</v>
      </c>
      <c r="I242" t="s">
        <v>54</v>
      </c>
      <c r="J242" t="str">
        <f t="shared" si="13"/>
        <v>Environmental Heat</v>
      </c>
      <c r="K242" t="s">
        <v>98</v>
      </c>
      <c r="L242" t="s">
        <v>250</v>
      </c>
      <c r="M242" t="s">
        <v>4317</v>
      </c>
      <c r="N242" t="s">
        <v>5100</v>
      </c>
      <c r="O242" t="str" cm="1">
        <f t="array" ref="O242">_xlfn.IFS(
  TEXT(TRIM(N242),"00000")="NULL", "Missing/Unknown",
  OR(TEXT(TRIM(N242),"00000")="89101", TEXT(TRIM(N242),"00000")="89104", TEXT(TRIM(N242),"00000")="89106", TEXT(TRIM(N242),"00000")="89102", TEXT(TRIM(N242),"00000")="89107", TEXT(TRIM(N242),"00000")="89108"), "Urban Core",
  OR(TEXT(TRIM(N242),"00000")="89110", TEXT(TRIM(N242),"00000")="89115", TEXT(TRIM(N242),"00000")="89121", TEXT(TRIM(N242),"00000")="89122", TEXT(TRIM(N242),"00000")="89142", TEXT(TRIM(N242),"00000")="89156"), "East Valley",
  OR(TEXT(TRIM(N242),"00000")="89030", TEXT(TRIM(N242),"00000")="89031", TEXT(TRIM(N242),"00000")="89032", TEXT(TRIM(N242),"00000")="89086", TEXT(TRIM(N242),"00000")="89084", TEXT(TRIM(N242),"00000")="89081"), "North LV",
  OR(TEXT(TRIM(N242),"00000")="89109", TEXT(TRIM(N242),"00000")="89103", TEXT(TRIM(N242),"00000")="89119", TEXT(TRIM(N242),"00000")="89123", TEXT(TRIM(N242),"00000")="89169", TEXT(TRIM(N242),"00000")="89118"), "South/Strip",
  OR(TEXT(TRIM(N242),"00000")="89074", TEXT(TRIM(N242),"00000")="89014", TEXT(TRIM(N242),"00000")="89015", TEXT(TRIM(N242),"00000")="89011", TEXT(TRIM(N242),"00000")="89012"), "Suburban SE",
  OR(TEXT(TRIM(N242),"00000")="89117", TEXT(TRIM(N242),"00000")="89128", TEXT(TRIM(N242),"00000")="89135", TEXT(TRIM(N242),"00000")="89144", TEXT(TRIM(N242),"00000")="89145", TEXT(TRIM(N242),"00000")="89147"), "West Valley",
  TRUE, "Other"
)</f>
        <v>North LV</v>
      </c>
      <c r="P242" t="s">
        <v>3298</v>
      </c>
      <c r="Q242" t="str">
        <f t="shared" si="14"/>
        <v>Outdoors/Public</v>
      </c>
      <c r="R242" t="s">
        <v>4317</v>
      </c>
      <c r="S242" t="s">
        <v>5100</v>
      </c>
      <c r="T242" t="str" cm="1">
        <f t="array" ref="T242">_xlfn.IFS(
  TEXT(TRIM(S242),"00000")="NULL", "Missing/Unknown",
  OR(TEXT(TRIM(S242),"00000")="89101", TEXT(TRIM(S242),"00000")="89104", TEXT(TRIM(S242),"00000")="89106", TEXT(TRIM(S242),"00000")="89102", TEXT(TRIM(S242),"00000")="89107", TEXT(TRIM(S242),"00000")="89108"), "Urban Core",
  OR(TEXT(TRIM(S242),"00000")="89110", TEXT(TRIM(S242),"00000")="89115", TEXT(TRIM(S242),"00000")="89121", TEXT(TRIM(S242),"00000")="89122", TEXT(TRIM(S242),"00000")="89142", TEXT(TRIM(S242),"00000")="89156"), "East Valley",
  OR(TEXT(TRIM(S242),"00000")="89030", TEXT(TRIM(S242),"00000")="89031", TEXT(TRIM(S242),"00000")="89032", TEXT(TRIM(S242),"00000")="89086", TEXT(TRIM(S242),"00000")="89084", TEXT(TRIM(S242),"00000")="89081"), "North LV",
  OR(TEXT(TRIM(S242),"00000")="89109", TEXT(TRIM(S242),"00000")="89103", TEXT(TRIM(S242),"00000")="89119", TEXT(TRIM(S242),"00000")="89123", TEXT(TRIM(S242),"00000")="89169", TEXT(TRIM(S242),"00000")="89118"), "South/Strip",
  OR(TEXT(TRIM(S242),"00000")="89074", TEXT(TRIM(S242),"00000")="89014", TEXT(TRIM(S242),"00000")="89015", TEXT(TRIM(S242),"00000")="89011", TEXT(TRIM(S242),"00000")="89012"), "Suburban SE",
  OR(TEXT(TRIM(S242),"00000")="89117", TEXT(TRIM(S242),"00000")="89128", TEXT(TRIM(S242),"00000")="89135", TEXT(TRIM(S242),"00000")="89144", TEXT(TRIM(S242),"00000")="89145", TEXT(TRIM(S242),"00000")="89147"), "West Valley",
  TRUE, "Other"
)</f>
        <v>North LV</v>
      </c>
      <c r="U242" t="s">
        <v>3298</v>
      </c>
      <c r="V242" t="str">
        <f t="shared" si="15"/>
        <v>Outdoors/Public</v>
      </c>
    </row>
    <row r="243" spans="1:22">
      <c r="A243" t="s">
        <v>3087</v>
      </c>
      <c r="B243" t="s">
        <v>3088</v>
      </c>
      <c r="C243" s="1">
        <v>45490</v>
      </c>
      <c r="D243" s="4">
        <v>111.02</v>
      </c>
      <c r="E243">
        <v>67</v>
      </c>
      <c r="F243" t="str">
        <f t="shared" si="12"/>
        <v>60's</v>
      </c>
      <c r="G243" t="str" cm="1">
        <f t="array" ref="G243">_xlfn.IFS(
  F243="10's", "Child (5–12)",
  OR(F243="20's", F243="30's"), "Young Adult (20–39)",
  OR(F243="40's", F243="50's"), "Adult (40–59)",
  OR(F243="60's", F243="70's", F243="80's", F243="90's"), "Senior (60+)",
  TRUE, "Unknown"
)</f>
        <v>Senior (60+)</v>
      </c>
      <c r="H243" t="s">
        <v>27</v>
      </c>
      <c r="I243" t="s">
        <v>54</v>
      </c>
      <c r="J243" t="str">
        <f t="shared" si="13"/>
        <v>Environmental Heat</v>
      </c>
      <c r="K243" t="s">
        <v>98</v>
      </c>
      <c r="L243" t="s">
        <v>250</v>
      </c>
      <c r="N243" t="s">
        <v>5095</v>
      </c>
      <c r="O243" t="str" cm="1">
        <f t="array" ref="O243">_xlfn.IFS(
  TEXT(TRIM(N243),"00000")="NULL", "Missing/Unknown",
  OR(TEXT(TRIM(N243),"00000")="89101", TEXT(TRIM(N243),"00000")="89104", TEXT(TRIM(N243),"00000")="89106", TEXT(TRIM(N243),"00000")="89102", TEXT(TRIM(N243),"00000")="89107", TEXT(TRIM(N243),"00000")="89108"), "Urban Core",
  OR(TEXT(TRIM(N243),"00000")="89110", TEXT(TRIM(N243),"00000")="89115", TEXT(TRIM(N243),"00000")="89121", TEXT(TRIM(N243),"00000")="89122", TEXT(TRIM(N243),"00000")="89142", TEXT(TRIM(N243),"00000")="89156"), "East Valley",
  OR(TEXT(TRIM(N243),"00000")="89030", TEXT(TRIM(N243),"00000")="89031", TEXT(TRIM(N243),"00000")="89032", TEXT(TRIM(N243),"00000")="89086", TEXT(TRIM(N243),"00000")="89084", TEXT(TRIM(N243),"00000")="89081"), "North LV",
  OR(TEXT(TRIM(N243),"00000")="89109", TEXT(TRIM(N243),"00000")="89103", TEXT(TRIM(N243),"00000")="89119", TEXT(TRIM(N243),"00000")="89123", TEXT(TRIM(N243),"00000")="89169", TEXT(TRIM(N243),"00000")="89118"), "South/Strip",
  OR(TEXT(TRIM(N243),"00000")="89074", TEXT(TRIM(N243),"00000")="89014", TEXT(TRIM(N243),"00000")="89015", TEXT(TRIM(N243),"00000")="89011", TEXT(TRIM(N243),"00000")="89012"), "Suburban SE",
  OR(TEXT(TRIM(N243),"00000")="89117", TEXT(TRIM(N243),"00000")="89128", TEXT(TRIM(N243),"00000")="89135", TEXT(TRIM(N243),"00000")="89144", TEXT(TRIM(N243),"00000")="89145", TEXT(TRIM(N243),"00000")="89147"), "West Valley",
  TRUE, "Other"
)</f>
        <v>Missing/Unknown</v>
      </c>
      <c r="P243" t="s">
        <v>3298</v>
      </c>
      <c r="Q243" t="str">
        <f t="shared" si="14"/>
        <v>Outdoors/Public</v>
      </c>
      <c r="S243" t="s">
        <v>5095</v>
      </c>
      <c r="T243" t="str" cm="1">
        <f t="array" ref="T243">_xlfn.IFS(
  TEXT(TRIM(S243),"00000")="NULL", "Missing/Unknown",
  OR(TEXT(TRIM(S243),"00000")="89101", TEXT(TRIM(S243),"00000")="89104", TEXT(TRIM(S243),"00000")="89106", TEXT(TRIM(S243),"00000")="89102", TEXT(TRIM(S243),"00000")="89107", TEXT(TRIM(S243),"00000")="89108"), "Urban Core",
  OR(TEXT(TRIM(S243),"00000")="89110", TEXT(TRIM(S243),"00000")="89115", TEXT(TRIM(S243),"00000")="89121", TEXT(TRIM(S243),"00000")="89122", TEXT(TRIM(S243),"00000")="89142", TEXT(TRIM(S243),"00000")="89156"), "East Valley",
  OR(TEXT(TRIM(S243),"00000")="89030", TEXT(TRIM(S243),"00000")="89031", TEXT(TRIM(S243),"00000")="89032", TEXT(TRIM(S243),"00000")="89086", TEXT(TRIM(S243),"00000")="89084", TEXT(TRIM(S243),"00000")="89081"), "North LV",
  OR(TEXT(TRIM(S243),"00000")="89109", TEXT(TRIM(S243),"00000")="89103", TEXT(TRIM(S243),"00000")="89119", TEXT(TRIM(S243),"00000")="89123", TEXT(TRIM(S243),"00000")="89169", TEXT(TRIM(S243),"00000")="89118"), "South/Strip",
  OR(TEXT(TRIM(S243),"00000")="89074", TEXT(TRIM(S243),"00000")="89014", TEXT(TRIM(S243),"00000")="89015", TEXT(TRIM(S243),"00000")="89011", TEXT(TRIM(S243),"00000")="89012"), "Suburban SE",
  OR(TEXT(TRIM(S243),"00000")="89117", TEXT(TRIM(S243),"00000")="89128", TEXT(TRIM(S243),"00000")="89135", TEXT(TRIM(S243),"00000")="89144", TEXT(TRIM(S243),"00000")="89145", TEXT(TRIM(S243),"00000")="89147"), "West Valley",
  TRUE, "Other"
)</f>
        <v>Missing/Unknown</v>
      </c>
      <c r="U243" t="s">
        <v>3298</v>
      </c>
      <c r="V243" t="str">
        <f t="shared" si="15"/>
        <v>Outdoors/Public</v>
      </c>
    </row>
    <row r="244" spans="1:22">
      <c r="A244" t="s">
        <v>3084</v>
      </c>
      <c r="B244" t="s">
        <v>3085</v>
      </c>
      <c r="C244" s="1">
        <v>45490</v>
      </c>
      <c r="D244" s="4">
        <v>111.02</v>
      </c>
      <c r="E244">
        <v>83</v>
      </c>
      <c r="F244" t="str">
        <f t="shared" si="12"/>
        <v>80's</v>
      </c>
      <c r="G244" t="str" cm="1">
        <f t="array" ref="G244">_xlfn.IFS(
  F244="10's", "Child (5–12)",
  OR(F244="20's", F244="30's"), "Young Adult (20–39)",
  OR(F244="40's", F244="50's"), "Adult (40–59)",
  OR(F244="60's", F244="70's", F244="80's", F244="90's"), "Senior (60+)",
  TRUE, "Unknown"
)</f>
        <v>Senior (60+)</v>
      </c>
      <c r="H244" t="s">
        <v>778</v>
      </c>
      <c r="I244" t="s">
        <v>54</v>
      </c>
      <c r="J244" t="str">
        <f t="shared" si="13"/>
        <v>Environmental Heat</v>
      </c>
      <c r="K244" t="s">
        <v>4175</v>
      </c>
      <c r="L244" t="s">
        <v>1071</v>
      </c>
      <c r="N244" t="s">
        <v>5095</v>
      </c>
      <c r="O244" t="str" cm="1">
        <f t="array" ref="O244">_xlfn.IFS(
  TEXT(TRIM(N244),"00000")="NULL", "Missing/Unknown",
  OR(TEXT(TRIM(N244),"00000")="89101", TEXT(TRIM(N244),"00000")="89104", TEXT(TRIM(N244),"00000")="89106", TEXT(TRIM(N244),"00000")="89102", TEXT(TRIM(N244),"00000")="89107", TEXT(TRIM(N244),"00000")="89108"), "Urban Core",
  OR(TEXT(TRIM(N244),"00000")="89110", TEXT(TRIM(N244),"00000")="89115", TEXT(TRIM(N244),"00000")="89121", TEXT(TRIM(N244),"00000")="89122", TEXT(TRIM(N244),"00000")="89142", TEXT(TRIM(N244),"00000")="89156"), "East Valley",
  OR(TEXT(TRIM(N244),"00000")="89030", TEXT(TRIM(N244),"00000")="89031", TEXT(TRIM(N244),"00000")="89032", TEXT(TRIM(N244),"00000")="89086", TEXT(TRIM(N244),"00000")="89084", TEXT(TRIM(N244),"00000")="89081"), "North LV",
  OR(TEXT(TRIM(N244),"00000")="89109", TEXT(TRIM(N244),"00000")="89103", TEXT(TRIM(N244),"00000")="89119", TEXT(TRIM(N244),"00000")="89123", TEXT(TRIM(N244),"00000")="89169", TEXT(TRIM(N244),"00000")="89118"), "South/Strip",
  OR(TEXT(TRIM(N244),"00000")="89074", TEXT(TRIM(N244),"00000")="89014", TEXT(TRIM(N244),"00000")="89015", TEXT(TRIM(N244),"00000")="89011", TEXT(TRIM(N244),"00000")="89012"), "Suburban SE",
  OR(TEXT(TRIM(N244),"00000")="89117", TEXT(TRIM(N244),"00000")="89128", TEXT(TRIM(N244),"00000")="89135", TEXT(TRIM(N244),"00000")="89144", TEXT(TRIM(N244),"00000")="89145", TEXT(TRIM(N244),"00000")="89147"), "West Valley",
  TRUE, "Other"
)</f>
        <v>Missing/Unknown</v>
      </c>
      <c r="P244" t="s">
        <v>3298</v>
      </c>
      <c r="Q244" t="str">
        <f t="shared" si="14"/>
        <v>Outdoors/Public</v>
      </c>
      <c r="R244" t="s">
        <v>5054</v>
      </c>
      <c r="S244" t="s">
        <v>5097</v>
      </c>
      <c r="T244" t="str" cm="1">
        <f t="array" ref="T244">_xlfn.IFS(
  TEXT(TRIM(S244),"00000")="NULL", "Missing/Unknown",
  OR(TEXT(TRIM(S244),"00000")="89101", TEXT(TRIM(S244),"00000")="89104", TEXT(TRIM(S244),"00000")="89106", TEXT(TRIM(S244),"00000")="89102", TEXT(TRIM(S244),"00000")="89107", TEXT(TRIM(S244),"00000")="89108"), "Urban Core",
  OR(TEXT(TRIM(S244),"00000")="89110", TEXT(TRIM(S244),"00000")="89115", TEXT(TRIM(S244),"00000")="89121", TEXT(TRIM(S244),"00000")="89122", TEXT(TRIM(S244),"00000")="89142", TEXT(TRIM(S244),"00000")="89156"), "East Valley",
  OR(TEXT(TRIM(S244),"00000")="89030", TEXT(TRIM(S244),"00000")="89031", TEXT(TRIM(S244),"00000")="89032", TEXT(TRIM(S244),"00000")="89086", TEXT(TRIM(S244),"00000")="89084", TEXT(TRIM(S244),"00000")="89081"), "North LV",
  OR(TEXT(TRIM(S244),"00000")="89109", TEXT(TRIM(S244),"00000")="89103", TEXT(TRIM(S244),"00000")="89119", TEXT(TRIM(S244),"00000")="89123", TEXT(TRIM(S244),"00000")="89169", TEXT(TRIM(S244),"00000")="89118"), "South/Strip",
  OR(TEXT(TRIM(S244),"00000")="89074", TEXT(TRIM(S244),"00000")="89014", TEXT(TRIM(S244),"00000")="89015", TEXT(TRIM(S244),"00000")="89011", TEXT(TRIM(S244),"00000")="89012"), "Suburban SE",
  OR(TEXT(TRIM(S244),"00000")="89117", TEXT(TRIM(S244),"00000")="89128", TEXT(TRIM(S244),"00000")="89135", TEXT(TRIM(S244),"00000")="89144", TEXT(TRIM(S244),"00000")="89145", TEXT(TRIM(S244),"00000")="89147"), "West Valley",
  TRUE, "Other"
)</f>
        <v>Urban Core</v>
      </c>
      <c r="U244" t="s">
        <v>3298</v>
      </c>
      <c r="V244" t="str">
        <f t="shared" si="15"/>
        <v>Outdoors/Public</v>
      </c>
    </row>
    <row r="245" spans="1:22">
      <c r="A245" t="s">
        <v>3308</v>
      </c>
      <c r="B245" t="s">
        <v>3309</v>
      </c>
      <c r="C245" s="1">
        <v>45489</v>
      </c>
      <c r="D245" s="4">
        <v>107.96</v>
      </c>
      <c r="E245">
        <v>78</v>
      </c>
      <c r="F245" t="str">
        <f t="shared" si="12"/>
        <v>70's</v>
      </c>
      <c r="G245" t="str" cm="1">
        <f t="array" ref="G245">_xlfn.IFS(
  F245="10's", "Child (5–12)",
  OR(F245="20's", F245="30's"), "Young Adult (20–39)",
  OR(F245="40's", F245="50's"), "Adult (40–59)",
  OR(F245="60's", F245="70's", F245="80's", F245="90's"), "Senior (60+)",
  TRUE, "Unknown"
)</f>
        <v>Senior (60+)</v>
      </c>
      <c r="H245" t="s">
        <v>841</v>
      </c>
      <c r="I245" t="s">
        <v>163</v>
      </c>
      <c r="J245" t="str">
        <f t="shared" si="13"/>
        <v>Environmental Heat</v>
      </c>
      <c r="K245" t="s">
        <v>3310</v>
      </c>
      <c r="L245" t="s">
        <v>1071</v>
      </c>
      <c r="M245" t="s">
        <v>4512</v>
      </c>
      <c r="N245" t="s">
        <v>5108</v>
      </c>
      <c r="O245" t="str" cm="1">
        <f t="array" ref="O245">_xlfn.IFS(
  TEXT(TRIM(N245),"00000")="NULL", "Missing/Unknown",
  OR(TEXT(TRIM(N245),"00000")="89101", TEXT(TRIM(N245),"00000")="89104", TEXT(TRIM(N245),"00000")="89106", TEXT(TRIM(N245),"00000")="89102", TEXT(TRIM(N245),"00000")="89107", TEXT(TRIM(N245),"00000")="89108"), "Urban Core",
  OR(TEXT(TRIM(N245),"00000")="89110", TEXT(TRIM(N245),"00000")="89115", TEXT(TRIM(N245),"00000")="89121", TEXT(TRIM(N245),"00000")="89122", TEXT(TRIM(N245),"00000")="89142", TEXT(TRIM(N245),"00000")="89156"), "East Valley",
  OR(TEXT(TRIM(N245),"00000")="89030", TEXT(TRIM(N245),"00000")="89031", TEXT(TRIM(N245),"00000")="89032", TEXT(TRIM(N245),"00000")="89086", TEXT(TRIM(N245),"00000")="89084", TEXT(TRIM(N245),"00000")="89081"), "North LV",
  OR(TEXT(TRIM(N245),"00000")="89109", TEXT(TRIM(N245),"00000")="89103", TEXT(TRIM(N245),"00000")="89119", TEXT(TRIM(N245),"00000")="89123", TEXT(TRIM(N245),"00000")="89169", TEXT(TRIM(N245),"00000")="89118"), "South/Strip",
  OR(TEXT(TRIM(N245),"00000")="89074", TEXT(TRIM(N245),"00000")="89014", TEXT(TRIM(N245),"00000")="89015", TEXT(TRIM(N245),"00000")="89011", TEXT(TRIM(N245),"00000")="89012"), "Suburban SE",
  OR(TEXT(TRIM(N245),"00000")="89117", TEXT(TRIM(N245),"00000")="89128", TEXT(TRIM(N245),"00000")="89135", TEXT(TRIM(N245),"00000")="89144", TEXT(TRIM(N245),"00000")="89145", TEXT(TRIM(N245),"00000")="89147"), "West Valley",
  TRUE, "Other"
)</f>
        <v>East Valley</v>
      </c>
      <c r="P245" t="s">
        <v>1073</v>
      </c>
      <c r="Q245" t="str">
        <f t="shared" si="14"/>
        <v>Home/Residence</v>
      </c>
      <c r="R245" t="s">
        <v>5053</v>
      </c>
      <c r="S245" t="s">
        <v>5110</v>
      </c>
      <c r="T245" t="str" cm="1">
        <f t="array" ref="T245">_xlfn.IFS(
  TEXT(TRIM(S245),"00000")="NULL", "Missing/Unknown",
  OR(TEXT(TRIM(S245),"00000")="89101", TEXT(TRIM(S245),"00000")="89104", TEXT(TRIM(S245),"00000")="89106", TEXT(TRIM(S245),"00000")="89102", TEXT(TRIM(S245),"00000")="89107", TEXT(TRIM(S245),"00000")="89108"), "Urban Core",
  OR(TEXT(TRIM(S245),"00000")="89110", TEXT(TRIM(S245),"00000")="89115", TEXT(TRIM(S245),"00000")="89121", TEXT(TRIM(S245),"00000")="89122", TEXT(TRIM(S245),"00000")="89142", TEXT(TRIM(S245),"00000")="89156"), "East Valley",
  OR(TEXT(TRIM(S245),"00000")="89030", TEXT(TRIM(S245),"00000")="89031", TEXT(TRIM(S245),"00000")="89032", TEXT(TRIM(S245),"00000")="89086", TEXT(TRIM(S245),"00000")="89084", TEXT(TRIM(S245),"00000")="89081"), "North LV",
  OR(TEXT(TRIM(S245),"00000")="89109", TEXT(TRIM(S245),"00000")="89103", TEXT(TRIM(S245),"00000")="89119", TEXT(TRIM(S245),"00000")="89123", TEXT(TRIM(S245),"00000")="89169", TEXT(TRIM(S245),"00000")="89118"), "South/Strip",
  OR(TEXT(TRIM(S245),"00000")="89074", TEXT(TRIM(S245),"00000")="89014", TEXT(TRIM(S245),"00000")="89015", TEXT(TRIM(S245),"00000")="89011", TEXT(TRIM(S245),"00000")="89012"), "Suburban SE",
  OR(TEXT(TRIM(S245),"00000")="89117", TEXT(TRIM(S245),"00000")="89128", TEXT(TRIM(S245),"00000")="89135", TEXT(TRIM(S245),"00000")="89144", TEXT(TRIM(S245),"00000")="89145", TEXT(TRIM(S245),"00000")="89147"), "West Valley",
  TRUE, "Other"
)</f>
        <v>Suburban SE</v>
      </c>
      <c r="U245" t="s">
        <v>2433</v>
      </c>
      <c r="V245" t="str">
        <f t="shared" si="15"/>
        <v>Medical Facility</v>
      </c>
    </row>
    <row r="246" spans="1:22">
      <c r="A246" t="s">
        <v>3526</v>
      </c>
      <c r="B246" t="s">
        <v>3527</v>
      </c>
      <c r="C246" s="1">
        <v>45489</v>
      </c>
      <c r="D246" s="4">
        <v>107.96</v>
      </c>
      <c r="E246">
        <v>83</v>
      </c>
      <c r="F246" t="str">
        <f t="shared" si="12"/>
        <v>80's</v>
      </c>
      <c r="G246" t="str" cm="1">
        <f t="array" ref="G246">_xlfn.IFS(
  F246="10's", "Child (5–12)",
  OR(F246="20's", F246="30's"), "Young Adult (20–39)",
  OR(F246="40's", F246="50's"), "Adult (40–59)",
  OR(F246="60's", F246="70's", F246="80's", F246="90's"), "Senior (60+)",
  TRUE, "Unknown"
)</f>
        <v>Senior (60+)</v>
      </c>
      <c r="H246" t="s">
        <v>778</v>
      </c>
      <c r="I246" t="s">
        <v>28</v>
      </c>
      <c r="J246" t="str">
        <f t="shared" si="13"/>
        <v>Cardiovascular Disease</v>
      </c>
      <c r="K246" t="s">
        <v>4176</v>
      </c>
      <c r="L246" t="s">
        <v>1071</v>
      </c>
      <c r="M246" t="s">
        <v>4928</v>
      </c>
      <c r="N246" t="s">
        <v>5119</v>
      </c>
      <c r="O246" t="str" cm="1">
        <f t="array" ref="O246">_xlfn.IFS(
  TEXT(TRIM(N246),"00000")="NULL", "Missing/Unknown",
  OR(TEXT(TRIM(N246),"00000")="89101", TEXT(TRIM(N246),"00000")="89104", TEXT(TRIM(N246),"00000")="89106", TEXT(TRIM(N246),"00000")="89102", TEXT(TRIM(N246),"00000")="89107", TEXT(TRIM(N246),"00000")="89108"), "Urban Core",
  OR(TEXT(TRIM(N246),"00000")="89110", TEXT(TRIM(N246),"00000")="89115", TEXT(TRIM(N246),"00000")="89121", TEXT(TRIM(N246),"00000")="89122", TEXT(TRIM(N246),"00000")="89142", TEXT(TRIM(N246),"00000")="89156"), "East Valley",
  OR(TEXT(TRIM(N246),"00000")="89030", TEXT(TRIM(N246),"00000")="89031", TEXT(TRIM(N246),"00000")="89032", TEXT(TRIM(N246),"00000")="89086", TEXT(TRIM(N246),"00000")="89084", TEXT(TRIM(N246),"00000")="89081"), "North LV",
  OR(TEXT(TRIM(N246),"00000")="89109", TEXT(TRIM(N246),"00000")="89103", TEXT(TRIM(N246),"00000")="89119", TEXT(TRIM(N246),"00000")="89123", TEXT(TRIM(N246),"00000")="89169", TEXT(TRIM(N246),"00000")="89118"), "South/Strip",
  OR(TEXT(TRIM(N246),"00000")="89074", TEXT(TRIM(N246),"00000")="89014", TEXT(TRIM(N246),"00000")="89015", TEXT(TRIM(N246),"00000")="89011", TEXT(TRIM(N246),"00000")="89012"), "Suburban SE",
  OR(TEXT(TRIM(N246),"00000")="89117", TEXT(TRIM(N246),"00000")="89128", TEXT(TRIM(N246),"00000")="89135", TEXT(TRIM(N246),"00000")="89144", TEXT(TRIM(N246),"00000")="89145", TEXT(TRIM(N246),"00000")="89147"), "West Valley",
  TRUE, "Other"
)</f>
        <v>Urban Core</v>
      </c>
      <c r="P246" t="s">
        <v>1073</v>
      </c>
      <c r="Q246" t="str">
        <f t="shared" si="14"/>
        <v>Home/Residence</v>
      </c>
      <c r="R246" t="s">
        <v>4928</v>
      </c>
      <c r="S246" t="s">
        <v>5119</v>
      </c>
      <c r="T246" t="str" cm="1">
        <f t="array" ref="T246">_xlfn.IFS(
  TEXT(TRIM(S246),"00000")="NULL", "Missing/Unknown",
  OR(TEXT(TRIM(S246),"00000")="89101", TEXT(TRIM(S246),"00000")="89104", TEXT(TRIM(S246),"00000")="89106", TEXT(TRIM(S246),"00000")="89102", TEXT(TRIM(S246),"00000")="89107", TEXT(TRIM(S246),"00000")="89108"), "Urban Core",
  OR(TEXT(TRIM(S246),"00000")="89110", TEXT(TRIM(S246),"00000")="89115", TEXT(TRIM(S246),"00000")="89121", TEXT(TRIM(S246),"00000")="89122", TEXT(TRIM(S246),"00000")="89142", TEXT(TRIM(S246),"00000")="89156"), "East Valley",
  OR(TEXT(TRIM(S246),"00000")="89030", TEXT(TRIM(S246),"00000")="89031", TEXT(TRIM(S246),"00000")="89032", TEXT(TRIM(S246),"00000")="89086", TEXT(TRIM(S246),"00000")="89084", TEXT(TRIM(S246),"00000")="89081"), "North LV",
  OR(TEXT(TRIM(S246),"00000")="89109", TEXT(TRIM(S246),"00000")="89103", TEXT(TRIM(S246),"00000")="89119", TEXT(TRIM(S246),"00000")="89123", TEXT(TRIM(S246),"00000")="89169", TEXT(TRIM(S246),"00000")="89118"), "South/Strip",
  OR(TEXT(TRIM(S246),"00000")="89074", TEXT(TRIM(S246),"00000")="89014", TEXT(TRIM(S246),"00000")="89015", TEXT(TRIM(S246),"00000")="89011", TEXT(TRIM(S246),"00000")="89012"), "Suburban SE",
  OR(TEXT(TRIM(S246),"00000")="89117", TEXT(TRIM(S246),"00000")="89128", TEXT(TRIM(S246),"00000")="89135", TEXT(TRIM(S246),"00000")="89144", TEXT(TRIM(S246),"00000")="89145", TEXT(TRIM(S246),"00000")="89147"), "West Valley",
  TRUE, "Other"
)</f>
        <v>Urban Core</v>
      </c>
      <c r="U246" t="s">
        <v>1073</v>
      </c>
      <c r="V246" t="str">
        <f t="shared" si="15"/>
        <v>Home/Residence</v>
      </c>
    </row>
    <row r="247" spans="1:22">
      <c r="A247" t="s">
        <v>2445</v>
      </c>
      <c r="B247" t="s">
        <v>2446</v>
      </c>
      <c r="C247" s="1">
        <v>45489</v>
      </c>
      <c r="D247" s="4">
        <v>107.96</v>
      </c>
      <c r="E247">
        <v>40</v>
      </c>
      <c r="F247" t="str">
        <f t="shared" si="12"/>
        <v>40's</v>
      </c>
      <c r="G247" t="str" cm="1">
        <f t="array" ref="G247">_xlfn.IFS(
  F247="10's", "Child (5–12)",
  OR(F247="20's", F247="30's"), "Young Adult (20–39)",
  OR(F247="40's", F247="50's"), "Adult (40–59)",
  OR(F247="60's", F247="70's", F247="80's", F247="90's"), "Senior (60+)",
  TRUE, "Unknown"
)</f>
        <v>Adult (40–59)</v>
      </c>
      <c r="H247" t="s">
        <v>841</v>
      </c>
      <c r="I247" t="s">
        <v>4055</v>
      </c>
      <c r="J247" t="str">
        <f t="shared" si="13"/>
        <v>Methamphetamine-related</v>
      </c>
      <c r="K247" t="s">
        <v>54</v>
      </c>
      <c r="L247" t="s">
        <v>250</v>
      </c>
      <c r="M247" t="s">
        <v>4687</v>
      </c>
      <c r="N247" t="s">
        <v>5119</v>
      </c>
      <c r="O247" t="str" cm="1">
        <f t="array" ref="O247">_xlfn.IFS(
  TEXT(TRIM(N247),"00000")="NULL", "Missing/Unknown",
  OR(TEXT(TRIM(N247),"00000")="89101", TEXT(TRIM(N247),"00000")="89104", TEXT(TRIM(N247),"00000")="89106", TEXT(TRIM(N247),"00000")="89102", TEXT(TRIM(N247),"00000")="89107", TEXT(TRIM(N247),"00000")="89108"), "Urban Core",
  OR(TEXT(TRIM(N247),"00000")="89110", TEXT(TRIM(N247),"00000")="89115", TEXT(TRIM(N247),"00000")="89121", TEXT(TRIM(N247),"00000")="89122", TEXT(TRIM(N247),"00000")="89142", TEXT(TRIM(N247),"00000")="89156"), "East Valley",
  OR(TEXT(TRIM(N247),"00000")="89030", TEXT(TRIM(N247),"00000")="89031", TEXT(TRIM(N247),"00000")="89032", TEXT(TRIM(N247),"00000")="89086", TEXT(TRIM(N247),"00000")="89084", TEXT(TRIM(N247),"00000")="89081"), "North LV",
  OR(TEXT(TRIM(N247),"00000")="89109", TEXT(TRIM(N247),"00000")="89103", TEXT(TRIM(N247),"00000")="89119", TEXT(TRIM(N247),"00000")="89123", TEXT(TRIM(N247),"00000")="89169", TEXT(TRIM(N247),"00000")="89118"), "South/Strip",
  OR(TEXT(TRIM(N247),"00000")="89074", TEXT(TRIM(N247),"00000")="89014", TEXT(TRIM(N247),"00000")="89015", TEXT(TRIM(N247),"00000")="89011", TEXT(TRIM(N247),"00000")="89012"), "Suburban SE",
  OR(TEXT(TRIM(N247),"00000")="89117", TEXT(TRIM(N247),"00000")="89128", TEXT(TRIM(N247),"00000")="89135", TEXT(TRIM(N247),"00000")="89144", TEXT(TRIM(N247),"00000")="89145", TEXT(TRIM(N247),"00000")="89147"), "West Valley",
  TRUE, "Other"
)</f>
        <v>Urban Core</v>
      </c>
      <c r="P247" t="s">
        <v>3298</v>
      </c>
      <c r="Q247" t="str">
        <f t="shared" si="14"/>
        <v>Outdoors/Public</v>
      </c>
      <c r="R247" t="s">
        <v>4687</v>
      </c>
      <c r="S247" t="s">
        <v>5119</v>
      </c>
      <c r="T247" t="str" cm="1">
        <f t="array" ref="T247">_xlfn.IFS(
  TEXT(TRIM(S247),"00000")="NULL", "Missing/Unknown",
  OR(TEXT(TRIM(S247),"00000")="89101", TEXT(TRIM(S247),"00000")="89104", TEXT(TRIM(S247),"00000")="89106", TEXT(TRIM(S247),"00000")="89102", TEXT(TRIM(S247),"00000")="89107", TEXT(TRIM(S247),"00000")="89108"), "Urban Core",
  OR(TEXT(TRIM(S247),"00000")="89110", TEXT(TRIM(S247),"00000")="89115", TEXT(TRIM(S247),"00000")="89121", TEXT(TRIM(S247),"00000")="89122", TEXT(TRIM(S247),"00000")="89142", TEXT(TRIM(S247),"00000")="89156"), "East Valley",
  OR(TEXT(TRIM(S247),"00000")="89030", TEXT(TRIM(S247),"00000")="89031", TEXT(TRIM(S247),"00000")="89032", TEXT(TRIM(S247),"00000")="89086", TEXT(TRIM(S247),"00000")="89084", TEXT(TRIM(S247),"00000")="89081"), "North LV",
  OR(TEXT(TRIM(S247),"00000")="89109", TEXT(TRIM(S247),"00000")="89103", TEXT(TRIM(S247),"00000")="89119", TEXT(TRIM(S247),"00000")="89123", TEXT(TRIM(S247),"00000")="89169", TEXT(TRIM(S247),"00000")="89118"), "South/Strip",
  OR(TEXT(TRIM(S247),"00000")="89074", TEXT(TRIM(S247),"00000")="89014", TEXT(TRIM(S247),"00000")="89015", TEXT(TRIM(S247),"00000")="89011", TEXT(TRIM(S247),"00000")="89012"), "Suburban SE",
  OR(TEXT(TRIM(S247),"00000")="89117", TEXT(TRIM(S247),"00000")="89128", TEXT(TRIM(S247),"00000")="89135", TEXT(TRIM(S247),"00000")="89144", TEXT(TRIM(S247),"00000")="89145", TEXT(TRIM(S247),"00000")="89147"), "West Valley",
  TRUE, "Other"
)</f>
        <v>Urban Core</v>
      </c>
      <c r="U247" t="s">
        <v>3298</v>
      </c>
      <c r="V247" t="str">
        <f t="shared" si="15"/>
        <v>Outdoors/Public</v>
      </c>
    </row>
    <row r="248" spans="1:22">
      <c r="A248" t="s">
        <v>2810</v>
      </c>
      <c r="B248" t="s">
        <v>2811</v>
      </c>
      <c r="C248" s="1">
        <v>45489</v>
      </c>
      <c r="D248" s="4">
        <v>107.96</v>
      </c>
      <c r="E248">
        <v>74</v>
      </c>
      <c r="F248" t="str">
        <f t="shared" si="12"/>
        <v>70's</v>
      </c>
      <c r="G248" t="str" cm="1">
        <f t="array" ref="G248">_xlfn.IFS(
  F248="10's", "Child (5–12)",
  OR(F248="20's", F248="30's"), "Young Adult (20–39)",
  OR(F248="40's", F248="50's"), "Adult (40–59)",
  OR(F248="60's", F248="70's", F248="80's", F248="90's"), "Senior (60+)",
  TRUE, "Unknown"
)</f>
        <v>Senior (60+)</v>
      </c>
      <c r="H248" t="s">
        <v>778</v>
      </c>
      <c r="I248" t="s">
        <v>461</v>
      </c>
      <c r="J248" t="str">
        <f t="shared" si="13"/>
        <v>Dehydration / Electrolyte</v>
      </c>
      <c r="K248" t="s">
        <v>54</v>
      </c>
      <c r="L248" t="s">
        <v>1071</v>
      </c>
      <c r="M248" t="s">
        <v>5006</v>
      </c>
      <c r="N248" t="s">
        <v>5097</v>
      </c>
      <c r="O248" t="str" cm="1">
        <f t="array" ref="O248">_xlfn.IFS(
  TEXT(TRIM(N248),"00000")="NULL", "Missing/Unknown",
  OR(TEXT(TRIM(N248),"00000")="89101", TEXT(TRIM(N248),"00000")="89104", TEXT(TRIM(N248),"00000")="89106", TEXT(TRIM(N248),"00000")="89102", TEXT(TRIM(N248),"00000")="89107", TEXT(TRIM(N248),"00000")="89108"), "Urban Core",
  OR(TEXT(TRIM(N248),"00000")="89110", TEXT(TRIM(N248),"00000")="89115", TEXT(TRIM(N248),"00000")="89121", TEXT(TRIM(N248),"00000")="89122", TEXT(TRIM(N248),"00000")="89142", TEXT(TRIM(N248),"00000")="89156"), "East Valley",
  OR(TEXT(TRIM(N248),"00000")="89030", TEXT(TRIM(N248),"00000")="89031", TEXT(TRIM(N248),"00000")="89032", TEXT(TRIM(N248),"00000")="89086", TEXT(TRIM(N248),"00000")="89084", TEXT(TRIM(N248),"00000")="89081"), "North LV",
  OR(TEXT(TRIM(N248),"00000")="89109", TEXT(TRIM(N248),"00000")="89103", TEXT(TRIM(N248),"00000")="89119", TEXT(TRIM(N248),"00000")="89123", TEXT(TRIM(N248),"00000")="89169", TEXT(TRIM(N248),"00000")="89118"), "South/Strip",
  OR(TEXT(TRIM(N248),"00000")="89074", TEXT(TRIM(N248),"00000")="89014", TEXT(TRIM(N248),"00000")="89015", TEXT(TRIM(N248),"00000")="89011", TEXT(TRIM(N248),"00000")="89012"), "Suburban SE",
  OR(TEXT(TRIM(N248),"00000")="89117", TEXT(TRIM(N248),"00000")="89128", TEXT(TRIM(N248),"00000")="89135", TEXT(TRIM(N248),"00000")="89144", TEXT(TRIM(N248),"00000")="89145", TEXT(TRIM(N248),"00000")="89147"), "West Valley",
  TRUE, "Other"
)</f>
        <v>Urban Core</v>
      </c>
      <c r="P248" t="s">
        <v>3298</v>
      </c>
      <c r="Q248" t="str">
        <f t="shared" si="14"/>
        <v>Outdoors/Public</v>
      </c>
      <c r="R248" t="s">
        <v>5006</v>
      </c>
      <c r="S248" t="s">
        <v>5097</v>
      </c>
      <c r="T248" t="str" cm="1">
        <f t="array" ref="T248">_xlfn.IFS(
  TEXT(TRIM(S248),"00000")="NULL", "Missing/Unknown",
  OR(TEXT(TRIM(S248),"00000")="89101", TEXT(TRIM(S248),"00000")="89104", TEXT(TRIM(S248),"00000")="89106", TEXT(TRIM(S248),"00000")="89102", TEXT(TRIM(S248),"00000")="89107", TEXT(TRIM(S248),"00000")="89108"), "Urban Core",
  OR(TEXT(TRIM(S248),"00000")="89110", TEXT(TRIM(S248),"00000")="89115", TEXT(TRIM(S248),"00000")="89121", TEXT(TRIM(S248),"00000")="89122", TEXT(TRIM(S248),"00000")="89142", TEXT(TRIM(S248),"00000")="89156"), "East Valley",
  OR(TEXT(TRIM(S248),"00000")="89030", TEXT(TRIM(S248),"00000")="89031", TEXT(TRIM(S248),"00000")="89032", TEXT(TRIM(S248),"00000")="89086", TEXT(TRIM(S248),"00000")="89084", TEXT(TRIM(S248),"00000")="89081"), "North LV",
  OR(TEXT(TRIM(S248),"00000")="89109", TEXT(TRIM(S248),"00000")="89103", TEXT(TRIM(S248),"00000")="89119", TEXT(TRIM(S248),"00000")="89123", TEXT(TRIM(S248),"00000")="89169", TEXT(TRIM(S248),"00000")="89118"), "South/Strip",
  OR(TEXT(TRIM(S248),"00000")="89074", TEXT(TRIM(S248),"00000")="89014", TEXT(TRIM(S248),"00000")="89015", TEXT(TRIM(S248),"00000")="89011", TEXT(TRIM(S248),"00000")="89012"), "Suburban SE",
  OR(TEXT(TRIM(S248),"00000")="89117", TEXT(TRIM(S248),"00000")="89128", TEXT(TRIM(S248),"00000")="89135", TEXT(TRIM(S248),"00000")="89144", TEXT(TRIM(S248),"00000")="89145", TEXT(TRIM(S248),"00000")="89147"), "West Valley",
  TRUE, "Other"
)</f>
        <v>Urban Core</v>
      </c>
      <c r="U248" t="s">
        <v>3298</v>
      </c>
      <c r="V248" t="str">
        <f t="shared" si="15"/>
        <v>Outdoors/Public</v>
      </c>
    </row>
    <row r="249" spans="1:22">
      <c r="A249" t="s">
        <v>2452</v>
      </c>
      <c r="B249" t="s">
        <v>2453</v>
      </c>
      <c r="C249" s="1">
        <v>45489</v>
      </c>
      <c r="D249" s="4">
        <v>107.96</v>
      </c>
      <c r="E249">
        <v>50</v>
      </c>
      <c r="F249" t="str">
        <f t="shared" si="12"/>
        <v>50's</v>
      </c>
      <c r="G249" t="str" cm="1">
        <f t="array" ref="G249">_xlfn.IFS(
  F249="10's", "Child (5–12)",
  OR(F249="20's", F249="30's"), "Young Adult (20–39)",
  OR(F249="40's", F249="50's"), "Adult (40–59)",
  OR(F249="60's", F249="70's", F249="80's", F249="90's"), "Senior (60+)",
  TRUE, "Unknown"
)</f>
        <v>Adult (40–59)</v>
      </c>
      <c r="H249" t="s">
        <v>4310</v>
      </c>
      <c r="I249" t="s">
        <v>2454</v>
      </c>
      <c r="J249" t="str">
        <f t="shared" si="13"/>
        <v>Fentanyl-related</v>
      </c>
      <c r="K249" t="s">
        <v>54</v>
      </c>
      <c r="L249" t="s">
        <v>250</v>
      </c>
      <c r="M249" t="s">
        <v>4683</v>
      </c>
      <c r="N249" t="s">
        <v>5101</v>
      </c>
      <c r="O249" t="str" cm="1">
        <f t="array" ref="O249">_xlfn.IFS(
  TEXT(TRIM(N249),"00000")="NULL", "Missing/Unknown",
  OR(TEXT(TRIM(N249),"00000")="89101", TEXT(TRIM(N249),"00000")="89104", TEXT(TRIM(N249),"00000")="89106", TEXT(TRIM(N249),"00000")="89102", TEXT(TRIM(N249),"00000")="89107", TEXT(TRIM(N249),"00000")="89108"), "Urban Core",
  OR(TEXT(TRIM(N249),"00000")="89110", TEXT(TRIM(N249),"00000")="89115", TEXT(TRIM(N249),"00000")="89121", TEXT(TRIM(N249),"00000")="89122", TEXT(TRIM(N249),"00000")="89142", TEXT(TRIM(N249),"00000")="89156"), "East Valley",
  OR(TEXT(TRIM(N249),"00000")="89030", TEXT(TRIM(N249),"00000")="89031", TEXT(TRIM(N249),"00000")="89032", TEXT(TRIM(N249),"00000")="89086", TEXT(TRIM(N249),"00000")="89084", TEXT(TRIM(N249),"00000")="89081"), "North LV",
  OR(TEXT(TRIM(N249),"00000")="89109", TEXT(TRIM(N249),"00000")="89103", TEXT(TRIM(N249),"00000")="89119", TEXT(TRIM(N249),"00000")="89123", TEXT(TRIM(N249),"00000")="89169", TEXT(TRIM(N249),"00000")="89118"), "South/Strip",
  OR(TEXT(TRIM(N249),"00000")="89074", TEXT(TRIM(N249),"00000")="89014", TEXT(TRIM(N249),"00000")="89015", TEXT(TRIM(N249),"00000")="89011", TEXT(TRIM(N249),"00000")="89012"), "Suburban SE",
  OR(TEXT(TRIM(N249),"00000")="89117", TEXT(TRIM(N249),"00000")="89128", TEXT(TRIM(N249),"00000")="89135", TEXT(TRIM(N249),"00000")="89144", TEXT(TRIM(N249),"00000")="89145", TEXT(TRIM(N249),"00000")="89147"), "West Valley",
  TRUE, "Other"
)</f>
        <v>Urban Core</v>
      </c>
      <c r="P249" t="s">
        <v>3298</v>
      </c>
      <c r="Q249" t="str">
        <f t="shared" si="14"/>
        <v>Outdoors/Public</v>
      </c>
      <c r="R249" t="s">
        <v>4683</v>
      </c>
      <c r="S249" t="s">
        <v>5101</v>
      </c>
      <c r="T249" t="str" cm="1">
        <f t="array" ref="T249">_xlfn.IFS(
  TEXT(TRIM(S249),"00000")="NULL", "Missing/Unknown",
  OR(TEXT(TRIM(S249),"00000")="89101", TEXT(TRIM(S249),"00000")="89104", TEXT(TRIM(S249),"00000")="89106", TEXT(TRIM(S249),"00000")="89102", TEXT(TRIM(S249),"00000")="89107", TEXT(TRIM(S249),"00000")="89108"), "Urban Core",
  OR(TEXT(TRIM(S249),"00000")="89110", TEXT(TRIM(S249),"00000")="89115", TEXT(TRIM(S249),"00000")="89121", TEXT(TRIM(S249),"00000")="89122", TEXT(TRIM(S249),"00000")="89142", TEXT(TRIM(S249),"00000")="89156"), "East Valley",
  OR(TEXT(TRIM(S249),"00000")="89030", TEXT(TRIM(S249),"00000")="89031", TEXT(TRIM(S249),"00000")="89032", TEXT(TRIM(S249),"00000")="89086", TEXT(TRIM(S249),"00000")="89084", TEXT(TRIM(S249),"00000")="89081"), "North LV",
  OR(TEXT(TRIM(S249),"00000")="89109", TEXT(TRIM(S249),"00000")="89103", TEXT(TRIM(S249),"00000")="89119", TEXT(TRIM(S249),"00000")="89123", TEXT(TRIM(S249),"00000")="89169", TEXT(TRIM(S249),"00000")="89118"), "South/Strip",
  OR(TEXT(TRIM(S249),"00000")="89074", TEXT(TRIM(S249),"00000")="89014", TEXT(TRIM(S249),"00000")="89015", TEXT(TRIM(S249),"00000")="89011", TEXT(TRIM(S249),"00000")="89012"), "Suburban SE",
  OR(TEXT(TRIM(S249),"00000")="89117", TEXT(TRIM(S249),"00000")="89128", TEXT(TRIM(S249),"00000")="89135", TEXT(TRIM(S249),"00000")="89144", TEXT(TRIM(S249),"00000")="89145", TEXT(TRIM(S249),"00000")="89147"), "West Valley",
  TRUE, "Other"
)</f>
        <v>Urban Core</v>
      </c>
      <c r="U249" t="s">
        <v>3298</v>
      </c>
      <c r="V249" t="str">
        <f t="shared" si="15"/>
        <v>Outdoors/Public</v>
      </c>
    </row>
    <row r="250" spans="1:22">
      <c r="A250" t="s">
        <v>3075</v>
      </c>
      <c r="B250" t="s">
        <v>3076</v>
      </c>
      <c r="C250" s="1">
        <v>45489</v>
      </c>
      <c r="D250" s="4">
        <v>107.96</v>
      </c>
      <c r="E250">
        <v>51</v>
      </c>
      <c r="F250" t="str">
        <f t="shared" si="12"/>
        <v>50's</v>
      </c>
      <c r="G250" t="str" cm="1">
        <f t="array" ref="G250">_xlfn.IFS(
  F250="10's", "Child (5–12)",
  OR(F250="20's", F250="30's"), "Young Adult (20–39)",
  OR(F250="40's", F250="50's"), "Adult (40–59)",
  OR(F250="60's", F250="70's", F250="80's", F250="90's"), "Senior (60+)",
  TRUE, "Unknown"
)</f>
        <v>Adult (40–59)</v>
      </c>
      <c r="H250" t="s">
        <v>841</v>
      </c>
      <c r="I250" t="s">
        <v>54</v>
      </c>
      <c r="J250" t="str">
        <f t="shared" si="13"/>
        <v>Environmental Heat</v>
      </c>
      <c r="K250" t="s">
        <v>98</v>
      </c>
      <c r="L250" t="s">
        <v>250</v>
      </c>
      <c r="M250" t="s">
        <v>4688</v>
      </c>
      <c r="N250" t="s">
        <v>5115</v>
      </c>
      <c r="O250" t="str" cm="1">
        <f t="array" ref="O250">_xlfn.IFS(
  TEXT(TRIM(N250),"00000")="NULL", "Missing/Unknown",
  OR(TEXT(TRIM(N250),"00000")="89101", TEXT(TRIM(N250),"00000")="89104", TEXT(TRIM(N250),"00000")="89106", TEXT(TRIM(N250),"00000")="89102", TEXT(TRIM(N250),"00000")="89107", TEXT(TRIM(N250),"00000")="89108"), "Urban Core",
  OR(TEXT(TRIM(N250),"00000")="89110", TEXT(TRIM(N250),"00000")="89115", TEXT(TRIM(N250),"00000")="89121", TEXT(TRIM(N250),"00000")="89122", TEXT(TRIM(N250),"00000")="89142", TEXT(TRIM(N250),"00000")="89156"), "East Valley",
  OR(TEXT(TRIM(N250),"00000")="89030", TEXT(TRIM(N250),"00000")="89031", TEXT(TRIM(N250),"00000")="89032", TEXT(TRIM(N250),"00000")="89086", TEXT(TRIM(N250),"00000")="89084", TEXT(TRIM(N250),"00000")="89081"), "North LV",
  OR(TEXT(TRIM(N250),"00000")="89109", TEXT(TRIM(N250),"00000")="89103", TEXT(TRIM(N250),"00000")="89119", TEXT(TRIM(N250),"00000")="89123", TEXT(TRIM(N250),"00000")="89169", TEXT(TRIM(N250),"00000")="89118"), "South/Strip",
  OR(TEXT(TRIM(N250),"00000")="89074", TEXT(TRIM(N250),"00000")="89014", TEXT(TRIM(N250),"00000")="89015", TEXT(TRIM(N250),"00000")="89011", TEXT(TRIM(N250),"00000")="89012"), "Suburban SE",
  OR(TEXT(TRIM(N250),"00000")="89117", TEXT(TRIM(N250),"00000")="89128", TEXT(TRIM(N250),"00000")="89135", TEXT(TRIM(N250),"00000")="89144", TEXT(TRIM(N250),"00000")="89145", TEXT(TRIM(N250),"00000")="89147"), "West Valley",
  TRUE, "Other"
)</f>
        <v>Other</v>
      </c>
      <c r="P250" t="s">
        <v>3298</v>
      </c>
      <c r="Q250" t="str">
        <f t="shared" si="14"/>
        <v>Outdoors/Public</v>
      </c>
      <c r="R250" t="s">
        <v>4688</v>
      </c>
      <c r="S250" t="s">
        <v>5115</v>
      </c>
      <c r="T250" t="str" cm="1">
        <f t="array" ref="T250">_xlfn.IFS(
  TEXT(TRIM(S250),"00000")="NULL", "Missing/Unknown",
  OR(TEXT(TRIM(S250),"00000")="89101", TEXT(TRIM(S250),"00000")="89104", TEXT(TRIM(S250),"00000")="89106", TEXT(TRIM(S250),"00000")="89102", TEXT(TRIM(S250),"00000")="89107", TEXT(TRIM(S250),"00000")="89108"), "Urban Core",
  OR(TEXT(TRIM(S250),"00000")="89110", TEXT(TRIM(S250),"00000")="89115", TEXT(TRIM(S250),"00000")="89121", TEXT(TRIM(S250),"00000")="89122", TEXT(TRIM(S250),"00000")="89142", TEXT(TRIM(S250),"00000")="89156"), "East Valley",
  OR(TEXT(TRIM(S250),"00000")="89030", TEXT(TRIM(S250),"00000")="89031", TEXT(TRIM(S250),"00000")="89032", TEXT(TRIM(S250),"00000")="89086", TEXT(TRIM(S250),"00000")="89084", TEXT(TRIM(S250),"00000")="89081"), "North LV",
  OR(TEXT(TRIM(S250),"00000")="89109", TEXT(TRIM(S250),"00000")="89103", TEXT(TRIM(S250),"00000")="89119", TEXT(TRIM(S250),"00000")="89123", TEXT(TRIM(S250),"00000")="89169", TEXT(TRIM(S250),"00000")="89118"), "South/Strip",
  OR(TEXT(TRIM(S250),"00000")="89074", TEXT(TRIM(S250),"00000")="89014", TEXT(TRIM(S250),"00000")="89015", TEXT(TRIM(S250),"00000")="89011", TEXT(TRIM(S250),"00000")="89012"), "Suburban SE",
  OR(TEXT(TRIM(S250),"00000")="89117", TEXT(TRIM(S250),"00000")="89128", TEXT(TRIM(S250),"00000")="89135", TEXT(TRIM(S250),"00000")="89144", TEXT(TRIM(S250),"00000")="89145", TEXT(TRIM(S250),"00000")="89147"), "West Valley",
  TRUE, "Other"
)</f>
        <v>Other</v>
      </c>
      <c r="U250" t="s">
        <v>3298</v>
      </c>
      <c r="V250" t="str">
        <f t="shared" si="15"/>
        <v>Outdoors/Public</v>
      </c>
    </row>
    <row r="251" spans="1:22">
      <c r="A251" t="s">
        <v>3523</v>
      </c>
      <c r="B251" t="s">
        <v>3524</v>
      </c>
      <c r="C251" s="1">
        <v>45489</v>
      </c>
      <c r="D251" s="4">
        <v>107.96</v>
      </c>
      <c r="E251">
        <v>81</v>
      </c>
      <c r="F251" t="str">
        <f t="shared" si="12"/>
        <v>80's</v>
      </c>
      <c r="G251" t="str" cm="1">
        <f t="array" ref="G251">_xlfn.IFS(
  F251="10's", "Child (5–12)",
  OR(F251="20's", F251="30's"), "Young Adult (20–39)",
  OR(F251="40's", F251="50's"), "Adult (40–59)",
  OR(F251="60's", F251="70's", F251="80's", F251="90's"), "Senior (60+)",
  TRUE, "Unknown"
)</f>
        <v>Senior (60+)</v>
      </c>
      <c r="H251" t="s">
        <v>778</v>
      </c>
      <c r="I251" t="s">
        <v>28</v>
      </c>
      <c r="J251" t="str">
        <f t="shared" si="13"/>
        <v>Cardiovascular Disease</v>
      </c>
      <c r="K251" t="s">
        <v>54</v>
      </c>
      <c r="L251" t="s">
        <v>1071</v>
      </c>
      <c r="M251" t="s">
        <v>4927</v>
      </c>
      <c r="N251" t="s">
        <v>5105</v>
      </c>
      <c r="O251" t="str" cm="1">
        <f t="array" ref="O251">_xlfn.IFS(
  TEXT(TRIM(N251),"00000")="NULL", "Missing/Unknown",
  OR(TEXT(TRIM(N251),"00000")="89101", TEXT(TRIM(N251),"00000")="89104", TEXT(TRIM(N251),"00000")="89106", TEXT(TRIM(N251),"00000")="89102", TEXT(TRIM(N251),"00000")="89107", TEXT(TRIM(N251),"00000")="89108"), "Urban Core",
  OR(TEXT(TRIM(N251),"00000")="89110", TEXT(TRIM(N251),"00000")="89115", TEXT(TRIM(N251),"00000")="89121", TEXT(TRIM(N251),"00000")="89122", TEXT(TRIM(N251),"00000")="89142", TEXT(TRIM(N251),"00000")="89156"), "East Valley",
  OR(TEXT(TRIM(N251),"00000")="89030", TEXT(TRIM(N251),"00000")="89031", TEXT(TRIM(N251),"00000")="89032", TEXT(TRIM(N251),"00000")="89086", TEXT(TRIM(N251),"00000")="89084", TEXT(TRIM(N251),"00000")="89081"), "North LV",
  OR(TEXT(TRIM(N251),"00000")="89109", TEXT(TRIM(N251),"00000")="89103", TEXT(TRIM(N251),"00000")="89119", TEXT(TRIM(N251),"00000")="89123", TEXT(TRIM(N251),"00000")="89169", TEXT(TRIM(N251),"00000")="89118"), "South/Strip",
  OR(TEXT(TRIM(N251),"00000")="89074", TEXT(TRIM(N251),"00000")="89014", TEXT(TRIM(N251),"00000")="89015", TEXT(TRIM(N251),"00000")="89011", TEXT(TRIM(N251),"00000")="89012"), "Suburban SE",
  OR(TEXT(TRIM(N251),"00000")="89117", TEXT(TRIM(N251),"00000")="89128", TEXT(TRIM(N251),"00000")="89135", TEXT(TRIM(N251),"00000")="89144", TEXT(TRIM(N251),"00000")="89145", TEXT(TRIM(N251),"00000")="89147"), "West Valley",
  TRUE, "Other"
)</f>
        <v>East Valley</v>
      </c>
      <c r="P251" t="s">
        <v>1073</v>
      </c>
      <c r="Q251" t="str">
        <f t="shared" si="14"/>
        <v>Home/Residence</v>
      </c>
      <c r="R251" t="s">
        <v>4927</v>
      </c>
      <c r="S251" t="s">
        <v>5105</v>
      </c>
      <c r="T251" t="str" cm="1">
        <f t="array" ref="T251">_xlfn.IFS(
  TEXT(TRIM(S251),"00000")="NULL", "Missing/Unknown",
  OR(TEXT(TRIM(S251),"00000")="89101", TEXT(TRIM(S251),"00000")="89104", TEXT(TRIM(S251),"00000")="89106", TEXT(TRIM(S251),"00000")="89102", TEXT(TRIM(S251),"00000")="89107", TEXT(TRIM(S251),"00000")="89108"), "Urban Core",
  OR(TEXT(TRIM(S251),"00000")="89110", TEXT(TRIM(S251),"00000")="89115", TEXT(TRIM(S251),"00000")="89121", TEXT(TRIM(S251),"00000")="89122", TEXT(TRIM(S251),"00000")="89142", TEXT(TRIM(S251),"00000")="89156"), "East Valley",
  OR(TEXT(TRIM(S251),"00000")="89030", TEXT(TRIM(S251),"00000")="89031", TEXT(TRIM(S251),"00000")="89032", TEXT(TRIM(S251),"00000")="89086", TEXT(TRIM(S251),"00000")="89084", TEXT(TRIM(S251),"00000")="89081"), "North LV",
  OR(TEXT(TRIM(S251),"00000")="89109", TEXT(TRIM(S251),"00000")="89103", TEXT(TRIM(S251),"00000")="89119", TEXT(TRIM(S251),"00000")="89123", TEXT(TRIM(S251),"00000")="89169", TEXT(TRIM(S251),"00000")="89118"), "South/Strip",
  OR(TEXT(TRIM(S251),"00000")="89074", TEXT(TRIM(S251),"00000")="89014", TEXT(TRIM(S251),"00000")="89015", TEXT(TRIM(S251),"00000")="89011", TEXT(TRIM(S251),"00000")="89012"), "Suburban SE",
  OR(TEXT(TRIM(S251),"00000")="89117", TEXT(TRIM(S251),"00000")="89128", TEXT(TRIM(S251),"00000")="89135", TEXT(TRIM(S251),"00000")="89144", TEXT(TRIM(S251),"00000")="89145", TEXT(TRIM(S251),"00000")="89147"), "West Valley",
  TRUE, "Other"
)</f>
        <v>East Valley</v>
      </c>
      <c r="U251" t="s">
        <v>1073</v>
      </c>
      <c r="V251" t="str">
        <f t="shared" si="15"/>
        <v>Home/Residence</v>
      </c>
    </row>
    <row r="252" spans="1:22">
      <c r="A252" t="s">
        <v>2704</v>
      </c>
      <c r="B252" t="s">
        <v>2705</v>
      </c>
      <c r="C252" s="1">
        <v>45489</v>
      </c>
      <c r="D252" s="4">
        <v>107.96</v>
      </c>
      <c r="E252">
        <v>69</v>
      </c>
      <c r="F252" t="str">
        <f t="shared" si="12"/>
        <v>60's</v>
      </c>
      <c r="G252" t="str" cm="1">
        <f t="array" ref="G252">_xlfn.IFS(
  F252="10's", "Child (5–12)",
  OR(F252="20's", F252="30's"), "Young Adult (20–39)",
  OR(F252="40's", F252="50's"), "Adult (40–59)",
  OR(F252="60's", F252="70's", F252="80's", F252="90's"), "Senior (60+)",
  TRUE, "Unknown"
)</f>
        <v>Senior (60+)</v>
      </c>
      <c r="H252" t="s">
        <v>4309</v>
      </c>
      <c r="I252" t="s">
        <v>4023</v>
      </c>
      <c r="J252" t="str">
        <f t="shared" si="13"/>
        <v>Ethanol-related</v>
      </c>
      <c r="K252" t="s">
        <v>54</v>
      </c>
      <c r="L252" t="s">
        <v>1071</v>
      </c>
      <c r="M252" t="s">
        <v>4926</v>
      </c>
      <c r="N252" t="s">
        <v>5123</v>
      </c>
      <c r="O252" t="str" cm="1">
        <f t="array" ref="O252">_xlfn.IFS(
  TEXT(TRIM(N252),"00000")="NULL", "Missing/Unknown",
  OR(TEXT(TRIM(N252),"00000")="89101", TEXT(TRIM(N252),"00000")="89104", TEXT(TRIM(N252),"00000")="89106", TEXT(TRIM(N252),"00000")="89102", TEXT(TRIM(N252),"00000")="89107", TEXT(TRIM(N252),"00000")="89108"), "Urban Core",
  OR(TEXT(TRIM(N252),"00000")="89110", TEXT(TRIM(N252),"00000")="89115", TEXT(TRIM(N252),"00000")="89121", TEXT(TRIM(N252),"00000")="89122", TEXT(TRIM(N252),"00000")="89142", TEXT(TRIM(N252),"00000")="89156"), "East Valley",
  OR(TEXT(TRIM(N252),"00000")="89030", TEXT(TRIM(N252),"00000")="89031", TEXT(TRIM(N252),"00000")="89032", TEXT(TRIM(N252),"00000")="89086", TEXT(TRIM(N252),"00000")="89084", TEXT(TRIM(N252),"00000")="89081"), "North LV",
  OR(TEXT(TRIM(N252),"00000")="89109", TEXT(TRIM(N252),"00000")="89103", TEXT(TRIM(N252),"00000")="89119", TEXT(TRIM(N252),"00000")="89123", TEXT(TRIM(N252),"00000")="89169", TEXT(TRIM(N252),"00000")="89118"), "South/Strip",
  OR(TEXT(TRIM(N252),"00000")="89074", TEXT(TRIM(N252),"00000")="89014", TEXT(TRIM(N252),"00000")="89015", TEXT(TRIM(N252),"00000")="89011", TEXT(TRIM(N252),"00000")="89012"), "Suburban SE",
  OR(TEXT(TRIM(N252),"00000")="89117", TEXT(TRIM(N252),"00000")="89128", TEXT(TRIM(N252),"00000")="89135", TEXT(TRIM(N252),"00000")="89144", TEXT(TRIM(N252),"00000")="89145", TEXT(TRIM(N252),"00000")="89147"), "West Valley",
  TRUE, "Other"
)</f>
        <v>South/Strip</v>
      </c>
      <c r="P252" t="s">
        <v>1073</v>
      </c>
      <c r="Q252" t="str">
        <f t="shared" si="14"/>
        <v>Home/Residence</v>
      </c>
      <c r="R252" t="s">
        <v>4926</v>
      </c>
      <c r="S252" t="s">
        <v>5123</v>
      </c>
      <c r="T252" t="str" cm="1">
        <f t="array" ref="T252">_xlfn.IFS(
  TEXT(TRIM(S252),"00000")="NULL", "Missing/Unknown",
  OR(TEXT(TRIM(S252),"00000")="89101", TEXT(TRIM(S252),"00000")="89104", TEXT(TRIM(S252),"00000")="89106", TEXT(TRIM(S252),"00000")="89102", TEXT(TRIM(S252),"00000")="89107", TEXT(TRIM(S252),"00000")="89108"), "Urban Core",
  OR(TEXT(TRIM(S252),"00000")="89110", TEXT(TRIM(S252),"00000")="89115", TEXT(TRIM(S252),"00000")="89121", TEXT(TRIM(S252),"00000")="89122", TEXT(TRIM(S252),"00000")="89142", TEXT(TRIM(S252),"00000")="89156"), "East Valley",
  OR(TEXT(TRIM(S252),"00000")="89030", TEXT(TRIM(S252),"00000")="89031", TEXT(TRIM(S252),"00000")="89032", TEXT(TRIM(S252),"00000")="89086", TEXT(TRIM(S252),"00000")="89084", TEXT(TRIM(S252),"00000")="89081"), "North LV",
  OR(TEXT(TRIM(S252),"00000")="89109", TEXT(TRIM(S252),"00000")="89103", TEXT(TRIM(S252),"00000")="89119", TEXT(TRIM(S252),"00000")="89123", TEXT(TRIM(S252),"00000")="89169", TEXT(TRIM(S252),"00000")="89118"), "South/Strip",
  OR(TEXT(TRIM(S252),"00000")="89074", TEXT(TRIM(S252),"00000")="89014", TEXT(TRIM(S252),"00000")="89015", TEXT(TRIM(S252),"00000")="89011", TEXT(TRIM(S252),"00000")="89012"), "Suburban SE",
  OR(TEXT(TRIM(S252),"00000")="89117", TEXT(TRIM(S252),"00000")="89128", TEXT(TRIM(S252),"00000")="89135", TEXT(TRIM(S252),"00000")="89144", TEXT(TRIM(S252),"00000")="89145", TEXT(TRIM(S252),"00000")="89147"), "West Valley",
  TRUE, "Other"
)</f>
        <v>South/Strip</v>
      </c>
      <c r="U252" t="s">
        <v>1073</v>
      </c>
      <c r="V252" t="str">
        <f t="shared" si="15"/>
        <v>Home/Residence</v>
      </c>
    </row>
    <row r="253" spans="1:22">
      <c r="A253" t="s">
        <v>2723</v>
      </c>
      <c r="B253" t="s">
        <v>2724</v>
      </c>
      <c r="C253" s="1">
        <v>45489</v>
      </c>
      <c r="D253" s="4">
        <v>107.96</v>
      </c>
      <c r="E253">
        <v>79</v>
      </c>
      <c r="F253" t="str">
        <f t="shared" si="12"/>
        <v>70's</v>
      </c>
      <c r="G253" t="str" cm="1">
        <f t="array" ref="G253">_xlfn.IFS(
  F253="10's", "Child (5–12)",
  OR(F253="20's", F253="30's"), "Young Adult (20–39)",
  OR(F253="40's", F253="50's"), "Adult (40–59)",
  OR(F253="60's", F253="70's", F253="80's", F253="90's"), "Senior (60+)",
  TRUE, "Unknown"
)</f>
        <v>Senior (60+)</v>
      </c>
      <c r="H253" t="s">
        <v>841</v>
      </c>
      <c r="I253" t="s">
        <v>181</v>
      </c>
      <c r="J253" t="str">
        <f t="shared" si="13"/>
        <v>Other / Unknown</v>
      </c>
      <c r="K253" t="s">
        <v>54</v>
      </c>
      <c r="L253" t="s">
        <v>1071</v>
      </c>
      <c r="N253" t="s">
        <v>5095</v>
      </c>
      <c r="O253" t="str" cm="1">
        <f t="array" ref="O253">_xlfn.IFS(
  TEXT(TRIM(N253),"00000")="NULL", "Missing/Unknown",
  OR(TEXT(TRIM(N253),"00000")="89101", TEXT(TRIM(N253),"00000")="89104", TEXT(TRIM(N253),"00000")="89106", TEXT(TRIM(N253),"00000")="89102", TEXT(TRIM(N253),"00000")="89107", TEXT(TRIM(N253),"00000")="89108"), "Urban Core",
  OR(TEXT(TRIM(N253),"00000")="89110", TEXT(TRIM(N253),"00000")="89115", TEXT(TRIM(N253),"00000")="89121", TEXT(TRIM(N253),"00000")="89122", TEXT(TRIM(N253),"00000")="89142", TEXT(TRIM(N253),"00000")="89156"), "East Valley",
  OR(TEXT(TRIM(N253),"00000")="89030", TEXT(TRIM(N253),"00000")="89031", TEXT(TRIM(N253),"00000")="89032", TEXT(TRIM(N253),"00000")="89086", TEXT(TRIM(N253),"00000")="89084", TEXT(TRIM(N253),"00000")="89081"), "North LV",
  OR(TEXT(TRIM(N253),"00000")="89109", TEXT(TRIM(N253),"00000")="89103", TEXT(TRIM(N253),"00000")="89119", TEXT(TRIM(N253),"00000")="89123", TEXT(TRIM(N253),"00000")="89169", TEXT(TRIM(N253),"00000")="89118"), "South/Strip",
  OR(TEXT(TRIM(N253),"00000")="89074", TEXT(TRIM(N253),"00000")="89014", TEXT(TRIM(N253),"00000")="89015", TEXT(TRIM(N253),"00000")="89011", TEXT(TRIM(N253),"00000")="89012"), "Suburban SE",
  OR(TEXT(TRIM(N253),"00000")="89117", TEXT(TRIM(N253),"00000")="89128", TEXT(TRIM(N253),"00000")="89135", TEXT(TRIM(N253),"00000")="89144", TEXT(TRIM(N253),"00000")="89145", TEXT(TRIM(N253),"00000")="89147"), "West Valley",
  TRUE, "Other"
)</f>
        <v>Missing/Unknown</v>
      </c>
      <c r="P253" t="s">
        <v>3298</v>
      </c>
      <c r="Q253" t="str">
        <f t="shared" si="14"/>
        <v>Outdoors/Public</v>
      </c>
      <c r="R253" t="s">
        <v>5075</v>
      </c>
      <c r="S253" t="s">
        <v>5107</v>
      </c>
      <c r="T253" t="str" cm="1">
        <f t="array" ref="T253">_xlfn.IFS(
  TEXT(TRIM(S253),"00000")="NULL", "Missing/Unknown",
  OR(TEXT(TRIM(S253),"00000")="89101", TEXT(TRIM(S253),"00000")="89104", TEXT(TRIM(S253),"00000")="89106", TEXT(TRIM(S253),"00000")="89102", TEXT(TRIM(S253),"00000")="89107", TEXT(TRIM(S253),"00000")="89108"), "Urban Core",
  OR(TEXT(TRIM(S253),"00000")="89110", TEXT(TRIM(S253),"00000")="89115", TEXT(TRIM(S253),"00000")="89121", TEXT(TRIM(S253),"00000")="89122", TEXT(TRIM(S253),"00000")="89142", TEXT(TRIM(S253),"00000")="89156"), "East Valley",
  OR(TEXT(TRIM(S253),"00000")="89030", TEXT(TRIM(S253),"00000")="89031", TEXT(TRIM(S253),"00000")="89032", TEXT(TRIM(S253),"00000")="89086", TEXT(TRIM(S253),"00000")="89084", TEXT(TRIM(S253),"00000")="89081"), "North LV",
  OR(TEXT(TRIM(S253),"00000")="89109", TEXT(TRIM(S253),"00000")="89103", TEXT(TRIM(S253),"00000")="89119", TEXT(TRIM(S253),"00000")="89123", TEXT(TRIM(S253),"00000")="89169", TEXT(TRIM(S253),"00000")="89118"), "South/Strip",
  OR(TEXT(TRIM(S253),"00000")="89074", TEXT(TRIM(S253),"00000")="89014", TEXT(TRIM(S253),"00000")="89015", TEXT(TRIM(S253),"00000")="89011", TEXT(TRIM(S253),"00000")="89012"), "Suburban SE",
  OR(TEXT(TRIM(S253),"00000")="89117", TEXT(TRIM(S253),"00000")="89128", TEXT(TRIM(S253),"00000")="89135", TEXT(TRIM(S253),"00000")="89144", TEXT(TRIM(S253),"00000")="89145", TEXT(TRIM(S253),"00000")="89147"), "West Valley",
  TRUE, "Other"
)</f>
        <v>South/Strip</v>
      </c>
      <c r="U253" t="s">
        <v>1073</v>
      </c>
      <c r="V253" t="str">
        <f t="shared" si="15"/>
        <v>Home/Residence</v>
      </c>
    </row>
    <row r="254" spans="1:22">
      <c r="A254" t="s">
        <v>3449</v>
      </c>
      <c r="B254" t="s">
        <v>3450</v>
      </c>
      <c r="C254" s="1">
        <v>45489</v>
      </c>
      <c r="D254" s="4">
        <v>107.96</v>
      </c>
      <c r="E254">
        <v>82</v>
      </c>
      <c r="F254" t="str">
        <f t="shared" si="12"/>
        <v>80's</v>
      </c>
      <c r="G254" t="str" cm="1">
        <f t="array" ref="G254">_xlfn.IFS(
  F254="10's", "Child (5–12)",
  OR(F254="20's", F254="30's"), "Young Adult (20–39)",
  OR(F254="40's", F254="50's"), "Adult (40–59)",
  OR(F254="60's", F254="70's", F254="80's", F254="90's"), "Senior (60+)",
  TRUE, "Unknown"
)</f>
        <v>Senior (60+)</v>
      </c>
      <c r="H254" t="s">
        <v>841</v>
      </c>
      <c r="I254" t="s">
        <v>4012</v>
      </c>
      <c r="J254" t="str">
        <f t="shared" si="13"/>
        <v>Cardiovascular Disease</v>
      </c>
      <c r="K254" t="s">
        <v>54</v>
      </c>
      <c r="L254" t="s">
        <v>1071</v>
      </c>
      <c r="N254" t="s">
        <v>5095</v>
      </c>
      <c r="O254" t="str" cm="1">
        <f t="array" ref="O254">_xlfn.IFS(
  TEXT(TRIM(N254),"00000")="NULL", "Missing/Unknown",
  OR(TEXT(TRIM(N254),"00000")="89101", TEXT(TRIM(N254),"00000")="89104", TEXT(TRIM(N254),"00000")="89106", TEXT(TRIM(N254),"00000")="89102", TEXT(TRIM(N254),"00000")="89107", TEXT(TRIM(N254),"00000")="89108"), "Urban Core",
  OR(TEXT(TRIM(N254),"00000")="89110", TEXT(TRIM(N254),"00000")="89115", TEXT(TRIM(N254),"00000")="89121", TEXT(TRIM(N254),"00000")="89122", TEXT(TRIM(N254),"00000")="89142", TEXT(TRIM(N254),"00000")="89156"), "East Valley",
  OR(TEXT(TRIM(N254),"00000")="89030", TEXT(TRIM(N254),"00000")="89031", TEXT(TRIM(N254),"00000")="89032", TEXT(TRIM(N254),"00000")="89086", TEXT(TRIM(N254),"00000")="89084", TEXT(TRIM(N254),"00000")="89081"), "North LV",
  OR(TEXT(TRIM(N254),"00000")="89109", TEXT(TRIM(N254),"00000")="89103", TEXT(TRIM(N254),"00000")="89119", TEXT(TRIM(N254),"00000")="89123", TEXT(TRIM(N254),"00000")="89169", TEXT(TRIM(N254),"00000")="89118"), "South/Strip",
  OR(TEXT(TRIM(N254),"00000")="89074", TEXT(TRIM(N254),"00000")="89014", TEXT(TRIM(N254),"00000")="89015", TEXT(TRIM(N254),"00000")="89011", TEXT(TRIM(N254),"00000")="89012"), "Suburban SE",
  OR(TEXT(TRIM(N254),"00000")="89117", TEXT(TRIM(N254),"00000")="89128", TEXT(TRIM(N254),"00000")="89135", TEXT(TRIM(N254),"00000")="89144", TEXT(TRIM(N254),"00000")="89145", TEXT(TRIM(N254),"00000")="89147"), "West Valley",
  TRUE, "Other"
)</f>
        <v>Missing/Unknown</v>
      </c>
      <c r="P254" t="s">
        <v>3298</v>
      </c>
      <c r="Q254" t="str">
        <f t="shared" si="14"/>
        <v>Outdoors/Public</v>
      </c>
      <c r="R254" t="s">
        <v>5075</v>
      </c>
      <c r="S254" t="s">
        <v>5107</v>
      </c>
      <c r="T254" t="str" cm="1">
        <f t="array" ref="T254">_xlfn.IFS(
  TEXT(TRIM(S254),"00000")="NULL", "Missing/Unknown",
  OR(TEXT(TRIM(S254),"00000")="89101", TEXT(TRIM(S254),"00000")="89104", TEXT(TRIM(S254),"00000")="89106", TEXT(TRIM(S254),"00000")="89102", TEXT(TRIM(S254),"00000")="89107", TEXT(TRIM(S254),"00000")="89108"), "Urban Core",
  OR(TEXT(TRIM(S254),"00000")="89110", TEXT(TRIM(S254),"00000")="89115", TEXT(TRIM(S254),"00000")="89121", TEXT(TRIM(S254),"00000")="89122", TEXT(TRIM(S254),"00000")="89142", TEXT(TRIM(S254),"00000")="89156"), "East Valley",
  OR(TEXT(TRIM(S254),"00000")="89030", TEXT(TRIM(S254),"00000")="89031", TEXT(TRIM(S254),"00000")="89032", TEXT(TRIM(S254),"00000")="89086", TEXT(TRIM(S254),"00000")="89084", TEXT(TRIM(S254),"00000")="89081"), "North LV",
  OR(TEXT(TRIM(S254),"00000")="89109", TEXT(TRIM(S254),"00000")="89103", TEXT(TRIM(S254),"00000")="89119", TEXT(TRIM(S254),"00000")="89123", TEXT(TRIM(S254),"00000")="89169", TEXT(TRIM(S254),"00000")="89118"), "South/Strip",
  OR(TEXT(TRIM(S254),"00000")="89074", TEXT(TRIM(S254),"00000")="89014", TEXT(TRIM(S254),"00000")="89015", TEXT(TRIM(S254),"00000")="89011", TEXT(TRIM(S254),"00000")="89012"), "Suburban SE",
  OR(TEXT(TRIM(S254),"00000")="89117", TEXT(TRIM(S254),"00000")="89128", TEXT(TRIM(S254),"00000")="89135", TEXT(TRIM(S254),"00000")="89144", TEXT(TRIM(S254),"00000")="89145", TEXT(TRIM(S254),"00000")="89147"), "West Valley",
  TRUE, "Other"
)</f>
        <v>South/Strip</v>
      </c>
      <c r="U254" t="s">
        <v>1073</v>
      </c>
      <c r="V254" t="str">
        <f t="shared" si="15"/>
        <v>Home/Residence</v>
      </c>
    </row>
    <row r="255" spans="1:22">
      <c r="A255" t="s">
        <v>3384</v>
      </c>
      <c r="B255" t="s">
        <v>3385</v>
      </c>
      <c r="C255" s="1">
        <v>45489</v>
      </c>
      <c r="D255" s="4">
        <v>107.96</v>
      </c>
      <c r="E255">
        <v>61</v>
      </c>
      <c r="F255" t="str">
        <f t="shared" si="12"/>
        <v>60's</v>
      </c>
      <c r="G255" t="str" cm="1">
        <f t="array" ref="G255">_xlfn.IFS(
  F255="10's", "Child (5–12)",
  OR(F255="20's", F255="30's"), "Young Adult (20–39)",
  OR(F255="40's", F255="50's"), "Adult (40–59)",
  OR(F255="60's", F255="70's", F255="80's", F255="90's"), "Senior (60+)",
  TRUE, "Unknown"
)</f>
        <v>Senior (60+)</v>
      </c>
      <c r="H255" t="s">
        <v>778</v>
      </c>
      <c r="I255" t="s">
        <v>660</v>
      </c>
      <c r="J255" t="str">
        <f t="shared" si="13"/>
        <v>Environmental Heat</v>
      </c>
      <c r="K255" t="s">
        <v>98</v>
      </c>
      <c r="L255" t="s">
        <v>250</v>
      </c>
      <c r="M255" t="s">
        <v>4342</v>
      </c>
      <c r="N255" t="s">
        <v>5101</v>
      </c>
      <c r="O255" t="str" cm="1">
        <f t="array" ref="O255">_xlfn.IFS(
  TEXT(TRIM(N255),"00000")="NULL", "Missing/Unknown",
  OR(TEXT(TRIM(N255),"00000")="89101", TEXT(TRIM(N255),"00000")="89104", TEXT(TRIM(N255),"00000")="89106", TEXT(TRIM(N255),"00000")="89102", TEXT(TRIM(N255),"00000")="89107", TEXT(TRIM(N255),"00000")="89108"), "Urban Core",
  OR(TEXT(TRIM(N255),"00000")="89110", TEXT(TRIM(N255),"00000")="89115", TEXT(TRIM(N255),"00000")="89121", TEXT(TRIM(N255),"00000")="89122", TEXT(TRIM(N255),"00000")="89142", TEXT(TRIM(N255),"00000")="89156"), "East Valley",
  OR(TEXT(TRIM(N255),"00000")="89030", TEXT(TRIM(N255),"00000")="89031", TEXT(TRIM(N255),"00000")="89032", TEXT(TRIM(N255),"00000")="89086", TEXT(TRIM(N255),"00000")="89084", TEXT(TRIM(N255),"00000")="89081"), "North LV",
  OR(TEXT(TRIM(N255),"00000")="89109", TEXT(TRIM(N255),"00000")="89103", TEXT(TRIM(N255),"00000")="89119", TEXT(TRIM(N255),"00000")="89123", TEXT(TRIM(N255),"00000")="89169", TEXT(TRIM(N255),"00000")="89118"), "South/Strip",
  OR(TEXT(TRIM(N255),"00000")="89074", TEXT(TRIM(N255),"00000")="89014", TEXT(TRIM(N255),"00000")="89015", TEXT(TRIM(N255),"00000")="89011", TEXT(TRIM(N255),"00000")="89012"), "Suburban SE",
  OR(TEXT(TRIM(N255),"00000")="89117", TEXT(TRIM(N255),"00000")="89128", TEXT(TRIM(N255),"00000")="89135", TEXT(TRIM(N255),"00000")="89144", TEXT(TRIM(N255),"00000")="89145", TEXT(TRIM(N255),"00000")="89147"), "West Valley",
  TRUE, "Other"
)</f>
        <v>Urban Core</v>
      </c>
      <c r="P255" t="s">
        <v>38</v>
      </c>
      <c r="Q255" t="str">
        <f t="shared" si="14"/>
        <v>Home/Residence</v>
      </c>
      <c r="R255" t="s">
        <v>5054</v>
      </c>
      <c r="S255" t="s">
        <v>5097</v>
      </c>
      <c r="T255" t="str" cm="1">
        <f t="array" ref="T255">_xlfn.IFS(
  TEXT(TRIM(S255),"00000")="NULL", "Missing/Unknown",
  OR(TEXT(TRIM(S255),"00000")="89101", TEXT(TRIM(S255),"00000")="89104", TEXT(TRIM(S255),"00000")="89106", TEXT(TRIM(S255),"00000")="89102", TEXT(TRIM(S255),"00000")="89107", TEXT(TRIM(S255),"00000")="89108"), "Urban Core",
  OR(TEXT(TRIM(S255),"00000")="89110", TEXT(TRIM(S255),"00000")="89115", TEXT(TRIM(S255),"00000")="89121", TEXT(TRIM(S255),"00000")="89122", TEXT(TRIM(S255),"00000")="89142", TEXT(TRIM(S255),"00000")="89156"), "East Valley",
  OR(TEXT(TRIM(S255),"00000")="89030", TEXT(TRIM(S255),"00000")="89031", TEXT(TRIM(S255),"00000")="89032", TEXT(TRIM(S255),"00000")="89086", TEXT(TRIM(S255),"00000")="89084", TEXT(TRIM(S255),"00000")="89081"), "North LV",
  OR(TEXT(TRIM(S255),"00000")="89109", TEXT(TRIM(S255),"00000")="89103", TEXT(TRIM(S255),"00000")="89119", TEXT(TRIM(S255),"00000")="89123", TEXT(TRIM(S255),"00000")="89169", TEXT(TRIM(S255),"00000")="89118"), "South/Strip",
  OR(TEXT(TRIM(S255),"00000")="89074", TEXT(TRIM(S255),"00000")="89014", TEXT(TRIM(S255),"00000")="89015", TEXT(TRIM(S255),"00000")="89011", TEXT(TRIM(S255),"00000")="89012"), "Suburban SE",
  OR(TEXT(TRIM(S255),"00000")="89117", TEXT(TRIM(S255),"00000")="89128", TEXT(TRIM(S255),"00000")="89135", TEXT(TRIM(S255),"00000")="89144", TEXT(TRIM(S255),"00000")="89145", TEXT(TRIM(S255),"00000")="89147"), "West Valley",
  TRUE, "Other"
)</f>
        <v>Urban Core</v>
      </c>
      <c r="U255" t="s">
        <v>38</v>
      </c>
      <c r="V255" t="str">
        <f t="shared" si="15"/>
        <v>Home/Residence</v>
      </c>
    </row>
    <row r="256" spans="1:22">
      <c r="A256" t="s">
        <v>3072</v>
      </c>
      <c r="B256" t="s">
        <v>3073</v>
      </c>
      <c r="C256" s="1">
        <v>45488</v>
      </c>
      <c r="D256" s="4">
        <v>107.96</v>
      </c>
      <c r="E256">
        <v>70</v>
      </c>
      <c r="F256" t="str">
        <f t="shared" si="12"/>
        <v>70's</v>
      </c>
      <c r="G256" t="str" cm="1">
        <f t="array" ref="G256">_xlfn.IFS(
  F256="10's", "Child (5–12)",
  OR(F256="20's", F256="30's"), "Young Adult (20–39)",
  OR(F256="40's", F256="50's"), "Adult (40–59)",
  OR(F256="60's", F256="70's", F256="80's", F256="90's"), "Senior (60+)",
  TRUE, "Unknown"
)</f>
        <v>Senior (60+)</v>
      </c>
      <c r="H256" t="s">
        <v>841</v>
      </c>
      <c r="I256" t="s">
        <v>54</v>
      </c>
      <c r="J256" t="str">
        <f t="shared" si="13"/>
        <v>Environmental Heat</v>
      </c>
      <c r="K256" t="s">
        <v>461</v>
      </c>
      <c r="L256" t="s">
        <v>1071</v>
      </c>
      <c r="M256" t="s">
        <v>4929</v>
      </c>
      <c r="N256" t="s">
        <v>5127</v>
      </c>
      <c r="O256" t="str" cm="1">
        <f t="array" ref="O256">_xlfn.IFS(
  TEXT(TRIM(N256),"00000")="NULL", "Missing/Unknown",
  OR(TEXT(TRIM(N256),"00000")="89101", TEXT(TRIM(N256),"00000")="89104", TEXT(TRIM(N256),"00000")="89106", TEXT(TRIM(N256),"00000")="89102", TEXT(TRIM(N256),"00000")="89107", TEXT(TRIM(N256),"00000")="89108"), "Urban Core",
  OR(TEXT(TRIM(N256),"00000")="89110", TEXT(TRIM(N256),"00000")="89115", TEXT(TRIM(N256),"00000")="89121", TEXT(TRIM(N256),"00000")="89122", TEXT(TRIM(N256),"00000")="89142", TEXT(TRIM(N256),"00000")="89156"), "East Valley",
  OR(TEXT(TRIM(N256),"00000")="89030", TEXT(TRIM(N256),"00000")="89031", TEXT(TRIM(N256),"00000")="89032", TEXT(TRIM(N256),"00000")="89086", TEXT(TRIM(N256),"00000")="89084", TEXT(TRIM(N256),"00000")="89081"), "North LV",
  OR(TEXT(TRIM(N256),"00000")="89109", TEXT(TRIM(N256),"00000")="89103", TEXT(TRIM(N256),"00000")="89119", TEXT(TRIM(N256),"00000")="89123", TEXT(TRIM(N256),"00000")="89169", TEXT(TRIM(N256),"00000")="89118"), "South/Strip",
  OR(TEXT(TRIM(N256),"00000")="89074", TEXT(TRIM(N256),"00000")="89014", TEXT(TRIM(N256),"00000")="89015", TEXT(TRIM(N256),"00000")="89011", TEXT(TRIM(N256),"00000")="89012"), "Suburban SE",
  OR(TEXT(TRIM(N256),"00000")="89117", TEXT(TRIM(N256),"00000")="89128", TEXT(TRIM(N256),"00000")="89135", TEXT(TRIM(N256),"00000")="89144", TEXT(TRIM(N256),"00000")="89145", TEXT(TRIM(N256),"00000")="89147"), "West Valley",
  TRUE, "Other"
)</f>
        <v>Other</v>
      </c>
      <c r="P256" t="s">
        <v>1073</v>
      </c>
      <c r="Q256" t="str">
        <f t="shared" si="14"/>
        <v>Home/Residence</v>
      </c>
      <c r="R256" t="s">
        <v>4929</v>
      </c>
      <c r="S256" t="s">
        <v>5127</v>
      </c>
      <c r="T256" t="str" cm="1">
        <f t="array" ref="T256">_xlfn.IFS(
  TEXT(TRIM(S256),"00000")="NULL", "Missing/Unknown",
  OR(TEXT(TRIM(S256),"00000")="89101", TEXT(TRIM(S256),"00000")="89104", TEXT(TRIM(S256),"00000")="89106", TEXT(TRIM(S256),"00000")="89102", TEXT(TRIM(S256),"00000")="89107", TEXT(TRIM(S256),"00000")="89108"), "Urban Core",
  OR(TEXT(TRIM(S256),"00000")="89110", TEXT(TRIM(S256),"00000")="89115", TEXT(TRIM(S256),"00000")="89121", TEXT(TRIM(S256),"00000")="89122", TEXT(TRIM(S256),"00000")="89142", TEXT(TRIM(S256),"00000")="89156"), "East Valley",
  OR(TEXT(TRIM(S256),"00000")="89030", TEXT(TRIM(S256),"00000")="89031", TEXT(TRIM(S256),"00000")="89032", TEXT(TRIM(S256),"00000")="89086", TEXT(TRIM(S256),"00000")="89084", TEXT(TRIM(S256),"00000")="89081"), "North LV",
  OR(TEXT(TRIM(S256),"00000")="89109", TEXT(TRIM(S256),"00000")="89103", TEXT(TRIM(S256),"00000")="89119", TEXT(TRIM(S256),"00000")="89123", TEXT(TRIM(S256),"00000")="89169", TEXT(TRIM(S256),"00000")="89118"), "South/Strip",
  OR(TEXT(TRIM(S256),"00000")="89074", TEXT(TRIM(S256),"00000")="89014", TEXT(TRIM(S256),"00000")="89015", TEXT(TRIM(S256),"00000")="89011", TEXT(TRIM(S256),"00000")="89012"), "Suburban SE",
  OR(TEXT(TRIM(S256),"00000")="89117", TEXT(TRIM(S256),"00000")="89128", TEXT(TRIM(S256),"00000")="89135", TEXT(TRIM(S256),"00000")="89144", TEXT(TRIM(S256),"00000")="89145", TEXT(TRIM(S256),"00000")="89147"), "West Valley",
  TRUE, "Other"
)</f>
        <v>Other</v>
      </c>
      <c r="U256" t="s">
        <v>1073</v>
      </c>
      <c r="V256" t="str">
        <f t="shared" si="15"/>
        <v>Home/Residence</v>
      </c>
    </row>
    <row r="257" spans="1:22">
      <c r="A257" t="s">
        <v>2618</v>
      </c>
      <c r="B257" t="s">
        <v>2619</v>
      </c>
      <c r="C257" s="1">
        <v>45488</v>
      </c>
      <c r="D257" s="4">
        <v>107.96</v>
      </c>
      <c r="E257">
        <v>62</v>
      </c>
      <c r="F257" t="str">
        <f t="shared" si="12"/>
        <v>60's</v>
      </c>
      <c r="G257" t="str" cm="1">
        <f t="array" ref="G257">_xlfn.IFS(
  F257="10's", "Child (5–12)",
  OR(F257="20's", F257="30's"), "Young Adult (20–39)",
  OR(F257="40's", F257="50's"), "Adult (40–59)",
  OR(F257="60's", F257="70's", F257="80's", F257="90's"), "Senior (60+)",
  TRUE, "Unknown"
)</f>
        <v>Senior (60+)</v>
      </c>
      <c r="H257" t="s">
        <v>841</v>
      </c>
      <c r="I257" t="s">
        <v>63</v>
      </c>
      <c r="J257" t="str">
        <f t="shared" si="13"/>
        <v>Cardiovascular Disease</v>
      </c>
      <c r="K257" t="s">
        <v>2620</v>
      </c>
      <c r="L257" t="s">
        <v>2621</v>
      </c>
      <c r="M257" t="s">
        <v>4689</v>
      </c>
      <c r="N257" t="s">
        <v>5101</v>
      </c>
      <c r="O257" t="str" cm="1">
        <f t="array" ref="O257">_xlfn.IFS(
  TEXT(TRIM(N257),"00000")="NULL", "Missing/Unknown",
  OR(TEXT(TRIM(N257),"00000")="89101", TEXT(TRIM(N257),"00000")="89104", TEXT(TRIM(N257),"00000")="89106", TEXT(TRIM(N257),"00000")="89102", TEXT(TRIM(N257),"00000")="89107", TEXT(TRIM(N257),"00000")="89108"), "Urban Core",
  OR(TEXT(TRIM(N257),"00000")="89110", TEXT(TRIM(N257),"00000")="89115", TEXT(TRIM(N257),"00000")="89121", TEXT(TRIM(N257),"00000")="89122", TEXT(TRIM(N257),"00000")="89142", TEXT(TRIM(N257),"00000")="89156"), "East Valley",
  OR(TEXT(TRIM(N257),"00000")="89030", TEXT(TRIM(N257),"00000")="89031", TEXT(TRIM(N257),"00000")="89032", TEXT(TRIM(N257),"00000")="89086", TEXT(TRIM(N257),"00000")="89084", TEXT(TRIM(N257),"00000")="89081"), "North LV",
  OR(TEXT(TRIM(N257),"00000")="89109", TEXT(TRIM(N257),"00000")="89103", TEXT(TRIM(N257),"00000")="89119", TEXT(TRIM(N257),"00000")="89123", TEXT(TRIM(N257),"00000")="89169", TEXT(TRIM(N257),"00000")="89118"), "South/Strip",
  OR(TEXT(TRIM(N257),"00000")="89074", TEXT(TRIM(N257),"00000")="89014", TEXT(TRIM(N257),"00000")="89015", TEXT(TRIM(N257),"00000")="89011", TEXT(TRIM(N257),"00000")="89012"), "Suburban SE",
  OR(TEXT(TRIM(N257),"00000")="89117", TEXT(TRIM(N257),"00000")="89128", TEXT(TRIM(N257),"00000")="89135", TEXT(TRIM(N257),"00000")="89144", TEXT(TRIM(N257),"00000")="89145", TEXT(TRIM(N257),"00000")="89147"), "West Valley",
  TRUE, "Other"
)</f>
        <v>Urban Core</v>
      </c>
      <c r="P257" t="s">
        <v>3298</v>
      </c>
      <c r="Q257" t="str">
        <f t="shared" si="14"/>
        <v>Outdoors/Public</v>
      </c>
      <c r="R257" t="s">
        <v>4689</v>
      </c>
      <c r="S257" t="s">
        <v>5101</v>
      </c>
      <c r="T257" t="str" cm="1">
        <f t="array" ref="T257">_xlfn.IFS(
  TEXT(TRIM(S257),"00000")="NULL", "Missing/Unknown",
  OR(TEXT(TRIM(S257),"00000")="89101", TEXT(TRIM(S257),"00000")="89104", TEXT(TRIM(S257),"00000")="89106", TEXT(TRIM(S257),"00000")="89102", TEXT(TRIM(S257),"00000")="89107", TEXT(TRIM(S257),"00000")="89108"), "Urban Core",
  OR(TEXT(TRIM(S257),"00000")="89110", TEXT(TRIM(S257),"00000")="89115", TEXT(TRIM(S257),"00000")="89121", TEXT(TRIM(S257),"00000")="89122", TEXT(TRIM(S257),"00000")="89142", TEXT(TRIM(S257),"00000")="89156"), "East Valley",
  OR(TEXT(TRIM(S257),"00000")="89030", TEXT(TRIM(S257),"00000")="89031", TEXT(TRIM(S257),"00000")="89032", TEXT(TRIM(S257),"00000")="89086", TEXT(TRIM(S257),"00000")="89084", TEXT(TRIM(S257),"00000")="89081"), "North LV",
  OR(TEXT(TRIM(S257),"00000")="89109", TEXT(TRIM(S257),"00000")="89103", TEXT(TRIM(S257),"00000")="89119", TEXT(TRIM(S257),"00000")="89123", TEXT(TRIM(S257),"00000")="89169", TEXT(TRIM(S257),"00000")="89118"), "South/Strip",
  OR(TEXT(TRIM(S257),"00000")="89074", TEXT(TRIM(S257),"00000")="89014", TEXT(TRIM(S257),"00000")="89015", TEXT(TRIM(S257),"00000")="89011", TEXT(TRIM(S257),"00000")="89012"), "Suburban SE",
  OR(TEXT(TRIM(S257),"00000")="89117", TEXT(TRIM(S257),"00000")="89128", TEXT(TRIM(S257),"00000")="89135", TEXT(TRIM(S257),"00000")="89144", TEXT(TRIM(S257),"00000")="89145", TEXT(TRIM(S257),"00000")="89147"), "West Valley",
  TRUE, "Other"
)</f>
        <v>Urban Core</v>
      </c>
      <c r="U257" t="s">
        <v>3298</v>
      </c>
      <c r="V257" t="str">
        <f t="shared" si="15"/>
        <v>Outdoors/Public</v>
      </c>
    </row>
    <row r="258" spans="1:22">
      <c r="A258" t="s">
        <v>3577</v>
      </c>
      <c r="B258" t="s">
        <v>3578</v>
      </c>
      <c r="C258" s="1">
        <v>45488</v>
      </c>
      <c r="D258" s="4">
        <v>107.96</v>
      </c>
      <c r="E258">
        <v>35</v>
      </c>
      <c r="F258" t="str">
        <f t="shared" ref="F258:F321" si="16">_xlfn.CONCAT(INT(E258/10)*10, "'s")</f>
        <v>30's</v>
      </c>
      <c r="G258" t="str" cm="1">
        <f t="array" ref="G258">_xlfn.IFS(
  F258="10's", "Child (5–12)",
  OR(F258="20's", F258="30's"), "Young Adult (20–39)",
  OR(F258="40's", F258="50's"), "Adult (40–59)",
  OR(F258="60's", F258="70's", F258="80's", F258="90's"), "Senior (60+)",
  TRUE, "Unknown"
)</f>
        <v>Young Adult (20–39)</v>
      </c>
      <c r="H258" t="s">
        <v>27</v>
      </c>
      <c r="I258" t="s">
        <v>97</v>
      </c>
      <c r="J258" t="str">
        <f t="shared" ref="J258:J321" si="17">IF(ISNUMBER(SEARCH("heat", I258)) + ISNUMBER(SEARCH("hyperthermia", I258)) + ISNUMBER(SEARCH("heat stroke", I258)) + ISNUMBER(SEARCH("environmental", I258)), "Environmental Heat",
IF(ISNUMBER(SEARCH("meth", I258)), "Methamphetamine-related",
IF(ISNUMBER(SEARCH("fentanyl", I258)), "Fentanyl-related",
IF(ISNUMBER(SEARCH("cardio", I258)) + ISNUMBER(SEARCH("heart", I258)) + ISNUMBER(SEARCH("atherosclerotic", I258)) + ISNUMBER(SEARCH("hypertensive", I258)) + ISNUMBER(SEARCH("myocardial", I258)) + ISNUMBER(SEARCH("infarction", I258)), "Cardiovascular Disease",
IF(ISNUMBER(SEARCH("ethanol", I258)) + ISNUMBER(SEARCH("alcohol", I258)), "Ethanol-related",
IF(ISNUMBER(SEARCH("dehydration", I258)) + ISNUMBER(SEARCH("hypernatrem", I258)) + ISNUMBER(SEARCH("hyponatrem", I258)), "Dehydration / Electrolyte",
IF(ISNUMBER(SEARCH("intoxication", I258)) + ISNUMBER(SEARCH("toxicity", I258)) + ISNUMBER(SEARCH("overdose", I258)), "Mixed Drug Toxicity",
"Other / Unknown")))))))</f>
        <v>Environmental Heat</v>
      </c>
      <c r="K258" t="s">
        <v>4177</v>
      </c>
      <c r="L258" t="s">
        <v>1071</v>
      </c>
      <c r="N258" t="s">
        <v>5095</v>
      </c>
      <c r="O258" t="str" cm="1">
        <f t="array" ref="O258">_xlfn.IFS(
  TEXT(TRIM(N258),"00000")="NULL", "Missing/Unknown",
  OR(TEXT(TRIM(N258),"00000")="89101", TEXT(TRIM(N258),"00000")="89104", TEXT(TRIM(N258),"00000")="89106", TEXT(TRIM(N258),"00000")="89102", TEXT(TRIM(N258),"00000")="89107", TEXT(TRIM(N258),"00000")="89108"), "Urban Core",
  OR(TEXT(TRIM(N258),"00000")="89110", TEXT(TRIM(N258),"00000")="89115", TEXT(TRIM(N258),"00000")="89121", TEXT(TRIM(N258),"00000")="89122", TEXT(TRIM(N258),"00000")="89142", TEXT(TRIM(N258),"00000")="89156"), "East Valley",
  OR(TEXT(TRIM(N258),"00000")="89030", TEXT(TRIM(N258),"00000")="89031", TEXT(TRIM(N258),"00000")="89032", TEXT(TRIM(N258),"00000")="89086", TEXT(TRIM(N258),"00000")="89084", TEXT(TRIM(N258),"00000")="89081"), "North LV",
  OR(TEXT(TRIM(N258),"00000")="89109", TEXT(TRIM(N258),"00000")="89103", TEXT(TRIM(N258),"00000")="89119", TEXT(TRIM(N258),"00000")="89123", TEXT(TRIM(N258),"00000")="89169", TEXT(TRIM(N258),"00000")="89118"), "South/Strip",
  OR(TEXT(TRIM(N258),"00000")="89074", TEXT(TRIM(N258),"00000")="89014", TEXT(TRIM(N258),"00000")="89015", TEXT(TRIM(N258),"00000")="89011", TEXT(TRIM(N258),"00000")="89012"), "Suburban SE",
  OR(TEXT(TRIM(N258),"00000")="89117", TEXT(TRIM(N258),"00000")="89128", TEXT(TRIM(N258),"00000")="89135", TEXT(TRIM(N258),"00000")="89144", TEXT(TRIM(N258),"00000")="89145", TEXT(TRIM(N258),"00000")="89147"), "West Valley",
  TRUE, "Other"
)</f>
        <v>Missing/Unknown</v>
      </c>
      <c r="P258" t="s">
        <v>3298</v>
      </c>
      <c r="Q258" t="str">
        <f t="shared" ref="Q258:Q321" si="18">IF(OR(ISNUMBER(SEARCH("outdoor", P258)), ISNUMBER(SEARCH("park", P258)), ISNUMBER(SEARCH("road", P258)), ISNUMBER(SEARCH("sidewalk", P258)), ISNUMBER(SEARCH("desert", P258)), ISNUMBER(SEARCH("tunnel", P258)), ISNUMBER(SEARCH("lot", P258)), ISNUMBER(SEARCH("lake", P258)), ISNUMBER(SEARCH("bus", P258)), ISNUMBER(SEARCH("shed", P258)), ISNUMBER(SEARCH("amusement", P258))), "Outdoors/Public",
IF(OR(ISNUMBER(SEARCH("home", P258)), ISNUMBER(SEARCH("residence", P258)), ISNUMBER(SEARCH("rv", P258)), ISNUMBER(SEARCH("tent", P258)), ISNUMBER(SEARCH("bedroom", P258)), ISNUMBER(SEARCH("garage", P258)), ISNUMBER(SEARCH("trailer", P258)), ISNUMBER(SEARCH("backyard", P258))), "Home/Residence",
IF(OR(ISNUMBER(SEARCH("vehicle", P258)), ISNUMBER(SEARCH("car", P258)), ISNUMBER(SEARCH("wash", P258))), "Vehicle-related",
IF(OR(ISNUMBER(SEARCH("business", P258)), ISNUMBER(SEARCH("school", P258)), ISNUMBER(SEARCH("hotel", P258)), ISNUMBER(SEARCH("construction", P258)), ISNUMBER(SEARCH("furniture", P258)), ISNUMBER(SEARCH("public", P258))), "Business/Commercial",
IF(OR(ISNUMBER(SEARCH("hospital", P258)), ISNUMBER(SEARCH("assisted", P258)), ISNUMBER(SEARCH("residential care", P258))), "Medical Facility",
IF(OR(ISNUMBER(SEARCH("shelter", P258)), ISNUMBER(SEARCH("jail", P258))), "Shelter/Temporary Housing",
"Other / Unknown"))))))</f>
        <v>Outdoors/Public</v>
      </c>
      <c r="R258" t="s">
        <v>4576</v>
      </c>
      <c r="S258" t="s">
        <v>5118</v>
      </c>
      <c r="T258" t="str" cm="1">
        <f t="array" ref="T258">_xlfn.IFS(
  TEXT(TRIM(S258),"00000")="NULL", "Missing/Unknown",
  OR(TEXT(TRIM(S258),"00000")="89101", TEXT(TRIM(S258),"00000")="89104", TEXT(TRIM(S258),"00000")="89106", TEXT(TRIM(S258),"00000")="89102", TEXT(TRIM(S258),"00000")="89107", TEXT(TRIM(S258),"00000")="89108"), "Urban Core",
  OR(TEXT(TRIM(S258),"00000")="89110", TEXT(TRIM(S258),"00000")="89115", TEXT(TRIM(S258),"00000")="89121", TEXT(TRIM(S258),"00000")="89122", TEXT(TRIM(S258),"00000")="89142", TEXT(TRIM(S258),"00000")="89156"), "East Valley",
  OR(TEXT(TRIM(S258),"00000")="89030", TEXT(TRIM(S258),"00000")="89031", TEXT(TRIM(S258),"00000")="89032", TEXT(TRIM(S258),"00000")="89086", TEXT(TRIM(S258),"00000")="89084", TEXT(TRIM(S258),"00000")="89081"), "North LV",
  OR(TEXT(TRIM(S258),"00000")="89109", TEXT(TRIM(S258),"00000")="89103", TEXT(TRIM(S258),"00000")="89119", TEXT(TRIM(S258),"00000")="89123", TEXT(TRIM(S258),"00000")="89169", TEXT(TRIM(S258),"00000")="89118"), "South/Strip",
  OR(TEXT(TRIM(S258),"00000")="89074", TEXT(TRIM(S258),"00000")="89014", TEXT(TRIM(S258),"00000")="89015", TEXT(TRIM(S258),"00000")="89011", TEXT(TRIM(S258),"00000")="89012"), "Suburban SE",
  OR(TEXT(TRIM(S258),"00000")="89117", TEXT(TRIM(S258),"00000")="89128", TEXT(TRIM(S258),"00000")="89135", TEXT(TRIM(S258),"00000")="89144", TEXT(TRIM(S258),"00000")="89145", TEXT(TRIM(S258),"00000")="89147"), "West Valley",
  TRUE, "Other"
)</f>
        <v>South/Strip</v>
      </c>
      <c r="U258" t="s">
        <v>2433</v>
      </c>
      <c r="V258" t="str">
        <f t="shared" ref="V258:V321" si="19">IF(OR(ISNUMBER(SEARCH("outdoor", U258)), ISNUMBER(SEARCH("park", U258)), ISNUMBER(SEARCH("road", U258)), ISNUMBER(SEARCH("sidewalk", U258)), ISNUMBER(SEARCH("desert", U258)), ISNUMBER(SEARCH("tunnel", U258)), ISNUMBER(SEARCH("lot", U258)), ISNUMBER(SEARCH("lake", U258)), ISNUMBER(SEARCH("bus", U258)), ISNUMBER(SEARCH("shed", U258)), ISNUMBER(SEARCH("amusement", U258))), "Outdoors/Public",
IF(OR(ISNUMBER(SEARCH("home", U258)), ISNUMBER(SEARCH("residence", U258)), ISNUMBER(SEARCH("rv", U258)), ISNUMBER(SEARCH("tent", U258)), ISNUMBER(SEARCH("bedroom", U258)), ISNUMBER(SEARCH("garage", U258)), ISNUMBER(SEARCH("trailer", U258)), ISNUMBER(SEARCH("backyard", U258))), "Home/Residence",
IF(OR(ISNUMBER(SEARCH("vehicle", U258)), ISNUMBER(SEARCH("wash", U258))), "Vehicle-related",
IF(OR(ISNUMBER(SEARCH("business", U258)), ISNUMBER(SEARCH("school", U258)), ISNUMBER(SEARCH("hotel", U258)), ISNUMBER(SEARCH("construction", U258)), ISNUMBER(SEARCH("furniture", U258)), ISNUMBER(SEARCH("public", U258))), "Business/Commercial",
IF(OR(ISNUMBER(SEARCH("hospital", U258)), ISNUMBER(SEARCH("assisted", U258)), ISNUMBER(SEARCH("residential care", U258)), ISNUMBER(SEARCH("emergency room", U258)), ISNUMBER(SEARCH("emergency", U258)), ISNUMBER(SEARCH("intensive care unit", U258)), ISNUMBER(SEARCH("icu", U258))), "Medical Facility",
IF(OR(ISNUMBER(SEARCH("shelter", U258)), ISNUMBER(SEARCH("jail", U258))), "Shelter/Temporary Housing",
"Other / Unknown"))))))</f>
        <v>Medical Facility</v>
      </c>
    </row>
    <row r="259" spans="1:22">
      <c r="A259" t="s">
        <v>3069</v>
      </c>
      <c r="B259" t="s">
        <v>3070</v>
      </c>
      <c r="C259" s="1">
        <v>45488</v>
      </c>
      <c r="D259" s="4">
        <v>107.96</v>
      </c>
      <c r="E259">
        <v>61</v>
      </c>
      <c r="F259" t="str">
        <f t="shared" si="16"/>
        <v>60's</v>
      </c>
      <c r="G259" t="str" cm="1">
        <f t="array" ref="G259">_xlfn.IFS(
  F259="10's", "Child (5–12)",
  OR(F259="20's", F259="30's"), "Young Adult (20–39)",
  OR(F259="40's", F259="50's"), "Adult (40–59)",
  OR(F259="60's", F259="70's", F259="80's", F259="90's"), "Senior (60+)",
  TRUE, "Unknown"
)</f>
        <v>Senior (60+)</v>
      </c>
      <c r="H259" t="s">
        <v>778</v>
      </c>
      <c r="I259" t="s">
        <v>54</v>
      </c>
      <c r="J259" t="str">
        <f t="shared" si="17"/>
        <v>Environmental Heat</v>
      </c>
      <c r="K259" t="s">
        <v>98</v>
      </c>
      <c r="L259" t="s">
        <v>250</v>
      </c>
      <c r="N259" t="s">
        <v>5095</v>
      </c>
      <c r="O259" t="str" cm="1">
        <f t="array" ref="O259">_xlfn.IFS(
  TEXT(TRIM(N259),"00000")="NULL", "Missing/Unknown",
  OR(TEXT(TRIM(N259),"00000")="89101", TEXT(TRIM(N259),"00000")="89104", TEXT(TRIM(N259),"00000")="89106", TEXT(TRIM(N259),"00000")="89102", TEXT(TRIM(N259),"00000")="89107", TEXT(TRIM(N259),"00000")="89108"), "Urban Core",
  OR(TEXT(TRIM(N259),"00000")="89110", TEXT(TRIM(N259),"00000")="89115", TEXT(TRIM(N259),"00000")="89121", TEXT(TRIM(N259),"00000")="89122", TEXT(TRIM(N259),"00000")="89142", TEXT(TRIM(N259),"00000")="89156"), "East Valley",
  OR(TEXT(TRIM(N259),"00000")="89030", TEXT(TRIM(N259),"00000")="89031", TEXT(TRIM(N259),"00000")="89032", TEXT(TRIM(N259),"00000")="89086", TEXT(TRIM(N259),"00000")="89084", TEXT(TRIM(N259),"00000")="89081"), "North LV",
  OR(TEXT(TRIM(N259),"00000")="89109", TEXT(TRIM(N259),"00000")="89103", TEXT(TRIM(N259),"00000")="89119", TEXT(TRIM(N259),"00000")="89123", TEXT(TRIM(N259),"00000")="89169", TEXT(TRIM(N259),"00000")="89118"), "South/Strip",
  OR(TEXT(TRIM(N259),"00000")="89074", TEXT(TRIM(N259),"00000")="89014", TEXT(TRIM(N259),"00000")="89015", TEXT(TRIM(N259),"00000")="89011", TEXT(TRIM(N259),"00000")="89012"), "Suburban SE",
  OR(TEXT(TRIM(N259),"00000")="89117", TEXT(TRIM(N259),"00000")="89128", TEXT(TRIM(N259),"00000")="89135", TEXT(TRIM(N259),"00000")="89144", TEXT(TRIM(N259),"00000")="89145", TEXT(TRIM(N259),"00000")="89147"), "West Valley",
  TRUE, "Other"
)</f>
        <v>Missing/Unknown</v>
      </c>
      <c r="P259" t="s">
        <v>3298</v>
      </c>
      <c r="Q259" t="str">
        <f t="shared" si="18"/>
        <v>Outdoors/Public</v>
      </c>
      <c r="R259" t="s">
        <v>5069</v>
      </c>
      <c r="S259" t="s">
        <v>5101</v>
      </c>
      <c r="T259" t="str" cm="1">
        <f t="array" ref="T259">_xlfn.IFS(
  TEXT(TRIM(S259),"00000")="NULL", "Missing/Unknown",
  OR(TEXT(TRIM(S259),"00000")="89101", TEXT(TRIM(S259),"00000")="89104", TEXT(TRIM(S259),"00000")="89106", TEXT(TRIM(S259),"00000")="89102", TEXT(TRIM(S259),"00000")="89107", TEXT(TRIM(S259),"00000")="89108"), "Urban Core",
  OR(TEXT(TRIM(S259),"00000")="89110", TEXT(TRIM(S259),"00000")="89115", TEXT(TRIM(S259),"00000")="89121", TEXT(TRIM(S259),"00000")="89122", TEXT(TRIM(S259),"00000")="89142", TEXT(TRIM(S259),"00000")="89156"), "East Valley",
  OR(TEXT(TRIM(S259),"00000")="89030", TEXT(TRIM(S259),"00000")="89031", TEXT(TRIM(S259),"00000")="89032", TEXT(TRIM(S259),"00000")="89086", TEXT(TRIM(S259),"00000")="89084", TEXT(TRIM(S259),"00000")="89081"), "North LV",
  OR(TEXT(TRIM(S259),"00000")="89109", TEXT(TRIM(S259),"00000")="89103", TEXT(TRIM(S259),"00000")="89119", TEXT(TRIM(S259),"00000")="89123", TEXT(TRIM(S259),"00000")="89169", TEXT(TRIM(S259),"00000")="89118"), "South/Strip",
  OR(TEXT(TRIM(S259),"00000")="89074", TEXT(TRIM(S259),"00000")="89014", TEXT(TRIM(S259),"00000")="89015", TEXT(TRIM(S259),"00000")="89011", TEXT(TRIM(S259),"00000")="89012"), "Suburban SE",
  OR(TEXT(TRIM(S259),"00000")="89117", TEXT(TRIM(S259),"00000")="89128", TEXT(TRIM(S259),"00000")="89135", TEXT(TRIM(S259),"00000")="89144", TEXT(TRIM(S259),"00000")="89145", TEXT(TRIM(S259),"00000")="89147"), "West Valley",
  TRUE, "Other"
)</f>
        <v>Urban Core</v>
      </c>
      <c r="U259" t="s">
        <v>3298</v>
      </c>
      <c r="V259" t="str">
        <f t="shared" si="19"/>
        <v>Outdoors/Public</v>
      </c>
    </row>
    <row r="260" spans="1:22">
      <c r="A260" t="s">
        <v>3446</v>
      </c>
      <c r="B260" t="s">
        <v>3447</v>
      </c>
      <c r="C260" s="1">
        <v>45488</v>
      </c>
      <c r="D260" s="4">
        <v>107.96</v>
      </c>
      <c r="E260">
        <v>82</v>
      </c>
      <c r="F260" t="str">
        <f t="shared" si="16"/>
        <v>80's</v>
      </c>
      <c r="G260" t="str" cm="1">
        <f t="array" ref="G260">_xlfn.IFS(
  F260="10's", "Child (5–12)",
  OR(F260="20's", F260="30's"), "Young Adult (20–39)",
  OR(F260="40's", F260="50's"), "Adult (40–59)",
  OR(F260="60's", F260="70's", F260="80's", F260="90's"), "Senior (60+)",
  TRUE, "Unknown"
)</f>
        <v>Senior (60+)</v>
      </c>
      <c r="H260" t="s">
        <v>841</v>
      </c>
      <c r="I260" t="s">
        <v>4012</v>
      </c>
      <c r="J260" t="str">
        <f t="shared" si="17"/>
        <v>Cardiovascular Disease</v>
      </c>
      <c r="K260" t="s">
        <v>54</v>
      </c>
      <c r="L260" t="s">
        <v>1071</v>
      </c>
      <c r="N260" t="s">
        <v>5095</v>
      </c>
      <c r="O260" t="str" cm="1">
        <f t="array" ref="O260">_xlfn.IFS(
  TEXT(TRIM(N260),"00000")="NULL", "Missing/Unknown",
  OR(TEXT(TRIM(N260),"00000")="89101", TEXT(TRIM(N260),"00000")="89104", TEXT(TRIM(N260),"00000")="89106", TEXT(TRIM(N260),"00000")="89102", TEXT(TRIM(N260),"00000")="89107", TEXT(TRIM(N260),"00000")="89108"), "Urban Core",
  OR(TEXT(TRIM(N260),"00000")="89110", TEXT(TRIM(N260),"00000")="89115", TEXT(TRIM(N260),"00000")="89121", TEXT(TRIM(N260),"00000")="89122", TEXT(TRIM(N260),"00000")="89142", TEXT(TRIM(N260),"00000")="89156"), "East Valley",
  OR(TEXT(TRIM(N260),"00000")="89030", TEXT(TRIM(N260),"00000")="89031", TEXT(TRIM(N260),"00000")="89032", TEXT(TRIM(N260),"00000")="89086", TEXT(TRIM(N260),"00000")="89084", TEXT(TRIM(N260),"00000")="89081"), "North LV",
  OR(TEXT(TRIM(N260),"00000")="89109", TEXT(TRIM(N260),"00000")="89103", TEXT(TRIM(N260),"00000")="89119", TEXT(TRIM(N260),"00000")="89123", TEXT(TRIM(N260),"00000")="89169", TEXT(TRIM(N260),"00000")="89118"), "South/Strip",
  OR(TEXT(TRIM(N260),"00000")="89074", TEXT(TRIM(N260),"00000")="89014", TEXT(TRIM(N260),"00000")="89015", TEXT(TRIM(N260),"00000")="89011", TEXT(TRIM(N260),"00000")="89012"), "Suburban SE",
  OR(TEXT(TRIM(N260),"00000")="89117", TEXT(TRIM(N260),"00000")="89128", TEXT(TRIM(N260),"00000")="89135", TEXT(TRIM(N260),"00000")="89144", TEXT(TRIM(N260),"00000")="89145", TEXT(TRIM(N260),"00000")="89147"), "West Valley",
  TRUE, "Other"
)</f>
        <v>Missing/Unknown</v>
      </c>
      <c r="P260" t="s">
        <v>3298</v>
      </c>
      <c r="Q260" t="str">
        <f t="shared" si="18"/>
        <v>Outdoors/Public</v>
      </c>
      <c r="R260" t="s">
        <v>5076</v>
      </c>
      <c r="S260" t="s">
        <v>5149</v>
      </c>
      <c r="T260" t="str" cm="1">
        <f t="array" ref="T260">_xlfn.IFS(
  TEXT(TRIM(S260),"00000")="NULL", "Missing/Unknown",
  OR(TEXT(TRIM(S260),"00000")="89101", TEXT(TRIM(S260),"00000")="89104", TEXT(TRIM(S260),"00000")="89106", TEXT(TRIM(S260),"00000")="89102", TEXT(TRIM(S260),"00000")="89107", TEXT(TRIM(S260),"00000")="89108"), "Urban Core",
  OR(TEXT(TRIM(S260),"00000")="89110", TEXT(TRIM(S260),"00000")="89115", TEXT(TRIM(S260),"00000")="89121", TEXT(TRIM(S260),"00000")="89122", TEXT(TRIM(S260),"00000")="89142", TEXT(TRIM(S260),"00000")="89156"), "East Valley",
  OR(TEXT(TRIM(S260),"00000")="89030", TEXT(TRIM(S260),"00000")="89031", TEXT(TRIM(S260),"00000")="89032", TEXT(TRIM(S260),"00000")="89086", TEXT(TRIM(S260),"00000")="89084", TEXT(TRIM(S260),"00000")="89081"), "North LV",
  OR(TEXT(TRIM(S260),"00000")="89109", TEXT(TRIM(S260),"00000")="89103", TEXT(TRIM(S260),"00000")="89119", TEXT(TRIM(S260),"00000")="89123", TEXT(TRIM(S260),"00000")="89169", TEXT(TRIM(S260),"00000")="89118"), "South/Strip",
  OR(TEXT(TRIM(S260),"00000")="89074", TEXT(TRIM(S260),"00000")="89014", TEXT(TRIM(S260),"00000")="89015", TEXT(TRIM(S260),"00000")="89011", TEXT(TRIM(S260),"00000")="89012"), "Suburban SE",
  OR(TEXT(TRIM(S260),"00000")="89117", TEXT(TRIM(S260),"00000")="89128", TEXT(TRIM(S260),"00000")="89135", TEXT(TRIM(S260),"00000")="89144", TEXT(TRIM(S260),"00000")="89145", TEXT(TRIM(S260),"00000")="89147"), "West Valley",
  TRUE, "Other"
)</f>
        <v>Other</v>
      </c>
      <c r="U260" t="s">
        <v>1073</v>
      </c>
      <c r="V260" t="str">
        <f t="shared" si="19"/>
        <v>Home/Residence</v>
      </c>
    </row>
    <row r="261" spans="1:22">
      <c r="A261" t="s">
        <v>3442</v>
      </c>
      <c r="B261" t="s">
        <v>3443</v>
      </c>
      <c r="C261" s="1">
        <v>45487</v>
      </c>
      <c r="D261" s="4">
        <v>105.98</v>
      </c>
      <c r="E261">
        <v>79</v>
      </c>
      <c r="F261" t="str">
        <f t="shared" si="16"/>
        <v>70's</v>
      </c>
      <c r="G261" t="str" cm="1">
        <f t="array" ref="G261">_xlfn.IFS(
  F261="10's", "Child (5–12)",
  OR(F261="20's", F261="30's"), "Young Adult (20–39)",
  OR(F261="40's", F261="50's"), "Adult (40–59)",
  OR(F261="60's", F261="70's", F261="80's", F261="90's"), "Senior (60+)",
  TRUE, "Unknown"
)</f>
        <v>Senior (60+)</v>
      </c>
      <c r="H261" t="s">
        <v>778</v>
      </c>
      <c r="I261" t="s">
        <v>4012</v>
      </c>
      <c r="J261" t="str">
        <f t="shared" si="17"/>
        <v>Cardiovascular Disease</v>
      </c>
      <c r="K261" t="s">
        <v>4179</v>
      </c>
      <c r="L261" t="s">
        <v>1071</v>
      </c>
      <c r="M261" t="s">
        <v>4930</v>
      </c>
      <c r="N261" t="s">
        <v>5105</v>
      </c>
      <c r="O261" t="str" cm="1">
        <f t="array" ref="O261">_xlfn.IFS(
  TEXT(TRIM(N261),"00000")="NULL", "Missing/Unknown",
  OR(TEXT(TRIM(N261),"00000")="89101", TEXT(TRIM(N261),"00000")="89104", TEXT(TRIM(N261),"00000")="89106", TEXT(TRIM(N261),"00000")="89102", TEXT(TRIM(N261),"00000")="89107", TEXT(TRIM(N261),"00000")="89108"), "Urban Core",
  OR(TEXT(TRIM(N261),"00000")="89110", TEXT(TRIM(N261),"00000")="89115", TEXT(TRIM(N261),"00000")="89121", TEXT(TRIM(N261),"00000")="89122", TEXT(TRIM(N261),"00000")="89142", TEXT(TRIM(N261),"00000")="89156"), "East Valley",
  OR(TEXT(TRIM(N261),"00000")="89030", TEXT(TRIM(N261),"00000")="89031", TEXT(TRIM(N261),"00000")="89032", TEXT(TRIM(N261),"00000")="89086", TEXT(TRIM(N261),"00000")="89084", TEXT(TRIM(N261),"00000")="89081"), "North LV",
  OR(TEXT(TRIM(N261),"00000")="89109", TEXT(TRIM(N261),"00000")="89103", TEXT(TRIM(N261),"00000")="89119", TEXT(TRIM(N261),"00000")="89123", TEXT(TRIM(N261),"00000")="89169", TEXT(TRIM(N261),"00000")="89118"), "South/Strip",
  OR(TEXT(TRIM(N261),"00000")="89074", TEXT(TRIM(N261),"00000")="89014", TEXT(TRIM(N261),"00000")="89015", TEXT(TRIM(N261),"00000")="89011", TEXT(TRIM(N261),"00000")="89012"), "Suburban SE",
  OR(TEXT(TRIM(N261),"00000")="89117", TEXT(TRIM(N261),"00000")="89128", TEXT(TRIM(N261),"00000")="89135", TEXT(TRIM(N261),"00000")="89144", TEXT(TRIM(N261),"00000")="89145", TEXT(TRIM(N261),"00000")="89147"), "West Valley",
  TRUE, "Other"
)</f>
        <v>East Valley</v>
      </c>
      <c r="P261" t="s">
        <v>1073</v>
      </c>
      <c r="Q261" t="str">
        <f t="shared" si="18"/>
        <v>Home/Residence</v>
      </c>
      <c r="R261" t="s">
        <v>4930</v>
      </c>
      <c r="S261" t="s">
        <v>5105</v>
      </c>
      <c r="T261" t="str" cm="1">
        <f t="array" ref="T261">_xlfn.IFS(
  TEXT(TRIM(S261),"00000")="NULL", "Missing/Unknown",
  OR(TEXT(TRIM(S261),"00000")="89101", TEXT(TRIM(S261),"00000")="89104", TEXT(TRIM(S261),"00000")="89106", TEXT(TRIM(S261),"00000")="89102", TEXT(TRIM(S261),"00000")="89107", TEXT(TRIM(S261),"00000")="89108"), "Urban Core",
  OR(TEXT(TRIM(S261),"00000")="89110", TEXT(TRIM(S261),"00000")="89115", TEXT(TRIM(S261),"00000")="89121", TEXT(TRIM(S261),"00000")="89122", TEXT(TRIM(S261),"00000")="89142", TEXT(TRIM(S261),"00000")="89156"), "East Valley",
  OR(TEXT(TRIM(S261),"00000")="89030", TEXT(TRIM(S261),"00000")="89031", TEXT(TRIM(S261),"00000")="89032", TEXT(TRIM(S261),"00000")="89086", TEXT(TRIM(S261),"00000")="89084", TEXT(TRIM(S261),"00000")="89081"), "North LV",
  OR(TEXT(TRIM(S261),"00000")="89109", TEXT(TRIM(S261),"00000")="89103", TEXT(TRIM(S261),"00000")="89119", TEXT(TRIM(S261),"00000")="89123", TEXT(TRIM(S261),"00000")="89169", TEXT(TRIM(S261),"00000")="89118"), "South/Strip",
  OR(TEXT(TRIM(S261),"00000")="89074", TEXT(TRIM(S261),"00000")="89014", TEXT(TRIM(S261),"00000")="89015", TEXT(TRIM(S261),"00000")="89011", TEXT(TRIM(S261),"00000")="89012"), "Suburban SE",
  OR(TEXT(TRIM(S261),"00000")="89117", TEXT(TRIM(S261),"00000")="89128", TEXT(TRIM(S261),"00000")="89135", TEXT(TRIM(S261),"00000")="89144", TEXT(TRIM(S261),"00000")="89145", TEXT(TRIM(S261),"00000")="89147"), "West Valley",
  TRUE, "Other"
)</f>
        <v>East Valley</v>
      </c>
      <c r="U261" t="s">
        <v>1073</v>
      </c>
      <c r="V261" t="str">
        <f t="shared" si="19"/>
        <v>Home/Residence</v>
      </c>
    </row>
    <row r="262" spans="1:22">
      <c r="A262" t="s">
        <v>2615</v>
      </c>
      <c r="B262" t="s">
        <v>2616</v>
      </c>
      <c r="C262" s="1">
        <v>45487</v>
      </c>
      <c r="D262" s="4">
        <v>105.98</v>
      </c>
      <c r="E262">
        <v>85</v>
      </c>
      <c r="F262" t="str">
        <f t="shared" si="16"/>
        <v>80's</v>
      </c>
      <c r="G262" t="str" cm="1">
        <f t="array" ref="G262">_xlfn.IFS(
  F262="10's", "Child (5–12)",
  OR(F262="20's", F262="30's"), "Young Adult (20–39)",
  OR(F262="40's", F262="50's"), "Adult (40–59)",
  OR(F262="60's", F262="70's", F262="80's", F262="90's"), "Senior (60+)",
  TRUE, "Unknown"
)</f>
        <v>Senior (60+)</v>
      </c>
      <c r="H262" t="s">
        <v>778</v>
      </c>
      <c r="I262" t="s">
        <v>63</v>
      </c>
      <c r="J262" t="str">
        <f t="shared" si="17"/>
        <v>Cardiovascular Disease</v>
      </c>
      <c r="K262" t="s">
        <v>448</v>
      </c>
      <c r="L262" t="s">
        <v>1071</v>
      </c>
      <c r="M262" t="s">
        <v>5026</v>
      </c>
      <c r="N262" t="s">
        <v>5132</v>
      </c>
      <c r="O262" t="str" cm="1">
        <f t="array" ref="O262">_xlfn.IFS(
  TEXT(TRIM(N262),"00000")="NULL", "Missing/Unknown",
  OR(TEXT(TRIM(N262),"00000")="89101", TEXT(TRIM(N262),"00000")="89104", TEXT(TRIM(N262),"00000")="89106", TEXT(TRIM(N262),"00000")="89102", TEXT(TRIM(N262),"00000")="89107", TEXT(TRIM(N262),"00000")="89108"), "Urban Core",
  OR(TEXT(TRIM(N262),"00000")="89110", TEXT(TRIM(N262),"00000")="89115", TEXT(TRIM(N262),"00000")="89121", TEXT(TRIM(N262),"00000")="89122", TEXT(TRIM(N262),"00000")="89142", TEXT(TRIM(N262),"00000")="89156"), "East Valley",
  OR(TEXT(TRIM(N262),"00000")="89030", TEXT(TRIM(N262),"00000")="89031", TEXT(TRIM(N262),"00000")="89032", TEXT(TRIM(N262),"00000")="89086", TEXT(TRIM(N262),"00000")="89084", TEXT(TRIM(N262),"00000")="89081"), "North LV",
  OR(TEXT(TRIM(N262),"00000")="89109", TEXT(TRIM(N262),"00000")="89103", TEXT(TRIM(N262),"00000")="89119", TEXT(TRIM(N262),"00000")="89123", TEXT(TRIM(N262),"00000")="89169", TEXT(TRIM(N262),"00000")="89118"), "South/Strip",
  OR(TEXT(TRIM(N262),"00000")="89074", TEXT(TRIM(N262),"00000")="89014", TEXT(TRIM(N262),"00000")="89015", TEXT(TRIM(N262),"00000")="89011", TEXT(TRIM(N262),"00000")="89012"), "Suburban SE",
  OR(TEXT(TRIM(N262),"00000")="89117", TEXT(TRIM(N262),"00000")="89128", TEXT(TRIM(N262),"00000")="89135", TEXT(TRIM(N262),"00000")="89144", TEXT(TRIM(N262),"00000")="89145", TEXT(TRIM(N262),"00000")="89147"), "West Valley",
  TRUE, "Other"
)</f>
        <v>Other</v>
      </c>
      <c r="P262" t="s">
        <v>3298</v>
      </c>
      <c r="Q262" t="str">
        <f t="shared" si="18"/>
        <v>Outdoors/Public</v>
      </c>
      <c r="R262" t="s">
        <v>5026</v>
      </c>
      <c r="S262" t="s">
        <v>5132</v>
      </c>
      <c r="T262" t="str" cm="1">
        <f t="array" ref="T262">_xlfn.IFS(
  TEXT(TRIM(S262),"00000")="NULL", "Missing/Unknown",
  OR(TEXT(TRIM(S262),"00000")="89101", TEXT(TRIM(S262),"00000")="89104", TEXT(TRIM(S262),"00000")="89106", TEXT(TRIM(S262),"00000")="89102", TEXT(TRIM(S262),"00000")="89107", TEXT(TRIM(S262),"00000")="89108"), "Urban Core",
  OR(TEXT(TRIM(S262),"00000")="89110", TEXT(TRIM(S262),"00000")="89115", TEXT(TRIM(S262),"00000")="89121", TEXT(TRIM(S262),"00000")="89122", TEXT(TRIM(S262),"00000")="89142", TEXT(TRIM(S262),"00000")="89156"), "East Valley",
  OR(TEXT(TRIM(S262),"00000")="89030", TEXT(TRIM(S262),"00000")="89031", TEXT(TRIM(S262),"00000")="89032", TEXT(TRIM(S262),"00000")="89086", TEXT(TRIM(S262),"00000")="89084", TEXT(TRIM(S262),"00000")="89081"), "North LV",
  OR(TEXT(TRIM(S262),"00000")="89109", TEXT(TRIM(S262),"00000")="89103", TEXT(TRIM(S262),"00000")="89119", TEXT(TRIM(S262),"00000")="89123", TEXT(TRIM(S262),"00000")="89169", TEXT(TRIM(S262),"00000")="89118"), "South/Strip",
  OR(TEXT(TRIM(S262),"00000")="89074", TEXT(TRIM(S262),"00000")="89014", TEXT(TRIM(S262),"00000")="89015", TEXT(TRIM(S262),"00000")="89011", TEXT(TRIM(S262),"00000")="89012"), "Suburban SE",
  OR(TEXT(TRIM(S262),"00000")="89117", TEXT(TRIM(S262),"00000")="89128", TEXT(TRIM(S262),"00000")="89135", TEXT(TRIM(S262),"00000")="89144", TEXT(TRIM(S262),"00000")="89145", TEXT(TRIM(S262),"00000")="89147"), "West Valley",
  TRUE, "Other"
)</f>
        <v>Other</v>
      </c>
      <c r="U262" t="s">
        <v>3298</v>
      </c>
      <c r="V262" t="str">
        <f t="shared" si="19"/>
        <v>Outdoors/Public</v>
      </c>
    </row>
    <row r="263" spans="1:22">
      <c r="A263" t="s">
        <v>3574</v>
      </c>
      <c r="B263" t="s">
        <v>3575</v>
      </c>
      <c r="C263" s="1">
        <v>45487</v>
      </c>
      <c r="D263" s="4">
        <v>105.98</v>
      </c>
      <c r="E263">
        <v>58</v>
      </c>
      <c r="F263" t="str">
        <f t="shared" si="16"/>
        <v>50's</v>
      </c>
      <c r="G263" t="str" cm="1">
        <f t="array" ref="G263">_xlfn.IFS(
  F263="10's", "Child (5–12)",
  OR(F263="20's", F263="30's"), "Young Adult (20–39)",
  OR(F263="40's", F263="50's"), "Adult (40–59)",
  OR(F263="60's", F263="70's", F263="80's", F263="90's"), "Senior (60+)",
  TRUE, "Unknown"
)</f>
        <v>Adult (40–59)</v>
      </c>
      <c r="H263" t="s">
        <v>841</v>
      </c>
      <c r="I263" t="s">
        <v>97</v>
      </c>
      <c r="J263" t="str">
        <f t="shared" si="17"/>
        <v>Environmental Heat</v>
      </c>
      <c r="K263" t="s">
        <v>4036</v>
      </c>
      <c r="L263" t="s">
        <v>250</v>
      </c>
      <c r="M263" t="s">
        <v>4326</v>
      </c>
      <c r="N263" t="s">
        <v>5098</v>
      </c>
      <c r="O263" t="str" cm="1">
        <f t="array" ref="O263">_xlfn.IFS(
  TEXT(TRIM(N263),"00000")="NULL", "Missing/Unknown",
  OR(TEXT(TRIM(N263),"00000")="89101", TEXT(TRIM(N263),"00000")="89104", TEXT(TRIM(N263),"00000")="89106", TEXT(TRIM(N263),"00000")="89102", TEXT(TRIM(N263),"00000")="89107", TEXT(TRIM(N263),"00000")="89108"), "Urban Core",
  OR(TEXT(TRIM(N263),"00000")="89110", TEXT(TRIM(N263),"00000")="89115", TEXT(TRIM(N263),"00000")="89121", TEXT(TRIM(N263),"00000")="89122", TEXT(TRIM(N263),"00000")="89142", TEXT(TRIM(N263),"00000")="89156"), "East Valley",
  OR(TEXT(TRIM(N263),"00000")="89030", TEXT(TRIM(N263),"00000")="89031", TEXT(TRIM(N263),"00000")="89032", TEXT(TRIM(N263),"00000")="89086", TEXT(TRIM(N263),"00000")="89084", TEXT(TRIM(N263),"00000")="89081"), "North LV",
  OR(TEXT(TRIM(N263),"00000")="89109", TEXT(TRIM(N263),"00000")="89103", TEXT(TRIM(N263),"00000")="89119", TEXT(TRIM(N263),"00000")="89123", TEXT(TRIM(N263),"00000")="89169", TEXT(TRIM(N263),"00000")="89118"), "South/Strip",
  OR(TEXT(TRIM(N263),"00000")="89074", TEXT(TRIM(N263),"00000")="89014", TEXT(TRIM(N263),"00000")="89015", TEXT(TRIM(N263),"00000")="89011", TEXT(TRIM(N263),"00000")="89012"), "Suburban SE",
  OR(TEXT(TRIM(N263),"00000")="89117", TEXT(TRIM(N263),"00000")="89128", TEXT(TRIM(N263),"00000")="89135", TEXT(TRIM(N263),"00000")="89144", TEXT(TRIM(N263),"00000")="89145", TEXT(TRIM(N263),"00000")="89147"), "West Valley",
  TRUE, "Other"
)</f>
        <v>Urban Core</v>
      </c>
      <c r="P263" t="s">
        <v>3298</v>
      </c>
      <c r="Q263" t="str">
        <f t="shared" si="18"/>
        <v>Outdoors/Public</v>
      </c>
      <c r="R263" t="s">
        <v>4713</v>
      </c>
      <c r="S263" t="s">
        <v>5125</v>
      </c>
      <c r="T263" t="str" cm="1">
        <f t="array" ref="T263">_xlfn.IFS(
  TEXT(TRIM(S263),"00000")="NULL", "Missing/Unknown",
  OR(TEXT(TRIM(S263),"00000")="89101", TEXT(TRIM(S263),"00000")="89104", TEXT(TRIM(S263),"00000")="89106", TEXT(TRIM(S263),"00000")="89102", TEXT(TRIM(S263),"00000")="89107", TEXT(TRIM(S263),"00000")="89108"), "Urban Core",
  OR(TEXT(TRIM(S263),"00000")="89110", TEXT(TRIM(S263),"00000")="89115", TEXT(TRIM(S263),"00000")="89121", TEXT(TRIM(S263),"00000")="89122", TEXT(TRIM(S263),"00000")="89142", TEXT(TRIM(S263),"00000")="89156"), "East Valley",
  OR(TEXT(TRIM(S263),"00000")="89030", TEXT(TRIM(S263),"00000")="89031", TEXT(TRIM(S263),"00000")="89032", TEXT(TRIM(S263),"00000")="89086", TEXT(TRIM(S263),"00000")="89084", TEXT(TRIM(S263),"00000")="89081"), "North LV",
  OR(TEXT(TRIM(S263),"00000")="89109", TEXT(TRIM(S263),"00000")="89103", TEXT(TRIM(S263),"00000")="89119", TEXT(TRIM(S263),"00000")="89123", TEXT(TRIM(S263),"00000")="89169", TEXT(TRIM(S263),"00000")="89118"), "South/Strip",
  OR(TEXT(TRIM(S263),"00000")="89074", TEXT(TRIM(S263),"00000")="89014", TEXT(TRIM(S263),"00000")="89015", TEXT(TRIM(S263),"00000")="89011", TEXT(TRIM(S263),"00000")="89012"), "Suburban SE",
  OR(TEXT(TRIM(S263),"00000")="89117", TEXT(TRIM(S263),"00000")="89128", TEXT(TRIM(S263),"00000")="89135", TEXT(TRIM(S263),"00000")="89144", TEXT(TRIM(S263),"00000")="89145", TEXT(TRIM(S263),"00000")="89147"), "West Valley",
  TRUE, "Other"
)</f>
        <v>South/Strip</v>
      </c>
      <c r="U263" t="s">
        <v>2413</v>
      </c>
      <c r="V263" t="str">
        <f t="shared" si="19"/>
        <v>Medical Facility</v>
      </c>
    </row>
    <row r="264" spans="1:22">
      <c r="A264" t="s">
        <v>3066</v>
      </c>
      <c r="B264" t="s">
        <v>3067</v>
      </c>
      <c r="C264" s="1">
        <v>45487</v>
      </c>
      <c r="D264" s="4">
        <v>105.98</v>
      </c>
      <c r="E264">
        <v>71</v>
      </c>
      <c r="F264" t="str">
        <f t="shared" si="16"/>
        <v>70's</v>
      </c>
      <c r="G264" t="str" cm="1">
        <f t="array" ref="G264">_xlfn.IFS(
  F264="10's", "Child (5–12)",
  OR(F264="20's", F264="30's"), "Young Adult (20–39)",
  OR(F264="40's", F264="50's"), "Adult (40–59)",
  OR(F264="60's", F264="70's", F264="80's", F264="90's"), "Senior (60+)",
  TRUE, "Unknown"
)</f>
        <v>Senior (60+)</v>
      </c>
      <c r="H264" t="s">
        <v>4309</v>
      </c>
      <c r="I264" t="s">
        <v>54</v>
      </c>
      <c r="J264" t="str">
        <f t="shared" si="17"/>
        <v>Environmental Heat</v>
      </c>
      <c r="K264" t="s">
        <v>4178</v>
      </c>
      <c r="L264" t="s">
        <v>250</v>
      </c>
      <c r="N264" t="s">
        <v>5095</v>
      </c>
      <c r="O264" t="str" cm="1">
        <f t="array" ref="O264">_xlfn.IFS(
  TEXT(TRIM(N264),"00000")="NULL", "Missing/Unknown",
  OR(TEXT(TRIM(N264),"00000")="89101", TEXT(TRIM(N264),"00000")="89104", TEXT(TRIM(N264),"00000")="89106", TEXT(TRIM(N264),"00000")="89102", TEXT(TRIM(N264),"00000")="89107", TEXT(TRIM(N264),"00000")="89108"), "Urban Core",
  OR(TEXT(TRIM(N264),"00000")="89110", TEXT(TRIM(N264),"00000")="89115", TEXT(TRIM(N264),"00000")="89121", TEXT(TRIM(N264),"00000")="89122", TEXT(TRIM(N264),"00000")="89142", TEXT(TRIM(N264),"00000")="89156"), "East Valley",
  OR(TEXT(TRIM(N264),"00000")="89030", TEXT(TRIM(N264),"00000")="89031", TEXT(TRIM(N264),"00000")="89032", TEXT(TRIM(N264),"00000")="89086", TEXT(TRIM(N264),"00000")="89084", TEXT(TRIM(N264),"00000")="89081"), "North LV",
  OR(TEXT(TRIM(N264),"00000")="89109", TEXT(TRIM(N264),"00000")="89103", TEXT(TRIM(N264),"00000")="89119", TEXT(TRIM(N264),"00000")="89123", TEXT(TRIM(N264),"00000")="89169", TEXT(TRIM(N264),"00000")="89118"), "South/Strip",
  OR(TEXT(TRIM(N264),"00000")="89074", TEXT(TRIM(N264),"00000")="89014", TEXT(TRIM(N264),"00000")="89015", TEXT(TRIM(N264),"00000")="89011", TEXT(TRIM(N264),"00000")="89012"), "Suburban SE",
  OR(TEXT(TRIM(N264),"00000")="89117", TEXT(TRIM(N264),"00000")="89128", TEXT(TRIM(N264),"00000")="89135", TEXT(TRIM(N264),"00000")="89144", TEXT(TRIM(N264),"00000")="89145", TEXT(TRIM(N264),"00000")="89147"), "West Valley",
  TRUE, "Other"
)</f>
        <v>Missing/Unknown</v>
      </c>
      <c r="P264" t="s">
        <v>3298</v>
      </c>
      <c r="Q264" t="str">
        <f t="shared" si="18"/>
        <v>Outdoors/Public</v>
      </c>
      <c r="S264" t="s">
        <v>5095</v>
      </c>
      <c r="T264" t="str" cm="1">
        <f t="array" ref="T264">_xlfn.IFS(
  TEXT(TRIM(S264),"00000")="NULL", "Missing/Unknown",
  OR(TEXT(TRIM(S264),"00000")="89101", TEXT(TRIM(S264),"00000")="89104", TEXT(TRIM(S264),"00000")="89106", TEXT(TRIM(S264),"00000")="89102", TEXT(TRIM(S264),"00000")="89107", TEXT(TRIM(S264),"00000")="89108"), "Urban Core",
  OR(TEXT(TRIM(S264),"00000")="89110", TEXT(TRIM(S264),"00000")="89115", TEXT(TRIM(S264),"00000")="89121", TEXT(TRIM(S264),"00000")="89122", TEXT(TRIM(S264),"00000")="89142", TEXT(TRIM(S264),"00000")="89156"), "East Valley",
  OR(TEXT(TRIM(S264),"00000")="89030", TEXT(TRIM(S264),"00000")="89031", TEXT(TRIM(S264),"00000")="89032", TEXT(TRIM(S264),"00000")="89086", TEXT(TRIM(S264),"00000")="89084", TEXT(TRIM(S264),"00000")="89081"), "North LV",
  OR(TEXT(TRIM(S264),"00000")="89109", TEXT(TRIM(S264),"00000")="89103", TEXT(TRIM(S264),"00000")="89119", TEXT(TRIM(S264),"00000")="89123", TEXT(TRIM(S264),"00000")="89169", TEXT(TRIM(S264),"00000")="89118"), "South/Strip",
  OR(TEXT(TRIM(S264),"00000")="89074", TEXT(TRIM(S264),"00000")="89014", TEXT(TRIM(S264),"00000")="89015", TEXT(TRIM(S264),"00000")="89011", TEXT(TRIM(S264),"00000")="89012"), "Suburban SE",
  OR(TEXT(TRIM(S264),"00000")="89117", TEXT(TRIM(S264),"00000")="89128", TEXT(TRIM(S264),"00000")="89135", TEXT(TRIM(S264),"00000")="89144", TEXT(TRIM(S264),"00000")="89145", TEXT(TRIM(S264),"00000")="89147"), "West Valley",
  TRUE, "Other"
)</f>
        <v>Missing/Unknown</v>
      </c>
      <c r="U264" t="s">
        <v>3298</v>
      </c>
      <c r="V264" t="str">
        <f t="shared" si="19"/>
        <v>Outdoors/Public</v>
      </c>
    </row>
    <row r="265" spans="1:22">
      <c r="A265" t="s">
        <v>3936</v>
      </c>
      <c r="B265" t="s">
        <v>3937</v>
      </c>
      <c r="C265" s="1">
        <v>45486</v>
      </c>
      <c r="D265" s="4">
        <v>107.06</v>
      </c>
      <c r="E265">
        <v>61</v>
      </c>
      <c r="F265" t="str">
        <f t="shared" si="16"/>
        <v>60's</v>
      </c>
      <c r="G265" t="str" cm="1">
        <f t="array" ref="G265">_xlfn.IFS(
  F265="10's", "Child (5–12)",
  OR(F265="20's", F265="30's"), "Young Adult (20–39)",
  OR(F265="40's", F265="50's"), "Adult (40–59)",
  OR(F265="60's", F265="70's", F265="80's", F265="90's"), "Senior (60+)",
  TRUE, "Unknown"
)</f>
        <v>Senior (60+)</v>
      </c>
      <c r="H265" t="s">
        <v>841</v>
      </c>
      <c r="I265" t="s">
        <v>4049</v>
      </c>
      <c r="J265" t="str">
        <f t="shared" si="17"/>
        <v>Ethanol-related</v>
      </c>
      <c r="K265" t="s">
        <v>54</v>
      </c>
      <c r="L265" t="s">
        <v>1071</v>
      </c>
      <c r="M265" t="s">
        <v>4933</v>
      </c>
      <c r="N265" t="s">
        <v>5098</v>
      </c>
      <c r="O265" t="str" cm="1">
        <f t="array" ref="O265">_xlfn.IFS(
  TEXT(TRIM(N265),"00000")="NULL", "Missing/Unknown",
  OR(TEXT(TRIM(N265),"00000")="89101", TEXT(TRIM(N265),"00000")="89104", TEXT(TRIM(N265),"00000")="89106", TEXT(TRIM(N265),"00000")="89102", TEXT(TRIM(N265),"00000")="89107", TEXT(TRIM(N265),"00000")="89108"), "Urban Core",
  OR(TEXT(TRIM(N265),"00000")="89110", TEXT(TRIM(N265),"00000")="89115", TEXT(TRIM(N265),"00000")="89121", TEXT(TRIM(N265),"00000")="89122", TEXT(TRIM(N265),"00000")="89142", TEXT(TRIM(N265),"00000")="89156"), "East Valley",
  OR(TEXT(TRIM(N265),"00000")="89030", TEXT(TRIM(N265),"00000")="89031", TEXT(TRIM(N265),"00000")="89032", TEXT(TRIM(N265),"00000")="89086", TEXT(TRIM(N265),"00000")="89084", TEXT(TRIM(N265),"00000")="89081"), "North LV",
  OR(TEXT(TRIM(N265),"00000")="89109", TEXT(TRIM(N265),"00000")="89103", TEXT(TRIM(N265),"00000")="89119", TEXT(TRIM(N265),"00000")="89123", TEXT(TRIM(N265),"00000")="89169", TEXT(TRIM(N265),"00000")="89118"), "South/Strip",
  OR(TEXT(TRIM(N265),"00000")="89074", TEXT(TRIM(N265),"00000")="89014", TEXT(TRIM(N265),"00000")="89015", TEXT(TRIM(N265),"00000")="89011", TEXT(TRIM(N265),"00000")="89012"), "Suburban SE",
  OR(TEXT(TRIM(N265),"00000")="89117", TEXT(TRIM(N265),"00000")="89128", TEXT(TRIM(N265),"00000")="89135", TEXT(TRIM(N265),"00000")="89144", TEXT(TRIM(N265),"00000")="89145", TEXT(TRIM(N265),"00000")="89147"), "West Valley",
  TRUE, "Other"
)</f>
        <v>Urban Core</v>
      </c>
      <c r="P265" t="s">
        <v>1073</v>
      </c>
      <c r="Q265" t="str">
        <f t="shared" si="18"/>
        <v>Home/Residence</v>
      </c>
      <c r="R265" t="s">
        <v>4933</v>
      </c>
      <c r="S265" t="s">
        <v>5098</v>
      </c>
      <c r="T265" t="str" cm="1">
        <f t="array" ref="T265">_xlfn.IFS(
  TEXT(TRIM(S265),"00000")="NULL", "Missing/Unknown",
  OR(TEXT(TRIM(S265),"00000")="89101", TEXT(TRIM(S265),"00000")="89104", TEXT(TRIM(S265),"00000")="89106", TEXT(TRIM(S265),"00000")="89102", TEXT(TRIM(S265),"00000")="89107", TEXT(TRIM(S265),"00000")="89108"), "Urban Core",
  OR(TEXT(TRIM(S265),"00000")="89110", TEXT(TRIM(S265),"00000")="89115", TEXT(TRIM(S265),"00000")="89121", TEXT(TRIM(S265),"00000")="89122", TEXT(TRIM(S265),"00000")="89142", TEXT(TRIM(S265),"00000")="89156"), "East Valley",
  OR(TEXT(TRIM(S265),"00000")="89030", TEXT(TRIM(S265),"00000")="89031", TEXT(TRIM(S265),"00000")="89032", TEXT(TRIM(S265),"00000")="89086", TEXT(TRIM(S265),"00000")="89084", TEXT(TRIM(S265),"00000")="89081"), "North LV",
  OR(TEXT(TRIM(S265),"00000")="89109", TEXT(TRIM(S265),"00000")="89103", TEXT(TRIM(S265),"00000")="89119", TEXT(TRIM(S265),"00000")="89123", TEXT(TRIM(S265),"00000")="89169", TEXT(TRIM(S265),"00000")="89118"), "South/Strip",
  OR(TEXT(TRIM(S265),"00000")="89074", TEXT(TRIM(S265),"00000")="89014", TEXT(TRIM(S265),"00000")="89015", TEXT(TRIM(S265),"00000")="89011", TEXT(TRIM(S265),"00000")="89012"), "Suburban SE",
  OR(TEXT(TRIM(S265),"00000")="89117", TEXT(TRIM(S265),"00000")="89128", TEXT(TRIM(S265),"00000")="89135", TEXT(TRIM(S265),"00000")="89144", TEXT(TRIM(S265),"00000")="89145", TEXT(TRIM(S265),"00000")="89147"), "West Valley",
  TRUE, "Other"
)</f>
        <v>Urban Core</v>
      </c>
      <c r="U265" t="s">
        <v>1073</v>
      </c>
      <c r="V265" t="str">
        <f t="shared" si="19"/>
        <v>Home/Residence</v>
      </c>
    </row>
    <row r="266" spans="1:22">
      <c r="A266" t="s">
        <v>3057</v>
      </c>
      <c r="B266" t="s">
        <v>3058</v>
      </c>
      <c r="C266" s="1">
        <v>45486</v>
      </c>
      <c r="D266" s="4">
        <v>107.06</v>
      </c>
      <c r="E266">
        <v>89</v>
      </c>
      <c r="F266" t="str">
        <f t="shared" si="16"/>
        <v>80's</v>
      </c>
      <c r="G266" t="str" cm="1">
        <f t="array" ref="G266">_xlfn.IFS(
  F266="10's", "Child (5–12)",
  OR(F266="20's", F266="30's"), "Young Adult (20–39)",
  OR(F266="40's", F266="50's"), "Adult (40–59)",
  OR(F266="60's", F266="70's", F266="80's", F266="90's"), "Senior (60+)",
  TRUE, "Unknown"
)</f>
        <v>Senior (60+)</v>
      </c>
      <c r="H266" t="s">
        <v>841</v>
      </c>
      <c r="I266" t="s">
        <v>54</v>
      </c>
      <c r="J266" t="str">
        <f t="shared" si="17"/>
        <v>Environmental Heat</v>
      </c>
      <c r="K266" t="s">
        <v>63</v>
      </c>
      <c r="L266" t="s">
        <v>250</v>
      </c>
      <c r="M266" t="s">
        <v>4972</v>
      </c>
      <c r="N266" t="s">
        <v>5119</v>
      </c>
      <c r="O266" t="str" cm="1">
        <f t="array" ref="O266">_xlfn.IFS(
  TEXT(TRIM(N266),"00000")="NULL", "Missing/Unknown",
  OR(TEXT(TRIM(N266),"00000")="89101", TEXT(TRIM(N266),"00000")="89104", TEXT(TRIM(N266),"00000")="89106", TEXT(TRIM(N266),"00000")="89102", TEXT(TRIM(N266),"00000")="89107", TEXT(TRIM(N266),"00000")="89108"), "Urban Core",
  OR(TEXT(TRIM(N266),"00000")="89110", TEXT(TRIM(N266),"00000")="89115", TEXT(TRIM(N266),"00000")="89121", TEXT(TRIM(N266),"00000")="89122", TEXT(TRIM(N266),"00000")="89142", TEXT(TRIM(N266),"00000")="89156"), "East Valley",
  OR(TEXT(TRIM(N266),"00000")="89030", TEXT(TRIM(N266),"00000")="89031", TEXT(TRIM(N266),"00000")="89032", TEXT(TRIM(N266),"00000")="89086", TEXT(TRIM(N266),"00000")="89084", TEXT(TRIM(N266),"00000")="89081"), "North LV",
  OR(TEXT(TRIM(N266),"00000")="89109", TEXT(TRIM(N266),"00000")="89103", TEXT(TRIM(N266),"00000")="89119", TEXT(TRIM(N266),"00000")="89123", TEXT(TRIM(N266),"00000")="89169", TEXT(TRIM(N266),"00000")="89118"), "South/Strip",
  OR(TEXT(TRIM(N266),"00000")="89074", TEXT(TRIM(N266),"00000")="89014", TEXT(TRIM(N266),"00000")="89015", TEXT(TRIM(N266),"00000")="89011", TEXT(TRIM(N266),"00000")="89012"), "Suburban SE",
  OR(TEXT(TRIM(N266),"00000")="89117", TEXT(TRIM(N266),"00000")="89128", TEXT(TRIM(N266),"00000")="89135", TEXT(TRIM(N266),"00000")="89144", TEXT(TRIM(N266),"00000")="89145", TEXT(TRIM(N266),"00000")="89147"), "West Valley",
  TRUE, "Other"
)</f>
        <v>Urban Core</v>
      </c>
      <c r="P266" t="s">
        <v>65</v>
      </c>
      <c r="Q266" t="str">
        <f t="shared" si="18"/>
        <v>Vehicle-related</v>
      </c>
      <c r="R266" t="s">
        <v>4972</v>
      </c>
      <c r="S266" t="s">
        <v>5119</v>
      </c>
      <c r="T266" t="str" cm="1">
        <f t="array" ref="T266">_xlfn.IFS(
  TEXT(TRIM(S266),"00000")="NULL", "Missing/Unknown",
  OR(TEXT(TRIM(S266),"00000")="89101", TEXT(TRIM(S266),"00000")="89104", TEXT(TRIM(S266),"00000")="89106", TEXT(TRIM(S266),"00000")="89102", TEXT(TRIM(S266),"00000")="89107", TEXT(TRIM(S266),"00000")="89108"), "Urban Core",
  OR(TEXT(TRIM(S266),"00000")="89110", TEXT(TRIM(S266),"00000")="89115", TEXT(TRIM(S266),"00000")="89121", TEXT(TRIM(S266),"00000")="89122", TEXT(TRIM(S266),"00000")="89142", TEXT(TRIM(S266),"00000")="89156"), "East Valley",
  OR(TEXT(TRIM(S266),"00000")="89030", TEXT(TRIM(S266),"00000")="89031", TEXT(TRIM(S266),"00000")="89032", TEXT(TRIM(S266),"00000")="89086", TEXT(TRIM(S266),"00000")="89084", TEXT(TRIM(S266),"00000")="89081"), "North LV",
  OR(TEXT(TRIM(S266),"00000")="89109", TEXT(TRIM(S266),"00000")="89103", TEXT(TRIM(S266),"00000")="89119", TEXT(TRIM(S266),"00000")="89123", TEXT(TRIM(S266),"00000")="89169", TEXT(TRIM(S266),"00000")="89118"), "South/Strip",
  OR(TEXT(TRIM(S266),"00000")="89074", TEXT(TRIM(S266),"00000")="89014", TEXT(TRIM(S266),"00000")="89015", TEXT(TRIM(S266),"00000")="89011", TEXT(TRIM(S266),"00000")="89012"), "Suburban SE",
  OR(TEXT(TRIM(S266),"00000")="89117", TEXT(TRIM(S266),"00000")="89128", TEXT(TRIM(S266),"00000")="89135", TEXT(TRIM(S266),"00000")="89144", TEXT(TRIM(S266),"00000")="89145", TEXT(TRIM(S266),"00000")="89147"), "West Valley",
  TRUE, "Other"
)</f>
        <v>Urban Core</v>
      </c>
      <c r="U266" t="s">
        <v>65</v>
      </c>
      <c r="V266" t="str">
        <f t="shared" si="19"/>
        <v>Vehicle-related</v>
      </c>
    </row>
    <row r="267" spans="1:22">
      <c r="A267" t="s">
        <v>2500</v>
      </c>
      <c r="B267" t="s">
        <v>2501</v>
      </c>
      <c r="C267" s="1">
        <v>45486</v>
      </c>
      <c r="D267" s="4">
        <v>107.06</v>
      </c>
      <c r="E267">
        <v>43</v>
      </c>
      <c r="F267" t="str">
        <f t="shared" si="16"/>
        <v>40's</v>
      </c>
      <c r="G267" t="str" cm="1">
        <f t="array" ref="G267">_xlfn.IFS(
  F267="10's", "Child (5–12)",
  OR(F267="20's", F267="30's"), "Young Adult (20–39)",
  OR(F267="40's", F267="50's"), "Adult (40–59)",
  OR(F267="60's", F267="70's", F267="80's", F267="90's"), "Senior (60+)",
  TRUE, "Unknown"
)</f>
        <v>Adult (40–59)</v>
      </c>
      <c r="H267" t="s">
        <v>841</v>
      </c>
      <c r="I267" t="s">
        <v>34</v>
      </c>
      <c r="J267" t="str">
        <f t="shared" si="17"/>
        <v>Methamphetamine-related</v>
      </c>
      <c r="K267" t="s">
        <v>54</v>
      </c>
      <c r="L267" t="s">
        <v>250</v>
      </c>
      <c r="M267" t="s">
        <v>4690</v>
      </c>
      <c r="N267" t="s">
        <v>5101</v>
      </c>
      <c r="O267" t="str" cm="1">
        <f t="array" ref="O267">_xlfn.IFS(
  TEXT(TRIM(N267),"00000")="NULL", "Missing/Unknown",
  OR(TEXT(TRIM(N267),"00000")="89101", TEXT(TRIM(N267),"00000")="89104", TEXT(TRIM(N267),"00000")="89106", TEXT(TRIM(N267),"00000")="89102", TEXT(TRIM(N267),"00000")="89107", TEXT(TRIM(N267),"00000")="89108"), "Urban Core",
  OR(TEXT(TRIM(N267),"00000")="89110", TEXT(TRIM(N267),"00000")="89115", TEXT(TRIM(N267),"00000")="89121", TEXT(TRIM(N267),"00000")="89122", TEXT(TRIM(N267),"00000")="89142", TEXT(TRIM(N267),"00000")="89156"), "East Valley",
  OR(TEXT(TRIM(N267),"00000")="89030", TEXT(TRIM(N267),"00000")="89031", TEXT(TRIM(N267),"00000")="89032", TEXT(TRIM(N267),"00000")="89086", TEXT(TRIM(N267),"00000")="89084", TEXT(TRIM(N267),"00000")="89081"), "North LV",
  OR(TEXT(TRIM(N267),"00000")="89109", TEXT(TRIM(N267),"00000")="89103", TEXT(TRIM(N267),"00000")="89119", TEXT(TRIM(N267),"00000")="89123", TEXT(TRIM(N267),"00000")="89169", TEXT(TRIM(N267),"00000")="89118"), "South/Strip",
  OR(TEXT(TRIM(N267),"00000")="89074", TEXT(TRIM(N267),"00000")="89014", TEXT(TRIM(N267),"00000")="89015", TEXT(TRIM(N267),"00000")="89011", TEXT(TRIM(N267),"00000")="89012"), "Suburban SE",
  OR(TEXT(TRIM(N267),"00000")="89117", TEXT(TRIM(N267),"00000")="89128", TEXT(TRIM(N267),"00000")="89135", TEXT(TRIM(N267),"00000")="89144", TEXT(TRIM(N267),"00000")="89145", TEXT(TRIM(N267),"00000")="89147"), "West Valley",
  TRUE, "Other"
)</f>
        <v>Urban Core</v>
      </c>
      <c r="P267" t="s">
        <v>3298</v>
      </c>
      <c r="Q267" t="str">
        <f t="shared" si="18"/>
        <v>Outdoors/Public</v>
      </c>
      <c r="R267" t="s">
        <v>4690</v>
      </c>
      <c r="S267" t="s">
        <v>5101</v>
      </c>
      <c r="T267" t="str" cm="1">
        <f t="array" ref="T267">_xlfn.IFS(
  TEXT(TRIM(S267),"00000")="NULL", "Missing/Unknown",
  OR(TEXT(TRIM(S267),"00000")="89101", TEXT(TRIM(S267),"00000")="89104", TEXT(TRIM(S267),"00000")="89106", TEXT(TRIM(S267),"00000")="89102", TEXT(TRIM(S267),"00000")="89107", TEXT(TRIM(S267),"00000")="89108"), "Urban Core",
  OR(TEXT(TRIM(S267),"00000")="89110", TEXT(TRIM(S267),"00000")="89115", TEXT(TRIM(S267),"00000")="89121", TEXT(TRIM(S267),"00000")="89122", TEXT(TRIM(S267),"00000")="89142", TEXT(TRIM(S267),"00000")="89156"), "East Valley",
  OR(TEXT(TRIM(S267),"00000")="89030", TEXT(TRIM(S267),"00000")="89031", TEXT(TRIM(S267),"00000")="89032", TEXT(TRIM(S267),"00000")="89086", TEXT(TRIM(S267),"00000")="89084", TEXT(TRIM(S267),"00000")="89081"), "North LV",
  OR(TEXT(TRIM(S267),"00000")="89109", TEXT(TRIM(S267),"00000")="89103", TEXT(TRIM(S267),"00000")="89119", TEXT(TRIM(S267),"00000")="89123", TEXT(TRIM(S267),"00000")="89169", TEXT(TRIM(S267),"00000")="89118"), "South/Strip",
  OR(TEXT(TRIM(S267),"00000")="89074", TEXT(TRIM(S267),"00000")="89014", TEXT(TRIM(S267),"00000")="89015", TEXT(TRIM(S267),"00000")="89011", TEXT(TRIM(S267),"00000")="89012"), "Suburban SE",
  OR(TEXT(TRIM(S267),"00000")="89117", TEXT(TRIM(S267),"00000")="89128", TEXT(TRIM(S267),"00000")="89135", TEXT(TRIM(S267),"00000")="89144", TEXT(TRIM(S267),"00000")="89145", TEXT(TRIM(S267),"00000")="89147"), "West Valley",
  TRUE, "Other"
)</f>
        <v>Urban Core</v>
      </c>
      <c r="U267" t="s">
        <v>3298</v>
      </c>
      <c r="V267" t="str">
        <f t="shared" si="19"/>
        <v>Outdoors/Public</v>
      </c>
    </row>
    <row r="268" spans="1:22">
      <c r="A268" t="s">
        <v>2472</v>
      </c>
      <c r="B268" t="s">
        <v>2473</v>
      </c>
      <c r="C268" s="1">
        <v>45486</v>
      </c>
      <c r="D268" s="4">
        <v>107.06</v>
      </c>
      <c r="E268">
        <v>30</v>
      </c>
      <c r="F268" t="str">
        <f t="shared" si="16"/>
        <v>30's</v>
      </c>
      <c r="G268" t="str" cm="1">
        <f t="array" ref="G268">_xlfn.IFS(
  F268="10's", "Child (5–12)",
  OR(F268="20's", F268="30's"), "Young Adult (20–39)",
  OR(F268="40's", F268="50's"), "Adult (40–59)",
  OR(F268="60's", F268="70's", F268="80's", F268="90's"), "Senior (60+)",
  TRUE, "Unknown"
)</f>
        <v>Young Adult (20–39)</v>
      </c>
      <c r="H268" t="s">
        <v>841</v>
      </c>
      <c r="I268" t="s">
        <v>2474</v>
      </c>
      <c r="J268" t="str">
        <f t="shared" si="17"/>
        <v>Methamphetamine-related</v>
      </c>
      <c r="K268" t="s">
        <v>163</v>
      </c>
      <c r="L268" t="s">
        <v>250</v>
      </c>
      <c r="M268" t="s">
        <v>4330</v>
      </c>
      <c r="N268" t="s">
        <v>5128</v>
      </c>
      <c r="O268" t="str" cm="1">
        <f t="array" ref="O268">_xlfn.IFS(
  TEXT(TRIM(N268),"00000")="NULL", "Missing/Unknown",
  OR(TEXT(TRIM(N268),"00000")="89101", TEXT(TRIM(N268),"00000")="89104", TEXT(TRIM(N268),"00000")="89106", TEXT(TRIM(N268),"00000")="89102", TEXT(TRIM(N268),"00000")="89107", TEXT(TRIM(N268),"00000")="89108"), "Urban Core",
  OR(TEXT(TRIM(N268),"00000")="89110", TEXT(TRIM(N268),"00000")="89115", TEXT(TRIM(N268),"00000")="89121", TEXT(TRIM(N268),"00000")="89122", TEXT(TRIM(N268),"00000")="89142", TEXT(TRIM(N268),"00000")="89156"), "East Valley",
  OR(TEXT(TRIM(N268),"00000")="89030", TEXT(TRIM(N268),"00000")="89031", TEXT(TRIM(N268),"00000")="89032", TEXT(TRIM(N268),"00000")="89086", TEXT(TRIM(N268),"00000")="89084", TEXT(TRIM(N268),"00000")="89081"), "North LV",
  OR(TEXT(TRIM(N268),"00000")="89109", TEXT(TRIM(N268),"00000")="89103", TEXT(TRIM(N268),"00000")="89119", TEXT(TRIM(N268),"00000")="89123", TEXT(TRIM(N268),"00000")="89169", TEXT(TRIM(N268),"00000")="89118"), "South/Strip",
  OR(TEXT(TRIM(N268),"00000")="89074", TEXT(TRIM(N268),"00000")="89014", TEXT(TRIM(N268),"00000")="89015", TEXT(TRIM(N268),"00000")="89011", TEXT(TRIM(N268),"00000")="89012"), "Suburban SE",
  OR(TEXT(TRIM(N268),"00000")="89117", TEXT(TRIM(N268),"00000")="89128", TEXT(TRIM(N268),"00000")="89135", TEXT(TRIM(N268),"00000")="89144", TEXT(TRIM(N268),"00000")="89145", TEXT(TRIM(N268),"00000")="89147"), "West Valley",
  TRUE, "Other"
)</f>
        <v>East Valley</v>
      </c>
      <c r="P268" t="s">
        <v>3298</v>
      </c>
      <c r="Q268" t="str">
        <f t="shared" si="18"/>
        <v>Outdoors/Public</v>
      </c>
      <c r="R268" t="s">
        <v>4341</v>
      </c>
      <c r="S268" t="s">
        <v>5100</v>
      </c>
      <c r="T268" t="str" cm="1">
        <f t="array" ref="T268">_xlfn.IFS(
  TEXT(TRIM(S268),"00000")="NULL", "Missing/Unknown",
  OR(TEXT(TRIM(S268),"00000")="89101", TEXT(TRIM(S268),"00000")="89104", TEXT(TRIM(S268),"00000")="89106", TEXT(TRIM(S268),"00000")="89102", TEXT(TRIM(S268),"00000")="89107", TEXT(TRIM(S268),"00000")="89108"), "Urban Core",
  OR(TEXT(TRIM(S268),"00000")="89110", TEXT(TRIM(S268),"00000")="89115", TEXT(TRIM(S268),"00000")="89121", TEXT(TRIM(S268),"00000")="89122", TEXT(TRIM(S268),"00000")="89142", TEXT(TRIM(S268),"00000")="89156"), "East Valley",
  OR(TEXT(TRIM(S268),"00000")="89030", TEXT(TRIM(S268),"00000")="89031", TEXT(TRIM(S268),"00000")="89032", TEXT(TRIM(S268),"00000")="89086", TEXT(TRIM(S268),"00000")="89084", TEXT(TRIM(S268),"00000")="89081"), "North LV",
  OR(TEXT(TRIM(S268),"00000")="89109", TEXT(TRIM(S268),"00000")="89103", TEXT(TRIM(S268),"00000")="89119", TEXT(TRIM(S268),"00000")="89123", TEXT(TRIM(S268),"00000")="89169", TEXT(TRIM(S268),"00000")="89118"), "South/Strip",
  OR(TEXT(TRIM(S268),"00000")="89074", TEXT(TRIM(S268),"00000")="89014", TEXT(TRIM(S268),"00000")="89015", TEXT(TRIM(S268),"00000")="89011", TEXT(TRIM(S268),"00000")="89012"), "Suburban SE",
  OR(TEXT(TRIM(S268),"00000")="89117", TEXT(TRIM(S268),"00000")="89128", TEXT(TRIM(S268),"00000")="89135", TEXT(TRIM(S268),"00000")="89144", TEXT(TRIM(S268),"00000")="89145", TEXT(TRIM(S268),"00000")="89147"), "West Valley",
  TRUE, "Other"
)</f>
        <v>North LV</v>
      </c>
      <c r="U268" t="s">
        <v>2465</v>
      </c>
      <c r="V268" t="str">
        <f t="shared" si="19"/>
        <v>Medical Facility</v>
      </c>
    </row>
    <row r="269" spans="1:22">
      <c r="A269" t="s">
        <v>3060</v>
      </c>
      <c r="B269" t="s">
        <v>3061</v>
      </c>
      <c r="C269" s="1">
        <v>45486</v>
      </c>
      <c r="D269" s="4">
        <v>107.06</v>
      </c>
      <c r="E269">
        <v>68</v>
      </c>
      <c r="F269" t="str">
        <f t="shared" si="16"/>
        <v>60's</v>
      </c>
      <c r="G269" t="str" cm="1">
        <f t="array" ref="G269">_xlfn.IFS(
  F269="10's", "Child (5–12)",
  OR(F269="20's", F269="30's"), "Young Adult (20–39)",
  OR(F269="40's", F269="50's"), "Adult (40–59)",
  OR(F269="60's", F269="70's", F269="80's", F269="90's"), "Senior (60+)",
  TRUE, "Unknown"
)</f>
        <v>Senior (60+)</v>
      </c>
      <c r="H269" t="s">
        <v>4309</v>
      </c>
      <c r="I269" t="s">
        <v>54</v>
      </c>
      <c r="J269" t="str">
        <f t="shared" si="17"/>
        <v>Environmental Heat</v>
      </c>
      <c r="K269" t="s">
        <v>98</v>
      </c>
      <c r="L269" t="s">
        <v>1071</v>
      </c>
      <c r="M269" t="s">
        <v>4364</v>
      </c>
      <c r="N269" t="s">
        <v>5098</v>
      </c>
      <c r="O269" t="str" cm="1">
        <f t="array" ref="O269">_xlfn.IFS(
  TEXT(TRIM(N269),"00000")="NULL", "Missing/Unknown",
  OR(TEXT(TRIM(N269),"00000")="89101", TEXT(TRIM(N269),"00000")="89104", TEXT(TRIM(N269),"00000")="89106", TEXT(TRIM(N269),"00000")="89102", TEXT(TRIM(N269),"00000")="89107", TEXT(TRIM(N269),"00000")="89108"), "Urban Core",
  OR(TEXT(TRIM(N269),"00000")="89110", TEXT(TRIM(N269),"00000")="89115", TEXT(TRIM(N269),"00000")="89121", TEXT(TRIM(N269),"00000")="89122", TEXT(TRIM(N269),"00000")="89142", TEXT(TRIM(N269),"00000")="89156"), "East Valley",
  OR(TEXT(TRIM(N269),"00000")="89030", TEXT(TRIM(N269),"00000")="89031", TEXT(TRIM(N269),"00000")="89032", TEXT(TRIM(N269),"00000")="89086", TEXT(TRIM(N269),"00000")="89084", TEXT(TRIM(N269),"00000")="89081"), "North LV",
  OR(TEXT(TRIM(N269),"00000")="89109", TEXT(TRIM(N269),"00000")="89103", TEXT(TRIM(N269),"00000")="89119", TEXT(TRIM(N269),"00000")="89123", TEXT(TRIM(N269),"00000")="89169", TEXT(TRIM(N269),"00000")="89118"), "South/Strip",
  OR(TEXT(TRIM(N269),"00000")="89074", TEXT(TRIM(N269),"00000")="89014", TEXT(TRIM(N269),"00000")="89015", TEXT(TRIM(N269),"00000")="89011", TEXT(TRIM(N269),"00000")="89012"), "Suburban SE",
  OR(TEXT(TRIM(N269),"00000")="89117", TEXT(TRIM(N269),"00000")="89128", TEXT(TRIM(N269),"00000")="89135", TEXT(TRIM(N269),"00000")="89144", TEXT(TRIM(N269),"00000")="89145", TEXT(TRIM(N269),"00000")="89147"), "West Valley",
  TRUE, "Other"
)</f>
        <v>Urban Core</v>
      </c>
      <c r="P269" t="s">
        <v>1073</v>
      </c>
      <c r="Q269" t="str">
        <f t="shared" si="18"/>
        <v>Home/Residence</v>
      </c>
      <c r="R269" t="s">
        <v>4364</v>
      </c>
      <c r="S269" t="s">
        <v>5098</v>
      </c>
      <c r="T269" t="str" cm="1">
        <f t="array" ref="T269">_xlfn.IFS(
  TEXT(TRIM(S269),"00000")="NULL", "Missing/Unknown",
  OR(TEXT(TRIM(S269),"00000")="89101", TEXT(TRIM(S269),"00000")="89104", TEXT(TRIM(S269),"00000")="89106", TEXT(TRIM(S269),"00000")="89102", TEXT(TRIM(S269),"00000")="89107", TEXT(TRIM(S269),"00000")="89108"), "Urban Core",
  OR(TEXT(TRIM(S269),"00000")="89110", TEXT(TRIM(S269),"00000")="89115", TEXT(TRIM(S269),"00000")="89121", TEXT(TRIM(S269),"00000")="89122", TEXT(TRIM(S269),"00000")="89142", TEXT(TRIM(S269),"00000")="89156"), "East Valley",
  OR(TEXT(TRIM(S269),"00000")="89030", TEXT(TRIM(S269),"00000")="89031", TEXT(TRIM(S269),"00000")="89032", TEXT(TRIM(S269),"00000")="89086", TEXT(TRIM(S269),"00000")="89084", TEXT(TRIM(S269),"00000")="89081"), "North LV",
  OR(TEXT(TRIM(S269),"00000")="89109", TEXT(TRIM(S269),"00000")="89103", TEXT(TRIM(S269),"00000")="89119", TEXT(TRIM(S269),"00000")="89123", TEXT(TRIM(S269),"00000")="89169", TEXT(TRIM(S269),"00000")="89118"), "South/Strip",
  OR(TEXT(TRIM(S269),"00000")="89074", TEXT(TRIM(S269),"00000")="89014", TEXT(TRIM(S269),"00000")="89015", TEXT(TRIM(S269),"00000")="89011", TEXT(TRIM(S269),"00000")="89012"), "Suburban SE",
  OR(TEXT(TRIM(S269),"00000")="89117", TEXT(TRIM(S269),"00000")="89128", TEXT(TRIM(S269),"00000")="89135", TEXT(TRIM(S269),"00000")="89144", TEXT(TRIM(S269),"00000")="89145", TEXT(TRIM(S269),"00000")="89147"), "West Valley",
  TRUE, "Other"
)</f>
        <v>Urban Core</v>
      </c>
      <c r="U269" t="s">
        <v>1073</v>
      </c>
      <c r="V269" t="str">
        <f t="shared" si="19"/>
        <v>Home/Residence</v>
      </c>
    </row>
    <row r="270" spans="1:22">
      <c r="A270" t="s">
        <v>3980</v>
      </c>
      <c r="B270" t="s">
        <v>3981</v>
      </c>
      <c r="C270" s="1">
        <v>45486</v>
      </c>
      <c r="D270" s="4">
        <v>107.06</v>
      </c>
      <c r="E270">
        <v>66</v>
      </c>
      <c r="F270" t="str">
        <f t="shared" si="16"/>
        <v>60's</v>
      </c>
      <c r="G270" t="str" cm="1">
        <f t="array" ref="G270">_xlfn.IFS(
  F270="10's", "Child (5–12)",
  OR(F270="20's", F270="30's"), "Young Adult (20–39)",
  OR(F270="40's", F270="50's"), "Adult (40–59)",
  OR(F270="60's", F270="70's", F270="80's", F270="90's"), "Senior (60+)",
  TRUE, "Unknown"
)</f>
        <v>Senior (60+)</v>
      </c>
      <c r="H270" t="s">
        <v>778</v>
      </c>
      <c r="I270" t="s">
        <v>4025</v>
      </c>
      <c r="J270" t="str">
        <f t="shared" si="17"/>
        <v>Methamphetamine-related</v>
      </c>
      <c r="K270" t="s">
        <v>3982</v>
      </c>
      <c r="L270" t="s">
        <v>1071</v>
      </c>
      <c r="M270" t="s">
        <v>5027</v>
      </c>
      <c r="N270" t="s">
        <v>5097</v>
      </c>
      <c r="O270" t="str" cm="1">
        <f t="array" ref="O270">_xlfn.IFS(
  TEXT(TRIM(N270),"00000")="NULL", "Missing/Unknown",
  OR(TEXT(TRIM(N270),"00000")="89101", TEXT(TRIM(N270),"00000")="89104", TEXT(TRIM(N270),"00000")="89106", TEXT(TRIM(N270),"00000")="89102", TEXT(TRIM(N270),"00000")="89107", TEXT(TRIM(N270),"00000")="89108"), "Urban Core",
  OR(TEXT(TRIM(N270),"00000")="89110", TEXT(TRIM(N270),"00000")="89115", TEXT(TRIM(N270),"00000")="89121", TEXT(TRIM(N270),"00000")="89122", TEXT(TRIM(N270),"00000")="89142", TEXT(TRIM(N270),"00000")="89156"), "East Valley",
  OR(TEXT(TRIM(N270),"00000")="89030", TEXT(TRIM(N270),"00000")="89031", TEXT(TRIM(N270),"00000")="89032", TEXT(TRIM(N270),"00000")="89086", TEXT(TRIM(N270),"00000")="89084", TEXT(TRIM(N270),"00000")="89081"), "North LV",
  OR(TEXT(TRIM(N270),"00000")="89109", TEXT(TRIM(N270),"00000")="89103", TEXT(TRIM(N270),"00000")="89119", TEXT(TRIM(N270),"00000")="89123", TEXT(TRIM(N270),"00000")="89169", TEXT(TRIM(N270),"00000")="89118"), "South/Strip",
  OR(TEXT(TRIM(N270),"00000")="89074", TEXT(TRIM(N270),"00000")="89014", TEXT(TRIM(N270),"00000")="89015", TEXT(TRIM(N270),"00000")="89011", TEXT(TRIM(N270),"00000")="89012"), "Suburban SE",
  OR(TEXT(TRIM(N270),"00000")="89117", TEXT(TRIM(N270),"00000")="89128", TEXT(TRIM(N270),"00000")="89135", TEXT(TRIM(N270),"00000")="89144", TEXT(TRIM(N270),"00000")="89145", TEXT(TRIM(N270),"00000")="89147"), "West Valley",
  TRUE, "Other"
)</f>
        <v>Urban Core</v>
      </c>
      <c r="P270" t="s">
        <v>3298</v>
      </c>
      <c r="Q270" t="str">
        <f t="shared" si="18"/>
        <v>Outdoors/Public</v>
      </c>
      <c r="R270" t="s">
        <v>5027</v>
      </c>
      <c r="S270" t="s">
        <v>5097</v>
      </c>
      <c r="T270" t="str" cm="1">
        <f t="array" ref="T270">_xlfn.IFS(
  TEXT(TRIM(S270),"00000")="NULL", "Missing/Unknown",
  OR(TEXT(TRIM(S270),"00000")="89101", TEXT(TRIM(S270),"00000")="89104", TEXT(TRIM(S270),"00000")="89106", TEXT(TRIM(S270),"00000")="89102", TEXT(TRIM(S270),"00000")="89107", TEXT(TRIM(S270),"00000")="89108"), "Urban Core",
  OR(TEXT(TRIM(S270),"00000")="89110", TEXT(TRIM(S270),"00000")="89115", TEXT(TRIM(S270),"00000")="89121", TEXT(TRIM(S270),"00000")="89122", TEXT(TRIM(S270),"00000")="89142", TEXT(TRIM(S270),"00000")="89156"), "East Valley",
  OR(TEXT(TRIM(S270),"00000")="89030", TEXT(TRIM(S270),"00000")="89031", TEXT(TRIM(S270),"00000")="89032", TEXT(TRIM(S270),"00000")="89086", TEXT(TRIM(S270),"00000")="89084", TEXT(TRIM(S270),"00000")="89081"), "North LV",
  OR(TEXT(TRIM(S270),"00000")="89109", TEXT(TRIM(S270),"00000")="89103", TEXT(TRIM(S270),"00000")="89119", TEXT(TRIM(S270),"00000")="89123", TEXT(TRIM(S270),"00000")="89169", TEXT(TRIM(S270),"00000")="89118"), "South/Strip",
  OR(TEXT(TRIM(S270),"00000")="89074", TEXT(TRIM(S270),"00000")="89014", TEXT(TRIM(S270),"00000")="89015", TEXT(TRIM(S270),"00000")="89011", TEXT(TRIM(S270),"00000")="89012"), "Suburban SE",
  OR(TEXT(TRIM(S270),"00000")="89117", TEXT(TRIM(S270),"00000")="89128", TEXT(TRIM(S270),"00000")="89135", TEXT(TRIM(S270),"00000")="89144", TEXT(TRIM(S270),"00000")="89145", TEXT(TRIM(S270),"00000")="89147"), "West Valley",
  TRUE, "Other"
)</f>
        <v>Urban Core</v>
      </c>
      <c r="U270" t="s">
        <v>3298</v>
      </c>
      <c r="V270" t="str">
        <f t="shared" si="19"/>
        <v>Outdoors/Public</v>
      </c>
    </row>
    <row r="271" spans="1:22">
      <c r="A271" t="s">
        <v>3063</v>
      </c>
      <c r="B271" t="s">
        <v>3064</v>
      </c>
      <c r="C271" s="1">
        <v>45486</v>
      </c>
      <c r="D271" s="4">
        <v>107.06</v>
      </c>
      <c r="E271">
        <v>68</v>
      </c>
      <c r="F271" t="str">
        <f t="shared" si="16"/>
        <v>60's</v>
      </c>
      <c r="G271" t="str" cm="1">
        <f t="array" ref="G271">_xlfn.IFS(
  F271="10's", "Child (5–12)",
  OR(F271="20's", F271="30's"), "Young Adult (20–39)",
  OR(F271="40's", F271="50's"), "Adult (40–59)",
  OR(F271="60's", F271="70's", F271="80's", F271="90's"), "Senior (60+)",
  TRUE, "Unknown"
)</f>
        <v>Senior (60+)</v>
      </c>
      <c r="H271" t="s">
        <v>841</v>
      </c>
      <c r="I271" t="s">
        <v>54</v>
      </c>
      <c r="J271" t="str">
        <f t="shared" si="17"/>
        <v>Environmental Heat</v>
      </c>
      <c r="K271" t="s">
        <v>63</v>
      </c>
      <c r="L271" t="s">
        <v>1071</v>
      </c>
      <c r="M271" t="s">
        <v>4931</v>
      </c>
      <c r="N271" t="s">
        <v>5139</v>
      </c>
      <c r="O271" t="str" cm="1">
        <f t="array" ref="O271">_xlfn.IFS(
  TEXT(TRIM(N271),"00000")="NULL", "Missing/Unknown",
  OR(TEXT(TRIM(N271),"00000")="89101", TEXT(TRIM(N271),"00000")="89104", TEXT(TRIM(N271),"00000")="89106", TEXT(TRIM(N271),"00000")="89102", TEXT(TRIM(N271),"00000")="89107", TEXT(TRIM(N271),"00000")="89108"), "Urban Core",
  OR(TEXT(TRIM(N271),"00000")="89110", TEXT(TRIM(N271),"00000")="89115", TEXT(TRIM(N271),"00000")="89121", TEXT(TRIM(N271),"00000")="89122", TEXT(TRIM(N271),"00000")="89142", TEXT(TRIM(N271),"00000")="89156"), "East Valley",
  OR(TEXT(TRIM(N271),"00000")="89030", TEXT(TRIM(N271),"00000")="89031", TEXT(TRIM(N271),"00000")="89032", TEXT(TRIM(N271),"00000")="89086", TEXT(TRIM(N271),"00000")="89084", TEXT(TRIM(N271),"00000")="89081"), "North LV",
  OR(TEXT(TRIM(N271),"00000")="89109", TEXT(TRIM(N271),"00000")="89103", TEXT(TRIM(N271),"00000")="89119", TEXT(TRIM(N271),"00000")="89123", TEXT(TRIM(N271),"00000")="89169", TEXT(TRIM(N271),"00000")="89118"), "South/Strip",
  OR(TEXT(TRIM(N271),"00000")="89074", TEXT(TRIM(N271),"00000")="89014", TEXT(TRIM(N271),"00000")="89015", TEXT(TRIM(N271),"00000")="89011", TEXT(TRIM(N271),"00000")="89012"), "Suburban SE",
  OR(TEXT(TRIM(N271),"00000")="89117", TEXT(TRIM(N271),"00000")="89128", TEXT(TRIM(N271),"00000")="89135", TEXT(TRIM(N271),"00000")="89144", TEXT(TRIM(N271),"00000")="89145", TEXT(TRIM(N271),"00000")="89147"), "West Valley",
  TRUE, "Other"
)</f>
        <v>Other</v>
      </c>
      <c r="P271" t="s">
        <v>1073</v>
      </c>
      <c r="Q271" t="str">
        <f t="shared" si="18"/>
        <v>Home/Residence</v>
      </c>
      <c r="R271" t="s">
        <v>4931</v>
      </c>
      <c r="S271" t="s">
        <v>5139</v>
      </c>
      <c r="T271" t="str" cm="1">
        <f t="array" ref="T271">_xlfn.IFS(
  TEXT(TRIM(S271),"00000")="NULL", "Missing/Unknown",
  OR(TEXT(TRIM(S271),"00000")="89101", TEXT(TRIM(S271),"00000")="89104", TEXT(TRIM(S271),"00000")="89106", TEXT(TRIM(S271),"00000")="89102", TEXT(TRIM(S271),"00000")="89107", TEXT(TRIM(S271),"00000")="89108"), "Urban Core",
  OR(TEXT(TRIM(S271),"00000")="89110", TEXT(TRIM(S271),"00000")="89115", TEXT(TRIM(S271),"00000")="89121", TEXT(TRIM(S271),"00000")="89122", TEXT(TRIM(S271),"00000")="89142", TEXT(TRIM(S271),"00000")="89156"), "East Valley",
  OR(TEXT(TRIM(S271),"00000")="89030", TEXT(TRIM(S271),"00000")="89031", TEXT(TRIM(S271),"00000")="89032", TEXT(TRIM(S271),"00000")="89086", TEXT(TRIM(S271),"00000")="89084", TEXT(TRIM(S271),"00000")="89081"), "North LV",
  OR(TEXT(TRIM(S271),"00000")="89109", TEXT(TRIM(S271),"00000")="89103", TEXT(TRIM(S271),"00000")="89119", TEXT(TRIM(S271),"00000")="89123", TEXT(TRIM(S271),"00000")="89169", TEXT(TRIM(S271),"00000")="89118"), "South/Strip",
  OR(TEXT(TRIM(S271),"00000")="89074", TEXT(TRIM(S271),"00000")="89014", TEXT(TRIM(S271),"00000")="89015", TEXT(TRIM(S271),"00000")="89011", TEXT(TRIM(S271),"00000")="89012"), "Suburban SE",
  OR(TEXT(TRIM(S271),"00000")="89117", TEXT(TRIM(S271),"00000")="89128", TEXT(TRIM(S271),"00000")="89135", TEXT(TRIM(S271),"00000")="89144", TEXT(TRIM(S271),"00000")="89145", TEXT(TRIM(S271),"00000")="89147"), "West Valley",
  TRUE, "Other"
)</f>
        <v>Other</v>
      </c>
      <c r="U271" t="s">
        <v>1073</v>
      </c>
      <c r="V271" t="str">
        <f t="shared" si="19"/>
        <v>Home/Residence</v>
      </c>
    </row>
    <row r="272" spans="1:22">
      <c r="A272" t="s">
        <v>2881</v>
      </c>
      <c r="B272" t="s">
        <v>2882</v>
      </c>
      <c r="C272" s="1">
        <v>45486</v>
      </c>
      <c r="D272" s="4">
        <v>107.06</v>
      </c>
      <c r="E272">
        <v>62</v>
      </c>
      <c r="F272" t="str">
        <f t="shared" si="16"/>
        <v>60's</v>
      </c>
      <c r="G272" t="str" cm="1">
        <f t="array" ref="G272">_xlfn.IFS(
  F272="10's", "Child (5–12)",
  OR(F272="20's", F272="30's"), "Young Adult (20–39)",
  OR(F272="40's", F272="50's"), "Adult (40–59)",
  OR(F272="60's", F272="70's", F272="80's", F272="90's"), "Senior (60+)",
  TRUE, "Unknown"
)</f>
        <v>Senior (60+)</v>
      </c>
      <c r="H272" t="s">
        <v>841</v>
      </c>
      <c r="I272" t="s">
        <v>35</v>
      </c>
      <c r="J272" t="str">
        <f t="shared" si="17"/>
        <v>Environmental Heat</v>
      </c>
      <c r="K272" t="s">
        <v>28</v>
      </c>
      <c r="L272" t="s">
        <v>250</v>
      </c>
      <c r="M272" t="s">
        <v>5022</v>
      </c>
      <c r="N272" t="s">
        <v>5100</v>
      </c>
      <c r="O272" t="str" cm="1">
        <f t="array" ref="O272">_xlfn.IFS(
  TEXT(TRIM(N272),"00000")="NULL", "Missing/Unknown",
  OR(TEXT(TRIM(N272),"00000")="89101", TEXT(TRIM(N272),"00000")="89104", TEXT(TRIM(N272),"00000")="89106", TEXT(TRIM(N272),"00000")="89102", TEXT(TRIM(N272),"00000")="89107", TEXT(TRIM(N272),"00000")="89108"), "Urban Core",
  OR(TEXT(TRIM(N272),"00000")="89110", TEXT(TRIM(N272),"00000")="89115", TEXT(TRIM(N272),"00000")="89121", TEXT(TRIM(N272),"00000")="89122", TEXT(TRIM(N272),"00000")="89142", TEXT(TRIM(N272),"00000")="89156"), "East Valley",
  OR(TEXT(TRIM(N272),"00000")="89030", TEXT(TRIM(N272),"00000")="89031", TEXT(TRIM(N272),"00000")="89032", TEXT(TRIM(N272),"00000")="89086", TEXT(TRIM(N272),"00000")="89084", TEXT(TRIM(N272),"00000")="89081"), "North LV",
  OR(TEXT(TRIM(N272),"00000")="89109", TEXT(TRIM(N272),"00000")="89103", TEXT(TRIM(N272),"00000")="89119", TEXT(TRIM(N272),"00000")="89123", TEXT(TRIM(N272),"00000")="89169", TEXT(TRIM(N272),"00000")="89118"), "South/Strip",
  OR(TEXT(TRIM(N272),"00000")="89074", TEXT(TRIM(N272),"00000")="89014", TEXT(TRIM(N272),"00000")="89015", TEXT(TRIM(N272),"00000")="89011", TEXT(TRIM(N272),"00000")="89012"), "Suburban SE",
  OR(TEXT(TRIM(N272),"00000")="89117", TEXT(TRIM(N272),"00000")="89128", TEXT(TRIM(N272),"00000")="89135", TEXT(TRIM(N272),"00000")="89144", TEXT(TRIM(N272),"00000")="89145", TEXT(TRIM(N272),"00000")="89147"), "West Valley",
  TRUE, "Other"
)</f>
        <v>North LV</v>
      </c>
      <c r="P272" t="s">
        <v>3298</v>
      </c>
      <c r="Q272" t="str">
        <f t="shared" si="18"/>
        <v>Outdoors/Public</v>
      </c>
      <c r="R272" t="s">
        <v>5022</v>
      </c>
      <c r="S272" t="s">
        <v>5100</v>
      </c>
      <c r="T272" t="str" cm="1">
        <f t="array" ref="T272">_xlfn.IFS(
  TEXT(TRIM(S272),"00000")="NULL", "Missing/Unknown",
  OR(TEXT(TRIM(S272),"00000")="89101", TEXT(TRIM(S272),"00000")="89104", TEXT(TRIM(S272),"00000")="89106", TEXT(TRIM(S272),"00000")="89102", TEXT(TRIM(S272),"00000")="89107", TEXT(TRIM(S272),"00000")="89108"), "Urban Core",
  OR(TEXT(TRIM(S272),"00000")="89110", TEXT(TRIM(S272),"00000")="89115", TEXT(TRIM(S272),"00000")="89121", TEXT(TRIM(S272),"00000")="89122", TEXT(TRIM(S272),"00000")="89142", TEXT(TRIM(S272),"00000")="89156"), "East Valley",
  OR(TEXT(TRIM(S272),"00000")="89030", TEXT(TRIM(S272),"00000")="89031", TEXT(TRIM(S272),"00000")="89032", TEXT(TRIM(S272),"00000")="89086", TEXT(TRIM(S272),"00000")="89084", TEXT(TRIM(S272),"00000")="89081"), "North LV",
  OR(TEXT(TRIM(S272),"00000")="89109", TEXT(TRIM(S272),"00000")="89103", TEXT(TRIM(S272),"00000")="89119", TEXT(TRIM(S272),"00000")="89123", TEXT(TRIM(S272),"00000")="89169", TEXT(TRIM(S272),"00000")="89118"), "South/Strip",
  OR(TEXT(TRIM(S272),"00000")="89074", TEXT(TRIM(S272),"00000")="89014", TEXT(TRIM(S272),"00000")="89015", TEXT(TRIM(S272),"00000")="89011", TEXT(TRIM(S272),"00000")="89012"), "Suburban SE",
  OR(TEXT(TRIM(S272),"00000")="89117", TEXT(TRIM(S272),"00000")="89128", TEXT(TRIM(S272),"00000")="89135", TEXT(TRIM(S272),"00000")="89144", TEXT(TRIM(S272),"00000")="89145", TEXT(TRIM(S272),"00000")="89147"), "West Valley",
  TRUE, "Other"
)</f>
        <v>North LV</v>
      </c>
      <c r="U272" t="s">
        <v>3298</v>
      </c>
      <c r="V272" t="str">
        <f t="shared" si="19"/>
        <v>Outdoors/Public</v>
      </c>
    </row>
    <row r="273" spans="1:22">
      <c r="A273" t="s">
        <v>3423</v>
      </c>
      <c r="B273" t="s">
        <v>3424</v>
      </c>
      <c r="C273" s="1">
        <v>45486</v>
      </c>
      <c r="D273" s="4">
        <v>107.06</v>
      </c>
      <c r="E273">
        <v>64</v>
      </c>
      <c r="F273" t="str">
        <f t="shared" si="16"/>
        <v>60's</v>
      </c>
      <c r="G273" t="str" cm="1">
        <f t="array" ref="G273">_xlfn.IFS(
  F273="10's", "Child (5–12)",
  OR(F273="20's", F273="30's"), "Young Adult (20–39)",
  OR(F273="40's", F273="50's"), "Adult (40–59)",
  OR(F273="60's", F273="70's", F273="80's", F273="90's"), "Senior (60+)",
  TRUE, "Unknown"
)</f>
        <v>Senior (60+)</v>
      </c>
      <c r="H273" t="s">
        <v>778</v>
      </c>
      <c r="I273" t="s">
        <v>2387</v>
      </c>
      <c r="J273" t="str">
        <f t="shared" si="17"/>
        <v>Other / Unknown</v>
      </c>
      <c r="K273" t="s">
        <v>54</v>
      </c>
      <c r="L273" t="s">
        <v>1071</v>
      </c>
      <c r="M273" t="s">
        <v>4932</v>
      </c>
      <c r="N273" t="s">
        <v>5124</v>
      </c>
      <c r="O273" t="str" cm="1">
        <f t="array" ref="O273">_xlfn.IFS(
  TEXT(TRIM(N273),"00000")="NULL", "Missing/Unknown",
  OR(TEXT(TRIM(N273),"00000")="89101", TEXT(TRIM(N273),"00000")="89104", TEXT(TRIM(N273),"00000")="89106", TEXT(TRIM(N273),"00000")="89102", TEXT(TRIM(N273),"00000")="89107", TEXT(TRIM(N273),"00000")="89108"), "Urban Core",
  OR(TEXT(TRIM(N273),"00000")="89110", TEXT(TRIM(N273),"00000")="89115", TEXT(TRIM(N273),"00000")="89121", TEXT(TRIM(N273),"00000")="89122", TEXT(TRIM(N273),"00000")="89142", TEXT(TRIM(N273),"00000")="89156"), "East Valley",
  OR(TEXT(TRIM(N273),"00000")="89030", TEXT(TRIM(N273),"00000")="89031", TEXT(TRIM(N273),"00000")="89032", TEXT(TRIM(N273),"00000")="89086", TEXT(TRIM(N273),"00000")="89084", TEXT(TRIM(N273),"00000")="89081"), "North LV",
  OR(TEXT(TRIM(N273),"00000")="89109", TEXT(TRIM(N273),"00000")="89103", TEXT(TRIM(N273),"00000")="89119", TEXT(TRIM(N273),"00000")="89123", TEXT(TRIM(N273),"00000")="89169", TEXT(TRIM(N273),"00000")="89118"), "South/Strip",
  OR(TEXT(TRIM(N273),"00000")="89074", TEXT(TRIM(N273),"00000")="89014", TEXT(TRIM(N273),"00000")="89015", TEXT(TRIM(N273),"00000")="89011", TEXT(TRIM(N273),"00000")="89012"), "Suburban SE",
  OR(TEXT(TRIM(N273),"00000")="89117", TEXT(TRIM(N273),"00000")="89128", TEXT(TRIM(N273),"00000")="89135", TEXT(TRIM(N273),"00000")="89144", TEXT(TRIM(N273),"00000")="89145", TEXT(TRIM(N273),"00000")="89147"), "West Valley",
  TRUE, "Other"
)</f>
        <v>North LV</v>
      </c>
      <c r="P273" t="s">
        <v>1073</v>
      </c>
      <c r="Q273" t="str">
        <f t="shared" si="18"/>
        <v>Home/Residence</v>
      </c>
      <c r="R273" t="s">
        <v>4932</v>
      </c>
      <c r="S273" t="s">
        <v>5124</v>
      </c>
      <c r="T273" t="str" cm="1">
        <f t="array" ref="T273">_xlfn.IFS(
  TEXT(TRIM(S273),"00000")="NULL", "Missing/Unknown",
  OR(TEXT(TRIM(S273),"00000")="89101", TEXT(TRIM(S273),"00000")="89104", TEXT(TRIM(S273),"00000")="89106", TEXT(TRIM(S273),"00000")="89102", TEXT(TRIM(S273),"00000")="89107", TEXT(TRIM(S273),"00000")="89108"), "Urban Core",
  OR(TEXT(TRIM(S273),"00000")="89110", TEXT(TRIM(S273),"00000")="89115", TEXT(TRIM(S273),"00000")="89121", TEXT(TRIM(S273),"00000")="89122", TEXT(TRIM(S273),"00000")="89142", TEXT(TRIM(S273),"00000")="89156"), "East Valley",
  OR(TEXT(TRIM(S273),"00000")="89030", TEXT(TRIM(S273),"00000")="89031", TEXT(TRIM(S273),"00000")="89032", TEXT(TRIM(S273),"00000")="89086", TEXT(TRIM(S273),"00000")="89084", TEXT(TRIM(S273),"00000")="89081"), "North LV",
  OR(TEXT(TRIM(S273),"00000")="89109", TEXT(TRIM(S273),"00000")="89103", TEXT(TRIM(S273),"00000")="89119", TEXT(TRIM(S273),"00000")="89123", TEXT(TRIM(S273),"00000")="89169", TEXT(TRIM(S273),"00000")="89118"), "South/Strip",
  OR(TEXT(TRIM(S273),"00000")="89074", TEXT(TRIM(S273),"00000")="89014", TEXT(TRIM(S273),"00000")="89015", TEXT(TRIM(S273),"00000")="89011", TEXT(TRIM(S273),"00000")="89012"), "Suburban SE",
  OR(TEXT(TRIM(S273),"00000")="89117", TEXT(TRIM(S273),"00000")="89128", TEXT(TRIM(S273),"00000")="89135", TEXT(TRIM(S273),"00000")="89144", TEXT(TRIM(S273),"00000")="89145", TEXT(TRIM(S273),"00000")="89147"), "West Valley",
  TRUE, "Other"
)</f>
        <v>North LV</v>
      </c>
      <c r="U273" t="s">
        <v>1073</v>
      </c>
      <c r="V273" t="str">
        <f t="shared" si="19"/>
        <v>Home/Residence</v>
      </c>
    </row>
    <row r="274" spans="1:22">
      <c r="A274" t="s">
        <v>2612</v>
      </c>
      <c r="B274" t="s">
        <v>2613</v>
      </c>
      <c r="C274" s="1">
        <v>45486</v>
      </c>
      <c r="D274" s="4">
        <v>107.06</v>
      </c>
      <c r="E274">
        <v>72</v>
      </c>
      <c r="F274" t="str">
        <f t="shared" si="16"/>
        <v>70's</v>
      </c>
      <c r="G274" t="str" cm="1">
        <f t="array" ref="G274">_xlfn.IFS(
  F274="10's", "Child (5–12)",
  OR(F274="20's", F274="30's"), "Young Adult (20–39)",
  OR(F274="40's", F274="50's"), "Adult (40–59)",
  OR(F274="60's", F274="70's", F274="80's", F274="90's"), "Senior (60+)",
  TRUE, "Unknown"
)</f>
        <v>Senior (60+)</v>
      </c>
      <c r="H274" t="s">
        <v>841</v>
      </c>
      <c r="I274" t="s">
        <v>63</v>
      </c>
      <c r="J274" t="str">
        <f t="shared" si="17"/>
        <v>Cardiovascular Disease</v>
      </c>
      <c r="K274" t="s">
        <v>1696</v>
      </c>
      <c r="L274" t="s">
        <v>250</v>
      </c>
      <c r="N274" t="s">
        <v>5095</v>
      </c>
      <c r="O274" t="str" cm="1">
        <f t="array" ref="O274">_xlfn.IFS(
  TEXT(TRIM(N274),"00000")="NULL", "Missing/Unknown",
  OR(TEXT(TRIM(N274),"00000")="89101", TEXT(TRIM(N274),"00000")="89104", TEXT(TRIM(N274),"00000")="89106", TEXT(TRIM(N274),"00000")="89102", TEXT(TRIM(N274),"00000")="89107", TEXT(TRIM(N274),"00000")="89108"), "Urban Core",
  OR(TEXT(TRIM(N274),"00000")="89110", TEXT(TRIM(N274),"00000")="89115", TEXT(TRIM(N274),"00000")="89121", TEXT(TRIM(N274),"00000")="89122", TEXT(TRIM(N274),"00000")="89142", TEXT(TRIM(N274),"00000")="89156"), "East Valley",
  OR(TEXT(TRIM(N274),"00000")="89030", TEXT(TRIM(N274),"00000")="89031", TEXT(TRIM(N274),"00000")="89032", TEXT(TRIM(N274),"00000")="89086", TEXT(TRIM(N274),"00000")="89084", TEXT(TRIM(N274),"00000")="89081"), "North LV",
  OR(TEXT(TRIM(N274),"00000")="89109", TEXT(TRIM(N274),"00000")="89103", TEXT(TRIM(N274),"00000")="89119", TEXT(TRIM(N274),"00000")="89123", TEXT(TRIM(N274),"00000")="89169", TEXT(TRIM(N274),"00000")="89118"), "South/Strip",
  OR(TEXT(TRIM(N274),"00000")="89074", TEXT(TRIM(N274),"00000")="89014", TEXT(TRIM(N274),"00000")="89015", TEXT(TRIM(N274),"00000")="89011", TEXT(TRIM(N274),"00000")="89012"), "Suburban SE",
  OR(TEXT(TRIM(N274),"00000")="89117", TEXT(TRIM(N274),"00000")="89128", TEXT(TRIM(N274),"00000")="89135", TEXT(TRIM(N274),"00000")="89144", TEXT(TRIM(N274),"00000")="89145", TEXT(TRIM(N274),"00000")="89147"), "West Valley",
  TRUE, "Other"
)</f>
        <v>Missing/Unknown</v>
      </c>
      <c r="P274" t="s">
        <v>2614</v>
      </c>
      <c r="Q274" t="str">
        <f t="shared" si="18"/>
        <v>Home/Residence</v>
      </c>
      <c r="R274" t="s">
        <v>5051</v>
      </c>
      <c r="S274" t="s">
        <v>5114</v>
      </c>
      <c r="T274" t="str" cm="1">
        <f t="array" ref="T274">_xlfn.IFS(
  TEXT(TRIM(S274),"00000")="NULL", "Missing/Unknown",
  OR(TEXT(TRIM(S274),"00000")="89101", TEXT(TRIM(S274),"00000")="89104", TEXT(TRIM(S274),"00000")="89106", TEXT(TRIM(S274),"00000")="89102", TEXT(TRIM(S274),"00000")="89107", TEXT(TRIM(S274),"00000")="89108"), "Urban Core",
  OR(TEXT(TRIM(S274),"00000")="89110", TEXT(TRIM(S274),"00000")="89115", TEXT(TRIM(S274),"00000")="89121", TEXT(TRIM(S274),"00000")="89122", TEXT(TRIM(S274),"00000")="89142", TEXT(TRIM(S274),"00000")="89156"), "East Valley",
  OR(TEXT(TRIM(S274),"00000")="89030", TEXT(TRIM(S274),"00000")="89031", TEXT(TRIM(S274),"00000")="89032", TEXT(TRIM(S274),"00000")="89086", TEXT(TRIM(S274),"00000")="89084", TEXT(TRIM(S274),"00000")="89081"), "North LV",
  OR(TEXT(TRIM(S274),"00000")="89109", TEXT(TRIM(S274),"00000")="89103", TEXT(TRIM(S274),"00000")="89119", TEXT(TRIM(S274),"00000")="89123", TEXT(TRIM(S274),"00000")="89169", TEXT(TRIM(S274),"00000")="89118"), "South/Strip",
  OR(TEXT(TRIM(S274),"00000")="89074", TEXT(TRIM(S274),"00000")="89014", TEXT(TRIM(S274),"00000")="89015", TEXT(TRIM(S274),"00000")="89011", TEXT(TRIM(S274),"00000")="89012"), "Suburban SE",
  OR(TEXT(TRIM(S274),"00000")="89117", TEXT(TRIM(S274),"00000")="89128", TEXT(TRIM(S274),"00000")="89135", TEXT(TRIM(S274),"00000")="89144", TEXT(TRIM(S274),"00000")="89145", TEXT(TRIM(S274),"00000")="89147"), "West Valley",
  TRUE, "Other"
)</f>
        <v>Other</v>
      </c>
      <c r="U274" t="s">
        <v>2465</v>
      </c>
      <c r="V274" t="str">
        <f t="shared" si="19"/>
        <v>Medical Facility</v>
      </c>
    </row>
    <row r="275" spans="1:22">
      <c r="A275" t="s">
        <v>3871</v>
      </c>
      <c r="B275" t="s">
        <v>3872</v>
      </c>
      <c r="C275" s="1">
        <v>45486</v>
      </c>
      <c r="D275" s="4">
        <v>107.06</v>
      </c>
      <c r="E275">
        <v>35</v>
      </c>
      <c r="F275" t="str">
        <f t="shared" si="16"/>
        <v>30's</v>
      </c>
      <c r="G275" t="str" cm="1">
        <f t="array" ref="G275">_xlfn.IFS(
  F275="10's", "Child (5–12)",
  OR(F275="20's", F275="30's"), "Young Adult (20–39)",
  OR(F275="40's", F275="50's"), "Adult (40–59)",
  OR(F275="60's", F275="70's", F275="80's", F275="90's"), "Senior (60+)",
  TRUE, "Unknown"
)</f>
        <v>Young Adult (20–39)</v>
      </c>
      <c r="H275" t="s">
        <v>4309</v>
      </c>
      <c r="I275" t="s">
        <v>3873</v>
      </c>
      <c r="J275" t="str">
        <f t="shared" si="17"/>
        <v>Ethanol-related</v>
      </c>
      <c r="K275" t="s">
        <v>3874</v>
      </c>
      <c r="L275" t="s">
        <v>250</v>
      </c>
      <c r="M275" t="s">
        <v>4962</v>
      </c>
      <c r="N275" t="s">
        <v>5105</v>
      </c>
      <c r="O275" t="str" cm="1">
        <f t="array" ref="O275">_xlfn.IFS(
  TEXT(TRIM(N275),"00000")="NULL", "Missing/Unknown",
  OR(TEXT(TRIM(N275),"00000")="89101", TEXT(TRIM(N275),"00000")="89104", TEXT(TRIM(N275),"00000")="89106", TEXT(TRIM(N275),"00000")="89102", TEXT(TRIM(N275),"00000")="89107", TEXT(TRIM(N275),"00000")="89108"), "Urban Core",
  OR(TEXT(TRIM(N275),"00000")="89110", TEXT(TRIM(N275),"00000")="89115", TEXT(TRIM(N275),"00000")="89121", TEXT(TRIM(N275),"00000")="89122", TEXT(TRIM(N275),"00000")="89142", TEXT(TRIM(N275),"00000")="89156"), "East Valley",
  OR(TEXT(TRIM(N275),"00000")="89030", TEXT(TRIM(N275),"00000")="89031", TEXT(TRIM(N275),"00000")="89032", TEXT(TRIM(N275),"00000")="89086", TEXT(TRIM(N275),"00000")="89084", TEXT(TRIM(N275),"00000")="89081"), "North LV",
  OR(TEXT(TRIM(N275),"00000")="89109", TEXT(TRIM(N275),"00000")="89103", TEXT(TRIM(N275),"00000")="89119", TEXT(TRIM(N275),"00000")="89123", TEXT(TRIM(N275),"00000")="89169", TEXT(TRIM(N275),"00000")="89118"), "South/Strip",
  OR(TEXT(TRIM(N275),"00000")="89074", TEXT(TRIM(N275),"00000")="89014", TEXT(TRIM(N275),"00000")="89015", TEXT(TRIM(N275),"00000")="89011", TEXT(TRIM(N275),"00000")="89012"), "Suburban SE",
  OR(TEXT(TRIM(N275),"00000")="89117", TEXT(TRIM(N275),"00000")="89128", TEXT(TRIM(N275),"00000")="89135", TEXT(TRIM(N275),"00000")="89144", TEXT(TRIM(N275),"00000")="89145", TEXT(TRIM(N275),"00000")="89147"), "West Valley",
  TRUE, "Other"
)</f>
        <v>East Valley</v>
      </c>
      <c r="P275" t="s">
        <v>3876</v>
      </c>
      <c r="Q275" t="str">
        <f t="shared" si="18"/>
        <v>Other / Unknown</v>
      </c>
      <c r="R275" t="s">
        <v>4962</v>
      </c>
      <c r="S275" t="s">
        <v>5105</v>
      </c>
      <c r="T275" t="str" cm="1">
        <f t="array" ref="T275">_xlfn.IFS(
  TEXT(TRIM(S275),"00000")="NULL", "Missing/Unknown",
  OR(TEXT(TRIM(S275),"00000")="89101", TEXT(TRIM(S275),"00000")="89104", TEXT(TRIM(S275),"00000")="89106", TEXT(TRIM(S275),"00000")="89102", TEXT(TRIM(S275),"00000")="89107", TEXT(TRIM(S275),"00000")="89108"), "Urban Core",
  OR(TEXT(TRIM(S275),"00000")="89110", TEXT(TRIM(S275),"00000")="89115", TEXT(TRIM(S275),"00000")="89121", TEXT(TRIM(S275),"00000")="89122", TEXT(TRIM(S275),"00000")="89142", TEXT(TRIM(S275),"00000")="89156"), "East Valley",
  OR(TEXT(TRIM(S275),"00000")="89030", TEXT(TRIM(S275),"00000")="89031", TEXT(TRIM(S275),"00000")="89032", TEXT(TRIM(S275),"00000")="89086", TEXT(TRIM(S275),"00000")="89084", TEXT(TRIM(S275),"00000")="89081"), "North LV",
  OR(TEXT(TRIM(S275),"00000")="89109", TEXT(TRIM(S275),"00000")="89103", TEXT(TRIM(S275),"00000")="89119", TEXT(TRIM(S275),"00000")="89123", TEXT(TRIM(S275),"00000")="89169", TEXT(TRIM(S275),"00000")="89118"), "South/Strip",
  OR(TEXT(TRIM(S275),"00000")="89074", TEXT(TRIM(S275),"00000")="89014", TEXT(TRIM(S275),"00000")="89015", TEXT(TRIM(S275),"00000")="89011", TEXT(TRIM(S275),"00000")="89012"), "Suburban SE",
  OR(TEXT(TRIM(S275),"00000")="89117", TEXT(TRIM(S275),"00000")="89128", TEXT(TRIM(S275),"00000")="89135", TEXT(TRIM(S275),"00000")="89144", TEXT(TRIM(S275),"00000")="89145", TEXT(TRIM(S275),"00000")="89147"), "West Valley",
  TRUE, "Other"
)</f>
        <v>East Valley</v>
      </c>
      <c r="U275" t="s">
        <v>3876</v>
      </c>
      <c r="V275" t="str">
        <f t="shared" si="19"/>
        <v>Other / Unknown</v>
      </c>
    </row>
    <row r="276" spans="1:22">
      <c r="A276" t="s">
        <v>3739</v>
      </c>
      <c r="B276" t="s">
        <v>3740</v>
      </c>
      <c r="C276" s="1">
        <v>45486</v>
      </c>
      <c r="D276" s="4">
        <v>107.06</v>
      </c>
      <c r="E276">
        <v>61</v>
      </c>
      <c r="F276" t="str">
        <f t="shared" si="16"/>
        <v>60's</v>
      </c>
      <c r="G276" t="str" cm="1">
        <f t="array" ref="G276">_xlfn.IFS(
  F276="10's", "Child (5–12)",
  OR(F276="20's", F276="30's"), "Young Adult (20–39)",
  OR(F276="40's", F276="50's"), "Adult (40–59)",
  OR(F276="60's", F276="70's", F276="80's", F276="90's"), "Senior (60+)",
  TRUE, "Unknown"
)</f>
        <v>Senior (60+)</v>
      </c>
      <c r="H276" t="s">
        <v>841</v>
      </c>
      <c r="I276" t="s">
        <v>135</v>
      </c>
      <c r="J276" t="str">
        <f t="shared" si="17"/>
        <v>Methamphetamine-related</v>
      </c>
      <c r="K276" t="s">
        <v>35</v>
      </c>
      <c r="L276" t="s">
        <v>250</v>
      </c>
      <c r="M276" t="s">
        <v>4508</v>
      </c>
      <c r="N276" t="s">
        <v>5101</v>
      </c>
      <c r="O276" t="str" cm="1">
        <f t="array" ref="O276">_xlfn.IFS(
  TEXT(TRIM(N276),"00000")="NULL", "Missing/Unknown",
  OR(TEXT(TRIM(N276),"00000")="89101", TEXT(TRIM(N276),"00000")="89104", TEXT(TRIM(N276),"00000")="89106", TEXT(TRIM(N276),"00000")="89102", TEXT(TRIM(N276),"00000")="89107", TEXT(TRIM(N276),"00000")="89108"), "Urban Core",
  OR(TEXT(TRIM(N276),"00000")="89110", TEXT(TRIM(N276),"00000")="89115", TEXT(TRIM(N276),"00000")="89121", TEXT(TRIM(N276),"00000")="89122", TEXT(TRIM(N276),"00000")="89142", TEXT(TRIM(N276),"00000")="89156"), "East Valley",
  OR(TEXT(TRIM(N276),"00000")="89030", TEXT(TRIM(N276),"00000")="89031", TEXT(TRIM(N276),"00000")="89032", TEXT(TRIM(N276),"00000")="89086", TEXT(TRIM(N276),"00000")="89084", TEXT(TRIM(N276),"00000")="89081"), "North LV",
  OR(TEXT(TRIM(N276),"00000")="89109", TEXT(TRIM(N276),"00000")="89103", TEXT(TRIM(N276),"00000")="89119", TEXT(TRIM(N276),"00000")="89123", TEXT(TRIM(N276),"00000")="89169", TEXT(TRIM(N276),"00000")="89118"), "South/Strip",
  OR(TEXT(TRIM(N276),"00000")="89074", TEXT(TRIM(N276),"00000")="89014", TEXT(TRIM(N276),"00000")="89015", TEXT(TRIM(N276),"00000")="89011", TEXT(TRIM(N276),"00000")="89012"), "Suburban SE",
  OR(TEXT(TRIM(N276),"00000")="89117", TEXT(TRIM(N276),"00000")="89128", TEXT(TRIM(N276),"00000")="89135", TEXT(TRIM(N276),"00000")="89144", TEXT(TRIM(N276),"00000")="89145", TEXT(TRIM(N276),"00000")="89147"), "West Valley",
  TRUE, "Other"
)</f>
        <v>Urban Core</v>
      </c>
      <c r="P276" t="s">
        <v>3298</v>
      </c>
      <c r="Q276" t="str">
        <f t="shared" si="18"/>
        <v>Outdoors/Public</v>
      </c>
      <c r="R276" t="s">
        <v>5054</v>
      </c>
      <c r="S276" t="s">
        <v>5097</v>
      </c>
      <c r="T276" t="str" cm="1">
        <f t="array" ref="T276">_xlfn.IFS(
  TEXT(TRIM(S276),"00000")="NULL", "Missing/Unknown",
  OR(TEXT(TRIM(S276),"00000")="89101", TEXT(TRIM(S276),"00000")="89104", TEXT(TRIM(S276),"00000")="89106", TEXT(TRIM(S276),"00000")="89102", TEXT(TRIM(S276),"00000")="89107", TEXT(TRIM(S276),"00000")="89108"), "Urban Core",
  OR(TEXT(TRIM(S276),"00000")="89110", TEXT(TRIM(S276),"00000")="89115", TEXT(TRIM(S276),"00000")="89121", TEXT(TRIM(S276),"00000")="89122", TEXT(TRIM(S276),"00000")="89142", TEXT(TRIM(S276),"00000")="89156"), "East Valley",
  OR(TEXT(TRIM(S276),"00000")="89030", TEXT(TRIM(S276),"00000")="89031", TEXT(TRIM(S276),"00000")="89032", TEXT(TRIM(S276),"00000")="89086", TEXT(TRIM(S276),"00000")="89084", TEXT(TRIM(S276),"00000")="89081"), "North LV",
  OR(TEXT(TRIM(S276),"00000")="89109", TEXT(TRIM(S276),"00000")="89103", TEXT(TRIM(S276),"00000")="89119", TEXT(TRIM(S276),"00000")="89123", TEXT(TRIM(S276),"00000")="89169", TEXT(TRIM(S276),"00000")="89118"), "South/Strip",
  OR(TEXT(TRIM(S276),"00000")="89074", TEXT(TRIM(S276),"00000")="89014", TEXT(TRIM(S276),"00000")="89015", TEXT(TRIM(S276),"00000")="89011", TEXT(TRIM(S276),"00000")="89012"), "Suburban SE",
  OR(TEXT(TRIM(S276),"00000")="89117", TEXT(TRIM(S276),"00000")="89128", TEXT(TRIM(S276),"00000")="89135", TEXT(TRIM(S276),"00000")="89144", TEXT(TRIM(S276),"00000")="89145", TEXT(TRIM(S276),"00000")="89147"), "West Valley",
  TRUE, "Other"
)</f>
        <v>Urban Core</v>
      </c>
      <c r="U276" t="s">
        <v>2433</v>
      </c>
      <c r="V276" t="str">
        <f t="shared" si="19"/>
        <v>Medical Facility</v>
      </c>
    </row>
    <row r="277" spans="1:22">
      <c r="A277" t="s">
        <v>2734</v>
      </c>
      <c r="B277" t="s">
        <v>2735</v>
      </c>
      <c r="C277" s="1">
        <v>45486</v>
      </c>
      <c r="D277" s="4">
        <v>107.06</v>
      </c>
      <c r="E277">
        <v>43</v>
      </c>
      <c r="F277" t="str">
        <f t="shared" si="16"/>
        <v>40's</v>
      </c>
      <c r="G277" t="str" cm="1">
        <f t="array" ref="G277">_xlfn.IFS(
  F277="10's", "Child (5–12)",
  OR(F277="20's", F277="30's"), "Young Adult (20–39)",
  OR(F277="40's", F277="50's"), "Adult (40–59)",
  OR(F277="60's", F277="70's", F277="80's", F277="90's"), "Senior (60+)",
  TRUE, "Unknown"
)</f>
        <v>Adult (40–59)</v>
      </c>
      <c r="H277" t="s">
        <v>778</v>
      </c>
      <c r="I277" t="s">
        <v>1772</v>
      </c>
      <c r="J277" t="str">
        <f t="shared" si="17"/>
        <v>Mixed Drug Toxicity</v>
      </c>
      <c r="K277" t="s">
        <v>35</v>
      </c>
      <c r="L277" t="s">
        <v>250</v>
      </c>
      <c r="N277" t="s">
        <v>5095</v>
      </c>
      <c r="O277" t="str" cm="1">
        <f t="array" ref="O277">_xlfn.IFS(
  TEXT(TRIM(N277),"00000")="NULL", "Missing/Unknown",
  OR(TEXT(TRIM(N277),"00000")="89101", TEXT(TRIM(N277),"00000")="89104", TEXT(TRIM(N277),"00000")="89106", TEXT(TRIM(N277),"00000")="89102", TEXT(TRIM(N277),"00000")="89107", TEXT(TRIM(N277),"00000")="89108"), "Urban Core",
  OR(TEXT(TRIM(N277),"00000")="89110", TEXT(TRIM(N277),"00000")="89115", TEXT(TRIM(N277),"00000")="89121", TEXT(TRIM(N277),"00000")="89122", TEXT(TRIM(N277),"00000")="89142", TEXT(TRIM(N277),"00000")="89156"), "East Valley",
  OR(TEXT(TRIM(N277),"00000")="89030", TEXT(TRIM(N277),"00000")="89031", TEXT(TRIM(N277),"00000")="89032", TEXT(TRIM(N277),"00000")="89086", TEXT(TRIM(N277),"00000")="89084", TEXT(TRIM(N277),"00000")="89081"), "North LV",
  OR(TEXT(TRIM(N277),"00000")="89109", TEXT(TRIM(N277),"00000")="89103", TEXT(TRIM(N277),"00000")="89119", TEXT(TRIM(N277),"00000")="89123", TEXT(TRIM(N277),"00000")="89169", TEXT(TRIM(N277),"00000")="89118"), "South/Strip",
  OR(TEXT(TRIM(N277),"00000")="89074", TEXT(TRIM(N277),"00000")="89014", TEXT(TRIM(N277),"00000")="89015", TEXT(TRIM(N277),"00000")="89011", TEXT(TRIM(N277),"00000")="89012"), "Suburban SE",
  OR(TEXT(TRIM(N277),"00000")="89117", TEXT(TRIM(N277),"00000")="89128", TEXT(TRIM(N277),"00000")="89135", TEXT(TRIM(N277),"00000")="89144", TEXT(TRIM(N277),"00000")="89145", TEXT(TRIM(N277),"00000")="89147"), "West Valley",
  TRUE, "Other"
)</f>
        <v>Missing/Unknown</v>
      </c>
      <c r="P277" t="s">
        <v>65</v>
      </c>
      <c r="Q277" t="str">
        <f t="shared" si="18"/>
        <v>Vehicle-related</v>
      </c>
      <c r="S277" t="s">
        <v>5095</v>
      </c>
      <c r="T277" t="str" cm="1">
        <f t="array" ref="T277">_xlfn.IFS(
  TEXT(TRIM(S277),"00000")="NULL", "Missing/Unknown",
  OR(TEXT(TRIM(S277),"00000")="89101", TEXT(TRIM(S277),"00000")="89104", TEXT(TRIM(S277),"00000")="89106", TEXT(TRIM(S277),"00000")="89102", TEXT(TRIM(S277),"00000")="89107", TEXT(TRIM(S277),"00000")="89108"), "Urban Core",
  OR(TEXT(TRIM(S277),"00000")="89110", TEXT(TRIM(S277),"00000")="89115", TEXT(TRIM(S277),"00000")="89121", TEXT(TRIM(S277),"00000")="89122", TEXT(TRIM(S277),"00000")="89142", TEXT(TRIM(S277),"00000")="89156"), "East Valley",
  OR(TEXT(TRIM(S277),"00000")="89030", TEXT(TRIM(S277),"00000")="89031", TEXT(TRIM(S277),"00000")="89032", TEXT(TRIM(S277),"00000")="89086", TEXT(TRIM(S277),"00000")="89084", TEXT(TRIM(S277),"00000")="89081"), "North LV",
  OR(TEXT(TRIM(S277),"00000")="89109", TEXT(TRIM(S277),"00000")="89103", TEXT(TRIM(S277),"00000")="89119", TEXT(TRIM(S277),"00000")="89123", TEXT(TRIM(S277),"00000")="89169", TEXT(TRIM(S277),"00000")="89118"), "South/Strip",
  OR(TEXT(TRIM(S277),"00000")="89074", TEXT(TRIM(S277),"00000")="89014", TEXT(TRIM(S277),"00000")="89015", TEXT(TRIM(S277),"00000")="89011", TEXT(TRIM(S277),"00000")="89012"), "Suburban SE",
  OR(TEXT(TRIM(S277),"00000")="89117", TEXT(TRIM(S277),"00000")="89128", TEXT(TRIM(S277),"00000")="89135", TEXT(TRIM(S277),"00000")="89144", TEXT(TRIM(S277),"00000")="89145", TEXT(TRIM(S277),"00000")="89147"), "West Valley",
  TRUE, "Other"
)</f>
        <v>Missing/Unknown</v>
      </c>
      <c r="U277" t="s">
        <v>65</v>
      </c>
      <c r="V277" t="str">
        <f t="shared" si="19"/>
        <v>Vehicle-related</v>
      </c>
    </row>
    <row r="278" spans="1:22">
      <c r="A278" t="s">
        <v>3330</v>
      </c>
      <c r="B278" t="s">
        <v>3331</v>
      </c>
      <c r="C278" s="1">
        <v>45486</v>
      </c>
      <c r="D278" s="4">
        <v>107.06</v>
      </c>
      <c r="E278">
        <v>25</v>
      </c>
      <c r="F278" t="str">
        <f t="shared" si="16"/>
        <v>20's</v>
      </c>
      <c r="G278" t="str" cm="1">
        <f t="array" ref="G278">_xlfn.IFS(
  F278="10's", "Child (5–12)",
  OR(F278="20's", F278="30's"), "Young Adult (20–39)",
  OR(F278="40's", F278="50's"), "Adult (40–59)",
  OR(F278="60's", F278="70's", F278="80's", F278="90's"), "Senior (60+)",
  TRUE, "Unknown"
)</f>
        <v>Young Adult (20–39)</v>
      </c>
      <c r="H278" t="s">
        <v>27</v>
      </c>
      <c r="I278" t="s">
        <v>4057</v>
      </c>
      <c r="J278" t="str">
        <f t="shared" si="17"/>
        <v>Methamphetamine-related</v>
      </c>
      <c r="K278" t="s">
        <v>4180</v>
      </c>
      <c r="L278" t="s">
        <v>250</v>
      </c>
      <c r="N278" t="s">
        <v>5095</v>
      </c>
      <c r="O278" t="str" cm="1">
        <f t="array" ref="O278">_xlfn.IFS(
  TEXT(TRIM(N278),"00000")="NULL", "Missing/Unknown",
  OR(TEXT(TRIM(N278),"00000")="89101", TEXT(TRIM(N278),"00000")="89104", TEXT(TRIM(N278),"00000")="89106", TEXT(TRIM(N278),"00000")="89102", TEXT(TRIM(N278),"00000")="89107", TEXT(TRIM(N278),"00000")="89108"), "Urban Core",
  OR(TEXT(TRIM(N278),"00000")="89110", TEXT(TRIM(N278),"00000")="89115", TEXT(TRIM(N278),"00000")="89121", TEXT(TRIM(N278),"00000")="89122", TEXT(TRIM(N278),"00000")="89142", TEXT(TRIM(N278),"00000")="89156"), "East Valley",
  OR(TEXT(TRIM(N278),"00000")="89030", TEXT(TRIM(N278),"00000")="89031", TEXT(TRIM(N278),"00000")="89032", TEXT(TRIM(N278),"00000")="89086", TEXT(TRIM(N278),"00000")="89084", TEXT(TRIM(N278),"00000")="89081"), "North LV",
  OR(TEXT(TRIM(N278),"00000")="89109", TEXT(TRIM(N278),"00000")="89103", TEXT(TRIM(N278),"00000")="89119", TEXT(TRIM(N278),"00000")="89123", TEXT(TRIM(N278),"00000")="89169", TEXT(TRIM(N278),"00000")="89118"), "South/Strip",
  OR(TEXT(TRIM(N278),"00000")="89074", TEXT(TRIM(N278),"00000")="89014", TEXT(TRIM(N278),"00000")="89015", TEXT(TRIM(N278),"00000")="89011", TEXT(TRIM(N278),"00000")="89012"), "Suburban SE",
  OR(TEXT(TRIM(N278),"00000")="89117", TEXT(TRIM(N278),"00000")="89128", TEXT(TRIM(N278),"00000")="89135", TEXT(TRIM(N278),"00000")="89144", TEXT(TRIM(N278),"00000")="89145", TEXT(TRIM(N278),"00000")="89147"), "West Valley",
  TRUE, "Other"
)</f>
        <v>Missing/Unknown</v>
      </c>
      <c r="P278" t="s">
        <v>3298</v>
      </c>
      <c r="Q278" t="str">
        <f t="shared" si="18"/>
        <v>Outdoors/Public</v>
      </c>
      <c r="S278" t="s">
        <v>5095</v>
      </c>
      <c r="T278" t="str" cm="1">
        <f t="array" ref="T278">_xlfn.IFS(
  TEXT(TRIM(S278),"00000")="NULL", "Missing/Unknown",
  OR(TEXT(TRIM(S278),"00000")="89101", TEXT(TRIM(S278),"00000")="89104", TEXT(TRIM(S278),"00000")="89106", TEXT(TRIM(S278),"00000")="89102", TEXT(TRIM(S278),"00000")="89107", TEXT(TRIM(S278),"00000")="89108"), "Urban Core",
  OR(TEXT(TRIM(S278),"00000")="89110", TEXT(TRIM(S278),"00000")="89115", TEXT(TRIM(S278),"00000")="89121", TEXT(TRIM(S278),"00000")="89122", TEXT(TRIM(S278),"00000")="89142", TEXT(TRIM(S278),"00000")="89156"), "East Valley",
  OR(TEXT(TRIM(S278),"00000")="89030", TEXT(TRIM(S278),"00000")="89031", TEXT(TRIM(S278),"00000")="89032", TEXT(TRIM(S278),"00000")="89086", TEXT(TRIM(S278),"00000")="89084", TEXT(TRIM(S278),"00000")="89081"), "North LV",
  OR(TEXT(TRIM(S278),"00000")="89109", TEXT(TRIM(S278),"00000")="89103", TEXT(TRIM(S278),"00000")="89119", TEXT(TRIM(S278),"00000")="89123", TEXT(TRIM(S278),"00000")="89169", TEXT(TRIM(S278),"00000")="89118"), "South/Strip",
  OR(TEXT(TRIM(S278),"00000")="89074", TEXT(TRIM(S278),"00000")="89014", TEXT(TRIM(S278),"00000")="89015", TEXT(TRIM(S278),"00000")="89011", TEXT(TRIM(S278),"00000")="89012"), "Suburban SE",
  OR(TEXT(TRIM(S278),"00000")="89117", TEXT(TRIM(S278),"00000")="89128", TEXT(TRIM(S278),"00000")="89135", TEXT(TRIM(S278),"00000")="89144", TEXT(TRIM(S278),"00000")="89145", TEXT(TRIM(S278),"00000")="89147"), "West Valley",
  TRUE, "Other"
)</f>
        <v>Missing/Unknown</v>
      </c>
      <c r="U278" t="s">
        <v>3298</v>
      </c>
      <c r="V278" t="str">
        <f t="shared" si="19"/>
        <v>Outdoors/Public</v>
      </c>
    </row>
    <row r="279" spans="1:22">
      <c r="A279" t="s">
        <v>3742</v>
      </c>
      <c r="B279" t="s">
        <v>3743</v>
      </c>
      <c r="C279" s="1">
        <v>45486</v>
      </c>
      <c r="D279" s="4">
        <v>107.06</v>
      </c>
      <c r="E279">
        <v>40</v>
      </c>
      <c r="F279" t="str">
        <f t="shared" si="16"/>
        <v>40's</v>
      </c>
      <c r="G279" t="str" cm="1">
        <f t="array" ref="G279">_xlfn.IFS(
  F279="10's", "Child (5–12)",
  OR(F279="20's", F279="30's"), "Young Adult (20–39)",
  OR(F279="40's", F279="50's"), "Adult (40–59)",
  OR(F279="60's", F279="70's", F279="80's", F279="90's"), "Senior (60+)",
  TRUE, "Unknown"
)</f>
        <v>Adult (40–59)</v>
      </c>
      <c r="H279" t="s">
        <v>841</v>
      </c>
      <c r="I279" t="s">
        <v>135</v>
      </c>
      <c r="J279" t="str">
        <f t="shared" si="17"/>
        <v>Methamphetamine-related</v>
      </c>
      <c r="K279" t="s">
        <v>35</v>
      </c>
      <c r="L279" t="s">
        <v>250</v>
      </c>
      <c r="N279" t="s">
        <v>5095</v>
      </c>
      <c r="O279" t="str" cm="1">
        <f t="array" ref="O279">_xlfn.IFS(
  TEXT(TRIM(N279),"00000")="NULL", "Missing/Unknown",
  OR(TEXT(TRIM(N279),"00000")="89101", TEXT(TRIM(N279),"00000")="89104", TEXT(TRIM(N279),"00000")="89106", TEXT(TRIM(N279),"00000")="89102", TEXT(TRIM(N279),"00000")="89107", TEXT(TRIM(N279),"00000")="89108"), "Urban Core",
  OR(TEXT(TRIM(N279),"00000")="89110", TEXT(TRIM(N279),"00000")="89115", TEXT(TRIM(N279),"00000")="89121", TEXT(TRIM(N279),"00000")="89122", TEXT(TRIM(N279),"00000")="89142", TEXT(TRIM(N279),"00000")="89156"), "East Valley",
  OR(TEXT(TRIM(N279),"00000")="89030", TEXT(TRIM(N279),"00000")="89031", TEXT(TRIM(N279),"00000")="89032", TEXT(TRIM(N279),"00000")="89086", TEXT(TRIM(N279),"00000")="89084", TEXT(TRIM(N279),"00000")="89081"), "North LV",
  OR(TEXT(TRIM(N279),"00000")="89109", TEXT(TRIM(N279),"00000")="89103", TEXT(TRIM(N279),"00000")="89119", TEXT(TRIM(N279),"00000")="89123", TEXT(TRIM(N279),"00000")="89169", TEXT(TRIM(N279),"00000")="89118"), "South/Strip",
  OR(TEXT(TRIM(N279),"00000")="89074", TEXT(TRIM(N279),"00000")="89014", TEXT(TRIM(N279),"00000")="89015", TEXT(TRIM(N279),"00000")="89011", TEXT(TRIM(N279),"00000")="89012"), "Suburban SE",
  OR(TEXT(TRIM(N279),"00000")="89117", TEXT(TRIM(N279),"00000")="89128", TEXT(TRIM(N279),"00000")="89135", TEXT(TRIM(N279),"00000")="89144", TEXT(TRIM(N279),"00000")="89145", TEXT(TRIM(N279),"00000")="89147"), "West Valley",
  TRUE, "Other"
)</f>
        <v>Missing/Unknown</v>
      </c>
      <c r="P279" t="s">
        <v>3298</v>
      </c>
      <c r="Q279" t="str">
        <f t="shared" si="18"/>
        <v>Outdoors/Public</v>
      </c>
      <c r="S279" t="s">
        <v>5095</v>
      </c>
      <c r="T279" t="str" cm="1">
        <f t="array" ref="T279">_xlfn.IFS(
  TEXT(TRIM(S279),"00000")="NULL", "Missing/Unknown",
  OR(TEXT(TRIM(S279),"00000")="89101", TEXT(TRIM(S279),"00000")="89104", TEXT(TRIM(S279),"00000")="89106", TEXT(TRIM(S279),"00000")="89102", TEXT(TRIM(S279),"00000")="89107", TEXT(TRIM(S279),"00000")="89108"), "Urban Core",
  OR(TEXT(TRIM(S279),"00000")="89110", TEXT(TRIM(S279),"00000")="89115", TEXT(TRIM(S279),"00000")="89121", TEXT(TRIM(S279),"00000")="89122", TEXT(TRIM(S279),"00000")="89142", TEXT(TRIM(S279),"00000")="89156"), "East Valley",
  OR(TEXT(TRIM(S279),"00000")="89030", TEXT(TRIM(S279),"00000")="89031", TEXT(TRIM(S279),"00000")="89032", TEXT(TRIM(S279),"00000")="89086", TEXT(TRIM(S279),"00000")="89084", TEXT(TRIM(S279),"00000")="89081"), "North LV",
  OR(TEXT(TRIM(S279),"00000")="89109", TEXT(TRIM(S279),"00000")="89103", TEXT(TRIM(S279),"00000")="89119", TEXT(TRIM(S279),"00000")="89123", TEXT(TRIM(S279),"00000")="89169", TEXT(TRIM(S279),"00000")="89118"), "South/Strip",
  OR(TEXT(TRIM(S279),"00000")="89074", TEXT(TRIM(S279),"00000")="89014", TEXT(TRIM(S279),"00000")="89015", TEXT(TRIM(S279),"00000")="89011", TEXT(TRIM(S279),"00000")="89012"), "Suburban SE",
  OR(TEXT(TRIM(S279),"00000")="89117", TEXT(TRIM(S279),"00000")="89128", TEXT(TRIM(S279),"00000")="89135", TEXT(TRIM(S279),"00000")="89144", TEXT(TRIM(S279),"00000")="89145", TEXT(TRIM(S279),"00000")="89147"), "West Valley",
  TRUE, "Other"
)</f>
        <v>Missing/Unknown</v>
      </c>
      <c r="U279" t="s">
        <v>3298</v>
      </c>
      <c r="V279" t="str">
        <f t="shared" si="19"/>
        <v>Outdoors/Public</v>
      </c>
    </row>
    <row r="280" spans="1:22">
      <c r="A280" t="s">
        <v>3744</v>
      </c>
      <c r="B280" t="s">
        <v>3745</v>
      </c>
      <c r="C280" s="1">
        <v>45486</v>
      </c>
      <c r="D280" s="4">
        <v>107.06</v>
      </c>
      <c r="E280">
        <v>61</v>
      </c>
      <c r="F280" t="str">
        <f t="shared" si="16"/>
        <v>60's</v>
      </c>
      <c r="G280" t="str" cm="1">
        <f t="array" ref="G280">_xlfn.IFS(
  F280="10's", "Child (5–12)",
  OR(F280="20's", F280="30's"), "Young Adult (20–39)",
  OR(F280="40's", F280="50's"), "Adult (40–59)",
  OR(F280="60's", F280="70's", F280="80's", F280="90's"), "Senior (60+)",
  TRUE, "Unknown"
)</f>
        <v>Senior (60+)</v>
      </c>
      <c r="H280" t="s">
        <v>841</v>
      </c>
      <c r="I280" t="s">
        <v>135</v>
      </c>
      <c r="J280" t="str">
        <f t="shared" si="17"/>
        <v>Methamphetamine-related</v>
      </c>
      <c r="K280" t="s">
        <v>35</v>
      </c>
      <c r="L280" t="s">
        <v>250</v>
      </c>
      <c r="N280" t="s">
        <v>5095</v>
      </c>
      <c r="O280" t="str" cm="1">
        <f t="array" ref="O280">_xlfn.IFS(
  TEXT(TRIM(N280),"00000")="NULL", "Missing/Unknown",
  OR(TEXT(TRIM(N280),"00000")="89101", TEXT(TRIM(N280),"00000")="89104", TEXT(TRIM(N280),"00000")="89106", TEXT(TRIM(N280),"00000")="89102", TEXT(TRIM(N280),"00000")="89107", TEXT(TRIM(N280),"00000")="89108"), "Urban Core",
  OR(TEXT(TRIM(N280),"00000")="89110", TEXT(TRIM(N280),"00000")="89115", TEXT(TRIM(N280),"00000")="89121", TEXT(TRIM(N280),"00000")="89122", TEXT(TRIM(N280),"00000")="89142", TEXT(TRIM(N280),"00000")="89156"), "East Valley",
  OR(TEXT(TRIM(N280),"00000")="89030", TEXT(TRIM(N280),"00000")="89031", TEXT(TRIM(N280),"00000")="89032", TEXT(TRIM(N280),"00000")="89086", TEXT(TRIM(N280),"00000")="89084", TEXT(TRIM(N280),"00000")="89081"), "North LV",
  OR(TEXT(TRIM(N280),"00000")="89109", TEXT(TRIM(N280),"00000")="89103", TEXT(TRIM(N280),"00000")="89119", TEXT(TRIM(N280),"00000")="89123", TEXT(TRIM(N280),"00000")="89169", TEXT(TRIM(N280),"00000")="89118"), "South/Strip",
  OR(TEXT(TRIM(N280),"00000")="89074", TEXT(TRIM(N280),"00000")="89014", TEXT(TRIM(N280),"00000")="89015", TEXT(TRIM(N280),"00000")="89011", TEXT(TRIM(N280),"00000")="89012"), "Suburban SE",
  OR(TEXT(TRIM(N280),"00000")="89117", TEXT(TRIM(N280),"00000")="89128", TEXT(TRIM(N280),"00000")="89135", TEXT(TRIM(N280),"00000")="89144", TEXT(TRIM(N280),"00000")="89145", TEXT(TRIM(N280),"00000")="89147"), "West Valley",
  TRUE, "Other"
)</f>
        <v>Missing/Unknown</v>
      </c>
      <c r="P280" t="s">
        <v>3298</v>
      </c>
      <c r="Q280" t="str">
        <f t="shared" si="18"/>
        <v>Outdoors/Public</v>
      </c>
      <c r="S280" t="s">
        <v>5095</v>
      </c>
      <c r="T280" t="str" cm="1">
        <f t="array" ref="T280">_xlfn.IFS(
  TEXT(TRIM(S280),"00000")="NULL", "Missing/Unknown",
  OR(TEXT(TRIM(S280),"00000")="89101", TEXT(TRIM(S280),"00000")="89104", TEXT(TRIM(S280),"00000")="89106", TEXT(TRIM(S280),"00000")="89102", TEXT(TRIM(S280),"00000")="89107", TEXT(TRIM(S280),"00000")="89108"), "Urban Core",
  OR(TEXT(TRIM(S280),"00000")="89110", TEXT(TRIM(S280),"00000")="89115", TEXT(TRIM(S280),"00000")="89121", TEXT(TRIM(S280),"00000")="89122", TEXT(TRIM(S280),"00000")="89142", TEXT(TRIM(S280),"00000")="89156"), "East Valley",
  OR(TEXT(TRIM(S280),"00000")="89030", TEXT(TRIM(S280),"00000")="89031", TEXT(TRIM(S280),"00000")="89032", TEXT(TRIM(S280),"00000")="89086", TEXT(TRIM(S280),"00000")="89084", TEXT(TRIM(S280),"00000")="89081"), "North LV",
  OR(TEXT(TRIM(S280),"00000")="89109", TEXT(TRIM(S280),"00000")="89103", TEXT(TRIM(S280),"00000")="89119", TEXT(TRIM(S280),"00000")="89123", TEXT(TRIM(S280),"00000")="89169", TEXT(TRIM(S280),"00000")="89118"), "South/Strip",
  OR(TEXT(TRIM(S280),"00000")="89074", TEXT(TRIM(S280),"00000")="89014", TEXT(TRIM(S280),"00000")="89015", TEXT(TRIM(S280),"00000")="89011", TEXT(TRIM(S280),"00000")="89012"), "Suburban SE",
  OR(TEXT(TRIM(S280),"00000")="89117", TEXT(TRIM(S280),"00000")="89128", TEXT(TRIM(S280),"00000")="89135", TEXT(TRIM(S280),"00000")="89144", TEXT(TRIM(S280),"00000")="89145", TEXT(TRIM(S280),"00000")="89147"), "West Valley",
  TRUE, "Other"
)</f>
        <v>Missing/Unknown</v>
      </c>
      <c r="U280" t="s">
        <v>3298</v>
      </c>
      <c r="V280" t="str">
        <f t="shared" si="19"/>
        <v>Outdoors/Public</v>
      </c>
    </row>
    <row r="281" spans="1:22">
      <c r="A281" t="s">
        <v>3050</v>
      </c>
      <c r="B281" t="s">
        <v>3051</v>
      </c>
      <c r="C281" s="1">
        <v>45485</v>
      </c>
      <c r="D281" s="4">
        <v>113</v>
      </c>
      <c r="E281">
        <v>47</v>
      </c>
      <c r="F281" t="str">
        <f t="shared" si="16"/>
        <v>40's</v>
      </c>
      <c r="G281" t="str" cm="1">
        <f t="array" ref="G281">_xlfn.IFS(
  F281="10's", "Child (5–12)",
  OR(F281="20's", F281="30's"), "Young Adult (20–39)",
  OR(F281="40's", F281="50's"), "Adult (40–59)",
  OR(F281="60's", F281="70's", F281="80's", F281="90's"), "Senior (60+)",
  TRUE, "Unknown"
)</f>
        <v>Adult (40–59)</v>
      </c>
      <c r="H281" t="s">
        <v>778</v>
      </c>
      <c r="I281" t="s">
        <v>54</v>
      </c>
      <c r="J281" t="str">
        <f t="shared" si="17"/>
        <v>Environmental Heat</v>
      </c>
      <c r="K281" t="s">
        <v>2387</v>
      </c>
      <c r="L281" t="s">
        <v>250</v>
      </c>
      <c r="M281" t="s">
        <v>4999</v>
      </c>
      <c r="N281" t="s">
        <v>5101</v>
      </c>
      <c r="O281" t="str" cm="1">
        <f t="array" ref="O281">_xlfn.IFS(
  TEXT(TRIM(N281),"00000")="NULL", "Missing/Unknown",
  OR(TEXT(TRIM(N281),"00000")="89101", TEXT(TRIM(N281),"00000")="89104", TEXT(TRIM(N281),"00000")="89106", TEXT(TRIM(N281),"00000")="89102", TEXT(TRIM(N281),"00000")="89107", TEXT(TRIM(N281),"00000")="89108"), "Urban Core",
  OR(TEXT(TRIM(N281),"00000")="89110", TEXT(TRIM(N281),"00000")="89115", TEXT(TRIM(N281),"00000")="89121", TEXT(TRIM(N281),"00000")="89122", TEXT(TRIM(N281),"00000")="89142", TEXT(TRIM(N281),"00000")="89156"), "East Valley",
  OR(TEXT(TRIM(N281),"00000")="89030", TEXT(TRIM(N281),"00000")="89031", TEXT(TRIM(N281),"00000")="89032", TEXT(TRIM(N281),"00000")="89086", TEXT(TRIM(N281),"00000")="89084", TEXT(TRIM(N281),"00000")="89081"), "North LV",
  OR(TEXT(TRIM(N281),"00000")="89109", TEXT(TRIM(N281),"00000")="89103", TEXT(TRIM(N281),"00000")="89119", TEXT(TRIM(N281),"00000")="89123", TEXT(TRIM(N281),"00000")="89169", TEXT(TRIM(N281),"00000")="89118"), "South/Strip",
  OR(TEXT(TRIM(N281),"00000")="89074", TEXT(TRIM(N281),"00000")="89014", TEXT(TRIM(N281),"00000")="89015", TEXT(TRIM(N281),"00000")="89011", TEXT(TRIM(N281),"00000")="89012"), "Suburban SE",
  OR(TEXT(TRIM(N281),"00000")="89117", TEXT(TRIM(N281),"00000")="89128", TEXT(TRIM(N281),"00000")="89135", TEXT(TRIM(N281),"00000")="89144", TEXT(TRIM(N281),"00000")="89145", TEXT(TRIM(N281),"00000")="89147"), "West Valley",
  TRUE, "Other"
)</f>
        <v>Urban Core</v>
      </c>
      <c r="P281" t="s">
        <v>2482</v>
      </c>
      <c r="Q281" t="str">
        <f t="shared" si="18"/>
        <v>Outdoors/Public</v>
      </c>
      <c r="R281" t="s">
        <v>4999</v>
      </c>
      <c r="S281" t="s">
        <v>5101</v>
      </c>
      <c r="T281" t="str" cm="1">
        <f t="array" ref="T281">_xlfn.IFS(
  TEXT(TRIM(S281),"00000")="NULL", "Missing/Unknown",
  OR(TEXT(TRIM(S281),"00000")="89101", TEXT(TRIM(S281),"00000")="89104", TEXT(TRIM(S281),"00000")="89106", TEXT(TRIM(S281),"00000")="89102", TEXT(TRIM(S281),"00000")="89107", TEXT(TRIM(S281),"00000")="89108"), "Urban Core",
  OR(TEXT(TRIM(S281),"00000")="89110", TEXT(TRIM(S281),"00000")="89115", TEXT(TRIM(S281),"00000")="89121", TEXT(TRIM(S281),"00000")="89122", TEXT(TRIM(S281),"00000")="89142", TEXT(TRIM(S281),"00000")="89156"), "East Valley",
  OR(TEXT(TRIM(S281),"00000")="89030", TEXT(TRIM(S281),"00000")="89031", TEXT(TRIM(S281),"00000")="89032", TEXT(TRIM(S281),"00000")="89086", TEXT(TRIM(S281),"00000")="89084", TEXT(TRIM(S281),"00000")="89081"), "North LV",
  OR(TEXT(TRIM(S281),"00000")="89109", TEXT(TRIM(S281),"00000")="89103", TEXT(TRIM(S281),"00000")="89119", TEXT(TRIM(S281),"00000")="89123", TEXT(TRIM(S281),"00000")="89169", TEXT(TRIM(S281),"00000")="89118"), "South/Strip",
  OR(TEXT(TRIM(S281),"00000")="89074", TEXT(TRIM(S281),"00000")="89014", TEXT(TRIM(S281),"00000")="89015", TEXT(TRIM(S281),"00000")="89011", TEXT(TRIM(S281),"00000")="89012"), "Suburban SE",
  OR(TEXT(TRIM(S281),"00000")="89117", TEXT(TRIM(S281),"00000")="89128", TEXT(TRIM(S281),"00000")="89135", TEXT(TRIM(S281),"00000")="89144", TEXT(TRIM(S281),"00000")="89145", TEXT(TRIM(S281),"00000")="89147"), "West Valley",
  TRUE, "Other"
)</f>
        <v>Urban Core</v>
      </c>
      <c r="U281" t="s">
        <v>2482</v>
      </c>
      <c r="V281" t="str">
        <f t="shared" si="19"/>
        <v>Outdoors/Public</v>
      </c>
    </row>
    <row r="282" spans="1:22">
      <c r="A282" t="s">
        <v>3544</v>
      </c>
      <c r="B282" t="s">
        <v>3545</v>
      </c>
      <c r="C282" s="1">
        <v>45485</v>
      </c>
      <c r="D282" s="4">
        <v>113</v>
      </c>
      <c r="E282">
        <v>91</v>
      </c>
      <c r="F282" t="str">
        <f t="shared" si="16"/>
        <v>90's</v>
      </c>
      <c r="G282" t="str" cm="1">
        <f t="array" ref="G282">_xlfn.IFS(
  F282="10's", "Child (5–12)",
  OR(F282="20's", F282="30's"), "Young Adult (20–39)",
  OR(F282="40's", F282="50's"), "Adult (40–59)",
  OR(F282="60's", F282="70's", F282="80's", F282="90's"), "Senior (60+)",
  TRUE, "Unknown"
)</f>
        <v>Senior (60+)</v>
      </c>
      <c r="H282" t="s">
        <v>27</v>
      </c>
      <c r="I282" t="s">
        <v>28</v>
      </c>
      <c r="J282" t="str">
        <f t="shared" si="17"/>
        <v>Cardiovascular Disease</v>
      </c>
      <c r="K282" t="s">
        <v>831</v>
      </c>
      <c r="L282" t="s">
        <v>1071</v>
      </c>
      <c r="M282" t="s">
        <v>4935</v>
      </c>
      <c r="N282" t="s">
        <v>5109</v>
      </c>
      <c r="O282" t="str" cm="1">
        <f t="array" ref="O282">_xlfn.IFS(
  TEXT(TRIM(N282),"00000")="NULL", "Missing/Unknown",
  OR(TEXT(TRIM(N282),"00000")="89101", TEXT(TRIM(N282),"00000")="89104", TEXT(TRIM(N282),"00000")="89106", TEXT(TRIM(N282),"00000")="89102", TEXT(TRIM(N282),"00000")="89107", TEXT(TRIM(N282),"00000")="89108"), "Urban Core",
  OR(TEXT(TRIM(N282),"00000")="89110", TEXT(TRIM(N282),"00000")="89115", TEXT(TRIM(N282),"00000")="89121", TEXT(TRIM(N282),"00000")="89122", TEXT(TRIM(N282),"00000")="89142", TEXT(TRIM(N282),"00000")="89156"), "East Valley",
  OR(TEXT(TRIM(N282),"00000")="89030", TEXT(TRIM(N282),"00000")="89031", TEXT(TRIM(N282),"00000")="89032", TEXT(TRIM(N282),"00000")="89086", TEXT(TRIM(N282),"00000")="89084", TEXT(TRIM(N282),"00000")="89081"), "North LV",
  OR(TEXT(TRIM(N282),"00000")="89109", TEXT(TRIM(N282),"00000")="89103", TEXT(TRIM(N282),"00000")="89119", TEXT(TRIM(N282),"00000")="89123", TEXT(TRIM(N282),"00000")="89169", TEXT(TRIM(N282),"00000")="89118"), "South/Strip",
  OR(TEXT(TRIM(N282),"00000")="89074", TEXT(TRIM(N282),"00000")="89014", TEXT(TRIM(N282),"00000")="89015", TEXT(TRIM(N282),"00000")="89011", TEXT(TRIM(N282),"00000")="89012"), "Suburban SE",
  OR(TEXT(TRIM(N282),"00000")="89117", TEXT(TRIM(N282),"00000")="89128", TEXT(TRIM(N282),"00000")="89135", TEXT(TRIM(N282),"00000")="89144", TEXT(TRIM(N282),"00000")="89145", TEXT(TRIM(N282),"00000")="89147"), "West Valley",
  TRUE, "Other"
)</f>
        <v>South/Strip</v>
      </c>
      <c r="P282" t="s">
        <v>1073</v>
      </c>
      <c r="Q282" t="str">
        <f t="shared" si="18"/>
        <v>Home/Residence</v>
      </c>
      <c r="R282" t="s">
        <v>4935</v>
      </c>
      <c r="S282" t="s">
        <v>5109</v>
      </c>
      <c r="T282" t="str" cm="1">
        <f t="array" ref="T282">_xlfn.IFS(
  TEXT(TRIM(S282),"00000")="NULL", "Missing/Unknown",
  OR(TEXT(TRIM(S282),"00000")="89101", TEXT(TRIM(S282),"00000")="89104", TEXT(TRIM(S282),"00000")="89106", TEXT(TRIM(S282),"00000")="89102", TEXT(TRIM(S282),"00000")="89107", TEXT(TRIM(S282),"00000")="89108"), "Urban Core",
  OR(TEXT(TRIM(S282),"00000")="89110", TEXT(TRIM(S282),"00000")="89115", TEXT(TRIM(S282),"00000")="89121", TEXT(TRIM(S282),"00000")="89122", TEXT(TRIM(S282),"00000")="89142", TEXT(TRIM(S282),"00000")="89156"), "East Valley",
  OR(TEXT(TRIM(S282),"00000")="89030", TEXT(TRIM(S282),"00000")="89031", TEXT(TRIM(S282),"00000")="89032", TEXT(TRIM(S282),"00000")="89086", TEXT(TRIM(S282),"00000")="89084", TEXT(TRIM(S282),"00000")="89081"), "North LV",
  OR(TEXT(TRIM(S282),"00000")="89109", TEXT(TRIM(S282),"00000")="89103", TEXT(TRIM(S282),"00000")="89119", TEXT(TRIM(S282),"00000")="89123", TEXT(TRIM(S282),"00000")="89169", TEXT(TRIM(S282),"00000")="89118"), "South/Strip",
  OR(TEXT(TRIM(S282),"00000")="89074", TEXT(TRIM(S282),"00000")="89014", TEXT(TRIM(S282),"00000")="89015", TEXT(TRIM(S282),"00000")="89011", TEXT(TRIM(S282),"00000")="89012"), "Suburban SE",
  OR(TEXT(TRIM(S282),"00000")="89117", TEXT(TRIM(S282),"00000")="89128", TEXT(TRIM(S282),"00000")="89135", TEXT(TRIM(S282),"00000")="89144", TEXT(TRIM(S282),"00000")="89145", TEXT(TRIM(S282),"00000")="89147"), "West Valley",
  TRUE, "Other"
)</f>
        <v>South/Strip</v>
      </c>
      <c r="U282" t="s">
        <v>1073</v>
      </c>
      <c r="V282" t="str">
        <f t="shared" si="19"/>
        <v>Home/Residence</v>
      </c>
    </row>
    <row r="283" spans="1:22">
      <c r="A283" t="s">
        <v>3045</v>
      </c>
      <c r="B283" t="s">
        <v>3046</v>
      </c>
      <c r="C283" s="1">
        <v>45485</v>
      </c>
      <c r="D283" s="4">
        <v>113</v>
      </c>
      <c r="E283">
        <v>55</v>
      </c>
      <c r="F283" t="str">
        <f t="shared" si="16"/>
        <v>50's</v>
      </c>
      <c r="G283" t="str" cm="1">
        <f t="array" ref="G283">_xlfn.IFS(
  F283="10's", "Child (5–12)",
  OR(F283="20's", F283="30's"), "Young Adult (20–39)",
  OR(F283="40's", F283="50's"), "Adult (40–59)",
  OR(F283="60's", F283="70's", F283="80's", F283="90's"), "Senior (60+)",
  TRUE, "Unknown"
)</f>
        <v>Adult (40–59)</v>
      </c>
      <c r="H283" t="s">
        <v>250</v>
      </c>
      <c r="I283" t="s">
        <v>54</v>
      </c>
      <c r="J283" t="str">
        <f t="shared" si="17"/>
        <v>Environmental Heat</v>
      </c>
      <c r="K283" t="s">
        <v>98</v>
      </c>
      <c r="L283" t="s">
        <v>250</v>
      </c>
      <c r="M283" t="s">
        <v>4721</v>
      </c>
      <c r="N283" t="s">
        <v>5115</v>
      </c>
      <c r="O283" t="str" cm="1">
        <f t="array" ref="O283">_xlfn.IFS(
  TEXT(TRIM(N283),"00000")="NULL", "Missing/Unknown",
  OR(TEXT(TRIM(N283),"00000")="89101", TEXT(TRIM(N283),"00000")="89104", TEXT(TRIM(N283),"00000")="89106", TEXT(TRIM(N283),"00000")="89102", TEXT(TRIM(N283),"00000")="89107", TEXT(TRIM(N283),"00000")="89108"), "Urban Core",
  OR(TEXT(TRIM(N283),"00000")="89110", TEXT(TRIM(N283),"00000")="89115", TEXT(TRIM(N283),"00000")="89121", TEXT(TRIM(N283),"00000")="89122", TEXT(TRIM(N283),"00000")="89142", TEXT(TRIM(N283),"00000")="89156"), "East Valley",
  OR(TEXT(TRIM(N283),"00000")="89030", TEXT(TRIM(N283),"00000")="89031", TEXT(TRIM(N283),"00000")="89032", TEXT(TRIM(N283),"00000")="89086", TEXT(TRIM(N283),"00000")="89084", TEXT(TRIM(N283),"00000")="89081"), "North LV",
  OR(TEXT(TRIM(N283),"00000")="89109", TEXT(TRIM(N283),"00000")="89103", TEXT(TRIM(N283),"00000")="89119", TEXT(TRIM(N283),"00000")="89123", TEXT(TRIM(N283),"00000")="89169", TEXT(TRIM(N283),"00000")="89118"), "South/Strip",
  OR(TEXT(TRIM(N283),"00000")="89074", TEXT(TRIM(N283),"00000")="89014", TEXT(TRIM(N283),"00000")="89015", TEXT(TRIM(N283),"00000")="89011", TEXT(TRIM(N283),"00000")="89012"), "Suburban SE",
  OR(TEXT(TRIM(N283),"00000")="89117", TEXT(TRIM(N283),"00000")="89128", TEXT(TRIM(N283),"00000")="89135", TEXT(TRIM(N283),"00000")="89144", TEXT(TRIM(N283),"00000")="89145", TEXT(TRIM(N283),"00000")="89147"), "West Valley",
  TRUE, "Other"
)</f>
        <v>Other</v>
      </c>
      <c r="P283" t="s">
        <v>3047</v>
      </c>
      <c r="Q283" t="str">
        <f t="shared" si="18"/>
        <v>Outdoors/Public</v>
      </c>
      <c r="R283" t="s">
        <v>4721</v>
      </c>
      <c r="S283" t="s">
        <v>5115</v>
      </c>
      <c r="T283" t="str" cm="1">
        <f t="array" ref="T283">_xlfn.IFS(
  TEXT(TRIM(S283),"00000")="NULL", "Missing/Unknown",
  OR(TEXT(TRIM(S283),"00000")="89101", TEXT(TRIM(S283),"00000")="89104", TEXT(TRIM(S283),"00000")="89106", TEXT(TRIM(S283),"00000")="89102", TEXT(TRIM(S283),"00000")="89107", TEXT(TRIM(S283),"00000")="89108"), "Urban Core",
  OR(TEXT(TRIM(S283),"00000")="89110", TEXT(TRIM(S283),"00000")="89115", TEXT(TRIM(S283),"00000")="89121", TEXT(TRIM(S283),"00000")="89122", TEXT(TRIM(S283),"00000")="89142", TEXT(TRIM(S283),"00000")="89156"), "East Valley",
  OR(TEXT(TRIM(S283),"00000")="89030", TEXT(TRIM(S283),"00000")="89031", TEXT(TRIM(S283),"00000")="89032", TEXT(TRIM(S283),"00000")="89086", TEXT(TRIM(S283),"00000")="89084", TEXT(TRIM(S283),"00000")="89081"), "North LV",
  OR(TEXT(TRIM(S283),"00000")="89109", TEXT(TRIM(S283),"00000")="89103", TEXT(TRIM(S283),"00000")="89119", TEXT(TRIM(S283),"00000")="89123", TEXT(TRIM(S283),"00000")="89169", TEXT(TRIM(S283),"00000")="89118"), "South/Strip",
  OR(TEXT(TRIM(S283),"00000")="89074", TEXT(TRIM(S283),"00000")="89014", TEXT(TRIM(S283),"00000")="89015", TEXT(TRIM(S283),"00000")="89011", TEXT(TRIM(S283),"00000")="89012"), "Suburban SE",
  OR(TEXT(TRIM(S283),"00000")="89117", TEXT(TRIM(S283),"00000")="89128", TEXT(TRIM(S283),"00000")="89135", TEXT(TRIM(S283),"00000")="89144", TEXT(TRIM(S283),"00000")="89145", TEXT(TRIM(S283),"00000")="89147"), "West Valley",
  TRUE, "Other"
)</f>
        <v>Other</v>
      </c>
      <c r="U283" t="s">
        <v>3047</v>
      </c>
      <c r="V283" t="str">
        <f t="shared" si="19"/>
        <v>Outdoors/Public</v>
      </c>
    </row>
    <row r="284" spans="1:22">
      <c r="A284" t="s">
        <v>2497</v>
      </c>
      <c r="B284" t="s">
        <v>2498</v>
      </c>
      <c r="C284" s="1">
        <v>45485</v>
      </c>
      <c r="D284" s="4">
        <v>113</v>
      </c>
      <c r="E284">
        <v>61</v>
      </c>
      <c r="F284" t="str">
        <f t="shared" si="16"/>
        <v>60's</v>
      </c>
      <c r="G284" t="str" cm="1">
        <f t="array" ref="G284">_xlfn.IFS(
  F284="10's", "Child (5–12)",
  OR(F284="20's", F284="30's"), "Young Adult (20–39)",
  OR(F284="40's", F284="50's"), "Adult (40–59)",
  OR(F284="60's", F284="70's", F284="80's", F284="90's"), "Senior (60+)",
  TRUE, "Unknown"
)</f>
        <v>Senior (60+)</v>
      </c>
      <c r="H284" t="s">
        <v>841</v>
      </c>
      <c r="I284" t="s">
        <v>34</v>
      </c>
      <c r="J284" t="str">
        <f t="shared" si="17"/>
        <v>Methamphetamine-related</v>
      </c>
      <c r="K284" t="s">
        <v>163</v>
      </c>
      <c r="L284" t="s">
        <v>250</v>
      </c>
      <c r="M284" t="s">
        <v>4326</v>
      </c>
      <c r="N284" t="s">
        <v>5098</v>
      </c>
      <c r="O284" t="str" cm="1">
        <f t="array" ref="O284">_xlfn.IFS(
  TEXT(TRIM(N284),"00000")="NULL", "Missing/Unknown",
  OR(TEXT(TRIM(N284),"00000")="89101", TEXT(TRIM(N284),"00000")="89104", TEXT(TRIM(N284),"00000")="89106", TEXT(TRIM(N284),"00000")="89102", TEXT(TRIM(N284),"00000")="89107", TEXT(TRIM(N284),"00000")="89108"), "Urban Core",
  OR(TEXT(TRIM(N284),"00000")="89110", TEXT(TRIM(N284),"00000")="89115", TEXT(TRIM(N284),"00000")="89121", TEXT(TRIM(N284),"00000")="89122", TEXT(TRIM(N284),"00000")="89142", TEXT(TRIM(N284),"00000")="89156"), "East Valley",
  OR(TEXT(TRIM(N284),"00000")="89030", TEXT(TRIM(N284),"00000")="89031", TEXT(TRIM(N284),"00000")="89032", TEXT(TRIM(N284),"00000")="89086", TEXT(TRIM(N284),"00000")="89084", TEXT(TRIM(N284),"00000")="89081"), "North LV",
  OR(TEXT(TRIM(N284),"00000")="89109", TEXT(TRIM(N284),"00000")="89103", TEXT(TRIM(N284),"00000")="89119", TEXT(TRIM(N284),"00000")="89123", TEXT(TRIM(N284),"00000")="89169", TEXT(TRIM(N284),"00000")="89118"), "South/Strip",
  OR(TEXT(TRIM(N284),"00000")="89074", TEXT(TRIM(N284),"00000")="89014", TEXT(TRIM(N284),"00000")="89015", TEXT(TRIM(N284),"00000")="89011", TEXT(TRIM(N284),"00000")="89012"), "Suburban SE",
  OR(TEXT(TRIM(N284),"00000")="89117", TEXT(TRIM(N284),"00000")="89128", TEXT(TRIM(N284),"00000")="89135", TEXT(TRIM(N284),"00000")="89144", TEXT(TRIM(N284),"00000")="89145", TEXT(TRIM(N284),"00000")="89147"), "West Valley",
  TRUE, "Other"
)</f>
        <v>Urban Core</v>
      </c>
      <c r="P284" t="s">
        <v>3298</v>
      </c>
      <c r="Q284" t="str">
        <f t="shared" si="18"/>
        <v>Outdoors/Public</v>
      </c>
      <c r="R284" t="s">
        <v>4713</v>
      </c>
      <c r="S284" t="s">
        <v>5125</v>
      </c>
      <c r="T284" t="str" cm="1">
        <f t="array" ref="T284">_xlfn.IFS(
  TEXT(TRIM(S284),"00000")="NULL", "Missing/Unknown",
  OR(TEXT(TRIM(S284),"00000")="89101", TEXT(TRIM(S284),"00000")="89104", TEXT(TRIM(S284),"00000")="89106", TEXT(TRIM(S284),"00000")="89102", TEXT(TRIM(S284),"00000")="89107", TEXT(TRIM(S284),"00000")="89108"), "Urban Core",
  OR(TEXT(TRIM(S284),"00000")="89110", TEXT(TRIM(S284),"00000")="89115", TEXT(TRIM(S284),"00000")="89121", TEXT(TRIM(S284),"00000")="89122", TEXT(TRIM(S284),"00000")="89142", TEXT(TRIM(S284),"00000")="89156"), "East Valley",
  OR(TEXT(TRIM(S284),"00000")="89030", TEXT(TRIM(S284),"00000")="89031", TEXT(TRIM(S284),"00000")="89032", TEXT(TRIM(S284),"00000")="89086", TEXT(TRIM(S284),"00000")="89084", TEXT(TRIM(S284),"00000")="89081"), "North LV",
  OR(TEXT(TRIM(S284),"00000")="89109", TEXT(TRIM(S284),"00000")="89103", TEXT(TRIM(S284),"00000")="89119", TEXT(TRIM(S284),"00000")="89123", TEXT(TRIM(S284),"00000")="89169", TEXT(TRIM(S284),"00000")="89118"), "South/Strip",
  OR(TEXT(TRIM(S284),"00000")="89074", TEXT(TRIM(S284),"00000")="89014", TEXT(TRIM(S284),"00000")="89015", TEXT(TRIM(S284),"00000")="89011", TEXT(TRIM(S284),"00000")="89012"), "Suburban SE",
  OR(TEXT(TRIM(S284),"00000")="89117", TEXT(TRIM(S284),"00000")="89128", TEXT(TRIM(S284),"00000")="89135", TEXT(TRIM(S284),"00000")="89144", TEXT(TRIM(S284),"00000")="89145", TEXT(TRIM(S284),"00000")="89147"), "West Valley",
  TRUE, "Other"
)</f>
        <v>South/Strip</v>
      </c>
      <c r="U284" t="s">
        <v>2433</v>
      </c>
      <c r="V284" t="str">
        <f t="shared" si="19"/>
        <v>Medical Facility</v>
      </c>
    </row>
    <row r="285" spans="1:22">
      <c r="A285" t="s">
        <v>2414</v>
      </c>
      <c r="B285" t="s">
        <v>2415</v>
      </c>
      <c r="C285" s="1">
        <v>45485</v>
      </c>
      <c r="D285" s="4">
        <v>113</v>
      </c>
      <c r="E285">
        <v>48</v>
      </c>
      <c r="F285" t="str">
        <f t="shared" si="16"/>
        <v>40's</v>
      </c>
      <c r="G285" t="str" cm="1">
        <f t="array" ref="G285">_xlfn.IFS(
  F285="10's", "Child (5–12)",
  OR(F285="20's", F285="30's"), "Young Adult (20–39)",
  OR(F285="40's", F285="50's"), "Adult (40–59)",
  OR(F285="60's", F285="70's", F285="80's", F285="90's"), "Senior (60+)",
  TRUE, "Unknown"
)</f>
        <v>Adult (40–59)</v>
      </c>
      <c r="H285" t="s">
        <v>778</v>
      </c>
      <c r="I285" t="s">
        <v>4058</v>
      </c>
      <c r="J285" t="str">
        <f t="shared" si="17"/>
        <v>Methamphetamine-related</v>
      </c>
      <c r="K285" t="s">
        <v>54</v>
      </c>
      <c r="L285" t="s">
        <v>250</v>
      </c>
      <c r="M285" t="s">
        <v>4982</v>
      </c>
      <c r="N285" t="s">
        <v>5119</v>
      </c>
      <c r="O285" t="str" cm="1">
        <f t="array" ref="O285">_xlfn.IFS(
  TEXT(TRIM(N285),"00000")="NULL", "Missing/Unknown",
  OR(TEXT(TRIM(N285),"00000")="89101", TEXT(TRIM(N285),"00000")="89104", TEXT(TRIM(N285),"00000")="89106", TEXT(TRIM(N285),"00000")="89102", TEXT(TRIM(N285),"00000")="89107", TEXT(TRIM(N285),"00000")="89108"), "Urban Core",
  OR(TEXT(TRIM(N285),"00000")="89110", TEXT(TRIM(N285),"00000")="89115", TEXT(TRIM(N285),"00000")="89121", TEXT(TRIM(N285),"00000")="89122", TEXT(TRIM(N285),"00000")="89142", TEXT(TRIM(N285),"00000")="89156"), "East Valley",
  OR(TEXT(TRIM(N285),"00000")="89030", TEXT(TRIM(N285),"00000")="89031", TEXT(TRIM(N285),"00000")="89032", TEXT(TRIM(N285),"00000")="89086", TEXT(TRIM(N285),"00000")="89084", TEXT(TRIM(N285),"00000")="89081"), "North LV",
  OR(TEXT(TRIM(N285),"00000")="89109", TEXT(TRIM(N285),"00000")="89103", TEXT(TRIM(N285),"00000")="89119", TEXT(TRIM(N285),"00000")="89123", TEXT(TRIM(N285),"00000")="89169", TEXT(TRIM(N285),"00000")="89118"), "South/Strip",
  OR(TEXT(TRIM(N285),"00000")="89074", TEXT(TRIM(N285),"00000")="89014", TEXT(TRIM(N285),"00000")="89015", TEXT(TRIM(N285),"00000")="89011", TEXT(TRIM(N285),"00000")="89012"), "Suburban SE",
  OR(TEXT(TRIM(N285),"00000")="89117", TEXT(TRIM(N285),"00000")="89128", TEXT(TRIM(N285),"00000")="89135", TEXT(TRIM(N285),"00000")="89144", TEXT(TRIM(N285),"00000")="89145", TEXT(TRIM(N285),"00000")="89147"), "West Valley",
  TRUE, "Other"
)</f>
        <v>Urban Core</v>
      </c>
      <c r="P285" t="s">
        <v>65</v>
      </c>
      <c r="Q285" t="str">
        <f t="shared" si="18"/>
        <v>Vehicle-related</v>
      </c>
      <c r="R285" t="s">
        <v>4982</v>
      </c>
      <c r="S285" t="s">
        <v>5119</v>
      </c>
      <c r="T285" t="str" cm="1">
        <f t="array" ref="T285">_xlfn.IFS(
  TEXT(TRIM(S285),"00000")="NULL", "Missing/Unknown",
  OR(TEXT(TRIM(S285),"00000")="89101", TEXT(TRIM(S285),"00000")="89104", TEXT(TRIM(S285),"00000")="89106", TEXT(TRIM(S285),"00000")="89102", TEXT(TRIM(S285),"00000")="89107", TEXT(TRIM(S285),"00000")="89108"), "Urban Core",
  OR(TEXT(TRIM(S285),"00000")="89110", TEXT(TRIM(S285),"00000")="89115", TEXT(TRIM(S285),"00000")="89121", TEXT(TRIM(S285),"00000")="89122", TEXT(TRIM(S285),"00000")="89142", TEXT(TRIM(S285),"00000")="89156"), "East Valley",
  OR(TEXT(TRIM(S285),"00000")="89030", TEXT(TRIM(S285),"00000")="89031", TEXT(TRIM(S285),"00000")="89032", TEXT(TRIM(S285),"00000")="89086", TEXT(TRIM(S285),"00000")="89084", TEXT(TRIM(S285),"00000")="89081"), "North LV",
  OR(TEXT(TRIM(S285),"00000")="89109", TEXT(TRIM(S285),"00000")="89103", TEXT(TRIM(S285),"00000")="89119", TEXT(TRIM(S285),"00000")="89123", TEXT(TRIM(S285),"00000")="89169", TEXT(TRIM(S285),"00000")="89118"), "South/Strip",
  OR(TEXT(TRIM(S285),"00000")="89074", TEXT(TRIM(S285),"00000")="89014", TEXT(TRIM(S285),"00000")="89015", TEXT(TRIM(S285),"00000")="89011", TEXT(TRIM(S285),"00000")="89012"), "Suburban SE",
  OR(TEXT(TRIM(S285),"00000")="89117", TEXT(TRIM(S285),"00000")="89128", TEXT(TRIM(S285),"00000")="89135", TEXT(TRIM(S285),"00000")="89144", TEXT(TRIM(S285),"00000")="89145", TEXT(TRIM(S285),"00000")="89147"), "West Valley",
  TRUE, "Other"
)</f>
        <v>Urban Core</v>
      </c>
      <c r="U285" t="s">
        <v>65</v>
      </c>
      <c r="V285" t="str">
        <f t="shared" si="19"/>
        <v>Vehicle-related</v>
      </c>
    </row>
    <row r="286" spans="1:22">
      <c r="A286" t="s">
        <v>2494</v>
      </c>
      <c r="B286" t="s">
        <v>2495</v>
      </c>
      <c r="C286" s="1">
        <v>45485</v>
      </c>
      <c r="D286" s="4">
        <v>113</v>
      </c>
      <c r="E286">
        <v>49</v>
      </c>
      <c r="F286" t="str">
        <f t="shared" si="16"/>
        <v>40's</v>
      </c>
      <c r="G286" t="str" cm="1">
        <f t="array" ref="G286">_xlfn.IFS(
  F286="10's", "Child (5–12)",
  OR(F286="20's", F286="30's"), "Young Adult (20–39)",
  OR(F286="40's", F286="50's"), "Adult (40–59)",
  OR(F286="60's", F286="70's", F286="80's", F286="90's"), "Senior (60+)",
  TRUE, "Unknown"
)</f>
        <v>Adult (40–59)</v>
      </c>
      <c r="H286" t="s">
        <v>778</v>
      </c>
      <c r="I286" t="s">
        <v>34</v>
      </c>
      <c r="J286" t="str">
        <f t="shared" si="17"/>
        <v>Methamphetamine-related</v>
      </c>
      <c r="K286" t="s">
        <v>54</v>
      </c>
      <c r="L286" t="s">
        <v>250</v>
      </c>
      <c r="M286" t="s">
        <v>4691</v>
      </c>
      <c r="N286" t="s">
        <v>5106</v>
      </c>
      <c r="O286" t="str" cm="1">
        <f t="array" ref="O286">_xlfn.IFS(
  TEXT(TRIM(N286),"00000")="NULL", "Missing/Unknown",
  OR(TEXT(TRIM(N286),"00000")="89101", TEXT(TRIM(N286),"00000")="89104", TEXT(TRIM(N286),"00000")="89106", TEXT(TRIM(N286),"00000")="89102", TEXT(TRIM(N286),"00000")="89107", TEXT(TRIM(N286),"00000")="89108"), "Urban Core",
  OR(TEXT(TRIM(N286),"00000")="89110", TEXT(TRIM(N286),"00000")="89115", TEXT(TRIM(N286),"00000")="89121", TEXT(TRIM(N286),"00000")="89122", TEXT(TRIM(N286),"00000")="89142", TEXT(TRIM(N286),"00000")="89156"), "East Valley",
  OR(TEXT(TRIM(N286),"00000")="89030", TEXT(TRIM(N286),"00000")="89031", TEXT(TRIM(N286),"00000")="89032", TEXT(TRIM(N286),"00000")="89086", TEXT(TRIM(N286),"00000")="89084", TEXT(TRIM(N286),"00000")="89081"), "North LV",
  OR(TEXT(TRIM(N286),"00000")="89109", TEXT(TRIM(N286),"00000")="89103", TEXT(TRIM(N286),"00000")="89119", TEXT(TRIM(N286),"00000")="89123", TEXT(TRIM(N286),"00000")="89169", TEXT(TRIM(N286),"00000")="89118"), "South/Strip",
  OR(TEXT(TRIM(N286),"00000")="89074", TEXT(TRIM(N286),"00000")="89014", TEXT(TRIM(N286),"00000")="89015", TEXT(TRIM(N286),"00000")="89011", TEXT(TRIM(N286),"00000")="89012"), "Suburban SE",
  OR(TEXT(TRIM(N286),"00000")="89117", TEXT(TRIM(N286),"00000")="89128", TEXT(TRIM(N286),"00000")="89135", TEXT(TRIM(N286),"00000")="89144", TEXT(TRIM(N286),"00000")="89145", TEXT(TRIM(N286),"00000")="89147"), "West Valley",
  TRUE, "Other"
)</f>
        <v>East Valley</v>
      </c>
      <c r="P286" t="s">
        <v>3298</v>
      </c>
      <c r="Q286" t="str">
        <f t="shared" si="18"/>
        <v>Outdoors/Public</v>
      </c>
      <c r="R286" t="s">
        <v>4691</v>
      </c>
      <c r="S286" t="s">
        <v>5106</v>
      </c>
      <c r="T286" t="str" cm="1">
        <f t="array" ref="T286">_xlfn.IFS(
  TEXT(TRIM(S286),"00000")="NULL", "Missing/Unknown",
  OR(TEXT(TRIM(S286),"00000")="89101", TEXT(TRIM(S286),"00000")="89104", TEXT(TRIM(S286),"00000")="89106", TEXT(TRIM(S286),"00000")="89102", TEXT(TRIM(S286),"00000")="89107", TEXT(TRIM(S286),"00000")="89108"), "Urban Core",
  OR(TEXT(TRIM(S286),"00000")="89110", TEXT(TRIM(S286),"00000")="89115", TEXT(TRIM(S286),"00000")="89121", TEXT(TRIM(S286),"00000")="89122", TEXT(TRIM(S286),"00000")="89142", TEXT(TRIM(S286),"00000")="89156"), "East Valley",
  OR(TEXT(TRIM(S286),"00000")="89030", TEXT(TRIM(S286),"00000")="89031", TEXT(TRIM(S286),"00000")="89032", TEXT(TRIM(S286),"00000")="89086", TEXT(TRIM(S286),"00000")="89084", TEXT(TRIM(S286),"00000")="89081"), "North LV",
  OR(TEXT(TRIM(S286),"00000")="89109", TEXT(TRIM(S286),"00000")="89103", TEXT(TRIM(S286),"00000")="89119", TEXT(TRIM(S286),"00000")="89123", TEXT(TRIM(S286),"00000")="89169", TEXT(TRIM(S286),"00000")="89118"), "South/Strip",
  OR(TEXT(TRIM(S286),"00000")="89074", TEXT(TRIM(S286),"00000")="89014", TEXT(TRIM(S286),"00000")="89015", TEXT(TRIM(S286),"00000")="89011", TEXT(TRIM(S286),"00000")="89012"), "Suburban SE",
  OR(TEXT(TRIM(S286),"00000")="89117", TEXT(TRIM(S286),"00000")="89128", TEXT(TRIM(S286),"00000")="89135", TEXT(TRIM(S286),"00000")="89144", TEXT(TRIM(S286),"00000")="89145", TEXT(TRIM(S286),"00000")="89147"), "West Valley",
  TRUE, "Other"
)</f>
        <v>East Valley</v>
      </c>
      <c r="U286" t="s">
        <v>3298</v>
      </c>
      <c r="V286" t="str">
        <f t="shared" si="19"/>
        <v>Outdoors/Public</v>
      </c>
    </row>
    <row r="287" spans="1:22">
      <c r="A287" t="s">
        <v>2879</v>
      </c>
      <c r="B287" t="s">
        <v>2880</v>
      </c>
      <c r="C287" s="1">
        <v>45485</v>
      </c>
      <c r="D287" s="4">
        <v>113</v>
      </c>
      <c r="E287">
        <v>45</v>
      </c>
      <c r="F287" t="str">
        <f t="shared" si="16"/>
        <v>40's</v>
      </c>
      <c r="G287" t="str" cm="1">
        <f t="array" ref="G287">_xlfn.IFS(
  F287="10's", "Child (5–12)",
  OR(F287="20's", F287="30's"), "Young Adult (20–39)",
  OR(F287="40's", F287="50's"), "Adult (40–59)",
  OR(F287="60's", F287="70's", F287="80's", F287="90's"), "Senior (60+)",
  TRUE, "Unknown"
)</f>
        <v>Adult (40–59)</v>
      </c>
      <c r="H287" t="s">
        <v>27</v>
      </c>
      <c r="I287" t="s">
        <v>35</v>
      </c>
      <c r="J287" t="str">
        <f t="shared" si="17"/>
        <v>Environmental Heat</v>
      </c>
      <c r="K287" t="s">
        <v>1827</v>
      </c>
      <c r="L287" t="s">
        <v>250</v>
      </c>
      <c r="N287" t="s">
        <v>5095</v>
      </c>
      <c r="O287" t="str" cm="1">
        <f t="array" ref="O287">_xlfn.IFS(
  TEXT(TRIM(N287),"00000")="NULL", "Missing/Unknown",
  OR(TEXT(TRIM(N287),"00000")="89101", TEXT(TRIM(N287),"00000")="89104", TEXT(TRIM(N287),"00000")="89106", TEXT(TRIM(N287),"00000")="89102", TEXT(TRIM(N287),"00000")="89107", TEXT(TRIM(N287),"00000")="89108"), "Urban Core",
  OR(TEXT(TRIM(N287),"00000")="89110", TEXT(TRIM(N287),"00000")="89115", TEXT(TRIM(N287),"00000")="89121", TEXT(TRIM(N287),"00000")="89122", TEXT(TRIM(N287),"00000")="89142", TEXT(TRIM(N287),"00000")="89156"), "East Valley",
  OR(TEXT(TRIM(N287),"00000")="89030", TEXT(TRIM(N287),"00000")="89031", TEXT(TRIM(N287),"00000")="89032", TEXT(TRIM(N287),"00000")="89086", TEXT(TRIM(N287),"00000")="89084", TEXT(TRIM(N287),"00000")="89081"), "North LV",
  OR(TEXT(TRIM(N287),"00000")="89109", TEXT(TRIM(N287),"00000")="89103", TEXT(TRIM(N287),"00000")="89119", TEXT(TRIM(N287),"00000")="89123", TEXT(TRIM(N287),"00000")="89169", TEXT(TRIM(N287),"00000")="89118"), "South/Strip",
  OR(TEXT(TRIM(N287),"00000")="89074", TEXT(TRIM(N287),"00000")="89014", TEXT(TRIM(N287),"00000")="89015", TEXT(TRIM(N287),"00000")="89011", TEXT(TRIM(N287),"00000")="89012"), "Suburban SE",
  OR(TEXT(TRIM(N287),"00000")="89117", TEXT(TRIM(N287),"00000")="89128", TEXT(TRIM(N287),"00000")="89135", TEXT(TRIM(N287),"00000")="89144", TEXT(TRIM(N287),"00000")="89145", TEXT(TRIM(N287),"00000")="89147"), "West Valley",
  TRUE, "Other"
)</f>
        <v>Missing/Unknown</v>
      </c>
      <c r="P287" t="s">
        <v>3298</v>
      </c>
      <c r="Q287" t="str">
        <f t="shared" si="18"/>
        <v>Outdoors/Public</v>
      </c>
      <c r="R287" t="s">
        <v>4576</v>
      </c>
      <c r="S287" t="s">
        <v>5118</v>
      </c>
      <c r="T287" t="str" cm="1">
        <f t="array" ref="T287">_xlfn.IFS(
  TEXT(TRIM(S287),"00000")="NULL", "Missing/Unknown",
  OR(TEXT(TRIM(S287),"00000")="89101", TEXT(TRIM(S287),"00000")="89104", TEXT(TRIM(S287),"00000")="89106", TEXT(TRIM(S287),"00000")="89102", TEXT(TRIM(S287),"00000")="89107", TEXT(TRIM(S287),"00000")="89108"), "Urban Core",
  OR(TEXT(TRIM(S287),"00000")="89110", TEXT(TRIM(S287),"00000")="89115", TEXT(TRIM(S287),"00000")="89121", TEXT(TRIM(S287),"00000")="89122", TEXT(TRIM(S287),"00000")="89142", TEXT(TRIM(S287),"00000")="89156"), "East Valley",
  OR(TEXT(TRIM(S287),"00000")="89030", TEXT(TRIM(S287),"00000")="89031", TEXT(TRIM(S287),"00000")="89032", TEXT(TRIM(S287),"00000")="89086", TEXT(TRIM(S287),"00000")="89084", TEXT(TRIM(S287),"00000")="89081"), "North LV",
  OR(TEXT(TRIM(S287),"00000")="89109", TEXT(TRIM(S287),"00000")="89103", TEXT(TRIM(S287),"00000")="89119", TEXT(TRIM(S287),"00000")="89123", TEXT(TRIM(S287),"00000")="89169", TEXT(TRIM(S287),"00000")="89118"), "South/Strip",
  OR(TEXT(TRIM(S287),"00000")="89074", TEXT(TRIM(S287),"00000")="89014", TEXT(TRIM(S287),"00000")="89015", TEXT(TRIM(S287),"00000")="89011", TEXT(TRIM(S287),"00000")="89012"), "Suburban SE",
  OR(TEXT(TRIM(S287),"00000")="89117", TEXT(TRIM(S287),"00000")="89128", TEXT(TRIM(S287),"00000")="89135", TEXT(TRIM(S287),"00000")="89144", TEXT(TRIM(S287),"00000")="89145", TEXT(TRIM(S287),"00000")="89147"), "West Valley",
  TRUE, "Other"
)</f>
        <v>South/Strip</v>
      </c>
      <c r="U287" t="s">
        <v>2465</v>
      </c>
      <c r="V287" t="str">
        <f t="shared" si="19"/>
        <v>Medical Facility</v>
      </c>
    </row>
    <row r="288" spans="1:22">
      <c r="A288" t="s">
        <v>3053</v>
      </c>
      <c r="B288" t="s">
        <v>3054</v>
      </c>
      <c r="C288" s="1">
        <v>45485</v>
      </c>
      <c r="D288" s="4">
        <v>113</v>
      </c>
      <c r="E288">
        <v>44</v>
      </c>
      <c r="F288" t="str">
        <f t="shared" si="16"/>
        <v>40's</v>
      </c>
      <c r="G288" t="str" cm="1">
        <f t="array" ref="G288">_xlfn.IFS(
  F288="10's", "Child (5–12)",
  OR(F288="20's", F288="30's"), "Young Adult (20–39)",
  OR(F288="40's", F288="50's"), "Adult (40–59)",
  OR(F288="60's", F288="70's", F288="80's", F288="90's"), "Senior (60+)",
  TRUE, "Unknown"
)</f>
        <v>Adult (40–59)</v>
      </c>
      <c r="H288" t="s">
        <v>841</v>
      </c>
      <c r="I288" t="s">
        <v>54</v>
      </c>
      <c r="J288" t="str">
        <f t="shared" si="17"/>
        <v>Environmental Heat</v>
      </c>
      <c r="K288" t="s">
        <v>4181</v>
      </c>
      <c r="L288" t="s">
        <v>250</v>
      </c>
      <c r="M288" t="s">
        <v>4692</v>
      </c>
      <c r="N288" t="s">
        <v>5125</v>
      </c>
      <c r="O288" t="str" cm="1">
        <f t="array" ref="O288">_xlfn.IFS(
  TEXT(TRIM(N288),"00000")="NULL", "Missing/Unknown",
  OR(TEXT(TRIM(N288),"00000")="89101", TEXT(TRIM(N288),"00000")="89104", TEXT(TRIM(N288),"00000")="89106", TEXT(TRIM(N288),"00000")="89102", TEXT(TRIM(N288),"00000")="89107", TEXT(TRIM(N288),"00000")="89108"), "Urban Core",
  OR(TEXT(TRIM(N288),"00000")="89110", TEXT(TRIM(N288),"00000")="89115", TEXT(TRIM(N288),"00000")="89121", TEXT(TRIM(N288),"00000")="89122", TEXT(TRIM(N288),"00000")="89142", TEXT(TRIM(N288),"00000")="89156"), "East Valley",
  OR(TEXT(TRIM(N288),"00000")="89030", TEXT(TRIM(N288),"00000")="89031", TEXT(TRIM(N288),"00000")="89032", TEXT(TRIM(N288),"00000")="89086", TEXT(TRIM(N288),"00000")="89084", TEXT(TRIM(N288),"00000")="89081"), "North LV",
  OR(TEXT(TRIM(N288),"00000")="89109", TEXT(TRIM(N288),"00000")="89103", TEXT(TRIM(N288),"00000")="89119", TEXT(TRIM(N288),"00000")="89123", TEXT(TRIM(N288),"00000")="89169", TEXT(TRIM(N288),"00000")="89118"), "South/Strip",
  OR(TEXT(TRIM(N288),"00000")="89074", TEXT(TRIM(N288),"00000")="89014", TEXT(TRIM(N288),"00000")="89015", TEXT(TRIM(N288),"00000")="89011", TEXT(TRIM(N288),"00000")="89012"), "Suburban SE",
  OR(TEXT(TRIM(N288),"00000")="89117", TEXT(TRIM(N288),"00000")="89128", TEXT(TRIM(N288),"00000")="89135", TEXT(TRIM(N288),"00000")="89144", TEXT(TRIM(N288),"00000")="89145", TEXT(TRIM(N288),"00000")="89147"), "West Valley",
  TRUE, "Other"
)</f>
        <v>South/Strip</v>
      </c>
      <c r="P288" t="s">
        <v>3298</v>
      </c>
      <c r="Q288" t="str">
        <f t="shared" si="18"/>
        <v>Outdoors/Public</v>
      </c>
      <c r="R288" t="s">
        <v>4692</v>
      </c>
      <c r="S288" t="s">
        <v>5125</v>
      </c>
      <c r="T288" t="str" cm="1">
        <f t="array" ref="T288">_xlfn.IFS(
  TEXT(TRIM(S288),"00000")="NULL", "Missing/Unknown",
  OR(TEXT(TRIM(S288),"00000")="89101", TEXT(TRIM(S288),"00000")="89104", TEXT(TRIM(S288),"00000")="89106", TEXT(TRIM(S288),"00000")="89102", TEXT(TRIM(S288),"00000")="89107", TEXT(TRIM(S288),"00000")="89108"), "Urban Core",
  OR(TEXT(TRIM(S288),"00000")="89110", TEXT(TRIM(S288),"00000")="89115", TEXT(TRIM(S288),"00000")="89121", TEXT(TRIM(S288),"00000")="89122", TEXT(TRIM(S288),"00000")="89142", TEXT(TRIM(S288),"00000")="89156"), "East Valley",
  OR(TEXT(TRIM(S288),"00000")="89030", TEXT(TRIM(S288),"00000")="89031", TEXT(TRIM(S288),"00000")="89032", TEXT(TRIM(S288),"00000")="89086", TEXT(TRIM(S288),"00000")="89084", TEXT(TRIM(S288),"00000")="89081"), "North LV",
  OR(TEXT(TRIM(S288),"00000")="89109", TEXT(TRIM(S288),"00000")="89103", TEXT(TRIM(S288),"00000")="89119", TEXT(TRIM(S288),"00000")="89123", TEXT(TRIM(S288),"00000")="89169", TEXT(TRIM(S288),"00000")="89118"), "South/Strip",
  OR(TEXT(TRIM(S288),"00000")="89074", TEXT(TRIM(S288),"00000")="89014", TEXT(TRIM(S288),"00000")="89015", TEXT(TRIM(S288),"00000")="89011", TEXT(TRIM(S288),"00000")="89012"), "Suburban SE",
  OR(TEXT(TRIM(S288),"00000")="89117", TEXT(TRIM(S288),"00000")="89128", TEXT(TRIM(S288),"00000")="89135", TEXT(TRIM(S288),"00000")="89144", TEXT(TRIM(S288),"00000")="89145", TEXT(TRIM(S288),"00000")="89147"), "West Valley",
  TRUE, "Other"
)</f>
        <v>South/Strip</v>
      </c>
      <c r="U288" t="s">
        <v>3298</v>
      </c>
      <c r="V288" t="str">
        <f t="shared" si="19"/>
        <v>Outdoors/Public</v>
      </c>
    </row>
    <row r="289" spans="1:22">
      <c r="A289" t="s">
        <v>3305</v>
      </c>
      <c r="B289" t="s">
        <v>3306</v>
      </c>
      <c r="C289" s="1">
        <v>45485</v>
      </c>
      <c r="D289" s="4">
        <v>113</v>
      </c>
      <c r="E289">
        <v>43</v>
      </c>
      <c r="F289" t="str">
        <f t="shared" si="16"/>
        <v>40's</v>
      </c>
      <c r="G289" t="str" cm="1">
        <f t="array" ref="G289">_xlfn.IFS(
  F289="10's", "Child (5–12)",
  OR(F289="20's", F289="30's"), "Young Adult (20–39)",
  OR(F289="40's", F289="50's"), "Adult (40–59)",
  OR(F289="60's", F289="70's", F289="80's", F289="90's"), "Senior (60+)",
  TRUE, "Unknown"
)</f>
        <v>Adult (40–59)</v>
      </c>
      <c r="H289" t="s">
        <v>4309</v>
      </c>
      <c r="I289" t="s">
        <v>163</v>
      </c>
      <c r="J289" t="str">
        <f t="shared" si="17"/>
        <v>Environmental Heat</v>
      </c>
      <c r="K289" t="s">
        <v>172</v>
      </c>
      <c r="L289" t="s">
        <v>1071</v>
      </c>
      <c r="M289" t="s">
        <v>4513</v>
      </c>
      <c r="N289" t="s">
        <v>5117</v>
      </c>
      <c r="O289" t="str" cm="1">
        <f t="array" ref="O289">_xlfn.IFS(
  TEXT(TRIM(N289),"00000")="NULL", "Missing/Unknown",
  OR(TEXT(TRIM(N289),"00000")="89101", TEXT(TRIM(N289),"00000")="89104", TEXT(TRIM(N289),"00000")="89106", TEXT(TRIM(N289),"00000")="89102", TEXT(TRIM(N289),"00000")="89107", TEXT(TRIM(N289),"00000")="89108"), "Urban Core",
  OR(TEXT(TRIM(N289),"00000")="89110", TEXT(TRIM(N289),"00000")="89115", TEXT(TRIM(N289),"00000")="89121", TEXT(TRIM(N289),"00000")="89122", TEXT(TRIM(N289),"00000")="89142", TEXT(TRIM(N289),"00000")="89156"), "East Valley",
  OR(TEXT(TRIM(N289),"00000")="89030", TEXT(TRIM(N289),"00000")="89031", TEXT(TRIM(N289),"00000")="89032", TEXT(TRIM(N289),"00000")="89086", TEXT(TRIM(N289),"00000")="89084", TEXT(TRIM(N289),"00000")="89081"), "North LV",
  OR(TEXT(TRIM(N289),"00000")="89109", TEXT(TRIM(N289),"00000")="89103", TEXT(TRIM(N289),"00000")="89119", TEXT(TRIM(N289),"00000")="89123", TEXT(TRIM(N289),"00000")="89169", TEXT(TRIM(N289),"00000")="89118"), "South/Strip",
  OR(TEXT(TRIM(N289),"00000")="89074", TEXT(TRIM(N289),"00000")="89014", TEXT(TRIM(N289),"00000")="89015", TEXT(TRIM(N289),"00000")="89011", TEXT(TRIM(N289),"00000")="89012"), "Suburban SE",
  OR(TEXT(TRIM(N289),"00000")="89117", TEXT(TRIM(N289),"00000")="89128", TEXT(TRIM(N289),"00000")="89135", TEXT(TRIM(N289),"00000")="89144", TEXT(TRIM(N289),"00000")="89145", TEXT(TRIM(N289),"00000")="89147"), "West Valley",
  TRUE, "Other"
)</f>
        <v>North LV</v>
      </c>
      <c r="P289" t="s">
        <v>1073</v>
      </c>
      <c r="Q289" t="str">
        <f t="shared" si="18"/>
        <v>Home/Residence</v>
      </c>
      <c r="R289" t="s">
        <v>5054</v>
      </c>
      <c r="S289" t="s">
        <v>5097</v>
      </c>
      <c r="T289" t="str" cm="1">
        <f t="array" ref="T289">_xlfn.IFS(
  TEXT(TRIM(S289),"00000")="NULL", "Missing/Unknown",
  OR(TEXT(TRIM(S289),"00000")="89101", TEXT(TRIM(S289),"00000")="89104", TEXT(TRIM(S289),"00000")="89106", TEXT(TRIM(S289),"00000")="89102", TEXT(TRIM(S289),"00000")="89107", TEXT(TRIM(S289),"00000")="89108"), "Urban Core",
  OR(TEXT(TRIM(S289),"00000")="89110", TEXT(TRIM(S289),"00000")="89115", TEXT(TRIM(S289),"00000")="89121", TEXT(TRIM(S289),"00000")="89122", TEXT(TRIM(S289),"00000")="89142", TEXT(TRIM(S289),"00000")="89156"), "East Valley",
  OR(TEXT(TRIM(S289),"00000")="89030", TEXT(TRIM(S289),"00000")="89031", TEXT(TRIM(S289),"00000")="89032", TEXT(TRIM(S289),"00000")="89086", TEXT(TRIM(S289),"00000")="89084", TEXT(TRIM(S289),"00000")="89081"), "North LV",
  OR(TEXT(TRIM(S289),"00000")="89109", TEXT(TRIM(S289),"00000")="89103", TEXT(TRIM(S289),"00000")="89119", TEXT(TRIM(S289),"00000")="89123", TEXT(TRIM(S289),"00000")="89169", TEXT(TRIM(S289),"00000")="89118"), "South/Strip",
  OR(TEXT(TRIM(S289),"00000")="89074", TEXT(TRIM(S289),"00000")="89014", TEXT(TRIM(S289),"00000")="89015", TEXT(TRIM(S289),"00000")="89011", TEXT(TRIM(S289),"00000")="89012"), "Suburban SE",
  OR(TEXT(TRIM(S289),"00000")="89117", TEXT(TRIM(S289),"00000")="89128", TEXT(TRIM(S289),"00000")="89135", TEXT(TRIM(S289),"00000")="89144", TEXT(TRIM(S289),"00000")="89145", TEXT(TRIM(S289),"00000")="89147"), "West Valley",
  TRUE, "Other"
)</f>
        <v>Urban Core</v>
      </c>
      <c r="U289" t="s">
        <v>2433</v>
      </c>
      <c r="V289" t="str">
        <f t="shared" si="19"/>
        <v>Medical Facility</v>
      </c>
    </row>
    <row r="290" spans="1:22">
      <c r="A290" t="s">
        <v>3342</v>
      </c>
      <c r="B290" t="s">
        <v>3343</v>
      </c>
      <c r="C290" s="1">
        <v>45485</v>
      </c>
      <c r="D290" s="4">
        <v>113</v>
      </c>
      <c r="E290">
        <v>56</v>
      </c>
      <c r="F290" t="str">
        <f t="shared" si="16"/>
        <v>50's</v>
      </c>
      <c r="G290" t="str" cm="1">
        <f t="array" ref="G290">_xlfn.IFS(
  F290="10's", "Child (5–12)",
  OR(F290="20's", F290="30's"), "Young Adult (20–39)",
  OR(F290="40's", F290="50's"), "Adult (40–59)",
  OR(F290="60's", F290="70's", F290="80's", F290="90's"), "Senior (60+)",
  TRUE, "Unknown"
)</f>
        <v>Adult (40–59)</v>
      </c>
      <c r="H290" t="s">
        <v>841</v>
      </c>
      <c r="I290" t="s">
        <v>3341</v>
      </c>
      <c r="J290" t="str">
        <f t="shared" si="17"/>
        <v>Ethanol-related</v>
      </c>
      <c r="K290" t="s">
        <v>35</v>
      </c>
      <c r="L290" t="s">
        <v>1071</v>
      </c>
      <c r="M290" t="s">
        <v>4934</v>
      </c>
      <c r="N290" t="s">
        <v>5101</v>
      </c>
      <c r="O290" t="str" cm="1">
        <f t="array" ref="O290">_xlfn.IFS(
  TEXT(TRIM(N290),"00000")="NULL", "Missing/Unknown",
  OR(TEXT(TRIM(N290),"00000")="89101", TEXT(TRIM(N290),"00000")="89104", TEXT(TRIM(N290),"00000")="89106", TEXT(TRIM(N290),"00000")="89102", TEXT(TRIM(N290),"00000")="89107", TEXT(TRIM(N290),"00000")="89108"), "Urban Core",
  OR(TEXT(TRIM(N290),"00000")="89110", TEXT(TRIM(N290),"00000")="89115", TEXT(TRIM(N290),"00000")="89121", TEXT(TRIM(N290),"00000")="89122", TEXT(TRIM(N290),"00000")="89142", TEXT(TRIM(N290),"00000")="89156"), "East Valley",
  OR(TEXT(TRIM(N290),"00000")="89030", TEXT(TRIM(N290),"00000")="89031", TEXT(TRIM(N290),"00000")="89032", TEXT(TRIM(N290),"00000")="89086", TEXT(TRIM(N290),"00000")="89084", TEXT(TRIM(N290),"00000")="89081"), "North LV",
  OR(TEXT(TRIM(N290),"00000")="89109", TEXT(TRIM(N290),"00000")="89103", TEXT(TRIM(N290),"00000")="89119", TEXT(TRIM(N290),"00000")="89123", TEXT(TRIM(N290),"00000")="89169", TEXT(TRIM(N290),"00000")="89118"), "South/Strip",
  OR(TEXT(TRIM(N290),"00000")="89074", TEXT(TRIM(N290),"00000")="89014", TEXT(TRIM(N290),"00000")="89015", TEXT(TRIM(N290),"00000")="89011", TEXT(TRIM(N290),"00000")="89012"), "Suburban SE",
  OR(TEXT(TRIM(N290),"00000")="89117", TEXT(TRIM(N290),"00000")="89128", TEXT(TRIM(N290),"00000")="89135", TEXT(TRIM(N290),"00000")="89144", TEXT(TRIM(N290),"00000")="89145", TEXT(TRIM(N290),"00000")="89147"), "West Valley",
  TRUE, "Other"
)</f>
        <v>Urban Core</v>
      </c>
      <c r="P290" t="s">
        <v>1073</v>
      </c>
      <c r="Q290" t="str">
        <f t="shared" si="18"/>
        <v>Home/Residence</v>
      </c>
      <c r="R290" t="s">
        <v>4934</v>
      </c>
      <c r="S290" t="s">
        <v>5101</v>
      </c>
      <c r="T290" t="str" cm="1">
        <f t="array" ref="T290">_xlfn.IFS(
  TEXT(TRIM(S290),"00000")="NULL", "Missing/Unknown",
  OR(TEXT(TRIM(S290),"00000")="89101", TEXT(TRIM(S290),"00000")="89104", TEXT(TRIM(S290),"00000")="89106", TEXT(TRIM(S290),"00000")="89102", TEXT(TRIM(S290),"00000")="89107", TEXT(TRIM(S290),"00000")="89108"), "Urban Core",
  OR(TEXT(TRIM(S290),"00000")="89110", TEXT(TRIM(S290),"00000")="89115", TEXT(TRIM(S290),"00000")="89121", TEXT(TRIM(S290),"00000")="89122", TEXT(TRIM(S290),"00000")="89142", TEXT(TRIM(S290),"00000")="89156"), "East Valley",
  OR(TEXT(TRIM(S290),"00000")="89030", TEXT(TRIM(S290),"00000")="89031", TEXT(TRIM(S290),"00000")="89032", TEXT(TRIM(S290),"00000")="89086", TEXT(TRIM(S290),"00000")="89084", TEXT(TRIM(S290),"00000")="89081"), "North LV",
  OR(TEXT(TRIM(S290),"00000")="89109", TEXT(TRIM(S290),"00000")="89103", TEXT(TRIM(S290),"00000")="89119", TEXT(TRIM(S290),"00000")="89123", TEXT(TRIM(S290),"00000")="89169", TEXT(TRIM(S290),"00000")="89118"), "South/Strip",
  OR(TEXT(TRIM(S290),"00000")="89074", TEXT(TRIM(S290),"00000")="89014", TEXT(TRIM(S290),"00000")="89015", TEXT(TRIM(S290),"00000")="89011", TEXT(TRIM(S290),"00000")="89012"), "Suburban SE",
  OR(TEXT(TRIM(S290),"00000")="89117", TEXT(TRIM(S290),"00000")="89128", TEXT(TRIM(S290),"00000")="89135", TEXT(TRIM(S290),"00000")="89144", TEXT(TRIM(S290),"00000")="89145", TEXT(TRIM(S290),"00000")="89147"), "West Valley",
  TRUE, "Other"
)</f>
        <v>Urban Core</v>
      </c>
      <c r="U290" t="s">
        <v>1073</v>
      </c>
      <c r="V290" t="str">
        <f t="shared" si="19"/>
        <v>Home/Residence</v>
      </c>
    </row>
    <row r="291" spans="1:22">
      <c r="A291" t="s">
        <v>3883</v>
      </c>
      <c r="B291" t="s">
        <v>3884</v>
      </c>
      <c r="C291" s="1">
        <v>45485</v>
      </c>
      <c r="D291" s="4">
        <v>113</v>
      </c>
      <c r="E291">
        <v>45</v>
      </c>
      <c r="F291" t="str">
        <f t="shared" si="16"/>
        <v>40's</v>
      </c>
      <c r="G291" t="str" cm="1">
        <f t="array" ref="G291">_xlfn.IFS(
  F291="10's", "Child (5–12)",
  OR(F291="20's", F291="30's"), "Young Adult (20–39)",
  OR(F291="40's", F291="50's"), "Adult (40–59)",
  OR(F291="60's", F291="70's", F291="80's", F291="90's"), "Senior (60+)",
  TRUE, "Unknown"
)</f>
        <v>Adult (40–59)</v>
      </c>
      <c r="H291" t="s">
        <v>27</v>
      </c>
      <c r="I291" t="s">
        <v>830</v>
      </c>
      <c r="J291" t="str">
        <f t="shared" si="17"/>
        <v>Methamphetamine-related</v>
      </c>
      <c r="K291" t="s">
        <v>35</v>
      </c>
      <c r="L291" t="s">
        <v>250</v>
      </c>
      <c r="M291" t="s">
        <v>4335</v>
      </c>
      <c r="N291" t="s">
        <v>5108</v>
      </c>
      <c r="O291" t="str" cm="1">
        <f t="array" ref="O291">_xlfn.IFS(
  TEXT(TRIM(N291),"00000")="NULL", "Missing/Unknown",
  OR(TEXT(TRIM(N291),"00000")="89101", TEXT(TRIM(N291),"00000")="89104", TEXT(TRIM(N291),"00000")="89106", TEXT(TRIM(N291),"00000")="89102", TEXT(TRIM(N291),"00000")="89107", TEXT(TRIM(N291),"00000")="89108"), "Urban Core",
  OR(TEXT(TRIM(N291),"00000")="89110", TEXT(TRIM(N291),"00000")="89115", TEXT(TRIM(N291),"00000")="89121", TEXT(TRIM(N291),"00000")="89122", TEXT(TRIM(N291),"00000")="89142", TEXT(TRIM(N291),"00000")="89156"), "East Valley",
  OR(TEXT(TRIM(N291),"00000")="89030", TEXT(TRIM(N291),"00000")="89031", TEXT(TRIM(N291),"00000")="89032", TEXT(TRIM(N291),"00000")="89086", TEXT(TRIM(N291),"00000")="89084", TEXT(TRIM(N291),"00000")="89081"), "North LV",
  OR(TEXT(TRIM(N291),"00000")="89109", TEXT(TRIM(N291),"00000")="89103", TEXT(TRIM(N291),"00000")="89119", TEXT(TRIM(N291),"00000")="89123", TEXT(TRIM(N291),"00000")="89169", TEXT(TRIM(N291),"00000")="89118"), "South/Strip",
  OR(TEXT(TRIM(N291),"00000")="89074", TEXT(TRIM(N291),"00000")="89014", TEXT(TRIM(N291),"00000")="89015", TEXT(TRIM(N291),"00000")="89011", TEXT(TRIM(N291),"00000")="89012"), "Suburban SE",
  OR(TEXT(TRIM(N291),"00000")="89117", TEXT(TRIM(N291),"00000")="89128", TEXT(TRIM(N291),"00000")="89135", TEXT(TRIM(N291),"00000")="89144", TEXT(TRIM(N291),"00000")="89145", TEXT(TRIM(N291),"00000")="89147"), "West Valley",
  TRUE, "Other"
)</f>
        <v>East Valley</v>
      </c>
      <c r="P291" t="s">
        <v>3298</v>
      </c>
      <c r="Q291" t="str">
        <f t="shared" si="18"/>
        <v>Outdoors/Public</v>
      </c>
      <c r="R291" t="s">
        <v>4335</v>
      </c>
      <c r="S291" t="s">
        <v>5108</v>
      </c>
      <c r="T291" t="str" cm="1">
        <f t="array" ref="T291">_xlfn.IFS(
  TEXT(TRIM(S291),"00000")="NULL", "Missing/Unknown",
  OR(TEXT(TRIM(S291),"00000")="89101", TEXT(TRIM(S291),"00000")="89104", TEXT(TRIM(S291),"00000")="89106", TEXT(TRIM(S291),"00000")="89102", TEXT(TRIM(S291),"00000")="89107", TEXT(TRIM(S291),"00000")="89108"), "Urban Core",
  OR(TEXT(TRIM(S291),"00000")="89110", TEXT(TRIM(S291),"00000")="89115", TEXT(TRIM(S291),"00000")="89121", TEXT(TRIM(S291),"00000")="89122", TEXT(TRIM(S291),"00000")="89142", TEXT(TRIM(S291),"00000")="89156"), "East Valley",
  OR(TEXT(TRIM(S291),"00000")="89030", TEXT(TRIM(S291),"00000")="89031", TEXT(TRIM(S291),"00000")="89032", TEXT(TRIM(S291),"00000")="89086", TEXT(TRIM(S291),"00000")="89084", TEXT(TRIM(S291),"00000")="89081"), "North LV",
  OR(TEXT(TRIM(S291),"00000")="89109", TEXT(TRIM(S291),"00000")="89103", TEXT(TRIM(S291),"00000")="89119", TEXT(TRIM(S291),"00000")="89123", TEXT(TRIM(S291),"00000")="89169", TEXT(TRIM(S291),"00000")="89118"), "South/Strip",
  OR(TEXT(TRIM(S291),"00000")="89074", TEXT(TRIM(S291),"00000")="89014", TEXT(TRIM(S291),"00000")="89015", TEXT(TRIM(S291),"00000")="89011", TEXT(TRIM(S291),"00000")="89012"), "Suburban SE",
  OR(TEXT(TRIM(S291),"00000")="89117", TEXT(TRIM(S291),"00000")="89128", TEXT(TRIM(S291),"00000")="89135", TEXT(TRIM(S291),"00000")="89144", TEXT(TRIM(S291),"00000")="89145", TEXT(TRIM(S291),"00000")="89147"), "West Valley",
  TRUE, "Other"
)</f>
        <v>East Valley</v>
      </c>
      <c r="U291" t="s">
        <v>3298</v>
      </c>
      <c r="V291" t="str">
        <f t="shared" si="19"/>
        <v>Outdoors/Public</v>
      </c>
    </row>
    <row r="292" spans="1:22">
      <c r="A292" t="s">
        <v>3710</v>
      </c>
      <c r="B292" t="s">
        <v>3711</v>
      </c>
      <c r="C292" s="1">
        <v>45485</v>
      </c>
      <c r="D292" s="4">
        <v>113</v>
      </c>
      <c r="E292">
        <v>52</v>
      </c>
      <c r="F292" t="str">
        <f t="shared" si="16"/>
        <v>50's</v>
      </c>
      <c r="G292" t="str" cm="1">
        <f t="array" ref="G292">_xlfn.IFS(
  F292="10's", "Child (5–12)",
  OR(F292="20's", F292="30's"), "Young Adult (20–39)",
  OR(F292="40's", F292="50's"), "Adult (40–59)",
  OR(F292="60's", F292="70's", F292="80's", F292="90's"), "Senior (60+)",
  TRUE, "Unknown"
)</f>
        <v>Adult (40–59)</v>
      </c>
      <c r="H292" t="s">
        <v>841</v>
      </c>
      <c r="I292" t="s">
        <v>135</v>
      </c>
      <c r="J292" t="str">
        <f t="shared" si="17"/>
        <v>Methamphetamine-related</v>
      </c>
      <c r="K292" t="s">
        <v>35</v>
      </c>
      <c r="L292" t="s">
        <v>250</v>
      </c>
      <c r="M292" t="s">
        <v>4613</v>
      </c>
      <c r="N292" t="s">
        <v>5132</v>
      </c>
      <c r="O292" t="str" cm="1">
        <f t="array" ref="O292">_xlfn.IFS(
  TEXT(TRIM(N292),"00000")="NULL", "Missing/Unknown",
  OR(TEXT(TRIM(N292),"00000")="89101", TEXT(TRIM(N292),"00000")="89104", TEXT(TRIM(N292),"00000")="89106", TEXT(TRIM(N292),"00000")="89102", TEXT(TRIM(N292),"00000")="89107", TEXT(TRIM(N292),"00000")="89108"), "Urban Core",
  OR(TEXT(TRIM(N292),"00000")="89110", TEXT(TRIM(N292),"00000")="89115", TEXT(TRIM(N292),"00000")="89121", TEXT(TRIM(N292),"00000")="89122", TEXT(TRIM(N292),"00000")="89142", TEXT(TRIM(N292),"00000")="89156"), "East Valley",
  OR(TEXT(TRIM(N292),"00000")="89030", TEXT(TRIM(N292),"00000")="89031", TEXT(TRIM(N292),"00000")="89032", TEXT(TRIM(N292),"00000")="89086", TEXT(TRIM(N292),"00000")="89084", TEXT(TRIM(N292),"00000")="89081"), "North LV",
  OR(TEXT(TRIM(N292),"00000")="89109", TEXT(TRIM(N292),"00000")="89103", TEXT(TRIM(N292),"00000")="89119", TEXT(TRIM(N292),"00000")="89123", TEXT(TRIM(N292),"00000")="89169", TEXT(TRIM(N292),"00000")="89118"), "South/Strip",
  OR(TEXT(TRIM(N292),"00000")="89074", TEXT(TRIM(N292),"00000")="89014", TEXT(TRIM(N292),"00000")="89015", TEXT(TRIM(N292),"00000")="89011", TEXT(TRIM(N292),"00000")="89012"), "Suburban SE",
  OR(TEXT(TRIM(N292),"00000")="89117", TEXT(TRIM(N292),"00000")="89128", TEXT(TRIM(N292),"00000")="89135", TEXT(TRIM(N292),"00000")="89144", TEXT(TRIM(N292),"00000")="89145", TEXT(TRIM(N292),"00000")="89147"), "West Valley",
  TRUE, "Other"
)</f>
        <v>Other</v>
      </c>
      <c r="P292" t="s">
        <v>271</v>
      </c>
      <c r="Q292" t="str">
        <f t="shared" si="18"/>
        <v>Home/Residence</v>
      </c>
      <c r="R292" t="s">
        <v>4613</v>
      </c>
      <c r="S292" t="s">
        <v>5132</v>
      </c>
      <c r="T292" t="str" cm="1">
        <f t="array" ref="T292">_xlfn.IFS(
  TEXT(TRIM(S292),"00000")="NULL", "Missing/Unknown",
  OR(TEXT(TRIM(S292),"00000")="89101", TEXT(TRIM(S292),"00000")="89104", TEXT(TRIM(S292),"00000")="89106", TEXT(TRIM(S292),"00000")="89102", TEXT(TRIM(S292),"00000")="89107", TEXT(TRIM(S292),"00000")="89108"), "Urban Core",
  OR(TEXT(TRIM(S292),"00000")="89110", TEXT(TRIM(S292),"00000")="89115", TEXT(TRIM(S292),"00000")="89121", TEXT(TRIM(S292),"00000")="89122", TEXT(TRIM(S292),"00000")="89142", TEXT(TRIM(S292),"00000")="89156"), "East Valley",
  OR(TEXT(TRIM(S292),"00000")="89030", TEXT(TRIM(S292),"00000")="89031", TEXT(TRIM(S292),"00000")="89032", TEXT(TRIM(S292),"00000")="89086", TEXT(TRIM(S292),"00000")="89084", TEXT(TRIM(S292),"00000")="89081"), "North LV",
  OR(TEXT(TRIM(S292),"00000")="89109", TEXT(TRIM(S292),"00000")="89103", TEXT(TRIM(S292),"00000")="89119", TEXT(TRIM(S292),"00000")="89123", TEXT(TRIM(S292),"00000")="89169", TEXT(TRIM(S292),"00000")="89118"), "South/Strip",
  OR(TEXT(TRIM(S292),"00000")="89074", TEXT(TRIM(S292),"00000")="89014", TEXT(TRIM(S292),"00000")="89015", TEXT(TRIM(S292),"00000")="89011", TEXT(TRIM(S292),"00000")="89012"), "Suburban SE",
  OR(TEXT(TRIM(S292),"00000")="89117", TEXT(TRIM(S292),"00000")="89128", TEXT(TRIM(S292),"00000")="89135", TEXT(TRIM(S292),"00000")="89144", TEXT(TRIM(S292),"00000")="89145", TEXT(TRIM(S292),"00000")="89147"), "West Valley",
  TRUE, "Other"
)</f>
        <v>Other</v>
      </c>
      <c r="U292" t="s">
        <v>271</v>
      </c>
      <c r="V292" t="str">
        <f t="shared" si="19"/>
        <v>Home/Residence</v>
      </c>
    </row>
    <row r="293" spans="1:22">
      <c r="A293" t="s">
        <v>2580</v>
      </c>
      <c r="B293" t="s">
        <v>2581</v>
      </c>
      <c r="C293" s="1">
        <v>45485</v>
      </c>
      <c r="D293" s="4">
        <v>113</v>
      </c>
      <c r="E293">
        <v>87</v>
      </c>
      <c r="F293" t="str">
        <f t="shared" si="16"/>
        <v>80's</v>
      </c>
      <c r="G293" t="str" cm="1">
        <f t="array" ref="G293">_xlfn.IFS(
  F293="10's", "Child (5–12)",
  OR(F293="20's", F293="30's"), "Young Adult (20–39)",
  OR(F293="40's", F293="50's"), "Adult (40–59)",
  OR(F293="60's", F293="70's", F293="80's", F293="90's"), "Senior (60+)",
  TRUE, "Unknown"
)</f>
        <v>Senior (60+)</v>
      </c>
      <c r="H293" t="s">
        <v>778</v>
      </c>
      <c r="I293" t="s">
        <v>4059</v>
      </c>
      <c r="J293" t="str">
        <f t="shared" si="17"/>
        <v>Cardiovascular Disease</v>
      </c>
      <c r="K293" t="s">
        <v>831</v>
      </c>
      <c r="L293" t="s">
        <v>250</v>
      </c>
      <c r="N293" t="s">
        <v>5095</v>
      </c>
      <c r="O293" t="str" cm="1">
        <f t="array" ref="O293">_xlfn.IFS(
  TEXT(TRIM(N293),"00000")="NULL", "Missing/Unknown",
  OR(TEXT(TRIM(N293),"00000")="89101", TEXT(TRIM(N293),"00000")="89104", TEXT(TRIM(N293),"00000")="89106", TEXT(TRIM(N293),"00000")="89102", TEXT(TRIM(N293),"00000")="89107", TEXT(TRIM(N293),"00000")="89108"), "Urban Core",
  OR(TEXT(TRIM(N293),"00000")="89110", TEXT(TRIM(N293),"00000")="89115", TEXT(TRIM(N293),"00000")="89121", TEXT(TRIM(N293),"00000")="89122", TEXT(TRIM(N293),"00000")="89142", TEXT(TRIM(N293),"00000")="89156"), "East Valley",
  OR(TEXT(TRIM(N293),"00000")="89030", TEXT(TRIM(N293),"00000")="89031", TEXT(TRIM(N293),"00000")="89032", TEXT(TRIM(N293),"00000")="89086", TEXT(TRIM(N293),"00000")="89084", TEXT(TRIM(N293),"00000")="89081"), "North LV",
  OR(TEXT(TRIM(N293),"00000")="89109", TEXT(TRIM(N293),"00000")="89103", TEXT(TRIM(N293),"00000")="89119", TEXT(TRIM(N293),"00000")="89123", TEXT(TRIM(N293),"00000")="89169", TEXT(TRIM(N293),"00000")="89118"), "South/Strip",
  OR(TEXT(TRIM(N293),"00000")="89074", TEXT(TRIM(N293),"00000")="89014", TEXT(TRIM(N293),"00000")="89015", TEXT(TRIM(N293),"00000")="89011", TEXT(TRIM(N293),"00000")="89012"), "Suburban SE",
  OR(TEXT(TRIM(N293),"00000")="89117", TEXT(TRIM(N293),"00000")="89128", TEXT(TRIM(N293),"00000")="89135", TEXT(TRIM(N293),"00000")="89144", TEXT(TRIM(N293),"00000")="89145", TEXT(TRIM(N293),"00000")="89147"), "West Valley",
  TRUE, "Other"
)</f>
        <v>Missing/Unknown</v>
      </c>
      <c r="P293" t="s">
        <v>1073</v>
      </c>
      <c r="Q293" t="str">
        <f t="shared" si="18"/>
        <v>Home/Residence</v>
      </c>
      <c r="S293" t="s">
        <v>5095</v>
      </c>
      <c r="T293" t="str" cm="1">
        <f t="array" ref="T293">_xlfn.IFS(
  TEXT(TRIM(S293),"00000")="NULL", "Missing/Unknown",
  OR(TEXT(TRIM(S293),"00000")="89101", TEXT(TRIM(S293),"00000")="89104", TEXT(TRIM(S293),"00000")="89106", TEXT(TRIM(S293),"00000")="89102", TEXT(TRIM(S293),"00000")="89107", TEXT(TRIM(S293),"00000")="89108"), "Urban Core",
  OR(TEXT(TRIM(S293),"00000")="89110", TEXT(TRIM(S293),"00000")="89115", TEXT(TRIM(S293),"00000")="89121", TEXT(TRIM(S293),"00000")="89122", TEXT(TRIM(S293),"00000")="89142", TEXT(TRIM(S293),"00000")="89156"), "East Valley",
  OR(TEXT(TRIM(S293),"00000")="89030", TEXT(TRIM(S293),"00000")="89031", TEXT(TRIM(S293),"00000")="89032", TEXT(TRIM(S293),"00000")="89086", TEXT(TRIM(S293),"00000")="89084", TEXT(TRIM(S293),"00000")="89081"), "North LV",
  OR(TEXT(TRIM(S293),"00000")="89109", TEXT(TRIM(S293),"00000")="89103", TEXT(TRIM(S293),"00000")="89119", TEXT(TRIM(S293),"00000")="89123", TEXT(TRIM(S293),"00000")="89169", TEXT(TRIM(S293),"00000")="89118"), "South/Strip",
  OR(TEXT(TRIM(S293),"00000")="89074", TEXT(TRIM(S293),"00000")="89014", TEXT(TRIM(S293),"00000")="89015", TEXT(TRIM(S293),"00000")="89011", TEXT(TRIM(S293),"00000")="89012"), "Suburban SE",
  OR(TEXT(TRIM(S293),"00000")="89117", TEXT(TRIM(S293),"00000")="89128", TEXT(TRIM(S293),"00000")="89135", TEXT(TRIM(S293),"00000")="89144", TEXT(TRIM(S293),"00000")="89145", TEXT(TRIM(S293),"00000")="89147"), "West Valley",
  TRUE, "Other"
)</f>
        <v>Missing/Unknown</v>
      </c>
      <c r="U293" t="s">
        <v>1073</v>
      </c>
      <c r="V293" t="str">
        <f t="shared" si="19"/>
        <v>Home/Residence</v>
      </c>
    </row>
    <row r="294" spans="1:22">
      <c r="A294" t="s">
        <v>3339</v>
      </c>
      <c r="B294" t="s">
        <v>3340</v>
      </c>
      <c r="C294" s="1">
        <v>45485</v>
      </c>
      <c r="D294" s="4">
        <v>113</v>
      </c>
      <c r="E294">
        <v>43</v>
      </c>
      <c r="F294" t="str">
        <f t="shared" si="16"/>
        <v>40's</v>
      </c>
      <c r="G294" t="str" cm="1">
        <f t="array" ref="G294">_xlfn.IFS(
  F294="10's", "Child (5–12)",
  OR(F294="20's", F294="30's"), "Young Adult (20–39)",
  OR(F294="40's", F294="50's"), "Adult (40–59)",
  OR(F294="60's", F294="70's", F294="80's", F294="90's"), "Senior (60+)",
  TRUE, "Unknown"
)</f>
        <v>Adult (40–59)</v>
      </c>
      <c r="H294" t="s">
        <v>841</v>
      </c>
      <c r="I294" t="s">
        <v>3341</v>
      </c>
      <c r="J294" t="str">
        <f t="shared" si="17"/>
        <v>Ethanol-related</v>
      </c>
      <c r="K294" t="s">
        <v>35</v>
      </c>
      <c r="L294" t="s">
        <v>250</v>
      </c>
      <c r="N294" t="s">
        <v>5095</v>
      </c>
      <c r="O294" t="str" cm="1">
        <f t="array" ref="O294">_xlfn.IFS(
  TEXT(TRIM(N294),"00000")="NULL", "Missing/Unknown",
  OR(TEXT(TRIM(N294),"00000")="89101", TEXT(TRIM(N294),"00000")="89104", TEXT(TRIM(N294),"00000")="89106", TEXT(TRIM(N294),"00000")="89102", TEXT(TRIM(N294),"00000")="89107", TEXT(TRIM(N294),"00000")="89108"), "Urban Core",
  OR(TEXT(TRIM(N294),"00000")="89110", TEXT(TRIM(N294),"00000")="89115", TEXT(TRIM(N294),"00000")="89121", TEXT(TRIM(N294),"00000")="89122", TEXT(TRIM(N294),"00000")="89142", TEXT(TRIM(N294),"00000")="89156"), "East Valley",
  OR(TEXT(TRIM(N294),"00000")="89030", TEXT(TRIM(N294),"00000")="89031", TEXT(TRIM(N294),"00000")="89032", TEXT(TRIM(N294),"00000")="89086", TEXT(TRIM(N294),"00000")="89084", TEXT(TRIM(N294),"00000")="89081"), "North LV",
  OR(TEXT(TRIM(N294),"00000")="89109", TEXT(TRIM(N294),"00000")="89103", TEXT(TRIM(N294),"00000")="89119", TEXT(TRIM(N294),"00000")="89123", TEXT(TRIM(N294),"00000")="89169", TEXT(TRIM(N294),"00000")="89118"), "South/Strip",
  OR(TEXT(TRIM(N294),"00000")="89074", TEXT(TRIM(N294),"00000")="89014", TEXT(TRIM(N294),"00000")="89015", TEXT(TRIM(N294),"00000")="89011", TEXT(TRIM(N294),"00000")="89012"), "Suburban SE",
  OR(TEXT(TRIM(N294),"00000")="89117", TEXT(TRIM(N294),"00000")="89128", TEXT(TRIM(N294),"00000")="89135", TEXT(TRIM(N294),"00000")="89144", TEXT(TRIM(N294),"00000")="89145", TEXT(TRIM(N294),"00000")="89147"), "West Valley",
  TRUE, "Other"
)</f>
        <v>Missing/Unknown</v>
      </c>
      <c r="P294" t="s">
        <v>1073</v>
      </c>
      <c r="Q294" t="str">
        <f t="shared" si="18"/>
        <v>Home/Residence</v>
      </c>
      <c r="S294" t="s">
        <v>5095</v>
      </c>
      <c r="T294" t="str" cm="1">
        <f t="array" ref="T294">_xlfn.IFS(
  TEXT(TRIM(S294),"00000")="NULL", "Missing/Unknown",
  OR(TEXT(TRIM(S294),"00000")="89101", TEXT(TRIM(S294),"00000")="89104", TEXT(TRIM(S294),"00000")="89106", TEXT(TRIM(S294),"00000")="89102", TEXT(TRIM(S294),"00000")="89107", TEXT(TRIM(S294),"00000")="89108"), "Urban Core",
  OR(TEXT(TRIM(S294),"00000")="89110", TEXT(TRIM(S294),"00000")="89115", TEXT(TRIM(S294),"00000")="89121", TEXT(TRIM(S294),"00000")="89122", TEXT(TRIM(S294),"00000")="89142", TEXT(TRIM(S294),"00000")="89156"), "East Valley",
  OR(TEXT(TRIM(S294),"00000")="89030", TEXT(TRIM(S294),"00000")="89031", TEXT(TRIM(S294),"00000")="89032", TEXT(TRIM(S294),"00000")="89086", TEXT(TRIM(S294),"00000")="89084", TEXT(TRIM(S294),"00000")="89081"), "North LV",
  OR(TEXT(TRIM(S294),"00000")="89109", TEXT(TRIM(S294),"00000")="89103", TEXT(TRIM(S294),"00000")="89119", TEXT(TRIM(S294),"00000")="89123", TEXT(TRIM(S294),"00000")="89169", TEXT(TRIM(S294),"00000")="89118"), "South/Strip",
  OR(TEXT(TRIM(S294),"00000")="89074", TEXT(TRIM(S294),"00000")="89014", TEXT(TRIM(S294),"00000")="89015", TEXT(TRIM(S294),"00000")="89011", TEXT(TRIM(S294),"00000")="89012"), "Suburban SE",
  OR(TEXT(TRIM(S294),"00000")="89117", TEXT(TRIM(S294),"00000")="89128", TEXT(TRIM(S294),"00000")="89135", TEXT(TRIM(S294),"00000")="89144", TEXT(TRIM(S294),"00000")="89145", TEXT(TRIM(S294),"00000")="89147"), "West Valley",
  TRUE, "Other"
)</f>
        <v>Missing/Unknown</v>
      </c>
      <c r="U294" t="s">
        <v>1073</v>
      </c>
      <c r="V294" t="str">
        <f t="shared" si="19"/>
        <v>Home/Residence</v>
      </c>
    </row>
    <row r="295" spans="1:22">
      <c r="A295" t="s">
        <v>3898</v>
      </c>
      <c r="B295" t="s">
        <v>3899</v>
      </c>
      <c r="C295" s="1">
        <v>45485</v>
      </c>
      <c r="D295" s="4">
        <v>113</v>
      </c>
      <c r="E295">
        <v>62</v>
      </c>
      <c r="F295" t="str">
        <f t="shared" si="16"/>
        <v>60's</v>
      </c>
      <c r="G295" t="str" cm="1">
        <f t="array" ref="G295">_xlfn.IFS(
  F295="10's", "Child (5–12)",
  OR(F295="20's", F295="30's"), "Young Adult (20–39)",
  OR(F295="40's", F295="50's"), "Adult (40–59)",
  OR(F295="60's", F295="70's", F295="80's", F295="90's"), "Senior (60+)",
  TRUE, "Unknown"
)</f>
        <v>Senior (60+)</v>
      </c>
      <c r="H295" t="s">
        <v>841</v>
      </c>
      <c r="I295" t="s">
        <v>3900</v>
      </c>
      <c r="J295" t="str">
        <f t="shared" si="17"/>
        <v>Mixed Drug Toxicity</v>
      </c>
      <c r="K295" t="s">
        <v>3901</v>
      </c>
      <c r="L295" t="s">
        <v>250</v>
      </c>
      <c r="N295" t="s">
        <v>5095</v>
      </c>
      <c r="O295" t="str" cm="1">
        <f t="array" ref="O295">_xlfn.IFS(
  TEXT(TRIM(N295),"00000")="NULL", "Missing/Unknown",
  OR(TEXT(TRIM(N295),"00000")="89101", TEXT(TRIM(N295),"00000")="89104", TEXT(TRIM(N295),"00000")="89106", TEXT(TRIM(N295),"00000")="89102", TEXT(TRIM(N295),"00000")="89107", TEXT(TRIM(N295),"00000")="89108"), "Urban Core",
  OR(TEXT(TRIM(N295),"00000")="89110", TEXT(TRIM(N295),"00000")="89115", TEXT(TRIM(N295),"00000")="89121", TEXT(TRIM(N295),"00000")="89122", TEXT(TRIM(N295),"00000")="89142", TEXT(TRIM(N295),"00000")="89156"), "East Valley",
  OR(TEXT(TRIM(N295),"00000")="89030", TEXT(TRIM(N295),"00000")="89031", TEXT(TRIM(N295),"00000")="89032", TEXT(TRIM(N295),"00000")="89086", TEXT(TRIM(N295),"00000")="89084", TEXT(TRIM(N295),"00000")="89081"), "North LV",
  OR(TEXT(TRIM(N295),"00000")="89109", TEXT(TRIM(N295),"00000")="89103", TEXT(TRIM(N295),"00000")="89119", TEXT(TRIM(N295),"00000")="89123", TEXT(TRIM(N295),"00000")="89169", TEXT(TRIM(N295),"00000")="89118"), "South/Strip",
  OR(TEXT(TRIM(N295),"00000")="89074", TEXT(TRIM(N295),"00000")="89014", TEXT(TRIM(N295),"00000")="89015", TEXT(TRIM(N295),"00000")="89011", TEXT(TRIM(N295),"00000")="89012"), "Suburban SE",
  OR(TEXT(TRIM(N295),"00000")="89117", TEXT(TRIM(N295),"00000")="89128", TEXT(TRIM(N295),"00000")="89135", TEXT(TRIM(N295),"00000")="89144", TEXT(TRIM(N295),"00000")="89145", TEXT(TRIM(N295),"00000")="89147"), "West Valley",
  TRUE, "Other"
)</f>
        <v>Missing/Unknown</v>
      </c>
      <c r="P295" t="s">
        <v>65</v>
      </c>
      <c r="Q295" t="str">
        <f t="shared" si="18"/>
        <v>Vehicle-related</v>
      </c>
      <c r="S295" t="s">
        <v>5095</v>
      </c>
      <c r="T295" t="str" cm="1">
        <f t="array" ref="T295">_xlfn.IFS(
  TEXT(TRIM(S295),"00000")="NULL", "Missing/Unknown",
  OR(TEXT(TRIM(S295),"00000")="89101", TEXT(TRIM(S295),"00000")="89104", TEXT(TRIM(S295),"00000")="89106", TEXT(TRIM(S295),"00000")="89102", TEXT(TRIM(S295),"00000")="89107", TEXT(TRIM(S295),"00000")="89108"), "Urban Core",
  OR(TEXT(TRIM(S295),"00000")="89110", TEXT(TRIM(S295),"00000")="89115", TEXT(TRIM(S295),"00000")="89121", TEXT(TRIM(S295),"00000")="89122", TEXT(TRIM(S295),"00000")="89142", TEXT(TRIM(S295),"00000")="89156"), "East Valley",
  OR(TEXT(TRIM(S295),"00000")="89030", TEXT(TRIM(S295),"00000")="89031", TEXT(TRIM(S295),"00000")="89032", TEXT(TRIM(S295),"00000")="89086", TEXT(TRIM(S295),"00000")="89084", TEXT(TRIM(S295),"00000")="89081"), "North LV",
  OR(TEXT(TRIM(S295),"00000")="89109", TEXT(TRIM(S295),"00000")="89103", TEXT(TRIM(S295),"00000")="89119", TEXT(TRIM(S295),"00000")="89123", TEXT(TRIM(S295),"00000")="89169", TEXT(TRIM(S295),"00000")="89118"), "South/Strip",
  OR(TEXT(TRIM(S295),"00000")="89074", TEXT(TRIM(S295),"00000")="89014", TEXT(TRIM(S295),"00000")="89015", TEXT(TRIM(S295),"00000")="89011", TEXT(TRIM(S295),"00000")="89012"), "Suburban SE",
  OR(TEXT(TRIM(S295),"00000")="89117", TEXT(TRIM(S295),"00000")="89128", TEXT(TRIM(S295),"00000")="89135", TEXT(TRIM(S295),"00000")="89144", TEXT(TRIM(S295),"00000")="89145", TEXT(TRIM(S295),"00000")="89147"), "West Valley",
  TRUE, "Other"
)</f>
        <v>Missing/Unknown</v>
      </c>
      <c r="U295" t="s">
        <v>65</v>
      </c>
      <c r="V295" t="str">
        <f t="shared" si="19"/>
        <v>Vehicle-related</v>
      </c>
    </row>
    <row r="296" spans="1:22">
      <c r="A296" t="s">
        <v>3048</v>
      </c>
      <c r="B296" t="s">
        <v>3049</v>
      </c>
      <c r="C296" s="1">
        <v>45485</v>
      </c>
      <c r="D296" s="4">
        <v>113</v>
      </c>
      <c r="E296">
        <v>39</v>
      </c>
      <c r="F296" t="str">
        <f t="shared" si="16"/>
        <v>30's</v>
      </c>
      <c r="G296" t="str" cm="1">
        <f t="array" ref="G296">_xlfn.IFS(
  F296="10's", "Child (5–12)",
  OR(F296="20's", F296="30's"), "Young Adult (20–39)",
  OR(F296="40's", F296="50's"), "Adult (40–59)",
  OR(F296="60's", F296="70's", F296="80's", F296="90's"), "Senior (60+)",
  TRUE, "Unknown"
)</f>
        <v>Young Adult (20–39)</v>
      </c>
      <c r="H296" t="s">
        <v>841</v>
      </c>
      <c r="I296" t="s">
        <v>54</v>
      </c>
      <c r="J296" t="str">
        <f t="shared" si="17"/>
        <v>Environmental Heat</v>
      </c>
      <c r="K296" t="s">
        <v>172</v>
      </c>
      <c r="L296" t="s">
        <v>250</v>
      </c>
      <c r="N296" t="s">
        <v>5095</v>
      </c>
      <c r="O296" t="str" cm="1">
        <f t="array" ref="O296">_xlfn.IFS(
  TEXT(TRIM(N296),"00000")="NULL", "Missing/Unknown",
  OR(TEXT(TRIM(N296),"00000")="89101", TEXT(TRIM(N296),"00000")="89104", TEXT(TRIM(N296),"00000")="89106", TEXT(TRIM(N296),"00000")="89102", TEXT(TRIM(N296),"00000")="89107", TEXT(TRIM(N296),"00000")="89108"), "Urban Core",
  OR(TEXT(TRIM(N296),"00000")="89110", TEXT(TRIM(N296),"00000")="89115", TEXT(TRIM(N296),"00000")="89121", TEXT(TRIM(N296),"00000")="89122", TEXT(TRIM(N296),"00000")="89142", TEXT(TRIM(N296),"00000")="89156"), "East Valley",
  OR(TEXT(TRIM(N296),"00000")="89030", TEXT(TRIM(N296),"00000")="89031", TEXT(TRIM(N296),"00000")="89032", TEXT(TRIM(N296),"00000")="89086", TEXT(TRIM(N296),"00000")="89084", TEXT(TRIM(N296),"00000")="89081"), "North LV",
  OR(TEXT(TRIM(N296),"00000")="89109", TEXT(TRIM(N296),"00000")="89103", TEXT(TRIM(N296),"00000")="89119", TEXT(TRIM(N296),"00000")="89123", TEXT(TRIM(N296),"00000")="89169", TEXT(TRIM(N296),"00000")="89118"), "South/Strip",
  OR(TEXT(TRIM(N296),"00000")="89074", TEXT(TRIM(N296),"00000")="89014", TEXT(TRIM(N296),"00000")="89015", TEXT(TRIM(N296),"00000")="89011", TEXT(TRIM(N296),"00000")="89012"), "Suburban SE",
  OR(TEXT(TRIM(N296),"00000")="89117", TEXT(TRIM(N296),"00000")="89128", TEXT(TRIM(N296),"00000")="89135", TEXT(TRIM(N296),"00000")="89144", TEXT(TRIM(N296),"00000")="89145", TEXT(TRIM(N296),"00000")="89147"), "West Valley",
  TRUE, "Other"
)</f>
        <v>Missing/Unknown</v>
      </c>
      <c r="P296" t="s">
        <v>3298</v>
      </c>
      <c r="Q296" t="str">
        <f t="shared" si="18"/>
        <v>Outdoors/Public</v>
      </c>
      <c r="S296" t="s">
        <v>5095</v>
      </c>
      <c r="T296" t="str" cm="1">
        <f t="array" ref="T296">_xlfn.IFS(
  TEXT(TRIM(S296),"00000")="NULL", "Missing/Unknown",
  OR(TEXT(TRIM(S296),"00000")="89101", TEXT(TRIM(S296),"00000")="89104", TEXT(TRIM(S296),"00000")="89106", TEXT(TRIM(S296),"00000")="89102", TEXT(TRIM(S296),"00000")="89107", TEXT(TRIM(S296),"00000")="89108"), "Urban Core",
  OR(TEXT(TRIM(S296),"00000")="89110", TEXT(TRIM(S296),"00000")="89115", TEXT(TRIM(S296),"00000")="89121", TEXT(TRIM(S296),"00000")="89122", TEXT(TRIM(S296),"00000")="89142", TEXT(TRIM(S296),"00000")="89156"), "East Valley",
  OR(TEXT(TRIM(S296),"00000")="89030", TEXT(TRIM(S296),"00000")="89031", TEXT(TRIM(S296),"00000")="89032", TEXT(TRIM(S296),"00000")="89086", TEXT(TRIM(S296),"00000")="89084", TEXT(TRIM(S296),"00000")="89081"), "North LV",
  OR(TEXT(TRIM(S296),"00000")="89109", TEXT(TRIM(S296),"00000")="89103", TEXT(TRIM(S296),"00000")="89119", TEXT(TRIM(S296),"00000")="89123", TEXT(TRIM(S296),"00000")="89169", TEXT(TRIM(S296),"00000")="89118"), "South/Strip",
  OR(TEXT(TRIM(S296),"00000")="89074", TEXT(TRIM(S296),"00000")="89014", TEXT(TRIM(S296),"00000")="89015", TEXT(TRIM(S296),"00000")="89011", TEXT(TRIM(S296),"00000")="89012"), "Suburban SE",
  OR(TEXT(TRIM(S296),"00000")="89117", TEXT(TRIM(S296),"00000")="89128", TEXT(TRIM(S296),"00000")="89135", TEXT(TRIM(S296),"00000")="89144", TEXT(TRIM(S296),"00000")="89145", TEXT(TRIM(S296),"00000")="89147"), "West Valley",
  TRUE, "Other"
)</f>
        <v>Missing/Unknown</v>
      </c>
      <c r="U296" t="s">
        <v>3298</v>
      </c>
      <c r="V296" t="str">
        <f t="shared" si="19"/>
        <v>Outdoors/Public</v>
      </c>
    </row>
    <row r="297" spans="1:22">
      <c r="A297" t="s">
        <v>2406</v>
      </c>
      <c r="B297" t="s">
        <v>2407</v>
      </c>
      <c r="C297" s="1">
        <v>45484</v>
      </c>
      <c r="D297" s="4">
        <v>116.06</v>
      </c>
      <c r="E297">
        <v>56</v>
      </c>
      <c r="F297" t="str">
        <f t="shared" si="16"/>
        <v>50's</v>
      </c>
      <c r="G297" t="str" cm="1">
        <f t="array" ref="G297">_xlfn.IFS(
  F297="10's", "Child (5–12)",
  OR(F297="20's", F297="30's"), "Young Adult (20–39)",
  OR(F297="40's", F297="50's"), "Adult (40–59)",
  OR(F297="60's", F297="70's", F297="80's", F297="90's"), "Senior (60+)",
  TRUE, "Unknown"
)</f>
        <v>Adult (40–59)</v>
      </c>
      <c r="H297" t="s">
        <v>778</v>
      </c>
      <c r="I297" t="s">
        <v>4058</v>
      </c>
      <c r="J297" t="str">
        <f t="shared" si="17"/>
        <v>Methamphetamine-related</v>
      </c>
      <c r="K297" t="s">
        <v>54</v>
      </c>
      <c r="L297" t="s">
        <v>1071</v>
      </c>
      <c r="M297" t="s">
        <v>5028</v>
      </c>
      <c r="N297" t="s">
        <v>5098</v>
      </c>
      <c r="O297" t="str" cm="1">
        <f t="array" ref="O297">_xlfn.IFS(
  TEXT(TRIM(N297),"00000")="NULL", "Missing/Unknown",
  OR(TEXT(TRIM(N297),"00000")="89101", TEXT(TRIM(N297),"00000")="89104", TEXT(TRIM(N297),"00000")="89106", TEXT(TRIM(N297),"00000")="89102", TEXT(TRIM(N297),"00000")="89107", TEXT(TRIM(N297),"00000")="89108"), "Urban Core",
  OR(TEXT(TRIM(N297),"00000")="89110", TEXT(TRIM(N297),"00000")="89115", TEXT(TRIM(N297),"00000")="89121", TEXT(TRIM(N297),"00000")="89122", TEXT(TRIM(N297),"00000")="89142", TEXT(TRIM(N297),"00000")="89156"), "East Valley",
  OR(TEXT(TRIM(N297),"00000")="89030", TEXT(TRIM(N297),"00000")="89031", TEXT(TRIM(N297),"00000")="89032", TEXT(TRIM(N297),"00000")="89086", TEXT(TRIM(N297),"00000")="89084", TEXT(TRIM(N297),"00000")="89081"), "North LV",
  OR(TEXT(TRIM(N297),"00000")="89109", TEXT(TRIM(N297),"00000")="89103", TEXT(TRIM(N297),"00000")="89119", TEXT(TRIM(N297),"00000")="89123", TEXT(TRIM(N297),"00000")="89169", TEXT(TRIM(N297),"00000")="89118"), "South/Strip",
  OR(TEXT(TRIM(N297),"00000")="89074", TEXT(TRIM(N297),"00000")="89014", TEXT(TRIM(N297),"00000")="89015", TEXT(TRIM(N297),"00000")="89011", TEXT(TRIM(N297),"00000")="89012"), "Suburban SE",
  OR(TEXT(TRIM(N297),"00000")="89117", TEXT(TRIM(N297),"00000")="89128", TEXT(TRIM(N297),"00000")="89135", TEXT(TRIM(N297),"00000")="89144", TEXT(TRIM(N297),"00000")="89145", TEXT(TRIM(N297),"00000")="89147"), "West Valley",
  TRUE, "Other"
)</f>
        <v>Urban Core</v>
      </c>
      <c r="P297" t="s">
        <v>3298</v>
      </c>
      <c r="Q297" t="str">
        <f t="shared" si="18"/>
        <v>Outdoors/Public</v>
      </c>
      <c r="R297" t="s">
        <v>5028</v>
      </c>
      <c r="S297" t="s">
        <v>5098</v>
      </c>
      <c r="T297" t="str" cm="1">
        <f t="array" ref="T297">_xlfn.IFS(
  TEXT(TRIM(S297),"00000")="NULL", "Missing/Unknown",
  OR(TEXT(TRIM(S297),"00000")="89101", TEXT(TRIM(S297),"00000")="89104", TEXT(TRIM(S297),"00000")="89106", TEXT(TRIM(S297),"00000")="89102", TEXT(TRIM(S297),"00000")="89107", TEXT(TRIM(S297),"00000")="89108"), "Urban Core",
  OR(TEXT(TRIM(S297),"00000")="89110", TEXT(TRIM(S297),"00000")="89115", TEXT(TRIM(S297),"00000")="89121", TEXT(TRIM(S297),"00000")="89122", TEXT(TRIM(S297),"00000")="89142", TEXT(TRIM(S297),"00000")="89156"), "East Valley",
  OR(TEXT(TRIM(S297),"00000")="89030", TEXT(TRIM(S297),"00000")="89031", TEXT(TRIM(S297),"00000")="89032", TEXT(TRIM(S297),"00000")="89086", TEXT(TRIM(S297),"00000")="89084", TEXT(TRIM(S297),"00000")="89081"), "North LV",
  OR(TEXT(TRIM(S297),"00000")="89109", TEXT(TRIM(S297),"00000")="89103", TEXT(TRIM(S297),"00000")="89119", TEXT(TRIM(S297),"00000")="89123", TEXT(TRIM(S297),"00000")="89169", TEXT(TRIM(S297),"00000")="89118"), "South/Strip",
  OR(TEXT(TRIM(S297),"00000")="89074", TEXT(TRIM(S297),"00000")="89014", TEXT(TRIM(S297),"00000")="89015", TEXT(TRIM(S297),"00000")="89011", TEXT(TRIM(S297),"00000")="89012"), "Suburban SE",
  OR(TEXT(TRIM(S297),"00000")="89117", TEXT(TRIM(S297),"00000")="89128", TEXT(TRIM(S297),"00000")="89135", TEXT(TRIM(S297),"00000")="89144", TEXT(TRIM(S297),"00000")="89145", TEXT(TRIM(S297),"00000")="89147"), "West Valley",
  TRUE, "Other"
)</f>
        <v>Urban Core</v>
      </c>
      <c r="U297" t="s">
        <v>3298</v>
      </c>
      <c r="V297" t="str">
        <f t="shared" si="19"/>
        <v>Outdoors/Public</v>
      </c>
    </row>
    <row r="298" spans="1:22">
      <c r="A298" t="s">
        <v>3707</v>
      </c>
      <c r="B298" t="s">
        <v>3708</v>
      </c>
      <c r="C298" s="1">
        <v>45484</v>
      </c>
      <c r="D298" s="4">
        <v>116.06</v>
      </c>
      <c r="E298">
        <v>34</v>
      </c>
      <c r="F298" t="str">
        <f t="shared" si="16"/>
        <v>30's</v>
      </c>
      <c r="G298" t="str" cm="1">
        <f t="array" ref="G298">_xlfn.IFS(
  F298="10's", "Child (5–12)",
  OR(F298="20's", F298="30's"), "Young Adult (20–39)",
  OR(F298="40's", F298="50's"), "Adult (40–59)",
  OR(F298="60's", F298="70's", F298="80's", F298="90's"), "Senior (60+)",
  TRUE, "Unknown"
)</f>
        <v>Young Adult (20–39)</v>
      </c>
      <c r="H298" t="s">
        <v>841</v>
      </c>
      <c r="I298" t="s">
        <v>135</v>
      </c>
      <c r="J298" t="str">
        <f t="shared" si="17"/>
        <v>Methamphetamine-related</v>
      </c>
      <c r="K298" t="s">
        <v>35</v>
      </c>
      <c r="L298" t="s">
        <v>250</v>
      </c>
      <c r="M298" t="s">
        <v>5031</v>
      </c>
      <c r="N298" t="s">
        <v>5097</v>
      </c>
      <c r="O298" t="str" cm="1">
        <f t="array" ref="O298">_xlfn.IFS(
  TEXT(TRIM(N298),"00000")="NULL", "Missing/Unknown",
  OR(TEXT(TRIM(N298),"00000")="89101", TEXT(TRIM(N298),"00000")="89104", TEXT(TRIM(N298),"00000")="89106", TEXT(TRIM(N298),"00000")="89102", TEXT(TRIM(N298),"00000")="89107", TEXT(TRIM(N298),"00000")="89108"), "Urban Core",
  OR(TEXT(TRIM(N298),"00000")="89110", TEXT(TRIM(N298),"00000")="89115", TEXT(TRIM(N298),"00000")="89121", TEXT(TRIM(N298),"00000")="89122", TEXT(TRIM(N298),"00000")="89142", TEXT(TRIM(N298),"00000")="89156"), "East Valley",
  OR(TEXT(TRIM(N298),"00000")="89030", TEXT(TRIM(N298),"00000")="89031", TEXT(TRIM(N298),"00000")="89032", TEXT(TRIM(N298),"00000")="89086", TEXT(TRIM(N298),"00000")="89084", TEXT(TRIM(N298),"00000")="89081"), "North LV",
  OR(TEXT(TRIM(N298),"00000")="89109", TEXT(TRIM(N298),"00000")="89103", TEXT(TRIM(N298),"00000")="89119", TEXT(TRIM(N298),"00000")="89123", TEXT(TRIM(N298),"00000")="89169", TEXT(TRIM(N298),"00000")="89118"), "South/Strip",
  OR(TEXT(TRIM(N298),"00000")="89074", TEXT(TRIM(N298),"00000")="89014", TEXT(TRIM(N298),"00000")="89015", TEXT(TRIM(N298),"00000")="89011", TEXT(TRIM(N298),"00000")="89012"), "Suburban SE",
  OR(TEXT(TRIM(N298),"00000")="89117", TEXT(TRIM(N298),"00000")="89128", TEXT(TRIM(N298),"00000")="89135", TEXT(TRIM(N298),"00000")="89144", TEXT(TRIM(N298),"00000")="89145", TEXT(TRIM(N298),"00000")="89147"), "West Valley",
  TRUE, "Other"
)</f>
        <v>Urban Core</v>
      </c>
      <c r="P298" t="s">
        <v>3298</v>
      </c>
      <c r="Q298" t="str">
        <f t="shared" si="18"/>
        <v>Outdoors/Public</v>
      </c>
      <c r="R298" t="s">
        <v>5031</v>
      </c>
      <c r="S298" t="s">
        <v>5097</v>
      </c>
      <c r="T298" t="str" cm="1">
        <f t="array" ref="T298">_xlfn.IFS(
  TEXT(TRIM(S298),"00000")="NULL", "Missing/Unknown",
  OR(TEXT(TRIM(S298),"00000")="89101", TEXT(TRIM(S298),"00000")="89104", TEXT(TRIM(S298),"00000")="89106", TEXT(TRIM(S298),"00000")="89102", TEXT(TRIM(S298),"00000")="89107", TEXT(TRIM(S298),"00000")="89108"), "Urban Core",
  OR(TEXT(TRIM(S298),"00000")="89110", TEXT(TRIM(S298),"00000")="89115", TEXT(TRIM(S298),"00000")="89121", TEXT(TRIM(S298),"00000")="89122", TEXT(TRIM(S298),"00000")="89142", TEXT(TRIM(S298),"00000")="89156"), "East Valley",
  OR(TEXT(TRIM(S298),"00000")="89030", TEXT(TRIM(S298),"00000")="89031", TEXT(TRIM(S298),"00000")="89032", TEXT(TRIM(S298),"00000")="89086", TEXT(TRIM(S298),"00000")="89084", TEXT(TRIM(S298),"00000")="89081"), "North LV",
  OR(TEXT(TRIM(S298),"00000")="89109", TEXT(TRIM(S298),"00000")="89103", TEXT(TRIM(S298),"00000")="89119", TEXT(TRIM(S298),"00000")="89123", TEXT(TRIM(S298),"00000")="89169", TEXT(TRIM(S298),"00000")="89118"), "South/Strip",
  OR(TEXT(TRIM(S298),"00000")="89074", TEXT(TRIM(S298),"00000")="89014", TEXT(TRIM(S298),"00000")="89015", TEXT(TRIM(S298),"00000")="89011", TEXT(TRIM(S298),"00000")="89012"), "Suburban SE",
  OR(TEXT(TRIM(S298),"00000")="89117", TEXT(TRIM(S298),"00000")="89128", TEXT(TRIM(S298),"00000")="89135", TEXT(TRIM(S298),"00000")="89144", TEXT(TRIM(S298),"00000")="89145", TEXT(TRIM(S298),"00000")="89147"), "West Valley",
  TRUE, "Other"
)</f>
        <v>Urban Core</v>
      </c>
      <c r="U298" t="s">
        <v>3298</v>
      </c>
      <c r="V298" t="str">
        <f t="shared" si="19"/>
        <v>Outdoors/Public</v>
      </c>
    </row>
    <row r="299" spans="1:22">
      <c r="A299" t="s">
        <v>2410</v>
      </c>
      <c r="B299" t="s">
        <v>2411</v>
      </c>
      <c r="C299" s="1">
        <v>45484</v>
      </c>
      <c r="D299" s="4">
        <v>116.06</v>
      </c>
      <c r="E299">
        <v>37</v>
      </c>
      <c r="F299" t="str">
        <f t="shared" si="16"/>
        <v>30's</v>
      </c>
      <c r="G299" t="str" cm="1">
        <f t="array" ref="G299">_xlfn.IFS(
  F299="10's", "Child (5–12)",
  OR(F299="20's", F299="30's"), "Young Adult (20–39)",
  OR(F299="40's", F299="50's"), "Adult (40–59)",
  OR(F299="60's", F299="70's", F299="80's", F299="90's"), "Senior (60+)",
  TRUE, "Unknown"
)</f>
        <v>Young Adult (20–39)</v>
      </c>
      <c r="H299" t="s">
        <v>27</v>
      </c>
      <c r="I299" t="s">
        <v>4058</v>
      </c>
      <c r="J299" t="str">
        <f t="shared" si="17"/>
        <v>Methamphetamine-related</v>
      </c>
      <c r="K299" t="s">
        <v>54</v>
      </c>
      <c r="L299" t="s">
        <v>250</v>
      </c>
      <c r="M299" t="s">
        <v>4599</v>
      </c>
      <c r="N299" t="s">
        <v>5140</v>
      </c>
      <c r="O299" t="str" cm="1">
        <f t="array" ref="O299">_xlfn.IFS(
  TEXT(TRIM(N299),"00000")="NULL", "Missing/Unknown",
  OR(TEXT(TRIM(N299),"00000")="89101", TEXT(TRIM(N299),"00000")="89104", TEXT(TRIM(N299),"00000")="89106", TEXT(TRIM(N299),"00000")="89102", TEXT(TRIM(N299),"00000")="89107", TEXT(TRIM(N299),"00000")="89108"), "Urban Core",
  OR(TEXT(TRIM(N299),"00000")="89110", TEXT(TRIM(N299),"00000")="89115", TEXT(TRIM(N299),"00000")="89121", TEXT(TRIM(N299),"00000")="89122", TEXT(TRIM(N299),"00000")="89142", TEXT(TRIM(N299),"00000")="89156"), "East Valley",
  OR(TEXT(TRIM(N299),"00000")="89030", TEXT(TRIM(N299),"00000")="89031", TEXT(TRIM(N299),"00000")="89032", TEXT(TRIM(N299),"00000")="89086", TEXT(TRIM(N299),"00000")="89084", TEXT(TRIM(N299),"00000")="89081"), "North LV",
  OR(TEXT(TRIM(N299),"00000")="89109", TEXT(TRIM(N299),"00000")="89103", TEXT(TRIM(N299),"00000")="89119", TEXT(TRIM(N299),"00000")="89123", TEXT(TRIM(N299),"00000")="89169", TEXT(TRIM(N299),"00000")="89118"), "South/Strip",
  OR(TEXT(TRIM(N299),"00000")="89074", TEXT(TRIM(N299),"00000")="89014", TEXT(TRIM(N299),"00000")="89015", TEXT(TRIM(N299),"00000")="89011", TEXT(TRIM(N299),"00000")="89012"), "Suburban SE",
  OR(TEXT(TRIM(N299),"00000")="89117", TEXT(TRIM(N299),"00000")="89128", TEXT(TRIM(N299),"00000")="89135", TEXT(TRIM(N299),"00000")="89144", TEXT(TRIM(N299),"00000")="89145", TEXT(TRIM(N299),"00000")="89147"), "West Valley",
  TRUE, "Other"
)</f>
        <v>Other</v>
      </c>
      <c r="P299" t="s">
        <v>3298</v>
      </c>
      <c r="Q299" t="str">
        <f t="shared" si="18"/>
        <v>Outdoors/Public</v>
      </c>
      <c r="R299" t="s">
        <v>4500</v>
      </c>
      <c r="S299" t="s">
        <v>5116</v>
      </c>
      <c r="T299" t="str" cm="1">
        <f t="array" ref="T299">_xlfn.IFS(
  TEXT(TRIM(S299),"00000")="NULL", "Missing/Unknown",
  OR(TEXT(TRIM(S299),"00000")="89101", TEXT(TRIM(S299),"00000")="89104", TEXT(TRIM(S299),"00000")="89106", TEXT(TRIM(S299),"00000")="89102", TEXT(TRIM(S299),"00000")="89107", TEXT(TRIM(S299),"00000")="89108"), "Urban Core",
  OR(TEXT(TRIM(S299),"00000")="89110", TEXT(TRIM(S299),"00000")="89115", TEXT(TRIM(S299),"00000")="89121", TEXT(TRIM(S299),"00000")="89122", TEXT(TRIM(S299),"00000")="89142", TEXT(TRIM(S299),"00000")="89156"), "East Valley",
  OR(TEXT(TRIM(S299),"00000")="89030", TEXT(TRIM(S299),"00000")="89031", TEXT(TRIM(S299),"00000")="89032", TEXT(TRIM(S299),"00000")="89086", TEXT(TRIM(S299),"00000")="89084", TEXT(TRIM(S299),"00000")="89081"), "North LV",
  OR(TEXT(TRIM(S299),"00000")="89109", TEXT(TRIM(S299),"00000")="89103", TEXT(TRIM(S299),"00000")="89119", TEXT(TRIM(S299),"00000")="89123", TEXT(TRIM(S299),"00000")="89169", TEXT(TRIM(S299),"00000")="89118"), "South/Strip",
  OR(TEXT(TRIM(S299),"00000")="89074", TEXT(TRIM(S299),"00000")="89014", TEXT(TRIM(S299),"00000")="89015", TEXT(TRIM(S299),"00000")="89011", TEXT(TRIM(S299),"00000")="89012"), "Suburban SE",
  OR(TEXT(TRIM(S299),"00000")="89117", TEXT(TRIM(S299),"00000")="89128", TEXT(TRIM(S299),"00000")="89135", TEXT(TRIM(S299),"00000")="89144", TEXT(TRIM(S299),"00000")="89145", TEXT(TRIM(S299),"00000")="89147"), "West Valley",
  TRUE, "Other"
)</f>
        <v>West Valley</v>
      </c>
      <c r="U299" t="s">
        <v>2413</v>
      </c>
      <c r="V299" t="str">
        <f t="shared" si="19"/>
        <v>Medical Facility</v>
      </c>
    </row>
    <row r="300" spans="1:22">
      <c r="A300" t="s">
        <v>3862</v>
      </c>
      <c r="B300" t="s">
        <v>3863</v>
      </c>
      <c r="C300" s="1">
        <v>45484</v>
      </c>
      <c r="D300" s="4">
        <v>116.06</v>
      </c>
      <c r="E300">
        <v>23</v>
      </c>
      <c r="F300" t="str">
        <f t="shared" si="16"/>
        <v>20's</v>
      </c>
      <c r="G300" t="str" cm="1">
        <f t="array" ref="G300">_xlfn.IFS(
  F300="10's", "Child (5–12)",
  OR(F300="20's", F300="30's"), "Young Adult (20–39)",
  OR(F300="40's", F300="50's"), "Adult (40–59)",
  OR(F300="60's", F300="70's", F300="80's", F300="90's"), "Senior (60+)",
  TRUE, "Unknown"
)</f>
        <v>Young Adult (20–39)</v>
      </c>
      <c r="H300" t="s">
        <v>778</v>
      </c>
      <c r="I300" t="s">
        <v>4060</v>
      </c>
      <c r="J300" t="str">
        <f t="shared" si="17"/>
        <v>Ethanol-related</v>
      </c>
      <c r="K300" t="s">
        <v>35</v>
      </c>
      <c r="L300" t="s">
        <v>250</v>
      </c>
      <c r="M300" t="s">
        <v>4335</v>
      </c>
      <c r="N300" t="s">
        <v>5108</v>
      </c>
      <c r="O300" t="str" cm="1">
        <f t="array" ref="O300">_xlfn.IFS(
  TEXT(TRIM(N300),"00000")="NULL", "Missing/Unknown",
  OR(TEXT(TRIM(N300),"00000")="89101", TEXT(TRIM(N300),"00000")="89104", TEXT(TRIM(N300),"00000")="89106", TEXT(TRIM(N300),"00000")="89102", TEXT(TRIM(N300),"00000")="89107", TEXT(TRIM(N300),"00000")="89108"), "Urban Core",
  OR(TEXT(TRIM(N300),"00000")="89110", TEXT(TRIM(N300),"00000")="89115", TEXT(TRIM(N300),"00000")="89121", TEXT(TRIM(N300),"00000")="89122", TEXT(TRIM(N300),"00000")="89142", TEXT(TRIM(N300),"00000")="89156"), "East Valley",
  OR(TEXT(TRIM(N300),"00000")="89030", TEXT(TRIM(N300),"00000")="89031", TEXT(TRIM(N300),"00000")="89032", TEXT(TRIM(N300),"00000")="89086", TEXT(TRIM(N300),"00000")="89084", TEXT(TRIM(N300),"00000")="89081"), "North LV",
  OR(TEXT(TRIM(N300),"00000")="89109", TEXT(TRIM(N300),"00000")="89103", TEXT(TRIM(N300),"00000")="89119", TEXT(TRIM(N300),"00000")="89123", TEXT(TRIM(N300),"00000")="89169", TEXT(TRIM(N300),"00000")="89118"), "South/Strip",
  OR(TEXT(TRIM(N300),"00000")="89074", TEXT(TRIM(N300),"00000")="89014", TEXT(TRIM(N300),"00000")="89015", TEXT(TRIM(N300),"00000")="89011", TEXT(TRIM(N300),"00000")="89012"), "Suburban SE",
  OR(TEXT(TRIM(N300),"00000")="89117", TEXT(TRIM(N300),"00000")="89128", TEXT(TRIM(N300),"00000")="89135", TEXT(TRIM(N300),"00000")="89144", TEXT(TRIM(N300),"00000")="89145", TEXT(TRIM(N300),"00000")="89147"), "West Valley",
  TRUE, "Other"
)</f>
        <v>East Valley</v>
      </c>
      <c r="P300" t="s">
        <v>3298</v>
      </c>
      <c r="Q300" t="str">
        <f t="shared" si="18"/>
        <v>Outdoors/Public</v>
      </c>
      <c r="R300" t="s">
        <v>4713</v>
      </c>
      <c r="S300" t="s">
        <v>5125</v>
      </c>
      <c r="T300" t="str" cm="1">
        <f t="array" ref="T300">_xlfn.IFS(
  TEXT(TRIM(S300),"00000")="NULL", "Missing/Unknown",
  OR(TEXT(TRIM(S300),"00000")="89101", TEXT(TRIM(S300),"00000")="89104", TEXT(TRIM(S300),"00000")="89106", TEXT(TRIM(S300),"00000")="89102", TEXT(TRIM(S300),"00000")="89107", TEXT(TRIM(S300),"00000")="89108"), "Urban Core",
  OR(TEXT(TRIM(S300),"00000")="89110", TEXT(TRIM(S300),"00000")="89115", TEXT(TRIM(S300),"00000")="89121", TEXT(TRIM(S300),"00000")="89122", TEXT(TRIM(S300),"00000")="89142", TEXT(TRIM(S300),"00000")="89156"), "East Valley",
  OR(TEXT(TRIM(S300),"00000")="89030", TEXT(TRIM(S300),"00000")="89031", TEXT(TRIM(S300),"00000")="89032", TEXT(TRIM(S300),"00000")="89086", TEXT(TRIM(S300),"00000")="89084", TEXT(TRIM(S300),"00000")="89081"), "North LV",
  OR(TEXT(TRIM(S300),"00000")="89109", TEXT(TRIM(S300),"00000")="89103", TEXT(TRIM(S300),"00000")="89119", TEXT(TRIM(S300),"00000")="89123", TEXT(TRIM(S300),"00000")="89169", TEXT(TRIM(S300),"00000")="89118"), "South/Strip",
  OR(TEXT(TRIM(S300),"00000")="89074", TEXT(TRIM(S300),"00000")="89014", TEXT(TRIM(S300),"00000")="89015", TEXT(TRIM(S300),"00000")="89011", TEXT(TRIM(S300),"00000")="89012"), "Suburban SE",
  OR(TEXT(TRIM(S300),"00000")="89117", TEXT(TRIM(S300),"00000")="89128", TEXT(TRIM(S300),"00000")="89135", TEXT(TRIM(S300),"00000")="89144", TEXT(TRIM(S300),"00000")="89145", TEXT(TRIM(S300),"00000")="89147"), "West Valley",
  TRUE, "Other"
)</f>
        <v>South/Strip</v>
      </c>
      <c r="U300" t="s">
        <v>2537</v>
      </c>
      <c r="V300" t="str">
        <f t="shared" si="19"/>
        <v>Medical Facility</v>
      </c>
    </row>
    <row r="301" spans="1:22">
      <c r="A301" t="s">
        <v>3040</v>
      </c>
      <c r="B301" t="s">
        <v>3041</v>
      </c>
      <c r="C301" s="1">
        <v>45484</v>
      </c>
      <c r="D301" s="4">
        <v>116.06</v>
      </c>
      <c r="E301">
        <v>53</v>
      </c>
      <c r="F301" t="str">
        <f t="shared" si="16"/>
        <v>50's</v>
      </c>
      <c r="G301" t="str" cm="1">
        <f t="array" ref="G301">_xlfn.IFS(
  F301="10's", "Child (5–12)",
  OR(F301="20's", F301="30's"), "Young Adult (20–39)",
  OR(F301="40's", F301="50's"), "Adult (40–59)",
  OR(F301="60's", F301="70's", F301="80's", F301="90's"), "Senior (60+)",
  TRUE, "Unknown"
)</f>
        <v>Adult (40–59)</v>
      </c>
      <c r="H301" t="s">
        <v>841</v>
      </c>
      <c r="I301" t="s">
        <v>54</v>
      </c>
      <c r="J301" t="str">
        <f t="shared" si="17"/>
        <v>Environmental Heat</v>
      </c>
      <c r="K301" t="s">
        <v>4012</v>
      </c>
      <c r="L301" t="s">
        <v>1071</v>
      </c>
      <c r="M301" t="s">
        <v>5030</v>
      </c>
      <c r="N301" t="s">
        <v>5123</v>
      </c>
      <c r="O301" t="str" cm="1">
        <f t="array" ref="O301">_xlfn.IFS(
  TEXT(TRIM(N301),"00000")="NULL", "Missing/Unknown",
  OR(TEXT(TRIM(N301),"00000")="89101", TEXT(TRIM(N301),"00000")="89104", TEXT(TRIM(N301),"00000")="89106", TEXT(TRIM(N301),"00000")="89102", TEXT(TRIM(N301),"00000")="89107", TEXT(TRIM(N301),"00000")="89108"), "Urban Core",
  OR(TEXT(TRIM(N301),"00000")="89110", TEXT(TRIM(N301),"00000")="89115", TEXT(TRIM(N301),"00000")="89121", TEXT(TRIM(N301),"00000")="89122", TEXT(TRIM(N301),"00000")="89142", TEXT(TRIM(N301),"00000")="89156"), "East Valley",
  OR(TEXT(TRIM(N301),"00000")="89030", TEXT(TRIM(N301),"00000")="89031", TEXT(TRIM(N301),"00000")="89032", TEXT(TRIM(N301),"00000")="89086", TEXT(TRIM(N301),"00000")="89084", TEXT(TRIM(N301),"00000")="89081"), "North LV",
  OR(TEXT(TRIM(N301),"00000")="89109", TEXT(TRIM(N301),"00000")="89103", TEXT(TRIM(N301),"00000")="89119", TEXT(TRIM(N301),"00000")="89123", TEXT(TRIM(N301),"00000")="89169", TEXT(TRIM(N301),"00000")="89118"), "South/Strip",
  OR(TEXT(TRIM(N301),"00000")="89074", TEXT(TRIM(N301),"00000")="89014", TEXT(TRIM(N301),"00000")="89015", TEXT(TRIM(N301),"00000")="89011", TEXT(TRIM(N301),"00000")="89012"), "Suburban SE",
  OR(TEXT(TRIM(N301),"00000")="89117", TEXT(TRIM(N301),"00000")="89128", TEXT(TRIM(N301),"00000")="89135", TEXT(TRIM(N301),"00000")="89144", TEXT(TRIM(N301),"00000")="89145", TEXT(TRIM(N301),"00000")="89147"), "West Valley",
  TRUE, "Other"
)</f>
        <v>South/Strip</v>
      </c>
      <c r="P301" t="s">
        <v>3298</v>
      </c>
      <c r="Q301" t="str">
        <f t="shared" si="18"/>
        <v>Outdoors/Public</v>
      </c>
      <c r="R301" t="s">
        <v>5030</v>
      </c>
      <c r="S301" t="s">
        <v>5123</v>
      </c>
      <c r="T301" t="str" cm="1">
        <f t="array" ref="T301">_xlfn.IFS(
  TEXT(TRIM(S301),"00000")="NULL", "Missing/Unknown",
  OR(TEXT(TRIM(S301),"00000")="89101", TEXT(TRIM(S301),"00000")="89104", TEXT(TRIM(S301),"00000")="89106", TEXT(TRIM(S301),"00000")="89102", TEXT(TRIM(S301),"00000")="89107", TEXT(TRIM(S301),"00000")="89108"), "Urban Core",
  OR(TEXT(TRIM(S301),"00000")="89110", TEXT(TRIM(S301),"00000")="89115", TEXT(TRIM(S301),"00000")="89121", TEXT(TRIM(S301),"00000")="89122", TEXT(TRIM(S301),"00000")="89142", TEXT(TRIM(S301),"00000")="89156"), "East Valley",
  OR(TEXT(TRIM(S301),"00000")="89030", TEXT(TRIM(S301),"00000")="89031", TEXT(TRIM(S301),"00000")="89032", TEXT(TRIM(S301),"00000")="89086", TEXT(TRIM(S301),"00000")="89084", TEXT(TRIM(S301),"00000")="89081"), "North LV",
  OR(TEXT(TRIM(S301),"00000")="89109", TEXT(TRIM(S301),"00000")="89103", TEXT(TRIM(S301),"00000")="89119", TEXT(TRIM(S301),"00000")="89123", TEXT(TRIM(S301),"00000")="89169", TEXT(TRIM(S301),"00000")="89118"), "South/Strip",
  OR(TEXT(TRIM(S301),"00000")="89074", TEXT(TRIM(S301),"00000")="89014", TEXT(TRIM(S301),"00000")="89015", TEXT(TRIM(S301),"00000")="89011", TEXT(TRIM(S301),"00000")="89012"), "Suburban SE",
  OR(TEXT(TRIM(S301),"00000")="89117", TEXT(TRIM(S301),"00000")="89128", TEXT(TRIM(S301),"00000")="89135", TEXT(TRIM(S301),"00000")="89144", TEXT(TRIM(S301),"00000")="89145", TEXT(TRIM(S301),"00000")="89147"), "West Valley",
  TRUE, "Other"
)</f>
        <v>South/Strip</v>
      </c>
      <c r="U301" t="s">
        <v>3298</v>
      </c>
      <c r="V301" t="str">
        <f t="shared" si="19"/>
        <v>Outdoors/Public</v>
      </c>
    </row>
    <row r="302" spans="1:22">
      <c r="A302" t="s">
        <v>3029</v>
      </c>
      <c r="B302" t="s">
        <v>3030</v>
      </c>
      <c r="C302" s="1">
        <v>45484</v>
      </c>
      <c r="D302" s="4">
        <v>116.06</v>
      </c>
      <c r="E302">
        <v>61</v>
      </c>
      <c r="F302" t="str">
        <f t="shared" si="16"/>
        <v>60's</v>
      </c>
      <c r="G302" t="str" cm="1">
        <f t="array" ref="G302">_xlfn.IFS(
  F302="10's", "Child (5–12)",
  OR(F302="20's", F302="30's"), "Young Adult (20–39)",
  OR(F302="40's", F302="50's"), "Adult (40–59)",
  OR(F302="60's", F302="70's", F302="80's", F302="90's"), "Senior (60+)",
  TRUE, "Unknown"
)</f>
        <v>Senior (60+)</v>
      </c>
      <c r="H302" t="s">
        <v>841</v>
      </c>
      <c r="I302" t="s">
        <v>54</v>
      </c>
      <c r="J302" t="str">
        <f t="shared" si="17"/>
        <v>Environmental Heat</v>
      </c>
      <c r="K302" t="s">
        <v>98</v>
      </c>
      <c r="L302" t="s">
        <v>250</v>
      </c>
      <c r="M302" t="s">
        <v>5029</v>
      </c>
      <c r="N302" t="s">
        <v>5132</v>
      </c>
      <c r="O302" t="str" cm="1">
        <f t="array" ref="O302">_xlfn.IFS(
  TEXT(TRIM(N302),"00000")="NULL", "Missing/Unknown",
  OR(TEXT(TRIM(N302),"00000")="89101", TEXT(TRIM(N302),"00000")="89104", TEXT(TRIM(N302),"00000")="89106", TEXT(TRIM(N302),"00000")="89102", TEXT(TRIM(N302),"00000")="89107", TEXT(TRIM(N302),"00000")="89108"), "Urban Core",
  OR(TEXT(TRIM(N302),"00000")="89110", TEXT(TRIM(N302),"00000")="89115", TEXT(TRIM(N302),"00000")="89121", TEXT(TRIM(N302),"00000")="89122", TEXT(TRIM(N302),"00000")="89142", TEXT(TRIM(N302),"00000")="89156"), "East Valley",
  OR(TEXT(TRIM(N302),"00000")="89030", TEXT(TRIM(N302),"00000")="89031", TEXT(TRIM(N302),"00000")="89032", TEXT(TRIM(N302),"00000")="89086", TEXT(TRIM(N302),"00000")="89084", TEXT(TRIM(N302),"00000")="89081"), "North LV",
  OR(TEXT(TRIM(N302),"00000")="89109", TEXT(TRIM(N302),"00000")="89103", TEXT(TRIM(N302),"00000")="89119", TEXT(TRIM(N302),"00000")="89123", TEXT(TRIM(N302),"00000")="89169", TEXT(TRIM(N302),"00000")="89118"), "South/Strip",
  OR(TEXT(TRIM(N302),"00000")="89074", TEXT(TRIM(N302),"00000")="89014", TEXT(TRIM(N302),"00000")="89015", TEXT(TRIM(N302),"00000")="89011", TEXT(TRIM(N302),"00000")="89012"), "Suburban SE",
  OR(TEXT(TRIM(N302),"00000")="89117", TEXT(TRIM(N302),"00000")="89128", TEXT(TRIM(N302),"00000")="89135", TEXT(TRIM(N302),"00000")="89144", TEXT(TRIM(N302),"00000")="89145", TEXT(TRIM(N302),"00000")="89147"), "West Valley",
  TRUE, "Other"
)</f>
        <v>Other</v>
      </c>
      <c r="P302" t="s">
        <v>3298</v>
      </c>
      <c r="Q302" t="str">
        <f t="shared" si="18"/>
        <v>Outdoors/Public</v>
      </c>
      <c r="R302" t="s">
        <v>5029</v>
      </c>
      <c r="S302" t="s">
        <v>5132</v>
      </c>
      <c r="T302" t="str" cm="1">
        <f t="array" ref="T302">_xlfn.IFS(
  TEXT(TRIM(S302),"00000")="NULL", "Missing/Unknown",
  OR(TEXT(TRIM(S302),"00000")="89101", TEXT(TRIM(S302),"00000")="89104", TEXT(TRIM(S302),"00000")="89106", TEXT(TRIM(S302),"00000")="89102", TEXT(TRIM(S302),"00000")="89107", TEXT(TRIM(S302),"00000")="89108"), "Urban Core",
  OR(TEXT(TRIM(S302),"00000")="89110", TEXT(TRIM(S302),"00000")="89115", TEXT(TRIM(S302),"00000")="89121", TEXT(TRIM(S302),"00000")="89122", TEXT(TRIM(S302),"00000")="89142", TEXT(TRIM(S302),"00000")="89156"), "East Valley",
  OR(TEXT(TRIM(S302),"00000")="89030", TEXT(TRIM(S302),"00000")="89031", TEXT(TRIM(S302),"00000")="89032", TEXT(TRIM(S302),"00000")="89086", TEXT(TRIM(S302),"00000")="89084", TEXT(TRIM(S302),"00000")="89081"), "North LV",
  OR(TEXT(TRIM(S302),"00000")="89109", TEXT(TRIM(S302),"00000")="89103", TEXT(TRIM(S302),"00000")="89119", TEXT(TRIM(S302),"00000")="89123", TEXT(TRIM(S302),"00000")="89169", TEXT(TRIM(S302),"00000")="89118"), "South/Strip",
  OR(TEXT(TRIM(S302),"00000")="89074", TEXT(TRIM(S302),"00000")="89014", TEXT(TRIM(S302),"00000")="89015", TEXT(TRIM(S302),"00000")="89011", TEXT(TRIM(S302),"00000")="89012"), "Suburban SE",
  OR(TEXT(TRIM(S302),"00000")="89117", TEXT(TRIM(S302),"00000")="89128", TEXT(TRIM(S302),"00000")="89135", TEXT(TRIM(S302),"00000")="89144", TEXT(TRIM(S302),"00000")="89145", TEXT(TRIM(S302),"00000")="89147"), "West Valley",
  TRUE, "Other"
)</f>
        <v>Other</v>
      </c>
      <c r="U302" t="s">
        <v>3298</v>
      </c>
      <c r="V302" t="str">
        <f t="shared" si="19"/>
        <v>Outdoors/Public</v>
      </c>
    </row>
    <row r="303" spans="1:22">
      <c r="A303" t="s">
        <v>3037</v>
      </c>
      <c r="B303" t="s">
        <v>3038</v>
      </c>
      <c r="C303" s="1">
        <v>45484</v>
      </c>
      <c r="D303" s="4">
        <v>116.06</v>
      </c>
      <c r="E303">
        <v>72</v>
      </c>
      <c r="F303" t="str">
        <f t="shared" si="16"/>
        <v>70's</v>
      </c>
      <c r="G303" t="str" cm="1">
        <f t="array" ref="G303">_xlfn.IFS(
  F303="10's", "Child (5–12)",
  OR(F303="20's", F303="30's"), "Young Adult (20–39)",
  OR(F303="40's", F303="50's"), "Adult (40–59)",
  OR(F303="60's", F303="70's", F303="80's", F303="90's"), "Senior (60+)",
  TRUE, "Unknown"
)</f>
        <v>Senior (60+)</v>
      </c>
      <c r="H303" t="s">
        <v>841</v>
      </c>
      <c r="I303" t="s">
        <v>54</v>
      </c>
      <c r="J303" t="str">
        <f t="shared" si="17"/>
        <v>Environmental Heat</v>
      </c>
      <c r="K303" t="s">
        <v>63</v>
      </c>
      <c r="L303" t="s">
        <v>250</v>
      </c>
      <c r="M303" t="s">
        <v>4336</v>
      </c>
      <c r="N303" t="s">
        <v>5101</v>
      </c>
      <c r="O303" t="str" cm="1">
        <f t="array" ref="O303">_xlfn.IFS(
  TEXT(TRIM(N303),"00000")="NULL", "Missing/Unknown",
  OR(TEXT(TRIM(N303),"00000")="89101", TEXT(TRIM(N303),"00000")="89104", TEXT(TRIM(N303),"00000")="89106", TEXT(TRIM(N303),"00000")="89102", TEXT(TRIM(N303),"00000")="89107", TEXT(TRIM(N303),"00000")="89108"), "Urban Core",
  OR(TEXT(TRIM(N303),"00000")="89110", TEXT(TRIM(N303),"00000")="89115", TEXT(TRIM(N303),"00000")="89121", TEXT(TRIM(N303),"00000")="89122", TEXT(TRIM(N303),"00000")="89142", TEXT(TRIM(N303),"00000")="89156"), "East Valley",
  OR(TEXT(TRIM(N303),"00000")="89030", TEXT(TRIM(N303),"00000")="89031", TEXT(TRIM(N303),"00000")="89032", TEXT(TRIM(N303),"00000")="89086", TEXT(TRIM(N303),"00000")="89084", TEXT(TRIM(N303),"00000")="89081"), "North LV",
  OR(TEXT(TRIM(N303),"00000")="89109", TEXT(TRIM(N303),"00000")="89103", TEXT(TRIM(N303),"00000")="89119", TEXT(TRIM(N303),"00000")="89123", TEXT(TRIM(N303),"00000")="89169", TEXT(TRIM(N303),"00000")="89118"), "South/Strip",
  OR(TEXT(TRIM(N303),"00000")="89074", TEXT(TRIM(N303),"00000")="89014", TEXT(TRIM(N303),"00000")="89015", TEXT(TRIM(N303),"00000")="89011", TEXT(TRIM(N303),"00000")="89012"), "Suburban SE",
  OR(TEXT(TRIM(N303),"00000")="89117", TEXT(TRIM(N303),"00000")="89128", TEXT(TRIM(N303),"00000")="89135", TEXT(TRIM(N303),"00000")="89144", TEXT(TRIM(N303),"00000")="89145", TEXT(TRIM(N303),"00000")="89147"), "West Valley",
  TRUE, "Other"
)</f>
        <v>Urban Core</v>
      </c>
      <c r="P303" t="s">
        <v>3298</v>
      </c>
      <c r="Q303" t="str">
        <f t="shared" si="18"/>
        <v>Outdoors/Public</v>
      </c>
      <c r="R303" t="s">
        <v>4336</v>
      </c>
      <c r="S303" t="s">
        <v>5101</v>
      </c>
      <c r="T303" t="str" cm="1">
        <f t="array" ref="T303">_xlfn.IFS(
  TEXT(TRIM(S303),"00000")="NULL", "Missing/Unknown",
  OR(TEXT(TRIM(S303),"00000")="89101", TEXT(TRIM(S303),"00000")="89104", TEXT(TRIM(S303),"00000")="89106", TEXT(TRIM(S303),"00000")="89102", TEXT(TRIM(S303),"00000")="89107", TEXT(TRIM(S303),"00000")="89108"), "Urban Core",
  OR(TEXT(TRIM(S303),"00000")="89110", TEXT(TRIM(S303),"00000")="89115", TEXT(TRIM(S303),"00000")="89121", TEXT(TRIM(S303),"00000")="89122", TEXT(TRIM(S303),"00000")="89142", TEXT(TRIM(S303),"00000")="89156"), "East Valley",
  OR(TEXT(TRIM(S303),"00000")="89030", TEXT(TRIM(S303),"00000")="89031", TEXT(TRIM(S303),"00000")="89032", TEXT(TRIM(S303),"00000")="89086", TEXT(TRIM(S303),"00000")="89084", TEXT(TRIM(S303),"00000")="89081"), "North LV",
  OR(TEXT(TRIM(S303),"00000")="89109", TEXT(TRIM(S303),"00000")="89103", TEXT(TRIM(S303),"00000")="89119", TEXT(TRIM(S303),"00000")="89123", TEXT(TRIM(S303),"00000")="89169", TEXT(TRIM(S303),"00000")="89118"), "South/Strip",
  OR(TEXT(TRIM(S303),"00000")="89074", TEXT(TRIM(S303),"00000")="89014", TEXT(TRIM(S303),"00000")="89015", TEXT(TRIM(S303),"00000")="89011", TEXT(TRIM(S303),"00000")="89012"), "Suburban SE",
  OR(TEXT(TRIM(S303),"00000")="89117", TEXT(TRIM(S303),"00000")="89128", TEXT(TRIM(S303),"00000")="89135", TEXT(TRIM(S303),"00000")="89144", TEXT(TRIM(S303),"00000")="89145", TEXT(TRIM(S303),"00000")="89147"), "West Valley",
  TRUE, "Other"
)</f>
        <v>Urban Core</v>
      </c>
      <c r="U303" t="s">
        <v>3298</v>
      </c>
      <c r="V303" t="str">
        <f t="shared" si="19"/>
        <v>Outdoors/Public</v>
      </c>
    </row>
    <row r="304" spans="1:22">
      <c r="A304" t="s">
        <v>3302</v>
      </c>
      <c r="B304" t="s">
        <v>3303</v>
      </c>
      <c r="C304" s="1">
        <v>45484</v>
      </c>
      <c r="D304" s="4">
        <v>116.06</v>
      </c>
      <c r="E304">
        <v>44</v>
      </c>
      <c r="F304" t="str">
        <f t="shared" si="16"/>
        <v>40's</v>
      </c>
      <c r="G304" t="str" cm="1">
        <f t="array" ref="G304">_xlfn.IFS(
  F304="10's", "Child (5–12)",
  OR(F304="20's", F304="30's"), "Young Adult (20–39)",
  OR(F304="40's", F304="50's"), "Adult (40–59)",
  OR(F304="60's", F304="70's", F304="80's", F304="90's"), "Senior (60+)",
  TRUE, "Unknown"
)</f>
        <v>Adult (40–59)</v>
      </c>
      <c r="H304" t="s">
        <v>778</v>
      </c>
      <c r="I304" t="s">
        <v>163</v>
      </c>
      <c r="J304" t="str">
        <f t="shared" si="17"/>
        <v>Environmental Heat</v>
      </c>
      <c r="K304" t="s">
        <v>2161</v>
      </c>
      <c r="L304" t="s">
        <v>250</v>
      </c>
      <c r="M304" t="s">
        <v>4572</v>
      </c>
      <c r="N304" t="s">
        <v>5101</v>
      </c>
      <c r="O304" t="str" cm="1">
        <f t="array" ref="O304">_xlfn.IFS(
  TEXT(TRIM(N304),"00000")="NULL", "Missing/Unknown",
  OR(TEXT(TRIM(N304),"00000")="89101", TEXT(TRIM(N304),"00000")="89104", TEXT(TRIM(N304),"00000")="89106", TEXT(TRIM(N304),"00000")="89102", TEXT(TRIM(N304),"00000")="89107", TEXT(TRIM(N304),"00000")="89108"), "Urban Core",
  OR(TEXT(TRIM(N304),"00000")="89110", TEXT(TRIM(N304),"00000")="89115", TEXT(TRIM(N304),"00000")="89121", TEXT(TRIM(N304),"00000")="89122", TEXT(TRIM(N304),"00000")="89142", TEXT(TRIM(N304),"00000")="89156"), "East Valley",
  OR(TEXT(TRIM(N304),"00000")="89030", TEXT(TRIM(N304),"00000")="89031", TEXT(TRIM(N304),"00000")="89032", TEXT(TRIM(N304),"00000")="89086", TEXT(TRIM(N304),"00000")="89084", TEXT(TRIM(N304),"00000")="89081"), "North LV",
  OR(TEXT(TRIM(N304),"00000")="89109", TEXT(TRIM(N304),"00000")="89103", TEXT(TRIM(N304),"00000")="89119", TEXT(TRIM(N304),"00000")="89123", TEXT(TRIM(N304),"00000")="89169", TEXT(TRIM(N304),"00000")="89118"), "South/Strip",
  OR(TEXT(TRIM(N304),"00000")="89074", TEXT(TRIM(N304),"00000")="89014", TEXT(TRIM(N304),"00000")="89015", TEXT(TRIM(N304),"00000")="89011", TEXT(TRIM(N304),"00000")="89012"), "Suburban SE",
  OR(TEXT(TRIM(N304),"00000")="89117", TEXT(TRIM(N304),"00000")="89128", TEXT(TRIM(N304),"00000")="89135", TEXT(TRIM(N304),"00000")="89144", TEXT(TRIM(N304),"00000")="89145", TEXT(TRIM(N304),"00000")="89147"), "West Valley",
  TRUE, "Other"
)</f>
        <v>Urban Core</v>
      </c>
      <c r="P304" t="s">
        <v>3298</v>
      </c>
      <c r="Q304" t="str">
        <f t="shared" si="18"/>
        <v>Outdoors/Public</v>
      </c>
      <c r="R304" t="s">
        <v>5054</v>
      </c>
      <c r="S304" t="s">
        <v>5097</v>
      </c>
      <c r="T304" t="str" cm="1">
        <f t="array" ref="T304">_xlfn.IFS(
  TEXT(TRIM(S304),"00000")="NULL", "Missing/Unknown",
  OR(TEXT(TRIM(S304),"00000")="89101", TEXT(TRIM(S304),"00000")="89104", TEXT(TRIM(S304),"00000")="89106", TEXT(TRIM(S304),"00000")="89102", TEXT(TRIM(S304),"00000")="89107", TEXT(TRIM(S304),"00000")="89108"), "Urban Core",
  OR(TEXT(TRIM(S304),"00000")="89110", TEXT(TRIM(S304),"00000")="89115", TEXT(TRIM(S304),"00000")="89121", TEXT(TRIM(S304),"00000")="89122", TEXT(TRIM(S304),"00000")="89142", TEXT(TRIM(S304),"00000")="89156"), "East Valley",
  OR(TEXT(TRIM(S304),"00000")="89030", TEXT(TRIM(S304),"00000")="89031", TEXT(TRIM(S304),"00000")="89032", TEXT(TRIM(S304),"00000")="89086", TEXT(TRIM(S304),"00000")="89084", TEXT(TRIM(S304),"00000")="89081"), "North LV",
  OR(TEXT(TRIM(S304),"00000")="89109", TEXT(TRIM(S304),"00000")="89103", TEXT(TRIM(S304),"00000")="89119", TEXT(TRIM(S304),"00000")="89123", TEXT(TRIM(S304),"00000")="89169", TEXT(TRIM(S304),"00000")="89118"), "South/Strip",
  OR(TEXT(TRIM(S304),"00000")="89074", TEXT(TRIM(S304),"00000")="89014", TEXT(TRIM(S304),"00000")="89015", TEXT(TRIM(S304),"00000")="89011", TEXT(TRIM(S304),"00000")="89012"), "Suburban SE",
  OR(TEXT(TRIM(S304),"00000")="89117", TEXT(TRIM(S304),"00000")="89128", TEXT(TRIM(S304),"00000")="89135", TEXT(TRIM(S304),"00000")="89144", TEXT(TRIM(S304),"00000")="89145", TEXT(TRIM(S304),"00000")="89147"), "West Valley",
  TRUE, "Other"
)</f>
        <v>Urban Core</v>
      </c>
      <c r="U304" t="s">
        <v>4301</v>
      </c>
      <c r="V304" t="str">
        <f t="shared" si="19"/>
        <v>Medical Facility</v>
      </c>
    </row>
    <row r="305" spans="1:22">
      <c r="A305" t="s">
        <v>2667</v>
      </c>
      <c r="B305" t="s">
        <v>2668</v>
      </c>
      <c r="C305" s="1">
        <v>45484</v>
      </c>
      <c r="D305" s="4">
        <v>116.06</v>
      </c>
      <c r="E305">
        <v>61</v>
      </c>
      <c r="F305" t="str">
        <f t="shared" si="16"/>
        <v>60's</v>
      </c>
      <c r="G305" t="str" cm="1">
        <f t="array" ref="G305">_xlfn.IFS(
  F305="10's", "Child (5–12)",
  OR(F305="20's", F305="30's"), "Young Adult (20–39)",
  OR(F305="40's", F305="50's"), "Adult (40–59)",
  OR(F305="60's", F305="70's", F305="80's", F305="90's"), "Senior (60+)",
  TRUE, "Unknown"
)</f>
        <v>Senior (60+)</v>
      </c>
      <c r="H305" t="s">
        <v>841</v>
      </c>
      <c r="I305" t="s">
        <v>2669</v>
      </c>
      <c r="J305" t="str">
        <f t="shared" si="17"/>
        <v>Mixed Drug Toxicity</v>
      </c>
      <c r="K305" t="s">
        <v>2670</v>
      </c>
      <c r="L305" t="s">
        <v>250</v>
      </c>
      <c r="N305" t="s">
        <v>5095</v>
      </c>
      <c r="O305" t="str" cm="1">
        <f t="array" ref="O305">_xlfn.IFS(
  TEXT(TRIM(N305),"00000")="NULL", "Missing/Unknown",
  OR(TEXT(TRIM(N305),"00000")="89101", TEXT(TRIM(N305),"00000")="89104", TEXT(TRIM(N305),"00000")="89106", TEXT(TRIM(N305),"00000")="89102", TEXT(TRIM(N305),"00000")="89107", TEXT(TRIM(N305),"00000")="89108"), "Urban Core",
  OR(TEXT(TRIM(N305),"00000")="89110", TEXT(TRIM(N305),"00000")="89115", TEXT(TRIM(N305),"00000")="89121", TEXT(TRIM(N305),"00000")="89122", TEXT(TRIM(N305),"00000")="89142", TEXT(TRIM(N305),"00000")="89156"), "East Valley",
  OR(TEXT(TRIM(N305),"00000")="89030", TEXT(TRIM(N305),"00000")="89031", TEXT(TRIM(N305),"00000")="89032", TEXT(TRIM(N305),"00000")="89086", TEXT(TRIM(N305),"00000")="89084", TEXT(TRIM(N305),"00000")="89081"), "North LV",
  OR(TEXT(TRIM(N305),"00000")="89109", TEXT(TRIM(N305),"00000")="89103", TEXT(TRIM(N305),"00000")="89119", TEXT(TRIM(N305),"00000")="89123", TEXT(TRIM(N305),"00000")="89169", TEXT(TRIM(N305),"00000")="89118"), "South/Strip",
  OR(TEXT(TRIM(N305),"00000")="89074", TEXT(TRIM(N305),"00000")="89014", TEXT(TRIM(N305),"00000")="89015", TEXT(TRIM(N305),"00000")="89011", TEXT(TRIM(N305),"00000")="89012"), "Suburban SE",
  OR(TEXT(TRIM(N305),"00000")="89117", TEXT(TRIM(N305),"00000")="89128", TEXT(TRIM(N305),"00000")="89135", TEXT(TRIM(N305),"00000")="89144", TEXT(TRIM(N305),"00000")="89145", TEXT(TRIM(N305),"00000")="89147"), "West Valley",
  TRUE, "Other"
)</f>
        <v>Missing/Unknown</v>
      </c>
      <c r="P305" t="s">
        <v>3298</v>
      </c>
      <c r="Q305" t="str">
        <f t="shared" si="18"/>
        <v>Outdoors/Public</v>
      </c>
      <c r="S305" t="s">
        <v>5095</v>
      </c>
      <c r="T305" t="str" cm="1">
        <f t="array" ref="T305">_xlfn.IFS(
  TEXT(TRIM(S305),"00000")="NULL", "Missing/Unknown",
  OR(TEXT(TRIM(S305),"00000")="89101", TEXT(TRIM(S305),"00000")="89104", TEXT(TRIM(S305),"00000")="89106", TEXT(TRIM(S305),"00000")="89102", TEXT(TRIM(S305),"00000")="89107", TEXT(TRIM(S305),"00000")="89108"), "Urban Core",
  OR(TEXT(TRIM(S305),"00000")="89110", TEXT(TRIM(S305),"00000")="89115", TEXT(TRIM(S305),"00000")="89121", TEXT(TRIM(S305),"00000")="89122", TEXT(TRIM(S305),"00000")="89142", TEXT(TRIM(S305),"00000")="89156"), "East Valley",
  OR(TEXT(TRIM(S305),"00000")="89030", TEXT(TRIM(S305),"00000")="89031", TEXT(TRIM(S305),"00000")="89032", TEXT(TRIM(S305),"00000")="89086", TEXT(TRIM(S305),"00000")="89084", TEXT(TRIM(S305),"00000")="89081"), "North LV",
  OR(TEXT(TRIM(S305),"00000")="89109", TEXT(TRIM(S305),"00000")="89103", TEXT(TRIM(S305),"00000")="89119", TEXT(TRIM(S305),"00000")="89123", TEXT(TRIM(S305),"00000")="89169", TEXT(TRIM(S305),"00000")="89118"), "South/Strip",
  OR(TEXT(TRIM(S305),"00000")="89074", TEXT(TRIM(S305),"00000")="89014", TEXT(TRIM(S305),"00000")="89015", TEXT(TRIM(S305),"00000")="89011", TEXT(TRIM(S305),"00000")="89012"), "Suburban SE",
  OR(TEXT(TRIM(S305),"00000")="89117", TEXT(TRIM(S305),"00000")="89128", TEXT(TRIM(S305),"00000")="89135", TEXT(TRIM(S305),"00000")="89144", TEXT(TRIM(S305),"00000")="89145", TEXT(TRIM(S305),"00000")="89147"), "West Valley",
  TRUE, "Other"
)</f>
        <v>Missing/Unknown</v>
      </c>
      <c r="U305" t="s">
        <v>3298</v>
      </c>
      <c r="V305" t="str">
        <f t="shared" si="19"/>
        <v>Outdoors/Public</v>
      </c>
    </row>
    <row r="306" spans="1:22">
      <c r="A306" t="s">
        <v>3027</v>
      </c>
      <c r="B306" t="s">
        <v>3028</v>
      </c>
      <c r="C306" s="1">
        <v>45484</v>
      </c>
      <c r="D306" s="4">
        <v>116.06</v>
      </c>
      <c r="E306">
        <v>41</v>
      </c>
      <c r="F306" t="str">
        <f t="shared" si="16"/>
        <v>40's</v>
      </c>
      <c r="G306" t="str" cm="1">
        <f t="array" ref="G306">_xlfn.IFS(
  F306="10's", "Child (5–12)",
  OR(F306="20's", F306="30's"), "Young Adult (20–39)",
  OR(F306="40's", F306="50's"), "Adult (40–59)",
  OR(F306="60's", F306="70's", F306="80's", F306="90's"), "Senior (60+)",
  TRUE, "Unknown"
)</f>
        <v>Adult (40–59)</v>
      </c>
      <c r="H306" t="s">
        <v>778</v>
      </c>
      <c r="I306" t="s">
        <v>54</v>
      </c>
      <c r="J306" t="str">
        <f t="shared" si="17"/>
        <v>Environmental Heat</v>
      </c>
      <c r="K306" t="s">
        <v>172</v>
      </c>
      <c r="L306" t="s">
        <v>250</v>
      </c>
      <c r="N306" t="s">
        <v>5095</v>
      </c>
      <c r="O306" t="str" cm="1">
        <f t="array" ref="O306">_xlfn.IFS(
  TEXT(TRIM(N306),"00000")="NULL", "Missing/Unknown",
  OR(TEXT(TRIM(N306),"00000")="89101", TEXT(TRIM(N306),"00000")="89104", TEXT(TRIM(N306),"00000")="89106", TEXT(TRIM(N306),"00000")="89102", TEXT(TRIM(N306),"00000")="89107", TEXT(TRIM(N306),"00000")="89108"), "Urban Core",
  OR(TEXT(TRIM(N306),"00000")="89110", TEXT(TRIM(N306),"00000")="89115", TEXT(TRIM(N306),"00000")="89121", TEXT(TRIM(N306),"00000")="89122", TEXT(TRIM(N306),"00000")="89142", TEXT(TRIM(N306),"00000")="89156"), "East Valley",
  OR(TEXT(TRIM(N306),"00000")="89030", TEXT(TRIM(N306),"00000")="89031", TEXT(TRIM(N306),"00000")="89032", TEXT(TRIM(N306),"00000")="89086", TEXT(TRIM(N306),"00000")="89084", TEXT(TRIM(N306),"00000")="89081"), "North LV",
  OR(TEXT(TRIM(N306),"00000")="89109", TEXT(TRIM(N306),"00000")="89103", TEXT(TRIM(N306),"00000")="89119", TEXT(TRIM(N306),"00000")="89123", TEXT(TRIM(N306),"00000")="89169", TEXT(TRIM(N306),"00000")="89118"), "South/Strip",
  OR(TEXT(TRIM(N306),"00000")="89074", TEXT(TRIM(N306),"00000")="89014", TEXT(TRIM(N306),"00000")="89015", TEXT(TRIM(N306),"00000")="89011", TEXT(TRIM(N306),"00000")="89012"), "Suburban SE",
  OR(TEXT(TRIM(N306),"00000")="89117", TEXT(TRIM(N306),"00000")="89128", TEXT(TRIM(N306),"00000")="89135", TEXT(TRIM(N306),"00000")="89144", TEXT(TRIM(N306),"00000")="89145", TEXT(TRIM(N306),"00000")="89147"), "West Valley",
  TRUE, "Other"
)</f>
        <v>Missing/Unknown</v>
      </c>
      <c r="P306" t="s">
        <v>3298</v>
      </c>
      <c r="Q306" t="str">
        <f t="shared" si="18"/>
        <v>Outdoors/Public</v>
      </c>
      <c r="S306" t="s">
        <v>5095</v>
      </c>
      <c r="T306" t="str" cm="1">
        <f t="array" ref="T306">_xlfn.IFS(
  TEXT(TRIM(S306),"00000")="NULL", "Missing/Unknown",
  OR(TEXT(TRIM(S306),"00000")="89101", TEXT(TRIM(S306),"00000")="89104", TEXT(TRIM(S306),"00000")="89106", TEXT(TRIM(S306),"00000")="89102", TEXT(TRIM(S306),"00000")="89107", TEXT(TRIM(S306),"00000")="89108"), "Urban Core",
  OR(TEXT(TRIM(S306),"00000")="89110", TEXT(TRIM(S306),"00000")="89115", TEXT(TRIM(S306),"00000")="89121", TEXT(TRIM(S306),"00000")="89122", TEXT(TRIM(S306),"00000")="89142", TEXT(TRIM(S306),"00000")="89156"), "East Valley",
  OR(TEXT(TRIM(S306),"00000")="89030", TEXT(TRIM(S306),"00000")="89031", TEXT(TRIM(S306),"00000")="89032", TEXT(TRIM(S306),"00000")="89086", TEXT(TRIM(S306),"00000")="89084", TEXT(TRIM(S306),"00000")="89081"), "North LV",
  OR(TEXT(TRIM(S306),"00000")="89109", TEXT(TRIM(S306),"00000")="89103", TEXT(TRIM(S306),"00000")="89119", TEXT(TRIM(S306),"00000")="89123", TEXT(TRIM(S306),"00000")="89169", TEXT(TRIM(S306),"00000")="89118"), "South/Strip",
  OR(TEXT(TRIM(S306),"00000")="89074", TEXT(TRIM(S306),"00000")="89014", TEXT(TRIM(S306),"00000")="89015", TEXT(TRIM(S306),"00000")="89011", TEXT(TRIM(S306),"00000")="89012"), "Suburban SE",
  OR(TEXT(TRIM(S306),"00000")="89117", TEXT(TRIM(S306),"00000")="89128", TEXT(TRIM(S306),"00000")="89135", TEXT(TRIM(S306),"00000")="89144", TEXT(TRIM(S306),"00000")="89145", TEXT(TRIM(S306),"00000")="89147"), "West Valley",
  TRUE, "Other"
)</f>
        <v>Missing/Unknown</v>
      </c>
      <c r="U306" t="s">
        <v>3298</v>
      </c>
      <c r="V306" t="str">
        <f t="shared" si="19"/>
        <v>Outdoors/Public</v>
      </c>
    </row>
    <row r="307" spans="1:22">
      <c r="A307" t="s">
        <v>3032</v>
      </c>
      <c r="B307" t="s">
        <v>3033</v>
      </c>
      <c r="C307" s="1">
        <v>45484</v>
      </c>
      <c r="D307" s="4">
        <v>116.06</v>
      </c>
      <c r="E307">
        <v>57</v>
      </c>
      <c r="F307" t="str">
        <f t="shared" si="16"/>
        <v>50's</v>
      </c>
      <c r="G307" t="str" cm="1">
        <f t="array" ref="G307">_xlfn.IFS(
  F307="10's", "Child (5–12)",
  OR(F307="20's", F307="30's"), "Young Adult (20–39)",
  OR(F307="40's", F307="50's"), "Adult (40–59)",
  OR(F307="60's", F307="70's", F307="80's", F307="90's"), "Senior (60+)",
  TRUE, "Unknown"
)</f>
        <v>Adult (40–59)</v>
      </c>
      <c r="H307" t="s">
        <v>778</v>
      </c>
      <c r="I307" t="s">
        <v>54</v>
      </c>
      <c r="J307" t="str">
        <f t="shared" si="17"/>
        <v>Environmental Heat</v>
      </c>
      <c r="K307" t="s">
        <v>98</v>
      </c>
      <c r="L307" t="s">
        <v>250</v>
      </c>
      <c r="N307" t="s">
        <v>5095</v>
      </c>
      <c r="O307" t="str" cm="1">
        <f t="array" ref="O307">_xlfn.IFS(
  TEXT(TRIM(N307),"00000")="NULL", "Missing/Unknown",
  OR(TEXT(TRIM(N307),"00000")="89101", TEXT(TRIM(N307),"00000")="89104", TEXT(TRIM(N307),"00000")="89106", TEXT(TRIM(N307),"00000")="89102", TEXT(TRIM(N307),"00000")="89107", TEXT(TRIM(N307),"00000")="89108"), "Urban Core",
  OR(TEXT(TRIM(N307),"00000")="89110", TEXT(TRIM(N307),"00000")="89115", TEXT(TRIM(N307),"00000")="89121", TEXT(TRIM(N307),"00000")="89122", TEXT(TRIM(N307),"00000")="89142", TEXT(TRIM(N307),"00000")="89156"), "East Valley",
  OR(TEXT(TRIM(N307),"00000")="89030", TEXT(TRIM(N307),"00000")="89031", TEXT(TRIM(N307),"00000")="89032", TEXT(TRIM(N307),"00000")="89086", TEXT(TRIM(N307),"00000")="89084", TEXT(TRIM(N307),"00000")="89081"), "North LV",
  OR(TEXT(TRIM(N307),"00000")="89109", TEXT(TRIM(N307),"00000")="89103", TEXT(TRIM(N307),"00000")="89119", TEXT(TRIM(N307),"00000")="89123", TEXT(TRIM(N307),"00000")="89169", TEXT(TRIM(N307),"00000")="89118"), "South/Strip",
  OR(TEXT(TRIM(N307),"00000")="89074", TEXT(TRIM(N307),"00000")="89014", TEXT(TRIM(N307),"00000")="89015", TEXT(TRIM(N307),"00000")="89011", TEXT(TRIM(N307),"00000")="89012"), "Suburban SE",
  OR(TEXT(TRIM(N307),"00000")="89117", TEXT(TRIM(N307),"00000")="89128", TEXT(TRIM(N307),"00000")="89135", TEXT(TRIM(N307),"00000")="89144", TEXT(TRIM(N307),"00000")="89145", TEXT(TRIM(N307),"00000")="89147"), "West Valley",
  TRUE, "Other"
)</f>
        <v>Missing/Unknown</v>
      </c>
      <c r="P307" t="s">
        <v>3298</v>
      </c>
      <c r="Q307" t="str">
        <f t="shared" si="18"/>
        <v>Outdoors/Public</v>
      </c>
      <c r="S307" t="s">
        <v>5095</v>
      </c>
      <c r="T307" t="str" cm="1">
        <f t="array" ref="T307">_xlfn.IFS(
  TEXT(TRIM(S307),"00000")="NULL", "Missing/Unknown",
  OR(TEXT(TRIM(S307),"00000")="89101", TEXT(TRIM(S307),"00000")="89104", TEXT(TRIM(S307),"00000")="89106", TEXT(TRIM(S307),"00000")="89102", TEXT(TRIM(S307),"00000")="89107", TEXT(TRIM(S307),"00000")="89108"), "Urban Core",
  OR(TEXT(TRIM(S307),"00000")="89110", TEXT(TRIM(S307),"00000")="89115", TEXT(TRIM(S307),"00000")="89121", TEXT(TRIM(S307),"00000")="89122", TEXT(TRIM(S307),"00000")="89142", TEXT(TRIM(S307),"00000")="89156"), "East Valley",
  OR(TEXT(TRIM(S307),"00000")="89030", TEXT(TRIM(S307),"00000")="89031", TEXT(TRIM(S307),"00000")="89032", TEXT(TRIM(S307),"00000")="89086", TEXT(TRIM(S307),"00000")="89084", TEXT(TRIM(S307),"00000")="89081"), "North LV",
  OR(TEXT(TRIM(S307),"00000")="89109", TEXT(TRIM(S307),"00000")="89103", TEXT(TRIM(S307),"00000")="89119", TEXT(TRIM(S307),"00000")="89123", TEXT(TRIM(S307),"00000")="89169", TEXT(TRIM(S307),"00000")="89118"), "South/Strip",
  OR(TEXT(TRIM(S307),"00000")="89074", TEXT(TRIM(S307),"00000")="89014", TEXT(TRIM(S307),"00000")="89015", TEXT(TRIM(S307),"00000")="89011", TEXT(TRIM(S307),"00000")="89012"), "Suburban SE",
  OR(TEXT(TRIM(S307),"00000")="89117", TEXT(TRIM(S307),"00000")="89128", TEXT(TRIM(S307),"00000")="89135", TEXT(TRIM(S307),"00000")="89144", TEXT(TRIM(S307),"00000")="89145", TEXT(TRIM(S307),"00000")="89147"), "West Valley",
  TRUE, "Other"
)</f>
        <v>Missing/Unknown</v>
      </c>
      <c r="U307" t="s">
        <v>3298</v>
      </c>
      <c r="V307" t="str">
        <f t="shared" si="19"/>
        <v>Outdoors/Public</v>
      </c>
    </row>
    <row r="308" spans="1:22">
      <c r="A308" t="s">
        <v>3034</v>
      </c>
      <c r="B308" t="s">
        <v>3035</v>
      </c>
      <c r="C308" s="1">
        <v>45484</v>
      </c>
      <c r="D308" s="4">
        <v>116.06</v>
      </c>
      <c r="E308">
        <v>32</v>
      </c>
      <c r="F308" t="str">
        <f t="shared" si="16"/>
        <v>30's</v>
      </c>
      <c r="G308" t="str" cm="1">
        <f t="array" ref="G308">_xlfn.IFS(
  F308="10's", "Child (5–12)",
  OR(F308="20's", F308="30's"), "Young Adult (20–39)",
  OR(F308="40's", F308="50's"), "Adult (40–59)",
  OR(F308="60's", F308="70's", F308="80's", F308="90's"), "Senior (60+)",
  TRUE, "Unknown"
)</f>
        <v>Young Adult (20–39)</v>
      </c>
      <c r="H308" t="s">
        <v>841</v>
      </c>
      <c r="I308" t="s">
        <v>54</v>
      </c>
      <c r="J308" t="str">
        <f t="shared" si="17"/>
        <v>Environmental Heat</v>
      </c>
      <c r="K308" t="s">
        <v>4170</v>
      </c>
      <c r="L308" t="s">
        <v>250</v>
      </c>
      <c r="N308" t="s">
        <v>5095</v>
      </c>
      <c r="O308" t="str" cm="1">
        <f t="array" ref="O308">_xlfn.IFS(
  TEXT(TRIM(N308),"00000")="NULL", "Missing/Unknown",
  OR(TEXT(TRIM(N308),"00000")="89101", TEXT(TRIM(N308),"00000")="89104", TEXT(TRIM(N308),"00000")="89106", TEXT(TRIM(N308),"00000")="89102", TEXT(TRIM(N308),"00000")="89107", TEXT(TRIM(N308),"00000")="89108"), "Urban Core",
  OR(TEXT(TRIM(N308),"00000")="89110", TEXT(TRIM(N308),"00000")="89115", TEXT(TRIM(N308),"00000")="89121", TEXT(TRIM(N308),"00000")="89122", TEXT(TRIM(N308),"00000")="89142", TEXT(TRIM(N308),"00000")="89156"), "East Valley",
  OR(TEXT(TRIM(N308),"00000")="89030", TEXT(TRIM(N308),"00000")="89031", TEXT(TRIM(N308),"00000")="89032", TEXT(TRIM(N308),"00000")="89086", TEXT(TRIM(N308),"00000")="89084", TEXT(TRIM(N308),"00000")="89081"), "North LV",
  OR(TEXT(TRIM(N308),"00000")="89109", TEXT(TRIM(N308),"00000")="89103", TEXT(TRIM(N308),"00000")="89119", TEXT(TRIM(N308),"00000")="89123", TEXT(TRIM(N308),"00000")="89169", TEXT(TRIM(N308),"00000")="89118"), "South/Strip",
  OR(TEXT(TRIM(N308),"00000")="89074", TEXT(TRIM(N308),"00000")="89014", TEXT(TRIM(N308),"00000")="89015", TEXT(TRIM(N308),"00000")="89011", TEXT(TRIM(N308),"00000")="89012"), "Suburban SE",
  OR(TEXT(TRIM(N308),"00000")="89117", TEXT(TRIM(N308),"00000")="89128", TEXT(TRIM(N308),"00000")="89135", TEXT(TRIM(N308),"00000")="89144", TEXT(TRIM(N308),"00000")="89145", TEXT(TRIM(N308),"00000")="89147"), "West Valley",
  TRUE, "Other"
)</f>
        <v>Missing/Unknown</v>
      </c>
      <c r="P308" t="s">
        <v>3298</v>
      </c>
      <c r="Q308" t="str">
        <f t="shared" si="18"/>
        <v>Outdoors/Public</v>
      </c>
      <c r="S308" t="s">
        <v>5095</v>
      </c>
      <c r="T308" t="str" cm="1">
        <f t="array" ref="T308">_xlfn.IFS(
  TEXT(TRIM(S308),"00000")="NULL", "Missing/Unknown",
  OR(TEXT(TRIM(S308),"00000")="89101", TEXT(TRIM(S308),"00000")="89104", TEXT(TRIM(S308),"00000")="89106", TEXT(TRIM(S308),"00000")="89102", TEXT(TRIM(S308),"00000")="89107", TEXT(TRIM(S308),"00000")="89108"), "Urban Core",
  OR(TEXT(TRIM(S308),"00000")="89110", TEXT(TRIM(S308),"00000")="89115", TEXT(TRIM(S308),"00000")="89121", TEXT(TRIM(S308),"00000")="89122", TEXT(TRIM(S308),"00000")="89142", TEXT(TRIM(S308),"00000")="89156"), "East Valley",
  OR(TEXT(TRIM(S308),"00000")="89030", TEXT(TRIM(S308),"00000")="89031", TEXT(TRIM(S308),"00000")="89032", TEXT(TRIM(S308),"00000")="89086", TEXT(TRIM(S308),"00000")="89084", TEXT(TRIM(S308),"00000")="89081"), "North LV",
  OR(TEXT(TRIM(S308),"00000")="89109", TEXT(TRIM(S308),"00000")="89103", TEXT(TRIM(S308),"00000")="89119", TEXT(TRIM(S308),"00000")="89123", TEXT(TRIM(S308),"00000")="89169", TEXT(TRIM(S308),"00000")="89118"), "South/Strip",
  OR(TEXT(TRIM(S308),"00000")="89074", TEXT(TRIM(S308),"00000")="89014", TEXT(TRIM(S308),"00000")="89015", TEXT(TRIM(S308),"00000")="89011", TEXT(TRIM(S308),"00000")="89012"), "Suburban SE",
  OR(TEXT(TRIM(S308),"00000")="89117", TEXT(TRIM(S308),"00000")="89128", TEXT(TRIM(S308),"00000")="89135", TEXT(TRIM(S308),"00000")="89144", TEXT(TRIM(S308),"00000")="89145", TEXT(TRIM(S308),"00000")="89147"), "West Valley",
  TRUE, "Other"
)</f>
        <v>Missing/Unknown</v>
      </c>
      <c r="U308" t="s">
        <v>3298</v>
      </c>
      <c r="V308" t="str">
        <f t="shared" si="19"/>
        <v>Outdoors/Public</v>
      </c>
    </row>
    <row r="309" spans="1:22">
      <c r="A309" t="s">
        <v>3705</v>
      </c>
      <c r="B309" t="s">
        <v>3706</v>
      </c>
      <c r="C309" s="1">
        <v>45484</v>
      </c>
      <c r="D309" s="4">
        <v>116.06</v>
      </c>
      <c r="E309">
        <v>60</v>
      </c>
      <c r="F309" t="str">
        <f t="shared" si="16"/>
        <v>60's</v>
      </c>
      <c r="G309" t="str" cm="1">
        <f t="array" ref="G309">_xlfn.IFS(
  F309="10's", "Child (5–12)",
  OR(F309="20's", F309="30's"), "Young Adult (20–39)",
  OR(F309="40's", F309="50's"), "Adult (40–59)",
  OR(F309="60's", F309="70's", F309="80's", F309="90's"), "Senior (60+)",
  TRUE, "Unknown"
)</f>
        <v>Senior (60+)</v>
      </c>
      <c r="H309" t="s">
        <v>778</v>
      </c>
      <c r="I309" t="s">
        <v>135</v>
      </c>
      <c r="J309" t="str">
        <f t="shared" si="17"/>
        <v>Methamphetamine-related</v>
      </c>
      <c r="K309" t="s">
        <v>35</v>
      </c>
      <c r="L309" t="s">
        <v>250</v>
      </c>
      <c r="N309" t="s">
        <v>5095</v>
      </c>
      <c r="O309" t="str" cm="1">
        <f t="array" ref="O309">_xlfn.IFS(
  TEXT(TRIM(N309),"00000")="NULL", "Missing/Unknown",
  OR(TEXT(TRIM(N309),"00000")="89101", TEXT(TRIM(N309),"00000")="89104", TEXT(TRIM(N309),"00000")="89106", TEXT(TRIM(N309),"00000")="89102", TEXT(TRIM(N309),"00000")="89107", TEXT(TRIM(N309),"00000")="89108"), "Urban Core",
  OR(TEXT(TRIM(N309),"00000")="89110", TEXT(TRIM(N309),"00000")="89115", TEXT(TRIM(N309),"00000")="89121", TEXT(TRIM(N309),"00000")="89122", TEXT(TRIM(N309),"00000")="89142", TEXT(TRIM(N309),"00000")="89156"), "East Valley",
  OR(TEXT(TRIM(N309),"00000")="89030", TEXT(TRIM(N309),"00000")="89031", TEXT(TRIM(N309),"00000")="89032", TEXT(TRIM(N309),"00000")="89086", TEXT(TRIM(N309),"00000")="89084", TEXT(TRIM(N309),"00000")="89081"), "North LV",
  OR(TEXT(TRIM(N309),"00000")="89109", TEXT(TRIM(N309),"00000")="89103", TEXT(TRIM(N309),"00000")="89119", TEXT(TRIM(N309),"00000")="89123", TEXT(TRIM(N309),"00000")="89169", TEXT(TRIM(N309),"00000")="89118"), "South/Strip",
  OR(TEXT(TRIM(N309),"00000")="89074", TEXT(TRIM(N309),"00000")="89014", TEXT(TRIM(N309),"00000")="89015", TEXT(TRIM(N309),"00000")="89011", TEXT(TRIM(N309),"00000")="89012"), "Suburban SE",
  OR(TEXT(TRIM(N309),"00000")="89117", TEXT(TRIM(N309),"00000")="89128", TEXT(TRIM(N309),"00000")="89135", TEXT(TRIM(N309),"00000")="89144", TEXT(TRIM(N309),"00000")="89145", TEXT(TRIM(N309),"00000")="89147"), "West Valley",
  TRUE, "Other"
)</f>
        <v>Missing/Unknown</v>
      </c>
      <c r="P309" t="s">
        <v>3298</v>
      </c>
      <c r="Q309" t="str">
        <f t="shared" si="18"/>
        <v>Outdoors/Public</v>
      </c>
      <c r="S309" t="s">
        <v>5095</v>
      </c>
      <c r="T309" t="str" cm="1">
        <f t="array" ref="T309">_xlfn.IFS(
  TEXT(TRIM(S309),"00000")="NULL", "Missing/Unknown",
  OR(TEXT(TRIM(S309),"00000")="89101", TEXT(TRIM(S309),"00000")="89104", TEXT(TRIM(S309),"00000")="89106", TEXT(TRIM(S309),"00000")="89102", TEXT(TRIM(S309),"00000")="89107", TEXT(TRIM(S309),"00000")="89108"), "Urban Core",
  OR(TEXT(TRIM(S309),"00000")="89110", TEXT(TRIM(S309),"00000")="89115", TEXT(TRIM(S309),"00000")="89121", TEXT(TRIM(S309),"00000")="89122", TEXT(TRIM(S309),"00000")="89142", TEXT(TRIM(S309),"00000")="89156"), "East Valley",
  OR(TEXT(TRIM(S309),"00000")="89030", TEXT(TRIM(S309),"00000")="89031", TEXT(TRIM(S309),"00000")="89032", TEXT(TRIM(S309),"00000")="89086", TEXT(TRIM(S309),"00000")="89084", TEXT(TRIM(S309),"00000")="89081"), "North LV",
  OR(TEXT(TRIM(S309),"00000")="89109", TEXT(TRIM(S309),"00000")="89103", TEXT(TRIM(S309),"00000")="89119", TEXT(TRIM(S309),"00000")="89123", TEXT(TRIM(S309),"00000")="89169", TEXT(TRIM(S309),"00000")="89118"), "South/Strip",
  OR(TEXT(TRIM(S309),"00000")="89074", TEXT(TRIM(S309),"00000")="89014", TEXT(TRIM(S309),"00000")="89015", TEXT(TRIM(S309),"00000")="89011", TEXT(TRIM(S309),"00000")="89012"), "Suburban SE",
  OR(TEXT(TRIM(S309),"00000")="89117", TEXT(TRIM(S309),"00000")="89128", TEXT(TRIM(S309),"00000")="89135", TEXT(TRIM(S309),"00000")="89144", TEXT(TRIM(S309),"00000")="89145", TEXT(TRIM(S309),"00000")="89147"), "West Valley",
  TRUE, "Other"
)</f>
        <v>Missing/Unknown</v>
      </c>
      <c r="U309" t="s">
        <v>3298</v>
      </c>
      <c r="V309" t="str">
        <f t="shared" si="19"/>
        <v>Outdoors/Public</v>
      </c>
    </row>
    <row r="310" spans="1:22">
      <c r="A310" t="s">
        <v>3043</v>
      </c>
      <c r="B310" t="s">
        <v>3044</v>
      </c>
      <c r="C310" s="1">
        <v>45484</v>
      </c>
      <c r="D310" s="4">
        <v>116.06</v>
      </c>
      <c r="E310">
        <v>34</v>
      </c>
      <c r="F310" t="str">
        <f t="shared" si="16"/>
        <v>30's</v>
      </c>
      <c r="G310" t="str" cm="1">
        <f t="array" ref="G310">_xlfn.IFS(
  F310="10's", "Child (5–12)",
  OR(F310="20's", F310="30's"), "Young Adult (20–39)",
  OR(F310="40's", F310="50's"), "Adult (40–59)",
  OR(F310="60's", F310="70's", F310="80's", F310="90's"), "Senior (60+)",
  TRUE, "Unknown"
)</f>
        <v>Young Adult (20–39)</v>
      </c>
      <c r="H310" t="s">
        <v>778</v>
      </c>
      <c r="I310" t="s">
        <v>54</v>
      </c>
      <c r="J310" t="str">
        <f t="shared" si="17"/>
        <v>Environmental Heat</v>
      </c>
      <c r="K310" t="s">
        <v>98</v>
      </c>
      <c r="L310" t="s">
        <v>250</v>
      </c>
      <c r="N310" t="s">
        <v>5095</v>
      </c>
      <c r="O310" t="str" cm="1">
        <f t="array" ref="O310">_xlfn.IFS(
  TEXT(TRIM(N310),"00000")="NULL", "Missing/Unknown",
  OR(TEXT(TRIM(N310),"00000")="89101", TEXT(TRIM(N310),"00000")="89104", TEXT(TRIM(N310),"00000")="89106", TEXT(TRIM(N310),"00000")="89102", TEXT(TRIM(N310),"00000")="89107", TEXT(TRIM(N310),"00000")="89108"), "Urban Core",
  OR(TEXT(TRIM(N310),"00000")="89110", TEXT(TRIM(N310),"00000")="89115", TEXT(TRIM(N310),"00000")="89121", TEXT(TRIM(N310),"00000")="89122", TEXT(TRIM(N310),"00000")="89142", TEXT(TRIM(N310),"00000")="89156"), "East Valley",
  OR(TEXT(TRIM(N310),"00000")="89030", TEXT(TRIM(N310),"00000")="89031", TEXT(TRIM(N310),"00000")="89032", TEXT(TRIM(N310),"00000")="89086", TEXT(TRIM(N310),"00000")="89084", TEXT(TRIM(N310),"00000")="89081"), "North LV",
  OR(TEXT(TRIM(N310),"00000")="89109", TEXT(TRIM(N310),"00000")="89103", TEXT(TRIM(N310),"00000")="89119", TEXT(TRIM(N310),"00000")="89123", TEXT(TRIM(N310),"00000")="89169", TEXT(TRIM(N310),"00000")="89118"), "South/Strip",
  OR(TEXT(TRIM(N310),"00000")="89074", TEXT(TRIM(N310),"00000")="89014", TEXT(TRIM(N310),"00000")="89015", TEXT(TRIM(N310),"00000")="89011", TEXT(TRIM(N310),"00000")="89012"), "Suburban SE",
  OR(TEXT(TRIM(N310),"00000")="89117", TEXT(TRIM(N310),"00000")="89128", TEXT(TRIM(N310),"00000")="89135", TEXT(TRIM(N310),"00000")="89144", TEXT(TRIM(N310),"00000")="89145", TEXT(TRIM(N310),"00000")="89147"), "West Valley",
  TRUE, "Other"
)</f>
        <v>Missing/Unknown</v>
      </c>
      <c r="P310" t="s">
        <v>3298</v>
      </c>
      <c r="Q310" t="str">
        <f t="shared" si="18"/>
        <v>Outdoors/Public</v>
      </c>
      <c r="S310" t="s">
        <v>5095</v>
      </c>
      <c r="T310" t="str" cm="1">
        <f t="array" ref="T310">_xlfn.IFS(
  TEXT(TRIM(S310),"00000")="NULL", "Missing/Unknown",
  OR(TEXT(TRIM(S310),"00000")="89101", TEXT(TRIM(S310),"00000")="89104", TEXT(TRIM(S310),"00000")="89106", TEXT(TRIM(S310),"00000")="89102", TEXT(TRIM(S310),"00000")="89107", TEXT(TRIM(S310),"00000")="89108"), "Urban Core",
  OR(TEXT(TRIM(S310),"00000")="89110", TEXT(TRIM(S310),"00000")="89115", TEXT(TRIM(S310),"00000")="89121", TEXT(TRIM(S310),"00000")="89122", TEXT(TRIM(S310),"00000")="89142", TEXT(TRIM(S310),"00000")="89156"), "East Valley",
  OR(TEXT(TRIM(S310),"00000")="89030", TEXT(TRIM(S310),"00000")="89031", TEXT(TRIM(S310),"00000")="89032", TEXT(TRIM(S310),"00000")="89086", TEXT(TRIM(S310),"00000")="89084", TEXT(TRIM(S310),"00000")="89081"), "North LV",
  OR(TEXT(TRIM(S310),"00000")="89109", TEXT(TRIM(S310),"00000")="89103", TEXT(TRIM(S310),"00000")="89119", TEXT(TRIM(S310),"00000")="89123", TEXT(TRIM(S310),"00000")="89169", TEXT(TRIM(S310),"00000")="89118"), "South/Strip",
  OR(TEXT(TRIM(S310),"00000")="89074", TEXT(TRIM(S310),"00000")="89014", TEXT(TRIM(S310),"00000")="89015", TEXT(TRIM(S310),"00000")="89011", TEXT(TRIM(S310),"00000")="89012"), "Suburban SE",
  OR(TEXT(TRIM(S310),"00000")="89117", TEXT(TRIM(S310),"00000")="89128", TEXT(TRIM(S310),"00000")="89135", TEXT(TRIM(S310),"00000")="89144", TEXT(TRIM(S310),"00000")="89145", TEXT(TRIM(S310),"00000")="89147"), "West Valley",
  TRUE, "Other"
)</f>
        <v>Missing/Unknown</v>
      </c>
      <c r="U310" t="s">
        <v>3298</v>
      </c>
      <c r="V310" t="str">
        <f t="shared" si="19"/>
        <v>Outdoors/Public</v>
      </c>
    </row>
    <row r="311" spans="1:22">
      <c r="A311" t="s">
        <v>3661</v>
      </c>
      <c r="B311" t="s">
        <v>3662</v>
      </c>
      <c r="C311" s="1">
        <v>45484</v>
      </c>
      <c r="D311" s="4">
        <v>116.06</v>
      </c>
      <c r="E311">
        <v>58</v>
      </c>
      <c r="F311" t="str">
        <f t="shared" si="16"/>
        <v>50's</v>
      </c>
      <c r="G311" t="str" cm="1">
        <f t="array" ref="G311">_xlfn.IFS(
  F311="10's", "Child (5–12)",
  OR(F311="20's", F311="30's"), "Young Adult (20–39)",
  OR(F311="40's", F311="50's"), "Adult (40–59)",
  OR(F311="60's", F311="70's", F311="80's", F311="90's"), "Senior (60+)",
  TRUE, "Unknown"
)</f>
        <v>Adult (40–59)</v>
      </c>
      <c r="H311" t="s">
        <v>841</v>
      </c>
      <c r="I311" t="s">
        <v>4045</v>
      </c>
      <c r="J311" t="str">
        <f t="shared" si="17"/>
        <v>Methamphetamine-related</v>
      </c>
      <c r="K311" t="s">
        <v>4182</v>
      </c>
      <c r="L311" t="s">
        <v>250</v>
      </c>
      <c r="N311" t="s">
        <v>5095</v>
      </c>
      <c r="O311" t="str" cm="1">
        <f t="array" ref="O311">_xlfn.IFS(
  TEXT(TRIM(N311),"00000")="NULL", "Missing/Unknown",
  OR(TEXT(TRIM(N311),"00000")="89101", TEXT(TRIM(N311),"00000")="89104", TEXT(TRIM(N311),"00000")="89106", TEXT(TRIM(N311),"00000")="89102", TEXT(TRIM(N311),"00000")="89107", TEXT(TRIM(N311),"00000")="89108"), "Urban Core",
  OR(TEXT(TRIM(N311),"00000")="89110", TEXT(TRIM(N311),"00000")="89115", TEXT(TRIM(N311),"00000")="89121", TEXT(TRIM(N311),"00000")="89122", TEXT(TRIM(N311),"00000")="89142", TEXT(TRIM(N311),"00000")="89156"), "East Valley",
  OR(TEXT(TRIM(N311),"00000")="89030", TEXT(TRIM(N311),"00000")="89031", TEXT(TRIM(N311),"00000")="89032", TEXT(TRIM(N311),"00000")="89086", TEXT(TRIM(N311),"00000")="89084", TEXT(TRIM(N311),"00000")="89081"), "North LV",
  OR(TEXT(TRIM(N311),"00000")="89109", TEXT(TRIM(N311),"00000")="89103", TEXT(TRIM(N311),"00000")="89119", TEXT(TRIM(N311),"00000")="89123", TEXT(TRIM(N311),"00000")="89169", TEXT(TRIM(N311),"00000")="89118"), "South/Strip",
  OR(TEXT(TRIM(N311),"00000")="89074", TEXT(TRIM(N311),"00000")="89014", TEXT(TRIM(N311),"00000")="89015", TEXT(TRIM(N311),"00000")="89011", TEXT(TRIM(N311),"00000")="89012"), "Suburban SE",
  OR(TEXT(TRIM(N311),"00000")="89117", TEXT(TRIM(N311),"00000")="89128", TEXT(TRIM(N311),"00000")="89135", TEXT(TRIM(N311),"00000")="89144", TEXT(TRIM(N311),"00000")="89145", TEXT(TRIM(N311),"00000")="89147"), "West Valley",
  TRUE, "Other"
)</f>
        <v>Missing/Unknown</v>
      </c>
      <c r="P311" t="s">
        <v>3298</v>
      </c>
      <c r="Q311" t="str">
        <f t="shared" si="18"/>
        <v>Outdoors/Public</v>
      </c>
      <c r="S311" t="s">
        <v>5095</v>
      </c>
      <c r="T311" t="str" cm="1">
        <f t="array" ref="T311">_xlfn.IFS(
  TEXT(TRIM(S311),"00000")="NULL", "Missing/Unknown",
  OR(TEXT(TRIM(S311),"00000")="89101", TEXT(TRIM(S311),"00000")="89104", TEXT(TRIM(S311),"00000")="89106", TEXT(TRIM(S311),"00000")="89102", TEXT(TRIM(S311),"00000")="89107", TEXT(TRIM(S311),"00000")="89108"), "Urban Core",
  OR(TEXT(TRIM(S311),"00000")="89110", TEXT(TRIM(S311),"00000")="89115", TEXT(TRIM(S311),"00000")="89121", TEXT(TRIM(S311),"00000")="89122", TEXT(TRIM(S311),"00000")="89142", TEXT(TRIM(S311),"00000")="89156"), "East Valley",
  OR(TEXT(TRIM(S311),"00000")="89030", TEXT(TRIM(S311),"00000")="89031", TEXT(TRIM(S311),"00000")="89032", TEXT(TRIM(S311),"00000")="89086", TEXT(TRIM(S311),"00000")="89084", TEXT(TRIM(S311),"00000")="89081"), "North LV",
  OR(TEXT(TRIM(S311),"00000")="89109", TEXT(TRIM(S311),"00000")="89103", TEXT(TRIM(S311),"00000")="89119", TEXT(TRIM(S311),"00000")="89123", TEXT(TRIM(S311),"00000")="89169", TEXT(TRIM(S311),"00000")="89118"), "South/Strip",
  OR(TEXT(TRIM(S311),"00000")="89074", TEXT(TRIM(S311),"00000")="89014", TEXT(TRIM(S311),"00000")="89015", TEXT(TRIM(S311),"00000")="89011", TEXT(TRIM(S311),"00000")="89012"), "Suburban SE",
  OR(TEXT(TRIM(S311),"00000")="89117", TEXT(TRIM(S311),"00000")="89128", TEXT(TRIM(S311),"00000")="89135", TEXT(TRIM(S311),"00000")="89144", TEXT(TRIM(S311),"00000")="89145", TEXT(TRIM(S311),"00000")="89147"), "West Valley",
  TRUE, "Other"
)</f>
        <v>Missing/Unknown</v>
      </c>
      <c r="U311" t="s">
        <v>3298</v>
      </c>
      <c r="V311" t="str">
        <f t="shared" si="19"/>
        <v>Outdoors/Public</v>
      </c>
    </row>
    <row r="312" spans="1:22">
      <c r="A312" t="s">
        <v>2876</v>
      </c>
      <c r="B312" t="s">
        <v>2877</v>
      </c>
      <c r="C312" s="1">
        <v>45483</v>
      </c>
      <c r="D312" s="4">
        <v>116.96</v>
      </c>
      <c r="E312">
        <v>32</v>
      </c>
      <c r="F312" t="str">
        <f t="shared" si="16"/>
        <v>30's</v>
      </c>
      <c r="G312" t="str" cm="1">
        <f t="array" ref="G312">_xlfn.IFS(
  F312="10's", "Child (5–12)",
  OR(F312="20's", F312="30's"), "Young Adult (20–39)",
  OR(F312="40's", F312="50's"), "Adult (40–59)",
  OR(F312="60's", F312="70's", F312="80's", F312="90's"), "Senior (60+)",
  TRUE, "Unknown"
)</f>
        <v>Young Adult (20–39)</v>
      </c>
      <c r="H312" t="s">
        <v>778</v>
      </c>
      <c r="I312" t="s">
        <v>35</v>
      </c>
      <c r="J312" t="str">
        <f t="shared" si="17"/>
        <v>Environmental Heat</v>
      </c>
      <c r="K312" t="s">
        <v>28</v>
      </c>
      <c r="L312" t="s">
        <v>1071</v>
      </c>
      <c r="M312" t="s">
        <v>4332</v>
      </c>
      <c r="N312" t="s">
        <v>5128</v>
      </c>
      <c r="O312" t="str" cm="1">
        <f t="array" ref="O312">_xlfn.IFS(
  TEXT(TRIM(N312),"00000")="NULL", "Missing/Unknown",
  OR(TEXT(TRIM(N312),"00000")="89101", TEXT(TRIM(N312),"00000")="89104", TEXT(TRIM(N312),"00000")="89106", TEXT(TRIM(N312),"00000")="89102", TEXT(TRIM(N312),"00000")="89107", TEXT(TRIM(N312),"00000")="89108"), "Urban Core",
  OR(TEXT(TRIM(N312),"00000")="89110", TEXT(TRIM(N312),"00000")="89115", TEXT(TRIM(N312),"00000")="89121", TEXT(TRIM(N312),"00000")="89122", TEXT(TRIM(N312),"00000")="89142", TEXT(TRIM(N312),"00000")="89156"), "East Valley",
  OR(TEXT(TRIM(N312),"00000")="89030", TEXT(TRIM(N312),"00000")="89031", TEXT(TRIM(N312),"00000")="89032", TEXT(TRIM(N312),"00000")="89086", TEXT(TRIM(N312),"00000")="89084", TEXT(TRIM(N312),"00000")="89081"), "North LV",
  OR(TEXT(TRIM(N312),"00000")="89109", TEXT(TRIM(N312),"00000")="89103", TEXT(TRIM(N312),"00000")="89119", TEXT(TRIM(N312),"00000")="89123", TEXT(TRIM(N312),"00000")="89169", TEXT(TRIM(N312),"00000")="89118"), "South/Strip",
  OR(TEXT(TRIM(N312),"00000")="89074", TEXT(TRIM(N312),"00000")="89014", TEXT(TRIM(N312),"00000")="89015", TEXT(TRIM(N312),"00000")="89011", TEXT(TRIM(N312),"00000")="89012"), "Suburban SE",
  OR(TEXT(TRIM(N312),"00000")="89117", TEXT(TRIM(N312),"00000")="89128", TEXT(TRIM(N312),"00000")="89135", TEXT(TRIM(N312),"00000")="89144", TEXT(TRIM(N312),"00000")="89145", TEXT(TRIM(N312),"00000")="89147"), "West Valley",
  TRUE, "Other"
)</f>
        <v>East Valley</v>
      </c>
      <c r="P312" t="s">
        <v>3298</v>
      </c>
      <c r="Q312" t="str">
        <f t="shared" si="18"/>
        <v>Outdoors/Public</v>
      </c>
      <c r="R312" t="s">
        <v>4341</v>
      </c>
      <c r="S312" t="s">
        <v>5100</v>
      </c>
      <c r="T312" t="str" cm="1">
        <f t="array" ref="T312">_xlfn.IFS(
  TEXT(TRIM(S312),"00000")="NULL", "Missing/Unknown",
  OR(TEXT(TRIM(S312),"00000")="89101", TEXT(TRIM(S312),"00000")="89104", TEXT(TRIM(S312),"00000")="89106", TEXT(TRIM(S312),"00000")="89102", TEXT(TRIM(S312),"00000")="89107", TEXT(TRIM(S312),"00000")="89108"), "Urban Core",
  OR(TEXT(TRIM(S312),"00000")="89110", TEXT(TRIM(S312),"00000")="89115", TEXT(TRIM(S312),"00000")="89121", TEXT(TRIM(S312),"00000")="89122", TEXT(TRIM(S312),"00000")="89142", TEXT(TRIM(S312),"00000")="89156"), "East Valley",
  OR(TEXT(TRIM(S312),"00000")="89030", TEXT(TRIM(S312),"00000")="89031", TEXT(TRIM(S312),"00000")="89032", TEXT(TRIM(S312),"00000")="89086", TEXT(TRIM(S312),"00000")="89084", TEXT(TRIM(S312),"00000")="89081"), "North LV",
  OR(TEXT(TRIM(S312),"00000")="89109", TEXT(TRIM(S312),"00000")="89103", TEXT(TRIM(S312),"00000")="89119", TEXT(TRIM(S312),"00000")="89123", TEXT(TRIM(S312),"00000")="89169", TEXT(TRIM(S312),"00000")="89118"), "South/Strip",
  OR(TEXT(TRIM(S312),"00000")="89074", TEXT(TRIM(S312),"00000")="89014", TEXT(TRIM(S312),"00000")="89015", TEXT(TRIM(S312),"00000")="89011", TEXT(TRIM(S312),"00000")="89012"), "Suburban SE",
  OR(TEXT(TRIM(S312),"00000")="89117", TEXT(TRIM(S312),"00000")="89128", TEXT(TRIM(S312),"00000")="89135", TEXT(TRIM(S312),"00000")="89144", TEXT(TRIM(S312),"00000")="89145", TEXT(TRIM(S312),"00000")="89147"), "West Valley",
  TRUE, "Other"
)</f>
        <v>North LV</v>
      </c>
      <c r="U312" t="s">
        <v>2465</v>
      </c>
      <c r="V312" t="str">
        <f t="shared" si="19"/>
        <v>Medical Facility</v>
      </c>
    </row>
    <row r="313" spans="1:22">
      <c r="A313" t="s">
        <v>3921</v>
      </c>
      <c r="B313" t="s">
        <v>3922</v>
      </c>
      <c r="C313" s="1">
        <v>45483</v>
      </c>
      <c r="D313" s="4">
        <v>116.96</v>
      </c>
      <c r="E313">
        <v>70</v>
      </c>
      <c r="F313" t="str">
        <f t="shared" si="16"/>
        <v>70's</v>
      </c>
      <c r="G313" t="str" cm="1">
        <f t="array" ref="G313">_xlfn.IFS(
  F313="10's", "Child (5–12)",
  OR(F313="20's", F313="30's"), "Young Adult (20–39)",
  OR(F313="40's", F313="50's"), "Adult (40–59)",
  OR(F313="60's", F313="70's", F313="80's", F313="90's"), "Senior (60+)",
  TRUE, "Unknown"
)</f>
        <v>Senior (60+)</v>
      </c>
      <c r="H313" t="s">
        <v>841</v>
      </c>
      <c r="I313" t="s">
        <v>4063</v>
      </c>
      <c r="J313" t="str">
        <f t="shared" si="17"/>
        <v>Cardiovascular Disease</v>
      </c>
      <c r="K313" t="s">
        <v>35</v>
      </c>
      <c r="L313" t="s">
        <v>1071</v>
      </c>
      <c r="M313" t="s">
        <v>4937</v>
      </c>
      <c r="N313" t="s">
        <v>5134</v>
      </c>
      <c r="O313" t="str" cm="1">
        <f t="array" ref="O313">_xlfn.IFS(
  TEXT(TRIM(N313),"00000")="NULL", "Missing/Unknown",
  OR(TEXT(TRIM(N313),"00000")="89101", TEXT(TRIM(N313),"00000")="89104", TEXT(TRIM(N313),"00000")="89106", TEXT(TRIM(N313),"00000")="89102", TEXT(TRIM(N313),"00000")="89107", TEXT(TRIM(N313),"00000")="89108"), "Urban Core",
  OR(TEXT(TRIM(N313),"00000")="89110", TEXT(TRIM(N313),"00000")="89115", TEXT(TRIM(N313),"00000")="89121", TEXT(TRIM(N313),"00000")="89122", TEXT(TRIM(N313),"00000")="89142", TEXT(TRIM(N313),"00000")="89156"), "East Valley",
  OR(TEXT(TRIM(N313),"00000")="89030", TEXT(TRIM(N313),"00000")="89031", TEXT(TRIM(N313),"00000")="89032", TEXT(TRIM(N313),"00000")="89086", TEXT(TRIM(N313),"00000")="89084", TEXT(TRIM(N313),"00000")="89081"), "North LV",
  OR(TEXT(TRIM(N313),"00000")="89109", TEXT(TRIM(N313),"00000")="89103", TEXT(TRIM(N313),"00000")="89119", TEXT(TRIM(N313),"00000")="89123", TEXT(TRIM(N313),"00000")="89169", TEXT(TRIM(N313),"00000")="89118"), "South/Strip",
  OR(TEXT(TRIM(N313),"00000")="89074", TEXT(TRIM(N313),"00000")="89014", TEXT(TRIM(N313),"00000")="89015", TEXT(TRIM(N313),"00000")="89011", TEXT(TRIM(N313),"00000")="89012"), "Suburban SE",
  OR(TEXT(TRIM(N313),"00000")="89117", TEXT(TRIM(N313),"00000")="89128", TEXT(TRIM(N313),"00000")="89135", TEXT(TRIM(N313),"00000")="89144", TEXT(TRIM(N313),"00000")="89145", TEXT(TRIM(N313),"00000")="89147"), "West Valley",
  TRUE, "Other"
)</f>
        <v>Other</v>
      </c>
      <c r="P313" t="s">
        <v>1073</v>
      </c>
      <c r="Q313" t="str">
        <f t="shared" si="18"/>
        <v>Home/Residence</v>
      </c>
      <c r="R313" t="s">
        <v>4937</v>
      </c>
      <c r="S313" t="s">
        <v>5134</v>
      </c>
      <c r="T313" t="str" cm="1">
        <f t="array" ref="T313">_xlfn.IFS(
  TEXT(TRIM(S313),"00000")="NULL", "Missing/Unknown",
  OR(TEXT(TRIM(S313),"00000")="89101", TEXT(TRIM(S313),"00000")="89104", TEXT(TRIM(S313),"00000")="89106", TEXT(TRIM(S313),"00000")="89102", TEXT(TRIM(S313),"00000")="89107", TEXT(TRIM(S313),"00000")="89108"), "Urban Core",
  OR(TEXT(TRIM(S313),"00000")="89110", TEXT(TRIM(S313),"00000")="89115", TEXT(TRIM(S313),"00000")="89121", TEXT(TRIM(S313),"00000")="89122", TEXT(TRIM(S313),"00000")="89142", TEXT(TRIM(S313),"00000")="89156"), "East Valley",
  OR(TEXT(TRIM(S313),"00000")="89030", TEXT(TRIM(S313),"00000")="89031", TEXT(TRIM(S313),"00000")="89032", TEXT(TRIM(S313),"00000")="89086", TEXT(TRIM(S313),"00000")="89084", TEXT(TRIM(S313),"00000")="89081"), "North LV",
  OR(TEXT(TRIM(S313),"00000")="89109", TEXT(TRIM(S313),"00000")="89103", TEXT(TRIM(S313),"00000")="89119", TEXT(TRIM(S313),"00000")="89123", TEXT(TRIM(S313),"00000")="89169", TEXT(TRIM(S313),"00000")="89118"), "South/Strip",
  OR(TEXT(TRIM(S313),"00000")="89074", TEXT(TRIM(S313),"00000")="89014", TEXT(TRIM(S313),"00000")="89015", TEXT(TRIM(S313),"00000")="89011", TEXT(TRIM(S313),"00000")="89012"), "Suburban SE",
  OR(TEXT(TRIM(S313),"00000")="89117", TEXT(TRIM(S313),"00000")="89128", TEXT(TRIM(S313),"00000")="89135", TEXT(TRIM(S313),"00000")="89144", TEXT(TRIM(S313),"00000")="89145", TEXT(TRIM(S313),"00000")="89147"), "West Valley",
  TRUE, "Other"
)</f>
        <v>Other</v>
      </c>
      <c r="U313" t="s">
        <v>1073</v>
      </c>
      <c r="V313" t="str">
        <f t="shared" si="19"/>
        <v>Home/Residence</v>
      </c>
    </row>
    <row r="314" spans="1:22">
      <c r="A314" t="s">
        <v>3699</v>
      </c>
      <c r="B314" t="s">
        <v>3700</v>
      </c>
      <c r="C314" s="1">
        <v>45483</v>
      </c>
      <c r="D314" s="4">
        <v>116.96</v>
      </c>
      <c r="E314">
        <v>68</v>
      </c>
      <c r="F314" t="str">
        <f t="shared" si="16"/>
        <v>60's</v>
      </c>
      <c r="G314" t="str" cm="1">
        <f t="array" ref="G314">_xlfn.IFS(
  F314="10's", "Child (5–12)",
  OR(F314="20's", F314="30's"), "Young Adult (20–39)",
  OR(F314="40's", F314="50's"), "Adult (40–59)",
  OR(F314="60's", F314="70's", F314="80's", F314="90's"), "Senior (60+)",
  TRUE, "Unknown"
)</f>
        <v>Senior (60+)</v>
      </c>
      <c r="H314" t="s">
        <v>841</v>
      </c>
      <c r="I314" t="s">
        <v>135</v>
      </c>
      <c r="J314" t="str">
        <f t="shared" si="17"/>
        <v>Methamphetamine-related</v>
      </c>
      <c r="K314" t="s">
        <v>35</v>
      </c>
      <c r="L314" t="s">
        <v>1071</v>
      </c>
      <c r="M314" t="s">
        <v>5032</v>
      </c>
      <c r="N314" t="s">
        <v>5100</v>
      </c>
      <c r="O314" t="str" cm="1">
        <f t="array" ref="O314">_xlfn.IFS(
  TEXT(TRIM(N314),"00000")="NULL", "Missing/Unknown",
  OR(TEXT(TRIM(N314),"00000")="89101", TEXT(TRIM(N314),"00000")="89104", TEXT(TRIM(N314),"00000")="89106", TEXT(TRIM(N314),"00000")="89102", TEXT(TRIM(N314),"00000")="89107", TEXT(TRIM(N314),"00000")="89108"), "Urban Core",
  OR(TEXT(TRIM(N314),"00000")="89110", TEXT(TRIM(N314),"00000")="89115", TEXT(TRIM(N314),"00000")="89121", TEXT(TRIM(N314),"00000")="89122", TEXT(TRIM(N314),"00000")="89142", TEXT(TRIM(N314),"00000")="89156"), "East Valley",
  OR(TEXT(TRIM(N314),"00000")="89030", TEXT(TRIM(N314),"00000")="89031", TEXT(TRIM(N314),"00000")="89032", TEXT(TRIM(N314),"00000")="89086", TEXT(TRIM(N314),"00000")="89084", TEXT(TRIM(N314),"00000")="89081"), "North LV",
  OR(TEXT(TRIM(N314),"00000")="89109", TEXT(TRIM(N314),"00000")="89103", TEXT(TRIM(N314),"00000")="89119", TEXT(TRIM(N314),"00000")="89123", TEXT(TRIM(N314),"00000")="89169", TEXT(TRIM(N314),"00000")="89118"), "South/Strip",
  OR(TEXT(TRIM(N314),"00000")="89074", TEXT(TRIM(N314),"00000")="89014", TEXT(TRIM(N314),"00000")="89015", TEXT(TRIM(N314),"00000")="89011", TEXT(TRIM(N314),"00000")="89012"), "Suburban SE",
  OR(TEXT(TRIM(N314),"00000")="89117", TEXT(TRIM(N314),"00000")="89128", TEXT(TRIM(N314),"00000")="89135", TEXT(TRIM(N314),"00000")="89144", TEXT(TRIM(N314),"00000")="89145", TEXT(TRIM(N314),"00000")="89147"), "West Valley",
  TRUE, "Other"
)</f>
        <v>North LV</v>
      </c>
      <c r="P314" t="s">
        <v>3298</v>
      </c>
      <c r="Q314" t="str">
        <f t="shared" si="18"/>
        <v>Outdoors/Public</v>
      </c>
      <c r="R314" t="s">
        <v>5032</v>
      </c>
      <c r="S314" t="s">
        <v>5100</v>
      </c>
      <c r="T314" t="str" cm="1">
        <f t="array" ref="T314">_xlfn.IFS(
  TEXT(TRIM(S314),"00000")="NULL", "Missing/Unknown",
  OR(TEXT(TRIM(S314),"00000")="89101", TEXT(TRIM(S314),"00000")="89104", TEXT(TRIM(S314),"00000")="89106", TEXT(TRIM(S314),"00000")="89102", TEXT(TRIM(S314),"00000")="89107", TEXT(TRIM(S314),"00000")="89108"), "Urban Core",
  OR(TEXT(TRIM(S314),"00000")="89110", TEXT(TRIM(S314),"00000")="89115", TEXT(TRIM(S314),"00000")="89121", TEXT(TRIM(S314),"00000")="89122", TEXT(TRIM(S314),"00000")="89142", TEXT(TRIM(S314),"00000")="89156"), "East Valley",
  OR(TEXT(TRIM(S314),"00000")="89030", TEXT(TRIM(S314),"00000")="89031", TEXT(TRIM(S314),"00000")="89032", TEXT(TRIM(S314),"00000")="89086", TEXT(TRIM(S314),"00000")="89084", TEXT(TRIM(S314),"00000")="89081"), "North LV",
  OR(TEXT(TRIM(S314),"00000")="89109", TEXT(TRIM(S314),"00000")="89103", TEXT(TRIM(S314),"00000")="89119", TEXT(TRIM(S314),"00000")="89123", TEXT(TRIM(S314),"00000")="89169", TEXT(TRIM(S314),"00000")="89118"), "South/Strip",
  OR(TEXT(TRIM(S314),"00000")="89074", TEXT(TRIM(S314),"00000")="89014", TEXT(TRIM(S314),"00000")="89015", TEXT(TRIM(S314),"00000")="89011", TEXT(TRIM(S314),"00000")="89012"), "Suburban SE",
  OR(TEXT(TRIM(S314),"00000")="89117", TEXT(TRIM(S314),"00000")="89128", TEXT(TRIM(S314),"00000")="89135", TEXT(TRIM(S314),"00000")="89144", TEXT(TRIM(S314),"00000")="89145", TEXT(TRIM(S314),"00000")="89147"), "West Valley",
  TRUE, "Other"
)</f>
        <v>North LV</v>
      </c>
      <c r="U314" t="s">
        <v>3298</v>
      </c>
      <c r="V314" t="str">
        <f t="shared" si="19"/>
        <v>Outdoors/Public</v>
      </c>
    </row>
    <row r="315" spans="1:22">
      <c r="A315" t="s">
        <v>3702</v>
      </c>
      <c r="B315" t="s">
        <v>3703</v>
      </c>
      <c r="C315" s="1">
        <v>45483</v>
      </c>
      <c r="D315" s="4">
        <v>116.96</v>
      </c>
      <c r="E315">
        <v>47</v>
      </c>
      <c r="F315" t="str">
        <f t="shared" si="16"/>
        <v>40's</v>
      </c>
      <c r="G315" t="str" cm="1">
        <f t="array" ref="G315">_xlfn.IFS(
  F315="10's", "Child (5–12)",
  OR(F315="20's", F315="30's"), "Young Adult (20–39)",
  OR(F315="40's", F315="50's"), "Adult (40–59)",
  OR(F315="60's", F315="70's", F315="80's", F315="90's"), "Senior (60+)",
  TRUE, "Unknown"
)</f>
        <v>Adult (40–59)</v>
      </c>
      <c r="H315" t="s">
        <v>841</v>
      </c>
      <c r="I315" t="s">
        <v>135</v>
      </c>
      <c r="J315" t="str">
        <f t="shared" si="17"/>
        <v>Methamphetamine-related</v>
      </c>
      <c r="K315" t="s">
        <v>3422</v>
      </c>
      <c r="L315" t="s">
        <v>250</v>
      </c>
      <c r="M315" t="s">
        <v>4634</v>
      </c>
      <c r="N315" t="s">
        <v>5101</v>
      </c>
      <c r="O315" t="str" cm="1">
        <f t="array" ref="O315">_xlfn.IFS(
  TEXT(TRIM(N315),"00000")="NULL", "Missing/Unknown",
  OR(TEXT(TRIM(N315),"00000")="89101", TEXT(TRIM(N315),"00000")="89104", TEXT(TRIM(N315),"00000")="89106", TEXT(TRIM(N315),"00000")="89102", TEXT(TRIM(N315),"00000")="89107", TEXT(TRIM(N315),"00000")="89108"), "Urban Core",
  OR(TEXT(TRIM(N315),"00000")="89110", TEXT(TRIM(N315),"00000")="89115", TEXT(TRIM(N315),"00000")="89121", TEXT(TRIM(N315),"00000")="89122", TEXT(TRIM(N315),"00000")="89142", TEXT(TRIM(N315),"00000")="89156"), "East Valley",
  OR(TEXT(TRIM(N315),"00000")="89030", TEXT(TRIM(N315),"00000")="89031", TEXT(TRIM(N315),"00000")="89032", TEXT(TRIM(N315),"00000")="89086", TEXT(TRIM(N315),"00000")="89084", TEXT(TRIM(N315),"00000")="89081"), "North LV",
  OR(TEXT(TRIM(N315),"00000")="89109", TEXT(TRIM(N315),"00000")="89103", TEXT(TRIM(N315),"00000")="89119", TEXT(TRIM(N315),"00000")="89123", TEXT(TRIM(N315),"00000")="89169", TEXT(TRIM(N315),"00000")="89118"), "South/Strip",
  OR(TEXT(TRIM(N315),"00000")="89074", TEXT(TRIM(N315),"00000")="89014", TEXT(TRIM(N315),"00000")="89015", TEXT(TRIM(N315),"00000")="89011", TEXT(TRIM(N315),"00000")="89012"), "Suburban SE",
  OR(TEXT(TRIM(N315),"00000")="89117", TEXT(TRIM(N315),"00000")="89128", TEXT(TRIM(N315),"00000")="89135", TEXT(TRIM(N315),"00000")="89144", TEXT(TRIM(N315),"00000")="89145", TEXT(TRIM(N315),"00000")="89147"), "West Valley",
  TRUE, "Other"
)</f>
        <v>Urban Core</v>
      </c>
      <c r="P315" t="s">
        <v>3298</v>
      </c>
      <c r="Q315" t="str">
        <f t="shared" si="18"/>
        <v>Outdoors/Public</v>
      </c>
      <c r="R315" t="s">
        <v>4634</v>
      </c>
      <c r="S315" t="s">
        <v>5101</v>
      </c>
      <c r="T315" t="str" cm="1">
        <f t="array" ref="T315">_xlfn.IFS(
  TEXT(TRIM(S315),"00000")="NULL", "Missing/Unknown",
  OR(TEXT(TRIM(S315),"00000")="89101", TEXT(TRIM(S315),"00000")="89104", TEXT(TRIM(S315),"00000")="89106", TEXT(TRIM(S315),"00000")="89102", TEXT(TRIM(S315),"00000")="89107", TEXT(TRIM(S315),"00000")="89108"), "Urban Core",
  OR(TEXT(TRIM(S315),"00000")="89110", TEXT(TRIM(S315),"00000")="89115", TEXT(TRIM(S315),"00000")="89121", TEXT(TRIM(S315),"00000")="89122", TEXT(TRIM(S315),"00000")="89142", TEXT(TRIM(S315),"00000")="89156"), "East Valley",
  OR(TEXT(TRIM(S315),"00000")="89030", TEXT(TRIM(S315),"00000")="89031", TEXT(TRIM(S315),"00000")="89032", TEXT(TRIM(S315),"00000")="89086", TEXT(TRIM(S315),"00000")="89084", TEXT(TRIM(S315),"00000")="89081"), "North LV",
  OR(TEXT(TRIM(S315),"00000")="89109", TEXT(TRIM(S315),"00000")="89103", TEXT(TRIM(S315),"00000")="89119", TEXT(TRIM(S315),"00000")="89123", TEXT(TRIM(S315),"00000")="89169", TEXT(TRIM(S315),"00000")="89118"), "South/Strip",
  OR(TEXT(TRIM(S315),"00000")="89074", TEXT(TRIM(S315),"00000")="89014", TEXT(TRIM(S315),"00000")="89015", TEXT(TRIM(S315),"00000")="89011", TEXT(TRIM(S315),"00000")="89012"), "Suburban SE",
  OR(TEXT(TRIM(S315),"00000")="89117", TEXT(TRIM(S315),"00000")="89128", TEXT(TRIM(S315),"00000")="89135", TEXT(TRIM(S315),"00000")="89144", TEXT(TRIM(S315),"00000")="89145", TEXT(TRIM(S315),"00000")="89147"), "West Valley",
  TRUE, "Other"
)</f>
        <v>Urban Core</v>
      </c>
      <c r="U315" t="s">
        <v>3298</v>
      </c>
      <c r="V315" t="str">
        <f t="shared" si="19"/>
        <v>Outdoors/Public</v>
      </c>
    </row>
    <row r="316" spans="1:22">
      <c r="A316" t="s">
        <v>3656</v>
      </c>
      <c r="B316" t="s">
        <v>3657</v>
      </c>
      <c r="C316" s="1">
        <v>45483</v>
      </c>
      <c r="D316" s="4">
        <v>116.96</v>
      </c>
      <c r="E316">
        <v>68</v>
      </c>
      <c r="F316" t="str">
        <f t="shared" si="16"/>
        <v>60's</v>
      </c>
      <c r="G316" t="str" cm="1">
        <f t="array" ref="G316">_xlfn.IFS(
  F316="10's", "Child (5–12)",
  OR(F316="20's", F316="30's"), "Young Adult (20–39)",
  OR(F316="40's", F316="50's"), "Adult (40–59)",
  OR(F316="60's", F316="70's", F316="80's", F316="90's"), "Senior (60+)",
  TRUE, "Unknown"
)</f>
        <v>Senior (60+)</v>
      </c>
      <c r="H316" t="s">
        <v>841</v>
      </c>
      <c r="I316" t="s">
        <v>4061</v>
      </c>
      <c r="J316" t="str">
        <f t="shared" si="17"/>
        <v>Methamphetamine-related</v>
      </c>
      <c r="K316" t="s">
        <v>4183</v>
      </c>
      <c r="L316" t="s">
        <v>250</v>
      </c>
      <c r="M316" t="s">
        <v>4693</v>
      </c>
      <c r="N316" t="s">
        <v>5099</v>
      </c>
      <c r="O316" t="str" cm="1">
        <f t="array" ref="O316">_xlfn.IFS(
  TEXT(TRIM(N316),"00000")="NULL", "Missing/Unknown",
  OR(TEXT(TRIM(N316),"00000")="89101", TEXT(TRIM(N316),"00000")="89104", TEXT(TRIM(N316),"00000")="89106", TEXT(TRIM(N316),"00000")="89102", TEXT(TRIM(N316),"00000")="89107", TEXT(TRIM(N316),"00000")="89108"), "Urban Core",
  OR(TEXT(TRIM(N316),"00000")="89110", TEXT(TRIM(N316),"00000")="89115", TEXT(TRIM(N316),"00000")="89121", TEXT(TRIM(N316),"00000")="89122", TEXT(TRIM(N316),"00000")="89142", TEXT(TRIM(N316),"00000")="89156"), "East Valley",
  OR(TEXT(TRIM(N316),"00000")="89030", TEXT(TRIM(N316),"00000")="89031", TEXT(TRIM(N316),"00000")="89032", TEXT(TRIM(N316),"00000")="89086", TEXT(TRIM(N316),"00000")="89084", TEXT(TRIM(N316),"00000")="89081"), "North LV",
  OR(TEXT(TRIM(N316),"00000")="89109", TEXT(TRIM(N316),"00000")="89103", TEXT(TRIM(N316),"00000")="89119", TEXT(TRIM(N316),"00000")="89123", TEXT(TRIM(N316),"00000")="89169", TEXT(TRIM(N316),"00000")="89118"), "South/Strip",
  OR(TEXT(TRIM(N316),"00000")="89074", TEXT(TRIM(N316),"00000")="89014", TEXT(TRIM(N316),"00000")="89015", TEXT(TRIM(N316),"00000")="89011", TEXT(TRIM(N316),"00000")="89012"), "Suburban SE",
  OR(TEXT(TRIM(N316),"00000")="89117", TEXT(TRIM(N316),"00000")="89128", TEXT(TRIM(N316),"00000")="89135", TEXT(TRIM(N316),"00000")="89144", TEXT(TRIM(N316),"00000")="89145", TEXT(TRIM(N316),"00000")="89147"), "West Valley",
  TRUE, "Other"
)</f>
        <v>Urban Core</v>
      </c>
      <c r="P316" t="s">
        <v>3298</v>
      </c>
      <c r="Q316" t="str">
        <f t="shared" si="18"/>
        <v>Outdoors/Public</v>
      </c>
      <c r="R316" t="s">
        <v>4693</v>
      </c>
      <c r="S316" t="s">
        <v>5099</v>
      </c>
      <c r="T316" t="str" cm="1">
        <f t="array" ref="T316">_xlfn.IFS(
  TEXT(TRIM(S316),"00000")="NULL", "Missing/Unknown",
  OR(TEXT(TRIM(S316),"00000")="89101", TEXT(TRIM(S316),"00000")="89104", TEXT(TRIM(S316),"00000")="89106", TEXT(TRIM(S316),"00000")="89102", TEXT(TRIM(S316),"00000")="89107", TEXT(TRIM(S316),"00000")="89108"), "Urban Core",
  OR(TEXT(TRIM(S316),"00000")="89110", TEXT(TRIM(S316),"00000")="89115", TEXT(TRIM(S316),"00000")="89121", TEXT(TRIM(S316),"00000")="89122", TEXT(TRIM(S316),"00000")="89142", TEXT(TRIM(S316),"00000")="89156"), "East Valley",
  OR(TEXT(TRIM(S316),"00000")="89030", TEXT(TRIM(S316),"00000")="89031", TEXT(TRIM(S316),"00000")="89032", TEXT(TRIM(S316),"00000")="89086", TEXT(TRIM(S316),"00000")="89084", TEXT(TRIM(S316),"00000")="89081"), "North LV",
  OR(TEXT(TRIM(S316),"00000")="89109", TEXT(TRIM(S316),"00000")="89103", TEXT(TRIM(S316),"00000")="89119", TEXT(TRIM(S316),"00000")="89123", TEXT(TRIM(S316),"00000")="89169", TEXT(TRIM(S316),"00000")="89118"), "South/Strip",
  OR(TEXT(TRIM(S316),"00000")="89074", TEXT(TRIM(S316),"00000")="89014", TEXT(TRIM(S316),"00000")="89015", TEXT(TRIM(S316),"00000")="89011", TEXT(TRIM(S316),"00000")="89012"), "Suburban SE",
  OR(TEXT(TRIM(S316),"00000")="89117", TEXT(TRIM(S316),"00000")="89128", TEXT(TRIM(S316),"00000")="89135", TEXT(TRIM(S316),"00000")="89144", TEXT(TRIM(S316),"00000")="89145", TEXT(TRIM(S316),"00000")="89147"), "West Valley",
  TRUE, "Other"
)</f>
        <v>Urban Core</v>
      </c>
      <c r="U316" t="s">
        <v>3298</v>
      </c>
      <c r="V316" t="str">
        <f t="shared" si="19"/>
        <v>Outdoors/Public</v>
      </c>
    </row>
    <row r="317" spans="1:22">
      <c r="A317" t="s">
        <v>3858</v>
      </c>
      <c r="B317" t="s">
        <v>3859</v>
      </c>
      <c r="C317" s="1">
        <v>45483</v>
      </c>
      <c r="D317" s="4">
        <v>116.96</v>
      </c>
      <c r="E317">
        <v>59</v>
      </c>
      <c r="F317" t="str">
        <f t="shared" si="16"/>
        <v>50's</v>
      </c>
      <c r="G317" t="str" cm="1">
        <f t="array" ref="G317">_xlfn.IFS(
  F317="10's", "Child (5–12)",
  OR(F317="20's", F317="30's"), "Young Adult (20–39)",
  OR(F317="40's", F317="50's"), "Adult (40–59)",
  OR(F317="60's", F317="70's", F317="80's", F317="90's"), "Senior (60+)",
  TRUE, "Unknown"
)</f>
        <v>Adult (40–59)</v>
      </c>
      <c r="H317" t="s">
        <v>841</v>
      </c>
      <c r="I317" t="s">
        <v>4062</v>
      </c>
      <c r="J317" t="str">
        <f t="shared" si="17"/>
        <v>Methamphetamine-related</v>
      </c>
      <c r="K317" t="s">
        <v>54</v>
      </c>
      <c r="L317" t="s">
        <v>250</v>
      </c>
      <c r="M317" t="s">
        <v>4614</v>
      </c>
      <c r="N317" t="s">
        <v>5107</v>
      </c>
      <c r="O317" t="str" cm="1">
        <f t="array" ref="O317">_xlfn.IFS(
  TEXT(TRIM(N317),"00000")="NULL", "Missing/Unknown",
  OR(TEXT(TRIM(N317),"00000")="89101", TEXT(TRIM(N317),"00000")="89104", TEXT(TRIM(N317),"00000")="89106", TEXT(TRIM(N317),"00000")="89102", TEXT(TRIM(N317),"00000")="89107", TEXT(TRIM(N317),"00000")="89108"), "Urban Core",
  OR(TEXT(TRIM(N317),"00000")="89110", TEXT(TRIM(N317),"00000")="89115", TEXT(TRIM(N317),"00000")="89121", TEXT(TRIM(N317),"00000")="89122", TEXT(TRIM(N317),"00000")="89142", TEXT(TRIM(N317),"00000")="89156"), "East Valley",
  OR(TEXT(TRIM(N317),"00000")="89030", TEXT(TRIM(N317),"00000")="89031", TEXT(TRIM(N317),"00000")="89032", TEXT(TRIM(N317),"00000")="89086", TEXT(TRIM(N317),"00000")="89084", TEXT(TRIM(N317),"00000")="89081"), "North LV",
  OR(TEXT(TRIM(N317),"00000")="89109", TEXT(TRIM(N317),"00000")="89103", TEXT(TRIM(N317),"00000")="89119", TEXT(TRIM(N317),"00000")="89123", TEXT(TRIM(N317),"00000")="89169", TEXT(TRIM(N317),"00000")="89118"), "South/Strip",
  OR(TEXT(TRIM(N317),"00000")="89074", TEXT(TRIM(N317),"00000")="89014", TEXT(TRIM(N317),"00000")="89015", TEXT(TRIM(N317),"00000")="89011", TEXT(TRIM(N317),"00000")="89012"), "Suburban SE",
  OR(TEXT(TRIM(N317),"00000")="89117", TEXT(TRIM(N317),"00000")="89128", TEXT(TRIM(N317),"00000")="89135", TEXT(TRIM(N317),"00000")="89144", TEXT(TRIM(N317),"00000")="89145", TEXT(TRIM(N317),"00000")="89147"), "West Valley",
  TRUE, "Other"
)</f>
        <v>South/Strip</v>
      </c>
      <c r="P317" t="s">
        <v>271</v>
      </c>
      <c r="Q317" t="str">
        <f t="shared" si="18"/>
        <v>Home/Residence</v>
      </c>
      <c r="R317" t="s">
        <v>4614</v>
      </c>
      <c r="S317" t="s">
        <v>5107</v>
      </c>
      <c r="T317" t="str" cm="1">
        <f t="array" ref="T317">_xlfn.IFS(
  TEXT(TRIM(S317),"00000")="NULL", "Missing/Unknown",
  OR(TEXT(TRIM(S317),"00000")="89101", TEXT(TRIM(S317),"00000")="89104", TEXT(TRIM(S317),"00000")="89106", TEXT(TRIM(S317),"00000")="89102", TEXT(TRIM(S317),"00000")="89107", TEXT(TRIM(S317),"00000")="89108"), "Urban Core",
  OR(TEXT(TRIM(S317),"00000")="89110", TEXT(TRIM(S317),"00000")="89115", TEXT(TRIM(S317),"00000")="89121", TEXT(TRIM(S317),"00000")="89122", TEXT(TRIM(S317),"00000")="89142", TEXT(TRIM(S317),"00000")="89156"), "East Valley",
  OR(TEXT(TRIM(S317),"00000")="89030", TEXT(TRIM(S317),"00000")="89031", TEXT(TRIM(S317),"00000")="89032", TEXT(TRIM(S317),"00000")="89086", TEXT(TRIM(S317),"00000")="89084", TEXT(TRIM(S317),"00000")="89081"), "North LV",
  OR(TEXT(TRIM(S317),"00000")="89109", TEXT(TRIM(S317),"00000")="89103", TEXT(TRIM(S317),"00000")="89119", TEXT(TRIM(S317),"00000")="89123", TEXT(TRIM(S317),"00000")="89169", TEXT(TRIM(S317),"00000")="89118"), "South/Strip",
  OR(TEXT(TRIM(S317),"00000")="89074", TEXT(TRIM(S317),"00000")="89014", TEXT(TRIM(S317),"00000")="89015", TEXT(TRIM(S317),"00000")="89011", TEXT(TRIM(S317),"00000")="89012"), "Suburban SE",
  OR(TEXT(TRIM(S317),"00000")="89117", TEXT(TRIM(S317),"00000")="89128", TEXT(TRIM(S317),"00000")="89135", TEXT(TRIM(S317),"00000")="89144", TEXT(TRIM(S317),"00000")="89145", TEXT(TRIM(S317),"00000")="89147"), "West Valley",
  TRUE, "Other"
)</f>
        <v>South/Strip</v>
      </c>
      <c r="U317" t="s">
        <v>271</v>
      </c>
      <c r="V317" t="str">
        <f t="shared" si="19"/>
        <v>Home/Residence</v>
      </c>
    </row>
    <row r="318" spans="1:22">
      <c r="A318" t="s">
        <v>3024</v>
      </c>
      <c r="B318" t="s">
        <v>3025</v>
      </c>
      <c r="C318" s="1">
        <v>45483</v>
      </c>
      <c r="D318" s="4">
        <v>116.96</v>
      </c>
      <c r="E318">
        <v>81</v>
      </c>
      <c r="F318" t="str">
        <f t="shared" si="16"/>
        <v>80's</v>
      </c>
      <c r="G318" t="str" cm="1">
        <f t="array" ref="G318">_xlfn.IFS(
  F318="10's", "Child (5–12)",
  OR(F318="20's", F318="30's"), "Young Adult (20–39)",
  OR(F318="40's", F318="50's"), "Adult (40–59)",
  OR(F318="60's", F318="70's", F318="80's", F318="90's"), "Senior (60+)",
  TRUE, "Unknown"
)</f>
        <v>Senior (60+)</v>
      </c>
      <c r="H318" t="s">
        <v>778</v>
      </c>
      <c r="I318" t="s">
        <v>54</v>
      </c>
      <c r="J318" t="str">
        <f t="shared" si="17"/>
        <v>Environmental Heat</v>
      </c>
      <c r="K318" t="s">
        <v>63</v>
      </c>
      <c r="L318" t="s">
        <v>1071</v>
      </c>
      <c r="M318" t="s">
        <v>4936</v>
      </c>
      <c r="N318" t="s">
        <v>5128</v>
      </c>
      <c r="O318" t="str" cm="1">
        <f t="array" ref="O318">_xlfn.IFS(
  TEXT(TRIM(N318),"00000")="NULL", "Missing/Unknown",
  OR(TEXT(TRIM(N318),"00000")="89101", TEXT(TRIM(N318),"00000")="89104", TEXT(TRIM(N318),"00000")="89106", TEXT(TRIM(N318),"00000")="89102", TEXT(TRIM(N318),"00000")="89107", TEXT(TRIM(N318),"00000")="89108"), "Urban Core",
  OR(TEXT(TRIM(N318),"00000")="89110", TEXT(TRIM(N318),"00000")="89115", TEXT(TRIM(N318),"00000")="89121", TEXT(TRIM(N318),"00000")="89122", TEXT(TRIM(N318),"00000")="89142", TEXT(TRIM(N318),"00000")="89156"), "East Valley",
  OR(TEXT(TRIM(N318),"00000")="89030", TEXT(TRIM(N318),"00000")="89031", TEXT(TRIM(N318),"00000")="89032", TEXT(TRIM(N318),"00000")="89086", TEXT(TRIM(N318),"00000")="89084", TEXT(TRIM(N318),"00000")="89081"), "North LV",
  OR(TEXT(TRIM(N318),"00000")="89109", TEXT(TRIM(N318),"00000")="89103", TEXT(TRIM(N318),"00000")="89119", TEXT(TRIM(N318),"00000")="89123", TEXT(TRIM(N318),"00000")="89169", TEXT(TRIM(N318),"00000")="89118"), "South/Strip",
  OR(TEXT(TRIM(N318),"00000")="89074", TEXT(TRIM(N318),"00000")="89014", TEXT(TRIM(N318),"00000")="89015", TEXT(TRIM(N318),"00000")="89011", TEXT(TRIM(N318),"00000")="89012"), "Suburban SE",
  OR(TEXT(TRIM(N318),"00000")="89117", TEXT(TRIM(N318),"00000")="89128", TEXT(TRIM(N318),"00000")="89135", TEXT(TRIM(N318),"00000")="89144", TEXT(TRIM(N318),"00000")="89145", TEXT(TRIM(N318),"00000")="89147"), "West Valley",
  TRUE, "Other"
)</f>
        <v>East Valley</v>
      </c>
      <c r="P318" t="s">
        <v>1073</v>
      </c>
      <c r="Q318" t="str">
        <f t="shared" si="18"/>
        <v>Home/Residence</v>
      </c>
      <c r="R318" t="s">
        <v>4936</v>
      </c>
      <c r="S318" t="s">
        <v>5128</v>
      </c>
      <c r="T318" t="str" cm="1">
        <f t="array" ref="T318">_xlfn.IFS(
  TEXT(TRIM(S318),"00000")="NULL", "Missing/Unknown",
  OR(TEXT(TRIM(S318),"00000")="89101", TEXT(TRIM(S318),"00000")="89104", TEXT(TRIM(S318),"00000")="89106", TEXT(TRIM(S318),"00000")="89102", TEXT(TRIM(S318),"00000")="89107", TEXT(TRIM(S318),"00000")="89108"), "Urban Core",
  OR(TEXT(TRIM(S318),"00000")="89110", TEXT(TRIM(S318),"00000")="89115", TEXT(TRIM(S318),"00000")="89121", TEXT(TRIM(S318),"00000")="89122", TEXT(TRIM(S318),"00000")="89142", TEXT(TRIM(S318),"00000")="89156"), "East Valley",
  OR(TEXT(TRIM(S318),"00000")="89030", TEXT(TRIM(S318),"00000")="89031", TEXT(TRIM(S318),"00000")="89032", TEXT(TRIM(S318),"00000")="89086", TEXT(TRIM(S318),"00000")="89084", TEXT(TRIM(S318),"00000")="89081"), "North LV",
  OR(TEXT(TRIM(S318),"00000")="89109", TEXT(TRIM(S318),"00000")="89103", TEXT(TRIM(S318),"00000")="89119", TEXT(TRIM(S318),"00000")="89123", TEXT(TRIM(S318),"00000")="89169", TEXT(TRIM(S318),"00000")="89118"), "South/Strip",
  OR(TEXT(TRIM(S318),"00000")="89074", TEXT(TRIM(S318),"00000")="89014", TEXT(TRIM(S318),"00000")="89015", TEXT(TRIM(S318),"00000")="89011", TEXT(TRIM(S318),"00000")="89012"), "Suburban SE",
  OR(TEXT(TRIM(S318),"00000")="89117", TEXT(TRIM(S318),"00000")="89128", TEXT(TRIM(S318),"00000")="89135", TEXT(TRIM(S318),"00000")="89144", TEXT(TRIM(S318),"00000")="89145", TEXT(TRIM(S318),"00000")="89147"), "West Valley",
  TRUE, "Other"
)</f>
        <v>East Valley</v>
      </c>
      <c r="U318" t="s">
        <v>1073</v>
      </c>
      <c r="V318" t="str">
        <f t="shared" si="19"/>
        <v>Home/Residence</v>
      </c>
    </row>
    <row r="319" spans="1:22">
      <c r="A319" t="s">
        <v>3696</v>
      </c>
      <c r="B319" t="s">
        <v>3697</v>
      </c>
      <c r="C319" s="1">
        <v>45483</v>
      </c>
      <c r="D319" s="4">
        <v>116.96</v>
      </c>
      <c r="E319">
        <v>33</v>
      </c>
      <c r="F319" t="str">
        <f t="shared" si="16"/>
        <v>30's</v>
      </c>
      <c r="G319" t="str" cm="1">
        <f t="array" ref="G319">_xlfn.IFS(
  F319="10's", "Child (5–12)",
  OR(F319="20's", F319="30's"), "Young Adult (20–39)",
  OR(F319="40's", F319="50's"), "Adult (40–59)",
  OR(F319="60's", F319="70's", F319="80's", F319="90's"), "Senior (60+)",
  TRUE, "Unknown"
)</f>
        <v>Young Adult (20–39)</v>
      </c>
      <c r="H319" t="s">
        <v>841</v>
      </c>
      <c r="I319" t="s">
        <v>135</v>
      </c>
      <c r="J319" t="str">
        <f t="shared" si="17"/>
        <v>Methamphetamine-related</v>
      </c>
      <c r="K319" t="s">
        <v>54</v>
      </c>
      <c r="L319" t="s">
        <v>250</v>
      </c>
      <c r="M319" t="s">
        <v>4337</v>
      </c>
      <c r="N319" t="s">
        <v>5097</v>
      </c>
      <c r="O319" t="str" cm="1">
        <f t="array" ref="O319">_xlfn.IFS(
  TEXT(TRIM(N319),"00000")="NULL", "Missing/Unknown",
  OR(TEXT(TRIM(N319),"00000")="89101", TEXT(TRIM(N319),"00000")="89104", TEXT(TRIM(N319),"00000")="89106", TEXT(TRIM(N319),"00000")="89102", TEXT(TRIM(N319),"00000")="89107", TEXT(TRIM(N319),"00000")="89108"), "Urban Core",
  OR(TEXT(TRIM(N319),"00000")="89110", TEXT(TRIM(N319),"00000")="89115", TEXT(TRIM(N319),"00000")="89121", TEXT(TRIM(N319),"00000")="89122", TEXT(TRIM(N319),"00000")="89142", TEXT(TRIM(N319),"00000")="89156"), "East Valley",
  OR(TEXT(TRIM(N319),"00000")="89030", TEXT(TRIM(N319),"00000")="89031", TEXT(TRIM(N319),"00000")="89032", TEXT(TRIM(N319),"00000")="89086", TEXT(TRIM(N319),"00000")="89084", TEXT(TRIM(N319),"00000")="89081"), "North LV",
  OR(TEXT(TRIM(N319),"00000")="89109", TEXT(TRIM(N319),"00000")="89103", TEXT(TRIM(N319),"00000")="89119", TEXT(TRIM(N319),"00000")="89123", TEXT(TRIM(N319),"00000")="89169", TEXT(TRIM(N319),"00000")="89118"), "South/Strip",
  OR(TEXT(TRIM(N319),"00000")="89074", TEXT(TRIM(N319),"00000")="89014", TEXT(TRIM(N319),"00000")="89015", TEXT(TRIM(N319),"00000")="89011", TEXT(TRIM(N319),"00000")="89012"), "Suburban SE",
  OR(TEXT(TRIM(N319),"00000")="89117", TEXT(TRIM(N319),"00000")="89128", TEXT(TRIM(N319),"00000")="89135", TEXT(TRIM(N319),"00000")="89144", TEXT(TRIM(N319),"00000")="89145", TEXT(TRIM(N319),"00000")="89147"), "West Valley",
  TRUE, "Other"
)</f>
        <v>Urban Core</v>
      </c>
      <c r="P319" t="s">
        <v>3298</v>
      </c>
      <c r="Q319" t="str">
        <f t="shared" si="18"/>
        <v>Outdoors/Public</v>
      </c>
      <c r="R319" t="s">
        <v>4337</v>
      </c>
      <c r="S319" t="s">
        <v>5097</v>
      </c>
      <c r="T319" t="str" cm="1">
        <f t="array" ref="T319">_xlfn.IFS(
  TEXT(TRIM(S319),"00000")="NULL", "Missing/Unknown",
  OR(TEXT(TRIM(S319),"00000")="89101", TEXT(TRIM(S319),"00000")="89104", TEXT(TRIM(S319),"00000")="89106", TEXT(TRIM(S319),"00000")="89102", TEXT(TRIM(S319),"00000")="89107", TEXT(TRIM(S319),"00000")="89108"), "Urban Core",
  OR(TEXT(TRIM(S319),"00000")="89110", TEXT(TRIM(S319),"00000")="89115", TEXT(TRIM(S319),"00000")="89121", TEXT(TRIM(S319),"00000")="89122", TEXT(TRIM(S319),"00000")="89142", TEXT(TRIM(S319),"00000")="89156"), "East Valley",
  OR(TEXT(TRIM(S319),"00000")="89030", TEXT(TRIM(S319),"00000")="89031", TEXT(TRIM(S319),"00000")="89032", TEXT(TRIM(S319),"00000")="89086", TEXT(TRIM(S319),"00000")="89084", TEXT(TRIM(S319),"00000")="89081"), "North LV",
  OR(TEXT(TRIM(S319),"00000")="89109", TEXT(TRIM(S319),"00000")="89103", TEXT(TRIM(S319),"00000")="89119", TEXT(TRIM(S319),"00000")="89123", TEXT(TRIM(S319),"00000")="89169", TEXT(TRIM(S319),"00000")="89118"), "South/Strip",
  OR(TEXT(TRIM(S319),"00000")="89074", TEXT(TRIM(S319),"00000")="89014", TEXT(TRIM(S319),"00000")="89015", TEXT(TRIM(S319),"00000")="89011", TEXT(TRIM(S319),"00000")="89012"), "Suburban SE",
  OR(TEXT(TRIM(S319),"00000")="89117", TEXT(TRIM(S319),"00000")="89128", TEXT(TRIM(S319),"00000")="89135", TEXT(TRIM(S319),"00000")="89144", TEXT(TRIM(S319),"00000")="89145", TEXT(TRIM(S319),"00000")="89147"), "West Valley",
  TRUE, "Other"
)</f>
        <v>Urban Core</v>
      </c>
      <c r="U319" t="s">
        <v>3298</v>
      </c>
      <c r="V319" t="str">
        <f t="shared" si="19"/>
        <v>Outdoors/Public</v>
      </c>
    </row>
    <row r="320" spans="1:22">
      <c r="A320" t="s">
        <v>3737</v>
      </c>
      <c r="B320" t="s">
        <v>3738</v>
      </c>
      <c r="C320" s="1">
        <v>45483</v>
      </c>
      <c r="D320" s="4">
        <v>116.96</v>
      </c>
      <c r="E320">
        <v>60</v>
      </c>
      <c r="F320" t="str">
        <f t="shared" si="16"/>
        <v>60's</v>
      </c>
      <c r="G320" t="str" cm="1">
        <f t="array" ref="G320">_xlfn.IFS(
  F320="10's", "Child (5–12)",
  OR(F320="20's", F320="30's"), "Young Adult (20–39)",
  OR(F320="40's", F320="50's"), "Adult (40–59)",
  OR(F320="60's", F320="70's", F320="80's", F320="90's"), "Senior (60+)",
  TRUE, "Unknown"
)</f>
        <v>Senior (60+)</v>
      </c>
      <c r="H320" t="s">
        <v>841</v>
      </c>
      <c r="I320" t="s">
        <v>135</v>
      </c>
      <c r="J320" t="str">
        <f t="shared" si="17"/>
        <v>Methamphetamine-related</v>
      </c>
      <c r="K320" t="s">
        <v>35</v>
      </c>
      <c r="L320" t="s">
        <v>250</v>
      </c>
      <c r="N320" t="s">
        <v>5095</v>
      </c>
      <c r="O320" t="str" cm="1">
        <f t="array" ref="O320">_xlfn.IFS(
  TEXT(TRIM(N320),"00000")="NULL", "Missing/Unknown",
  OR(TEXT(TRIM(N320),"00000")="89101", TEXT(TRIM(N320),"00000")="89104", TEXT(TRIM(N320),"00000")="89106", TEXT(TRIM(N320),"00000")="89102", TEXT(TRIM(N320),"00000")="89107", TEXT(TRIM(N320),"00000")="89108"), "Urban Core",
  OR(TEXT(TRIM(N320),"00000")="89110", TEXT(TRIM(N320),"00000")="89115", TEXT(TRIM(N320),"00000")="89121", TEXT(TRIM(N320),"00000")="89122", TEXT(TRIM(N320),"00000")="89142", TEXT(TRIM(N320),"00000")="89156"), "East Valley",
  OR(TEXT(TRIM(N320),"00000")="89030", TEXT(TRIM(N320),"00000")="89031", TEXT(TRIM(N320),"00000")="89032", TEXT(TRIM(N320),"00000")="89086", TEXT(TRIM(N320),"00000")="89084", TEXT(TRIM(N320),"00000")="89081"), "North LV",
  OR(TEXT(TRIM(N320),"00000")="89109", TEXT(TRIM(N320),"00000")="89103", TEXT(TRIM(N320),"00000")="89119", TEXT(TRIM(N320),"00000")="89123", TEXT(TRIM(N320),"00000")="89169", TEXT(TRIM(N320),"00000")="89118"), "South/Strip",
  OR(TEXT(TRIM(N320),"00000")="89074", TEXT(TRIM(N320),"00000")="89014", TEXT(TRIM(N320),"00000")="89015", TEXT(TRIM(N320),"00000")="89011", TEXT(TRIM(N320),"00000")="89012"), "Suburban SE",
  OR(TEXT(TRIM(N320),"00000")="89117", TEXT(TRIM(N320),"00000")="89128", TEXT(TRIM(N320),"00000")="89135", TEXT(TRIM(N320),"00000")="89144", TEXT(TRIM(N320),"00000")="89145", TEXT(TRIM(N320),"00000")="89147"), "West Valley",
  TRUE, "Other"
)</f>
        <v>Missing/Unknown</v>
      </c>
      <c r="P320" t="s">
        <v>3298</v>
      </c>
      <c r="Q320" t="str">
        <f t="shared" si="18"/>
        <v>Outdoors/Public</v>
      </c>
      <c r="S320" t="s">
        <v>5095</v>
      </c>
      <c r="T320" t="str" cm="1">
        <f t="array" ref="T320">_xlfn.IFS(
  TEXT(TRIM(S320),"00000")="NULL", "Missing/Unknown",
  OR(TEXT(TRIM(S320),"00000")="89101", TEXT(TRIM(S320),"00000")="89104", TEXT(TRIM(S320),"00000")="89106", TEXT(TRIM(S320),"00000")="89102", TEXT(TRIM(S320),"00000")="89107", TEXT(TRIM(S320),"00000")="89108"), "Urban Core",
  OR(TEXT(TRIM(S320),"00000")="89110", TEXT(TRIM(S320),"00000")="89115", TEXT(TRIM(S320),"00000")="89121", TEXT(TRIM(S320),"00000")="89122", TEXT(TRIM(S320),"00000")="89142", TEXT(TRIM(S320),"00000")="89156"), "East Valley",
  OR(TEXT(TRIM(S320),"00000")="89030", TEXT(TRIM(S320),"00000")="89031", TEXT(TRIM(S320),"00000")="89032", TEXT(TRIM(S320),"00000")="89086", TEXT(TRIM(S320),"00000")="89084", TEXT(TRIM(S320),"00000")="89081"), "North LV",
  OR(TEXT(TRIM(S320),"00000")="89109", TEXT(TRIM(S320),"00000")="89103", TEXT(TRIM(S320),"00000")="89119", TEXT(TRIM(S320),"00000")="89123", TEXT(TRIM(S320),"00000")="89169", TEXT(TRIM(S320),"00000")="89118"), "South/Strip",
  OR(TEXT(TRIM(S320),"00000")="89074", TEXT(TRIM(S320),"00000")="89014", TEXT(TRIM(S320),"00000")="89015", TEXT(TRIM(S320),"00000")="89011", TEXT(TRIM(S320),"00000")="89012"), "Suburban SE",
  OR(TEXT(TRIM(S320),"00000")="89117", TEXT(TRIM(S320),"00000")="89128", TEXT(TRIM(S320),"00000")="89135", TEXT(TRIM(S320),"00000")="89144", TEXT(TRIM(S320),"00000")="89145", TEXT(TRIM(S320),"00000")="89147"), "West Valley",
  TRUE, "Other"
)</f>
        <v>Missing/Unknown</v>
      </c>
      <c r="U320" t="s">
        <v>3298</v>
      </c>
      <c r="V320" t="str">
        <f t="shared" si="19"/>
        <v>Outdoors/Public</v>
      </c>
    </row>
    <row r="321" spans="1:22">
      <c r="A321" t="s">
        <v>2874</v>
      </c>
      <c r="B321" t="s">
        <v>2875</v>
      </c>
      <c r="C321" s="1">
        <v>45483</v>
      </c>
      <c r="D321" s="4">
        <v>116.96</v>
      </c>
      <c r="E321">
        <v>38</v>
      </c>
      <c r="F321" t="str">
        <f t="shared" si="16"/>
        <v>30's</v>
      </c>
      <c r="G321" t="str" cm="1">
        <f t="array" ref="G321">_xlfn.IFS(
  F321="10's", "Child (5–12)",
  OR(F321="20's", F321="30's"), "Young Adult (20–39)",
  OR(F321="40's", F321="50's"), "Adult (40–59)",
  OR(F321="60's", F321="70's", F321="80's", F321="90's"), "Senior (60+)",
  TRUE, "Unknown"
)</f>
        <v>Young Adult (20–39)</v>
      </c>
      <c r="H321" t="s">
        <v>778</v>
      </c>
      <c r="I321" t="s">
        <v>35</v>
      </c>
      <c r="J321" t="str">
        <f t="shared" si="17"/>
        <v>Environmental Heat</v>
      </c>
      <c r="K321" t="s">
        <v>28</v>
      </c>
      <c r="L321" t="s">
        <v>250</v>
      </c>
      <c r="N321" t="s">
        <v>5095</v>
      </c>
      <c r="O321" t="str" cm="1">
        <f t="array" ref="O321">_xlfn.IFS(
  TEXT(TRIM(N321),"00000")="NULL", "Missing/Unknown",
  OR(TEXT(TRIM(N321),"00000")="89101", TEXT(TRIM(N321),"00000")="89104", TEXT(TRIM(N321),"00000")="89106", TEXT(TRIM(N321),"00000")="89102", TEXT(TRIM(N321),"00000")="89107", TEXT(TRIM(N321),"00000")="89108"), "Urban Core",
  OR(TEXT(TRIM(N321),"00000")="89110", TEXT(TRIM(N321),"00000")="89115", TEXT(TRIM(N321),"00000")="89121", TEXT(TRIM(N321),"00000")="89122", TEXT(TRIM(N321),"00000")="89142", TEXT(TRIM(N321),"00000")="89156"), "East Valley",
  OR(TEXT(TRIM(N321),"00000")="89030", TEXT(TRIM(N321),"00000")="89031", TEXT(TRIM(N321),"00000")="89032", TEXT(TRIM(N321),"00000")="89086", TEXT(TRIM(N321),"00000")="89084", TEXT(TRIM(N321),"00000")="89081"), "North LV",
  OR(TEXT(TRIM(N321),"00000")="89109", TEXT(TRIM(N321),"00000")="89103", TEXT(TRIM(N321),"00000")="89119", TEXT(TRIM(N321),"00000")="89123", TEXT(TRIM(N321),"00000")="89169", TEXT(TRIM(N321),"00000")="89118"), "South/Strip",
  OR(TEXT(TRIM(N321),"00000")="89074", TEXT(TRIM(N321),"00000")="89014", TEXT(TRIM(N321),"00000")="89015", TEXT(TRIM(N321),"00000")="89011", TEXT(TRIM(N321),"00000")="89012"), "Suburban SE",
  OR(TEXT(TRIM(N321),"00000")="89117", TEXT(TRIM(N321),"00000")="89128", TEXT(TRIM(N321),"00000")="89135", TEXT(TRIM(N321),"00000")="89144", TEXT(TRIM(N321),"00000")="89145", TEXT(TRIM(N321),"00000")="89147"), "West Valley",
  TRUE, "Other"
)</f>
        <v>Missing/Unknown</v>
      </c>
      <c r="P321" t="s">
        <v>3298</v>
      </c>
      <c r="Q321" t="str">
        <f t="shared" si="18"/>
        <v>Outdoors/Public</v>
      </c>
      <c r="S321" t="s">
        <v>5095</v>
      </c>
      <c r="T321" t="str" cm="1">
        <f t="array" ref="T321">_xlfn.IFS(
  TEXT(TRIM(S321),"00000")="NULL", "Missing/Unknown",
  OR(TEXT(TRIM(S321),"00000")="89101", TEXT(TRIM(S321),"00000")="89104", TEXT(TRIM(S321),"00000")="89106", TEXT(TRIM(S321),"00000")="89102", TEXT(TRIM(S321),"00000")="89107", TEXT(TRIM(S321),"00000")="89108"), "Urban Core",
  OR(TEXT(TRIM(S321),"00000")="89110", TEXT(TRIM(S321),"00000")="89115", TEXT(TRIM(S321),"00000")="89121", TEXT(TRIM(S321),"00000")="89122", TEXT(TRIM(S321),"00000")="89142", TEXT(TRIM(S321),"00000")="89156"), "East Valley",
  OR(TEXT(TRIM(S321),"00000")="89030", TEXT(TRIM(S321),"00000")="89031", TEXT(TRIM(S321),"00000")="89032", TEXT(TRIM(S321),"00000")="89086", TEXT(TRIM(S321),"00000")="89084", TEXT(TRIM(S321),"00000")="89081"), "North LV",
  OR(TEXT(TRIM(S321),"00000")="89109", TEXT(TRIM(S321),"00000")="89103", TEXT(TRIM(S321),"00000")="89119", TEXT(TRIM(S321),"00000")="89123", TEXT(TRIM(S321),"00000")="89169", TEXT(TRIM(S321),"00000")="89118"), "South/Strip",
  OR(TEXT(TRIM(S321),"00000")="89074", TEXT(TRIM(S321),"00000")="89014", TEXT(TRIM(S321),"00000")="89015", TEXT(TRIM(S321),"00000")="89011", TEXT(TRIM(S321),"00000")="89012"), "Suburban SE",
  OR(TEXT(TRIM(S321),"00000")="89117", TEXT(TRIM(S321),"00000")="89128", TEXT(TRIM(S321),"00000")="89135", TEXT(TRIM(S321),"00000")="89144", TEXT(TRIM(S321),"00000")="89145", TEXT(TRIM(S321),"00000")="89147"), "West Valley",
  TRUE, "Other"
)</f>
        <v>Missing/Unknown</v>
      </c>
      <c r="U321" t="s">
        <v>3298</v>
      </c>
      <c r="V321" t="str">
        <f t="shared" si="19"/>
        <v>Outdoors/Public</v>
      </c>
    </row>
    <row r="322" spans="1:22">
      <c r="A322" t="s">
        <v>3880</v>
      </c>
      <c r="B322" t="s">
        <v>3881</v>
      </c>
      <c r="C322" s="1">
        <v>45483</v>
      </c>
      <c r="D322" s="4">
        <v>116.96</v>
      </c>
      <c r="E322">
        <v>43</v>
      </c>
      <c r="F322" t="str">
        <f t="shared" ref="F322:F385" si="20">_xlfn.CONCAT(INT(E322/10)*10, "'s")</f>
        <v>40's</v>
      </c>
      <c r="G322" t="str" cm="1">
        <f t="array" ref="G322">_xlfn.IFS(
  F322="10's", "Child (5–12)",
  OR(F322="20's", F322="30's"), "Young Adult (20–39)",
  OR(F322="40's", F322="50's"), "Adult (40–59)",
  OR(F322="60's", F322="70's", F322="80's", F322="90's"), "Senior (60+)",
  TRUE, "Unknown"
)</f>
        <v>Adult (40–59)</v>
      </c>
      <c r="H322" t="s">
        <v>841</v>
      </c>
      <c r="I322" t="s">
        <v>830</v>
      </c>
      <c r="J322" t="str">
        <f t="shared" ref="J322:J385" si="21">IF(ISNUMBER(SEARCH("heat", I322)) + ISNUMBER(SEARCH("hyperthermia", I322)) + ISNUMBER(SEARCH("heat stroke", I322)) + ISNUMBER(SEARCH("environmental", I322)), "Environmental Heat",
IF(ISNUMBER(SEARCH("meth", I322)), "Methamphetamine-related",
IF(ISNUMBER(SEARCH("fentanyl", I322)), "Fentanyl-related",
IF(ISNUMBER(SEARCH("cardio", I322)) + ISNUMBER(SEARCH("heart", I322)) + ISNUMBER(SEARCH("atherosclerotic", I322)) + ISNUMBER(SEARCH("hypertensive", I322)) + ISNUMBER(SEARCH("myocardial", I322)) + ISNUMBER(SEARCH("infarction", I322)), "Cardiovascular Disease",
IF(ISNUMBER(SEARCH("ethanol", I322)) + ISNUMBER(SEARCH("alcohol", I322)), "Ethanol-related",
IF(ISNUMBER(SEARCH("dehydration", I322)) + ISNUMBER(SEARCH("hypernatrem", I322)) + ISNUMBER(SEARCH("hyponatrem", I322)), "Dehydration / Electrolyte",
IF(ISNUMBER(SEARCH("intoxication", I322)) + ISNUMBER(SEARCH("toxicity", I322)) + ISNUMBER(SEARCH("overdose", I322)), "Mixed Drug Toxicity",
"Other / Unknown")))))))</f>
        <v>Methamphetamine-related</v>
      </c>
      <c r="K322" t="s">
        <v>35</v>
      </c>
      <c r="L322" t="s">
        <v>250</v>
      </c>
      <c r="M322" t="s">
        <v>5033</v>
      </c>
      <c r="N322" t="s">
        <v>5107</v>
      </c>
      <c r="O322" t="str" cm="1">
        <f t="array" ref="O322">_xlfn.IFS(
  TEXT(TRIM(N322),"00000")="NULL", "Missing/Unknown",
  OR(TEXT(TRIM(N322),"00000")="89101", TEXT(TRIM(N322),"00000")="89104", TEXT(TRIM(N322),"00000")="89106", TEXT(TRIM(N322),"00000")="89102", TEXT(TRIM(N322),"00000")="89107", TEXT(TRIM(N322),"00000")="89108"), "Urban Core",
  OR(TEXT(TRIM(N322),"00000")="89110", TEXT(TRIM(N322),"00000")="89115", TEXT(TRIM(N322),"00000")="89121", TEXT(TRIM(N322),"00000")="89122", TEXT(TRIM(N322),"00000")="89142", TEXT(TRIM(N322),"00000")="89156"), "East Valley",
  OR(TEXT(TRIM(N322),"00000")="89030", TEXT(TRIM(N322),"00000")="89031", TEXT(TRIM(N322),"00000")="89032", TEXT(TRIM(N322),"00000")="89086", TEXT(TRIM(N322),"00000")="89084", TEXT(TRIM(N322),"00000")="89081"), "North LV",
  OR(TEXT(TRIM(N322),"00000")="89109", TEXT(TRIM(N322),"00000")="89103", TEXT(TRIM(N322),"00000")="89119", TEXT(TRIM(N322),"00000")="89123", TEXT(TRIM(N322),"00000")="89169", TEXT(TRIM(N322),"00000")="89118"), "South/Strip",
  OR(TEXT(TRIM(N322),"00000")="89074", TEXT(TRIM(N322),"00000")="89014", TEXT(TRIM(N322),"00000")="89015", TEXT(TRIM(N322),"00000")="89011", TEXT(TRIM(N322),"00000")="89012"), "Suburban SE",
  OR(TEXT(TRIM(N322),"00000")="89117", TEXT(TRIM(N322),"00000")="89128", TEXT(TRIM(N322),"00000")="89135", TEXT(TRIM(N322),"00000")="89144", TEXT(TRIM(N322),"00000")="89145", TEXT(TRIM(N322),"00000")="89147"), "West Valley",
  TRUE, "Other"
)</f>
        <v>South/Strip</v>
      </c>
      <c r="P322" t="s">
        <v>3298</v>
      </c>
      <c r="Q322" t="str">
        <f t="shared" ref="Q322:Q385" si="22">IF(OR(ISNUMBER(SEARCH("outdoor", P322)), ISNUMBER(SEARCH("park", P322)), ISNUMBER(SEARCH("road", P322)), ISNUMBER(SEARCH("sidewalk", P322)), ISNUMBER(SEARCH("desert", P322)), ISNUMBER(SEARCH("tunnel", P322)), ISNUMBER(SEARCH("lot", P322)), ISNUMBER(SEARCH("lake", P322)), ISNUMBER(SEARCH("bus", P322)), ISNUMBER(SEARCH("shed", P322)), ISNUMBER(SEARCH("amusement", P322))), "Outdoors/Public",
IF(OR(ISNUMBER(SEARCH("home", P322)), ISNUMBER(SEARCH("residence", P322)), ISNUMBER(SEARCH("rv", P322)), ISNUMBER(SEARCH("tent", P322)), ISNUMBER(SEARCH("bedroom", P322)), ISNUMBER(SEARCH("garage", P322)), ISNUMBER(SEARCH("trailer", P322)), ISNUMBER(SEARCH("backyard", P322))), "Home/Residence",
IF(OR(ISNUMBER(SEARCH("vehicle", P322)), ISNUMBER(SEARCH("car", P322)), ISNUMBER(SEARCH("wash", P322))), "Vehicle-related",
IF(OR(ISNUMBER(SEARCH("business", P322)), ISNUMBER(SEARCH("school", P322)), ISNUMBER(SEARCH("hotel", P322)), ISNUMBER(SEARCH("construction", P322)), ISNUMBER(SEARCH("furniture", P322)), ISNUMBER(SEARCH("public", P322))), "Business/Commercial",
IF(OR(ISNUMBER(SEARCH("hospital", P322)), ISNUMBER(SEARCH("assisted", P322)), ISNUMBER(SEARCH("residential care", P322))), "Medical Facility",
IF(OR(ISNUMBER(SEARCH("shelter", P322)), ISNUMBER(SEARCH("jail", P322))), "Shelter/Temporary Housing",
"Other / Unknown"))))))</f>
        <v>Outdoors/Public</v>
      </c>
      <c r="R322" t="s">
        <v>4576</v>
      </c>
      <c r="S322" t="s">
        <v>5118</v>
      </c>
      <c r="T322" t="str" cm="1">
        <f t="array" ref="T322">_xlfn.IFS(
  TEXT(TRIM(S322),"00000")="NULL", "Missing/Unknown",
  OR(TEXT(TRIM(S322),"00000")="89101", TEXT(TRIM(S322),"00000")="89104", TEXT(TRIM(S322),"00000")="89106", TEXT(TRIM(S322),"00000")="89102", TEXT(TRIM(S322),"00000")="89107", TEXT(TRIM(S322),"00000")="89108"), "Urban Core",
  OR(TEXT(TRIM(S322),"00000")="89110", TEXT(TRIM(S322),"00000")="89115", TEXT(TRIM(S322),"00000")="89121", TEXT(TRIM(S322),"00000")="89122", TEXT(TRIM(S322),"00000")="89142", TEXT(TRIM(S322),"00000")="89156"), "East Valley",
  OR(TEXT(TRIM(S322),"00000")="89030", TEXT(TRIM(S322),"00000")="89031", TEXT(TRIM(S322),"00000")="89032", TEXT(TRIM(S322),"00000")="89086", TEXT(TRIM(S322),"00000")="89084", TEXT(TRIM(S322),"00000")="89081"), "North LV",
  OR(TEXT(TRIM(S322),"00000")="89109", TEXT(TRIM(S322),"00000")="89103", TEXT(TRIM(S322),"00000")="89119", TEXT(TRIM(S322),"00000")="89123", TEXT(TRIM(S322),"00000")="89169", TEXT(TRIM(S322),"00000")="89118"), "South/Strip",
  OR(TEXT(TRIM(S322),"00000")="89074", TEXT(TRIM(S322),"00000")="89014", TEXT(TRIM(S322),"00000")="89015", TEXT(TRIM(S322),"00000")="89011", TEXT(TRIM(S322),"00000")="89012"), "Suburban SE",
  OR(TEXT(TRIM(S322),"00000")="89117", TEXT(TRIM(S322),"00000")="89128", TEXT(TRIM(S322),"00000")="89135", TEXT(TRIM(S322),"00000")="89144", TEXT(TRIM(S322),"00000")="89145", TEXT(TRIM(S322),"00000")="89147"), "West Valley",
  TRUE, "Other"
)</f>
        <v>South/Strip</v>
      </c>
      <c r="U322" t="s">
        <v>3298</v>
      </c>
      <c r="V322" t="str">
        <f t="shared" ref="V322:V385" si="23">IF(OR(ISNUMBER(SEARCH("outdoor", U322)), ISNUMBER(SEARCH("park", U322)), ISNUMBER(SEARCH("road", U322)), ISNUMBER(SEARCH("sidewalk", U322)), ISNUMBER(SEARCH("desert", U322)), ISNUMBER(SEARCH("tunnel", U322)), ISNUMBER(SEARCH("lot", U322)), ISNUMBER(SEARCH("lake", U322)), ISNUMBER(SEARCH("bus", U322)), ISNUMBER(SEARCH("shed", U322)), ISNUMBER(SEARCH("amusement", U322))), "Outdoors/Public",
IF(OR(ISNUMBER(SEARCH("home", U322)), ISNUMBER(SEARCH("residence", U322)), ISNUMBER(SEARCH("rv", U322)), ISNUMBER(SEARCH("tent", U322)), ISNUMBER(SEARCH("bedroom", U322)), ISNUMBER(SEARCH("garage", U322)), ISNUMBER(SEARCH("trailer", U322)), ISNUMBER(SEARCH("backyard", U322))), "Home/Residence",
IF(OR(ISNUMBER(SEARCH("vehicle", U322)), ISNUMBER(SEARCH("wash", U322))), "Vehicle-related",
IF(OR(ISNUMBER(SEARCH("business", U322)), ISNUMBER(SEARCH("school", U322)), ISNUMBER(SEARCH("hotel", U322)), ISNUMBER(SEARCH("construction", U322)), ISNUMBER(SEARCH("furniture", U322)), ISNUMBER(SEARCH("public", U322))), "Business/Commercial",
IF(OR(ISNUMBER(SEARCH("hospital", U322)), ISNUMBER(SEARCH("assisted", U322)), ISNUMBER(SEARCH("residential care", U322)), ISNUMBER(SEARCH("emergency room", U322)), ISNUMBER(SEARCH("emergency", U322)), ISNUMBER(SEARCH("intensive care unit", U322)), ISNUMBER(SEARCH("icu", U322))), "Medical Facility",
IF(OR(ISNUMBER(SEARCH("shelter", U322)), ISNUMBER(SEARCH("jail", U322))), "Shelter/Temporary Housing",
"Other / Unknown"))))))</f>
        <v>Outdoors/Public</v>
      </c>
    </row>
    <row r="323" spans="1:22">
      <c r="A323" t="s">
        <v>3913</v>
      </c>
      <c r="B323" t="s">
        <v>3914</v>
      </c>
      <c r="C323" s="1">
        <v>45482</v>
      </c>
      <c r="D323" s="4">
        <v>116.96</v>
      </c>
      <c r="E323">
        <v>32</v>
      </c>
      <c r="F323" t="str">
        <f t="shared" si="20"/>
        <v>30's</v>
      </c>
      <c r="G323" t="str" cm="1">
        <f t="array" ref="G323">_xlfn.IFS(
  F323="10's", "Child (5–12)",
  OR(F323="20's", F323="30's"), "Young Adult (20–39)",
  OR(F323="40's", F323="50's"), "Adult (40–59)",
  OR(F323="60's", F323="70's", F323="80's", F323="90's"), "Senior (60+)",
  TRUE, "Unknown"
)</f>
        <v>Young Adult (20–39)</v>
      </c>
      <c r="H323" t="s">
        <v>27</v>
      </c>
      <c r="I323" t="s">
        <v>4064</v>
      </c>
      <c r="J323" t="str">
        <f t="shared" si="21"/>
        <v>Fentanyl-related</v>
      </c>
      <c r="K323" t="s">
        <v>54</v>
      </c>
      <c r="L323" t="s">
        <v>250</v>
      </c>
      <c r="M323" t="s">
        <v>4334</v>
      </c>
      <c r="N323" t="s">
        <v>5107</v>
      </c>
      <c r="O323" t="str" cm="1">
        <f t="array" ref="O323">_xlfn.IFS(
  TEXT(TRIM(N323),"00000")="NULL", "Missing/Unknown",
  OR(TEXT(TRIM(N323),"00000")="89101", TEXT(TRIM(N323),"00000")="89104", TEXT(TRIM(N323),"00000")="89106", TEXT(TRIM(N323),"00000")="89102", TEXT(TRIM(N323),"00000")="89107", TEXT(TRIM(N323),"00000")="89108"), "Urban Core",
  OR(TEXT(TRIM(N323),"00000")="89110", TEXT(TRIM(N323),"00000")="89115", TEXT(TRIM(N323),"00000")="89121", TEXT(TRIM(N323),"00000")="89122", TEXT(TRIM(N323),"00000")="89142", TEXT(TRIM(N323),"00000")="89156"), "East Valley",
  OR(TEXT(TRIM(N323),"00000")="89030", TEXT(TRIM(N323),"00000")="89031", TEXT(TRIM(N323),"00000")="89032", TEXT(TRIM(N323),"00000")="89086", TEXT(TRIM(N323),"00000")="89084", TEXT(TRIM(N323),"00000")="89081"), "North LV",
  OR(TEXT(TRIM(N323),"00000")="89109", TEXT(TRIM(N323),"00000")="89103", TEXT(TRIM(N323),"00000")="89119", TEXT(TRIM(N323),"00000")="89123", TEXT(TRIM(N323),"00000")="89169", TEXT(TRIM(N323),"00000")="89118"), "South/Strip",
  OR(TEXT(TRIM(N323),"00000")="89074", TEXT(TRIM(N323),"00000")="89014", TEXT(TRIM(N323),"00000")="89015", TEXT(TRIM(N323),"00000")="89011", TEXT(TRIM(N323),"00000")="89012"), "Suburban SE",
  OR(TEXT(TRIM(N323),"00000")="89117", TEXT(TRIM(N323),"00000")="89128", TEXT(TRIM(N323),"00000")="89135", TEXT(TRIM(N323),"00000")="89144", TEXT(TRIM(N323),"00000")="89145", TEXT(TRIM(N323),"00000")="89147"), "West Valley",
  TRUE, "Other"
)</f>
        <v>South/Strip</v>
      </c>
      <c r="P323" t="s">
        <v>3298</v>
      </c>
      <c r="Q323" t="str">
        <f t="shared" si="22"/>
        <v>Outdoors/Public</v>
      </c>
      <c r="R323" t="s">
        <v>5055</v>
      </c>
      <c r="S323" t="s">
        <v>5119</v>
      </c>
      <c r="T323" t="str" cm="1">
        <f t="array" ref="T323">_xlfn.IFS(
  TEXT(TRIM(S323),"00000")="NULL", "Missing/Unknown",
  OR(TEXT(TRIM(S323),"00000")="89101", TEXT(TRIM(S323),"00000")="89104", TEXT(TRIM(S323),"00000")="89106", TEXT(TRIM(S323),"00000")="89102", TEXT(TRIM(S323),"00000")="89107", TEXT(TRIM(S323),"00000")="89108"), "Urban Core",
  OR(TEXT(TRIM(S323),"00000")="89110", TEXT(TRIM(S323),"00000")="89115", TEXT(TRIM(S323),"00000")="89121", TEXT(TRIM(S323),"00000")="89122", TEXT(TRIM(S323),"00000")="89142", TEXT(TRIM(S323),"00000")="89156"), "East Valley",
  OR(TEXT(TRIM(S323),"00000")="89030", TEXT(TRIM(S323),"00000")="89031", TEXT(TRIM(S323),"00000")="89032", TEXT(TRIM(S323),"00000")="89086", TEXT(TRIM(S323),"00000")="89084", TEXT(TRIM(S323),"00000")="89081"), "North LV",
  OR(TEXT(TRIM(S323),"00000")="89109", TEXT(TRIM(S323),"00000")="89103", TEXT(TRIM(S323),"00000")="89119", TEXT(TRIM(S323),"00000")="89123", TEXT(TRIM(S323),"00000")="89169", TEXT(TRIM(S323),"00000")="89118"), "South/Strip",
  OR(TEXT(TRIM(S323),"00000")="89074", TEXT(TRIM(S323),"00000")="89014", TEXT(TRIM(S323),"00000")="89015", TEXT(TRIM(S323),"00000")="89011", TEXT(TRIM(S323),"00000")="89012"), "Suburban SE",
  OR(TEXT(TRIM(S323),"00000")="89117", TEXT(TRIM(S323),"00000")="89128", TEXT(TRIM(S323),"00000")="89135", TEXT(TRIM(S323),"00000")="89144", TEXT(TRIM(S323),"00000")="89145", TEXT(TRIM(S323),"00000")="89147"), "West Valley",
  TRUE, "Other"
)</f>
        <v>Urban Core</v>
      </c>
      <c r="U323" t="s">
        <v>2433</v>
      </c>
      <c r="V323" t="str">
        <f t="shared" si="23"/>
        <v>Medical Facility</v>
      </c>
    </row>
    <row r="324" spans="1:22">
      <c r="A324" t="s">
        <v>3381</v>
      </c>
      <c r="B324" t="s">
        <v>3382</v>
      </c>
      <c r="C324" s="1">
        <v>45482</v>
      </c>
      <c r="D324" s="4">
        <v>116.96</v>
      </c>
      <c r="E324">
        <v>28</v>
      </c>
      <c r="F324" t="str">
        <f t="shared" si="20"/>
        <v>20's</v>
      </c>
      <c r="G324" t="str" cm="1">
        <f t="array" ref="G324">_xlfn.IFS(
  F324="10's", "Child (5–12)",
  OR(F324="20's", F324="30's"), "Young Adult (20–39)",
  OR(F324="40's", F324="50's"), "Adult (40–59)",
  OR(F324="60's", F324="70's", F324="80's", F324="90's"), "Senior (60+)",
  TRUE, "Unknown"
)</f>
        <v>Young Adult (20–39)</v>
      </c>
      <c r="H324" t="s">
        <v>27</v>
      </c>
      <c r="I324" t="s">
        <v>660</v>
      </c>
      <c r="J324" t="str">
        <f t="shared" si="21"/>
        <v>Environmental Heat</v>
      </c>
      <c r="K324" t="s">
        <v>4094</v>
      </c>
      <c r="L324" t="s">
        <v>250</v>
      </c>
      <c r="M324" t="s">
        <v>4336</v>
      </c>
      <c r="N324" t="s">
        <v>5101</v>
      </c>
      <c r="O324" t="str" cm="1">
        <f t="array" ref="O324">_xlfn.IFS(
  TEXT(TRIM(N324),"00000")="NULL", "Missing/Unknown",
  OR(TEXT(TRIM(N324),"00000")="89101", TEXT(TRIM(N324),"00000")="89104", TEXT(TRIM(N324),"00000")="89106", TEXT(TRIM(N324),"00000")="89102", TEXT(TRIM(N324),"00000")="89107", TEXT(TRIM(N324),"00000")="89108"), "Urban Core",
  OR(TEXT(TRIM(N324),"00000")="89110", TEXT(TRIM(N324),"00000")="89115", TEXT(TRIM(N324),"00000")="89121", TEXT(TRIM(N324),"00000")="89122", TEXT(TRIM(N324),"00000")="89142", TEXT(TRIM(N324),"00000")="89156"), "East Valley",
  OR(TEXT(TRIM(N324),"00000")="89030", TEXT(TRIM(N324),"00000")="89031", TEXT(TRIM(N324),"00000")="89032", TEXT(TRIM(N324),"00000")="89086", TEXT(TRIM(N324),"00000")="89084", TEXT(TRIM(N324),"00000")="89081"), "North LV",
  OR(TEXT(TRIM(N324),"00000")="89109", TEXT(TRIM(N324),"00000")="89103", TEXT(TRIM(N324),"00000")="89119", TEXT(TRIM(N324),"00000")="89123", TEXT(TRIM(N324),"00000")="89169", TEXT(TRIM(N324),"00000")="89118"), "South/Strip",
  OR(TEXT(TRIM(N324),"00000")="89074", TEXT(TRIM(N324),"00000")="89014", TEXT(TRIM(N324),"00000")="89015", TEXT(TRIM(N324),"00000")="89011", TEXT(TRIM(N324),"00000")="89012"), "Suburban SE",
  OR(TEXT(TRIM(N324),"00000")="89117", TEXT(TRIM(N324),"00000")="89128", TEXT(TRIM(N324),"00000")="89135", TEXT(TRIM(N324),"00000")="89144", TEXT(TRIM(N324),"00000")="89145", TEXT(TRIM(N324),"00000")="89147"), "West Valley",
  TRUE, "Other"
)</f>
        <v>Urban Core</v>
      </c>
      <c r="P324" t="s">
        <v>3298</v>
      </c>
      <c r="Q324" t="str">
        <f t="shared" si="22"/>
        <v>Outdoors/Public</v>
      </c>
      <c r="R324" t="s">
        <v>4713</v>
      </c>
      <c r="S324" t="s">
        <v>5125</v>
      </c>
      <c r="T324" t="str" cm="1">
        <f t="array" ref="T324">_xlfn.IFS(
  TEXT(TRIM(S324),"00000")="NULL", "Missing/Unknown",
  OR(TEXT(TRIM(S324),"00000")="89101", TEXT(TRIM(S324),"00000")="89104", TEXT(TRIM(S324),"00000")="89106", TEXT(TRIM(S324),"00000")="89102", TEXT(TRIM(S324),"00000")="89107", TEXT(TRIM(S324),"00000")="89108"), "Urban Core",
  OR(TEXT(TRIM(S324),"00000")="89110", TEXT(TRIM(S324),"00000")="89115", TEXT(TRIM(S324),"00000")="89121", TEXT(TRIM(S324),"00000")="89122", TEXT(TRIM(S324),"00000")="89142", TEXT(TRIM(S324),"00000")="89156"), "East Valley",
  OR(TEXT(TRIM(S324),"00000")="89030", TEXT(TRIM(S324),"00000")="89031", TEXT(TRIM(S324),"00000")="89032", TEXT(TRIM(S324),"00000")="89086", TEXT(TRIM(S324),"00000")="89084", TEXT(TRIM(S324),"00000")="89081"), "North LV",
  OR(TEXT(TRIM(S324),"00000")="89109", TEXT(TRIM(S324),"00000")="89103", TEXT(TRIM(S324),"00000")="89119", TEXT(TRIM(S324),"00000")="89123", TEXT(TRIM(S324),"00000")="89169", TEXT(TRIM(S324),"00000")="89118"), "South/Strip",
  OR(TEXT(TRIM(S324),"00000")="89074", TEXT(TRIM(S324),"00000")="89014", TEXT(TRIM(S324),"00000")="89015", TEXT(TRIM(S324),"00000")="89011", TEXT(TRIM(S324),"00000")="89012"), "Suburban SE",
  OR(TEXT(TRIM(S324),"00000")="89117", TEXT(TRIM(S324),"00000")="89128", TEXT(TRIM(S324),"00000")="89135", TEXT(TRIM(S324),"00000")="89144", TEXT(TRIM(S324),"00000")="89145", TEXT(TRIM(S324),"00000")="89147"), "West Valley",
  TRUE, "Other"
)</f>
        <v>South/Strip</v>
      </c>
      <c r="U324" t="s">
        <v>2537</v>
      </c>
      <c r="V324" t="str">
        <f t="shared" si="23"/>
        <v>Medical Facility</v>
      </c>
    </row>
    <row r="325" spans="1:22">
      <c r="A325" t="s">
        <v>3016</v>
      </c>
      <c r="B325" t="s">
        <v>3017</v>
      </c>
      <c r="C325" s="1">
        <v>45482</v>
      </c>
      <c r="D325" s="4">
        <v>116.96</v>
      </c>
      <c r="E325">
        <v>82</v>
      </c>
      <c r="F325" t="str">
        <f t="shared" si="20"/>
        <v>80's</v>
      </c>
      <c r="G325" t="str" cm="1">
        <f t="array" ref="G325">_xlfn.IFS(
  F325="10's", "Child (5–12)",
  OR(F325="20's", F325="30's"), "Young Adult (20–39)",
  OR(F325="40's", F325="50's"), "Adult (40–59)",
  OR(F325="60's", F325="70's", F325="80's", F325="90's"), "Senior (60+)",
  TRUE, "Unknown"
)</f>
        <v>Senior (60+)</v>
      </c>
      <c r="H325" t="s">
        <v>778</v>
      </c>
      <c r="I325" t="s">
        <v>54</v>
      </c>
      <c r="J325" t="str">
        <f t="shared" si="21"/>
        <v>Environmental Heat</v>
      </c>
      <c r="K325" t="s">
        <v>3018</v>
      </c>
      <c r="L325" t="s">
        <v>250</v>
      </c>
      <c r="M325" t="s">
        <v>4694</v>
      </c>
      <c r="N325" t="s">
        <v>5108</v>
      </c>
      <c r="O325" t="str" cm="1">
        <f t="array" ref="O325">_xlfn.IFS(
  TEXT(TRIM(N325),"00000")="NULL", "Missing/Unknown",
  OR(TEXT(TRIM(N325),"00000")="89101", TEXT(TRIM(N325),"00000")="89104", TEXT(TRIM(N325),"00000")="89106", TEXT(TRIM(N325),"00000")="89102", TEXT(TRIM(N325),"00000")="89107", TEXT(TRIM(N325),"00000")="89108"), "Urban Core",
  OR(TEXT(TRIM(N325),"00000")="89110", TEXT(TRIM(N325),"00000")="89115", TEXT(TRIM(N325),"00000")="89121", TEXT(TRIM(N325),"00000")="89122", TEXT(TRIM(N325),"00000")="89142", TEXT(TRIM(N325),"00000")="89156"), "East Valley",
  OR(TEXT(TRIM(N325),"00000")="89030", TEXT(TRIM(N325),"00000")="89031", TEXT(TRIM(N325),"00000")="89032", TEXT(TRIM(N325),"00000")="89086", TEXT(TRIM(N325),"00000")="89084", TEXT(TRIM(N325),"00000")="89081"), "North LV",
  OR(TEXT(TRIM(N325),"00000")="89109", TEXT(TRIM(N325),"00000")="89103", TEXT(TRIM(N325),"00000")="89119", TEXT(TRIM(N325),"00000")="89123", TEXT(TRIM(N325),"00000")="89169", TEXT(TRIM(N325),"00000")="89118"), "South/Strip",
  OR(TEXT(TRIM(N325),"00000")="89074", TEXT(TRIM(N325),"00000")="89014", TEXT(TRIM(N325),"00000")="89015", TEXT(TRIM(N325),"00000")="89011", TEXT(TRIM(N325),"00000")="89012"), "Suburban SE",
  OR(TEXT(TRIM(N325),"00000")="89117", TEXT(TRIM(N325),"00000")="89128", TEXT(TRIM(N325),"00000")="89135", TEXT(TRIM(N325),"00000")="89144", TEXT(TRIM(N325),"00000")="89145", TEXT(TRIM(N325),"00000")="89147"), "West Valley",
  TRUE, "Other"
)</f>
        <v>East Valley</v>
      </c>
      <c r="P325" t="s">
        <v>3298</v>
      </c>
      <c r="Q325" t="str">
        <f t="shared" si="22"/>
        <v>Outdoors/Public</v>
      </c>
      <c r="R325" t="s">
        <v>4694</v>
      </c>
      <c r="S325" t="s">
        <v>5108</v>
      </c>
      <c r="T325" t="str" cm="1">
        <f t="array" ref="T325">_xlfn.IFS(
  TEXT(TRIM(S325),"00000")="NULL", "Missing/Unknown",
  OR(TEXT(TRIM(S325),"00000")="89101", TEXT(TRIM(S325),"00000")="89104", TEXT(TRIM(S325),"00000")="89106", TEXT(TRIM(S325),"00000")="89102", TEXT(TRIM(S325),"00000")="89107", TEXT(TRIM(S325),"00000")="89108"), "Urban Core",
  OR(TEXT(TRIM(S325),"00000")="89110", TEXT(TRIM(S325),"00000")="89115", TEXT(TRIM(S325),"00000")="89121", TEXT(TRIM(S325),"00000")="89122", TEXT(TRIM(S325),"00000")="89142", TEXT(TRIM(S325),"00000")="89156"), "East Valley",
  OR(TEXT(TRIM(S325),"00000")="89030", TEXT(TRIM(S325),"00000")="89031", TEXT(TRIM(S325),"00000")="89032", TEXT(TRIM(S325),"00000")="89086", TEXT(TRIM(S325),"00000")="89084", TEXT(TRIM(S325),"00000")="89081"), "North LV",
  OR(TEXT(TRIM(S325),"00000")="89109", TEXT(TRIM(S325),"00000")="89103", TEXT(TRIM(S325),"00000")="89119", TEXT(TRIM(S325),"00000")="89123", TEXT(TRIM(S325),"00000")="89169", TEXT(TRIM(S325),"00000")="89118"), "South/Strip",
  OR(TEXT(TRIM(S325),"00000")="89074", TEXT(TRIM(S325),"00000")="89014", TEXT(TRIM(S325),"00000")="89015", TEXT(TRIM(S325),"00000")="89011", TEXT(TRIM(S325),"00000")="89012"), "Suburban SE",
  OR(TEXT(TRIM(S325),"00000")="89117", TEXT(TRIM(S325),"00000")="89128", TEXT(TRIM(S325),"00000")="89135", TEXT(TRIM(S325),"00000")="89144", TEXT(TRIM(S325),"00000")="89145", TEXT(TRIM(S325),"00000")="89147"), "West Valley",
  TRUE, "Other"
)</f>
        <v>East Valley</v>
      </c>
      <c r="U325" t="s">
        <v>3298</v>
      </c>
      <c r="V325" t="str">
        <f t="shared" si="23"/>
        <v>Outdoors/Public</v>
      </c>
    </row>
    <row r="326" spans="1:22">
      <c r="A326" t="s">
        <v>3977</v>
      </c>
      <c r="B326" t="s">
        <v>3978</v>
      </c>
      <c r="C326" s="1">
        <v>45482</v>
      </c>
      <c r="D326" s="4">
        <v>116.96</v>
      </c>
      <c r="E326">
        <v>35</v>
      </c>
      <c r="F326" t="str">
        <f t="shared" si="20"/>
        <v>30's</v>
      </c>
      <c r="G326" t="str" cm="1">
        <f t="array" ref="G326">_xlfn.IFS(
  F326="10's", "Child (5–12)",
  OR(F326="20's", F326="30's"), "Young Adult (20–39)",
  OR(F326="40's", F326="50's"), "Adult (40–59)",
  OR(F326="60's", F326="70's", F326="80's", F326="90's"), "Senior (60+)",
  TRUE, "Unknown"
)</f>
        <v>Young Adult (20–39)</v>
      </c>
      <c r="H326" t="s">
        <v>841</v>
      </c>
      <c r="I326" t="s">
        <v>4025</v>
      </c>
      <c r="J326" t="str">
        <f t="shared" si="21"/>
        <v>Methamphetamine-related</v>
      </c>
      <c r="K326" t="s">
        <v>54</v>
      </c>
      <c r="L326" t="s">
        <v>250</v>
      </c>
      <c r="M326" t="s">
        <v>4336</v>
      </c>
      <c r="N326" t="s">
        <v>5101</v>
      </c>
      <c r="O326" t="str" cm="1">
        <f t="array" ref="O326">_xlfn.IFS(
  TEXT(TRIM(N326),"00000")="NULL", "Missing/Unknown",
  OR(TEXT(TRIM(N326),"00000")="89101", TEXT(TRIM(N326),"00000")="89104", TEXT(TRIM(N326),"00000")="89106", TEXT(TRIM(N326),"00000")="89102", TEXT(TRIM(N326),"00000")="89107", TEXT(TRIM(N326),"00000")="89108"), "Urban Core",
  OR(TEXT(TRIM(N326),"00000")="89110", TEXT(TRIM(N326),"00000")="89115", TEXT(TRIM(N326),"00000")="89121", TEXT(TRIM(N326),"00000")="89122", TEXT(TRIM(N326),"00000")="89142", TEXT(TRIM(N326),"00000")="89156"), "East Valley",
  OR(TEXT(TRIM(N326),"00000")="89030", TEXT(TRIM(N326),"00000")="89031", TEXT(TRIM(N326),"00000")="89032", TEXT(TRIM(N326),"00000")="89086", TEXT(TRIM(N326),"00000")="89084", TEXT(TRIM(N326),"00000")="89081"), "North LV",
  OR(TEXT(TRIM(N326),"00000")="89109", TEXT(TRIM(N326),"00000")="89103", TEXT(TRIM(N326),"00000")="89119", TEXT(TRIM(N326),"00000")="89123", TEXT(TRIM(N326),"00000")="89169", TEXT(TRIM(N326),"00000")="89118"), "South/Strip",
  OR(TEXT(TRIM(N326),"00000")="89074", TEXT(TRIM(N326),"00000")="89014", TEXT(TRIM(N326),"00000")="89015", TEXT(TRIM(N326),"00000")="89011", TEXT(TRIM(N326),"00000")="89012"), "Suburban SE",
  OR(TEXT(TRIM(N326),"00000")="89117", TEXT(TRIM(N326),"00000")="89128", TEXT(TRIM(N326),"00000")="89135", TEXT(TRIM(N326),"00000")="89144", TEXT(TRIM(N326),"00000")="89145", TEXT(TRIM(N326),"00000")="89147"), "West Valley",
  TRUE, "Other"
)</f>
        <v>Urban Core</v>
      </c>
      <c r="P326" t="s">
        <v>3298</v>
      </c>
      <c r="Q326" t="str">
        <f t="shared" si="22"/>
        <v>Outdoors/Public</v>
      </c>
      <c r="R326" t="s">
        <v>5054</v>
      </c>
      <c r="S326" t="s">
        <v>5097</v>
      </c>
      <c r="T326" t="str" cm="1">
        <f t="array" ref="T326">_xlfn.IFS(
  TEXT(TRIM(S326),"00000")="NULL", "Missing/Unknown",
  OR(TEXT(TRIM(S326),"00000")="89101", TEXT(TRIM(S326),"00000")="89104", TEXT(TRIM(S326),"00000")="89106", TEXT(TRIM(S326),"00000")="89102", TEXT(TRIM(S326),"00000")="89107", TEXT(TRIM(S326),"00000")="89108"), "Urban Core",
  OR(TEXT(TRIM(S326),"00000")="89110", TEXT(TRIM(S326),"00000")="89115", TEXT(TRIM(S326),"00000")="89121", TEXT(TRIM(S326),"00000")="89122", TEXT(TRIM(S326),"00000")="89142", TEXT(TRIM(S326),"00000")="89156"), "East Valley",
  OR(TEXT(TRIM(S326),"00000")="89030", TEXT(TRIM(S326),"00000")="89031", TEXT(TRIM(S326),"00000")="89032", TEXT(TRIM(S326),"00000")="89086", TEXT(TRIM(S326),"00000")="89084", TEXT(TRIM(S326),"00000")="89081"), "North LV",
  OR(TEXT(TRIM(S326),"00000")="89109", TEXT(TRIM(S326),"00000")="89103", TEXT(TRIM(S326),"00000")="89119", TEXT(TRIM(S326),"00000")="89123", TEXT(TRIM(S326),"00000")="89169", TEXT(TRIM(S326),"00000")="89118"), "South/Strip",
  OR(TEXT(TRIM(S326),"00000")="89074", TEXT(TRIM(S326),"00000")="89014", TEXT(TRIM(S326),"00000")="89015", TEXT(TRIM(S326),"00000")="89011", TEXT(TRIM(S326),"00000")="89012"), "Suburban SE",
  OR(TEXT(TRIM(S326),"00000")="89117", TEXT(TRIM(S326),"00000")="89128", TEXT(TRIM(S326),"00000")="89135", TEXT(TRIM(S326),"00000")="89144", TEXT(TRIM(S326),"00000")="89145", TEXT(TRIM(S326),"00000")="89147"), "West Valley",
  TRUE, "Other"
)</f>
        <v>Urban Core</v>
      </c>
      <c r="U326" t="s">
        <v>2537</v>
      </c>
      <c r="V326" t="str">
        <f t="shared" si="23"/>
        <v>Medical Facility</v>
      </c>
    </row>
    <row r="327" spans="1:22">
      <c r="A327" t="s">
        <v>2871</v>
      </c>
      <c r="B327" t="s">
        <v>2872</v>
      </c>
      <c r="C327" s="1">
        <v>45482</v>
      </c>
      <c r="D327" s="4">
        <v>116.96</v>
      </c>
      <c r="E327">
        <v>64</v>
      </c>
      <c r="F327" t="str">
        <f t="shared" si="20"/>
        <v>60's</v>
      </c>
      <c r="G327" t="str" cm="1">
        <f t="array" ref="G327">_xlfn.IFS(
  F327="10's", "Child (5–12)",
  OR(F327="20's", F327="30's"), "Young Adult (20–39)",
  OR(F327="40's", F327="50's"), "Adult (40–59)",
  OR(F327="60's", F327="70's", F327="80's", F327="90's"), "Senior (60+)",
  TRUE, "Unknown"
)</f>
        <v>Senior (60+)</v>
      </c>
      <c r="H327" t="s">
        <v>841</v>
      </c>
      <c r="I327" t="s">
        <v>35</v>
      </c>
      <c r="J327" t="str">
        <f t="shared" si="21"/>
        <v>Environmental Heat</v>
      </c>
      <c r="K327" t="s">
        <v>28</v>
      </c>
      <c r="L327" t="s">
        <v>250</v>
      </c>
      <c r="M327" t="s">
        <v>4965</v>
      </c>
      <c r="N327" t="s">
        <v>5139</v>
      </c>
      <c r="O327" t="str" cm="1">
        <f t="array" ref="O327">_xlfn.IFS(
  TEXT(TRIM(N327),"00000")="NULL", "Missing/Unknown",
  OR(TEXT(TRIM(N327),"00000")="89101", TEXT(TRIM(N327),"00000")="89104", TEXT(TRIM(N327),"00000")="89106", TEXT(TRIM(N327),"00000")="89102", TEXT(TRIM(N327),"00000")="89107", TEXT(TRIM(N327),"00000")="89108"), "Urban Core",
  OR(TEXT(TRIM(N327),"00000")="89110", TEXT(TRIM(N327),"00000")="89115", TEXT(TRIM(N327),"00000")="89121", TEXT(TRIM(N327),"00000")="89122", TEXT(TRIM(N327),"00000")="89142", TEXT(TRIM(N327),"00000")="89156"), "East Valley",
  OR(TEXT(TRIM(N327),"00000")="89030", TEXT(TRIM(N327),"00000")="89031", TEXT(TRIM(N327),"00000")="89032", TEXT(TRIM(N327),"00000")="89086", TEXT(TRIM(N327),"00000")="89084", TEXT(TRIM(N327),"00000")="89081"), "North LV",
  OR(TEXT(TRIM(N327),"00000")="89109", TEXT(TRIM(N327),"00000")="89103", TEXT(TRIM(N327),"00000")="89119", TEXT(TRIM(N327),"00000")="89123", TEXT(TRIM(N327),"00000")="89169", TEXT(TRIM(N327),"00000")="89118"), "South/Strip",
  OR(TEXT(TRIM(N327),"00000")="89074", TEXT(TRIM(N327),"00000")="89014", TEXT(TRIM(N327),"00000")="89015", TEXT(TRIM(N327),"00000")="89011", TEXT(TRIM(N327),"00000")="89012"), "Suburban SE",
  OR(TEXT(TRIM(N327),"00000")="89117", TEXT(TRIM(N327),"00000")="89128", TEXT(TRIM(N327),"00000")="89135", TEXT(TRIM(N327),"00000")="89144", TEXT(TRIM(N327),"00000")="89145", TEXT(TRIM(N327),"00000")="89147"), "West Valley",
  TRUE, "Other"
)</f>
        <v>Other</v>
      </c>
      <c r="P327" t="s">
        <v>726</v>
      </c>
      <c r="Q327" t="str">
        <f t="shared" si="22"/>
        <v>Outdoors/Public</v>
      </c>
      <c r="R327" t="s">
        <v>4965</v>
      </c>
      <c r="S327" t="s">
        <v>5139</v>
      </c>
      <c r="T327" t="str" cm="1">
        <f t="array" ref="T327">_xlfn.IFS(
  TEXT(TRIM(S327),"00000")="NULL", "Missing/Unknown",
  OR(TEXT(TRIM(S327),"00000")="89101", TEXT(TRIM(S327),"00000")="89104", TEXT(TRIM(S327),"00000")="89106", TEXT(TRIM(S327),"00000")="89102", TEXT(TRIM(S327),"00000")="89107", TEXT(TRIM(S327),"00000")="89108"), "Urban Core",
  OR(TEXT(TRIM(S327),"00000")="89110", TEXT(TRIM(S327),"00000")="89115", TEXT(TRIM(S327),"00000")="89121", TEXT(TRIM(S327),"00000")="89122", TEXT(TRIM(S327),"00000")="89142", TEXT(TRIM(S327),"00000")="89156"), "East Valley",
  OR(TEXT(TRIM(S327),"00000")="89030", TEXT(TRIM(S327),"00000")="89031", TEXT(TRIM(S327),"00000")="89032", TEXT(TRIM(S327),"00000")="89086", TEXT(TRIM(S327),"00000")="89084", TEXT(TRIM(S327),"00000")="89081"), "North LV",
  OR(TEXT(TRIM(S327),"00000")="89109", TEXT(TRIM(S327),"00000")="89103", TEXT(TRIM(S327),"00000")="89119", TEXT(TRIM(S327),"00000")="89123", TEXT(TRIM(S327),"00000")="89169", TEXT(TRIM(S327),"00000")="89118"), "South/Strip",
  OR(TEXT(TRIM(S327),"00000")="89074", TEXT(TRIM(S327),"00000")="89014", TEXT(TRIM(S327),"00000")="89015", TEXT(TRIM(S327),"00000")="89011", TEXT(TRIM(S327),"00000")="89012"), "Suburban SE",
  OR(TEXT(TRIM(S327),"00000")="89117", TEXT(TRIM(S327),"00000")="89128", TEXT(TRIM(S327),"00000")="89135", TEXT(TRIM(S327),"00000")="89144", TEXT(TRIM(S327),"00000")="89145", TEXT(TRIM(S327),"00000")="89147"), "West Valley",
  TRUE, "Other"
)</f>
        <v>Other</v>
      </c>
      <c r="U327" t="s">
        <v>726</v>
      </c>
      <c r="V327" t="str">
        <f t="shared" si="23"/>
        <v>Outdoors/Public</v>
      </c>
    </row>
    <row r="328" spans="1:22">
      <c r="A328" t="s">
        <v>3020</v>
      </c>
      <c r="B328" t="s">
        <v>3021</v>
      </c>
      <c r="C328" s="1">
        <v>45482</v>
      </c>
      <c r="D328" s="4">
        <v>116.96</v>
      </c>
      <c r="E328">
        <v>71</v>
      </c>
      <c r="F328" t="str">
        <f t="shared" si="20"/>
        <v>70's</v>
      </c>
      <c r="G328" t="str" cm="1">
        <f t="array" ref="G328">_xlfn.IFS(
  F328="10's", "Child (5–12)",
  OR(F328="20's", F328="30's"), "Young Adult (20–39)",
  OR(F328="40's", F328="50's"), "Adult (40–59)",
  OR(F328="60's", F328="70's", F328="80's", F328="90's"), "Senior (60+)",
  TRUE, "Unknown"
)</f>
        <v>Senior (60+)</v>
      </c>
      <c r="H328" t="s">
        <v>778</v>
      </c>
      <c r="I328" t="s">
        <v>54</v>
      </c>
      <c r="J328" t="str">
        <f t="shared" si="21"/>
        <v>Environmental Heat</v>
      </c>
      <c r="K328" t="s">
        <v>98</v>
      </c>
      <c r="L328" t="s">
        <v>250</v>
      </c>
      <c r="M328" t="s">
        <v>4317</v>
      </c>
      <c r="N328" t="s">
        <v>5100</v>
      </c>
      <c r="O328" t="str" cm="1">
        <f t="array" ref="O328">_xlfn.IFS(
  TEXT(TRIM(N328),"00000")="NULL", "Missing/Unknown",
  OR(TEXT(TRIM(N328),"00000")="89101", TEXT(TRIM(N328),"00000")="89104", TEXT(TRIM(N328),"00000")="89106", TEXT(TRIM(N328),"00000")="89102", TEXT(TRIM(N328),"00000")="89107", TEXT(TRIM(N328),"00000")="89108"), "Urban Core",
  OR(TEXT(TRIM(N328),"00000")="89110", TEXT(TRIM(N328),"00000")="89115", TEXT(TRIM(N328),"00000")="89121", TEXT(TRIM(N328),"00000")="89122", TEXT(TRIM(N328),"00000")="89142", TEXT(TRIM(N328),"00000")="89156"), "East Valley",
  OR(TEXT(TRIM(N328),"00000")="89030", TEXT(TRIM(N328),"00000")="89031", TEXT(TRIM(N328),"00000")="89032", TEXT(TRIM(N328),"00000")="89086", TEXT(TRIM(N328),"00000")="89084", TEXT(TRIM(N328),"00000")="89081"), "North LV",
  OR(TEXT(TRIM(N328),"00000")="89109", TEXT(TRIM(N328),"00000")="89103", TEXT(TRIM(N328),"00000")="89119", TEXT(TRIM(N328),"00000")="89123", TEXT(TRIM(N328),"00000")="89169", TEXT(TRIM(N328),"00000")="89118"), "South/Strip",
  OR(TEXT(TRIM(N328),"00000")="89074", TEXT(TRIM(N328),"00000")="89014", TEXT(TRIM(N328),"00000")="89015", TEXT(TRIM(N328),"00000")="89011", TEXT(TRIM(N328),"00000")="89012"), "Suburban SE",
  OR(TEXT(TRIM(N328),"00000")="89117", TEXT(TRIM(N328),"00000")="89128", TEXT(TRIM(N328),"00000")="89135", TEXT(TRIM(N328),"00000")="89144", TEXT(TRIM(N328),"00000")="89145", TEXT(TRIM(N328),"00000")="89147"), "West Valley",
  TRUE, "Other"
)</f>
        <v>North LV</v>
      </c>
      <c r="P328" t="s">
        <v>3023</v>
      </c>
      <c r="Q328" t="str">
        <f t="shared" si="22"/>
        <v>Outdoors/Public</v>
      </c>
      <c r="R328" t="s">
        <v>4317</v>
      </c>
      <c r="S328" t="s">
        <v>5100</v>
      </c>
      <c r="T328" t="str" cm="1">
        <f t="array" ref="T328">_xlfn.IFS(
  TEXT(TRIM(S328),"00000")="NULL", "Missing/Unknown",
  OR(TEXT(TRIM(S328),"00000")="89101", TEXT(TRIM(S328),"00000")="89104", TEXT(TRIM(S328),"00000")="89106", TEXT(TRIM(S328),"00000")="89102", TEXT(TRIM(S328),"00000")="89107", TEXT(TRIM(S328),"00000")="89108"), "Urban Core",
  OR(TEXT(TRIM(S328),"00000")="89110", TEXT(TRIM(S328),"00000")="89115", TEXT(TRIM(S328),"00000")="89121", TEXT(TRIM(S328),"00000")="89122", TEXT(TRIM(S328),"00000")="89142", TEXT(TRIM(S328),"00000")="89156"), "East Valley",
  OR(TEXT(TRIM(S328),"00000")="89030", TEXT(TRIM(S328),"00000")="89031", TEXT(TRIM(S328),"00000")="89032", TEXT(TRIM(S328),"00000")="89086", TEXT(TRIM(S328),"00000")="89084", TEXT(TRIM(S328),"00000")="89081"), "North LV",
  OR(TEXT(TRIM(S328),"00000")="89109", TEXT(TRIM(S328),"00000")="89103", TEXT(TRIM(S328),"00000")="89119", TEXT(TRIM(S328),"00000")="89123", TEXT(TRIM(S328),"00000")="89169", TEXT(TRIM(S328),"00000")="89118"), "South/Strip",
  OR(TEXT(TRIM(S328),"00000")="89074", TEXT(TRIM(S328),"00000")="89014", TEXT(TRIM(S328),"00000")="89015", TEXT(TRIM(S328),"00000")="89011", TEXT(TRIM(S328),"00000")="89012"), "Suburban SE",
  OR(TEXT(TRIM(S328),"00000")="89117", TEXT(TRIM(S328),"00000")="89128", TEXT(TRIM(S328),"00000")="89135", TEXT(TRIM(S328),"00000")="89144", TEXT(TRIM(S328),"00000")="89145", TEXT(TRIM(S328),"00000")="89147"), "West Valley",
  TRUE, "Other"
)</f>
        <v>North LV</v>
      </c>
      <c r="U328" t="s">
        <v>3023</v>
      </c>
      <c r="V328" t="str">
        <f t="shared" si="23"/>
        <v>Outdoors/Public</v>
      </c>
    </row>
    <row r="329" spans="1:22">
      <c r="A329" t="s">
        <v>2565</v>
      </c>
      <c r="B329" t="s">
        <v>2566</v>
      </c>
      <c r="C329" s="1">
        <v>45482</v>
      </c>
      <c r="D329" s="4">
        <v>116.96</v>
      </c>
      <c r="E329">
        <v>42</v>
      </c>
      <c r="F329" t="str">
        <f t="shared" si="20"/>
        <v>40's</v>
      </c>
      <c r="G329" t="str" cm="1">
        <f t="array" ref="G329">_xlfn.IFS(
  F329="10's", "Child (5–12)",
  OR(F329="20's", F329="30's"), "Young Adult (20–39)",
  OR(F329="40's", F329="50's"), "Adult (40–59)",
  OR(F329="60's", F329="70's", F329="80's", F329="90's"), "Senior (60+)",
  TRUE, "Unknown"
)</f>
        <v>Adult (40–59)</v>
      </c>
      <c r="H329" t="s">
        <v>4310</v>
      </c>
      <c r="I329" t="s">
        <v>4094</v>
      </c>
      <c r="J329" t="str">
        <f t="shared" si="21"/>
        <v>Methamphetamine-related</v>
      </c>
      <c r="K329" t="s">
        <v>54</v>
      </c>
      <c r="L329" t="s">
        <v>250</v>
      </c>
      <c r="N329" t="s">
        <v>5095</v>
      </c>
      <c r="O329" t="str" cm="1">
        <f t="array" ref="O329">_xlfn.IFS(
  TEXT(TRIM(N329),"00000")="NULL", "Missing/Unknown",
  OR(TEXT(TRIM(N329),"00000")="89101", TEXT(TRIM(N329),"00000")="89104", TEXT(TRIM(N329),"00000")="89106", TEXT(TRIM(N329),"00000")="89102", TEXT(TRIM(N329),"00000")="89107", TEXT(TRIM(N329),"00000")="89108"), "Urban Core",
  OR(TEXT(TRIM(N329),"00000")="89110", TEXT(TRIM(N329),"00000")="89115", TEXT(TRIM(N329),"00000")="89121", TEXT(TRIM(N329),"00000")="89122", TEXT(TRIM(N329),"00000")="89142", TEXT(TRIM(N329),"00000")="89156"), "East Valley",
  OR(TEXT(TRIM(N329),"00000")="89030", TEXT(TRIM(N329),"00000")="89031", TEXT(TRIM(N329),"00000")="89032", TEXT(TRIM(N329),"00000")="89086", TEXT(TRIM(N329),"00000")="89084", TEXT(TRIM(N329),"00000")="89081"), "North LV",
  OR(TEXT(TRIM(N329),"00000")="89109", TEXT(TRIM(N329),"00000")="89103", TEXT(TRIM(N329),"00000")="89119", TEXT(TRIM(N329),"00000")="89123", TEXT(TRIM(N329),"00000")="89169", TEXT(TRIM(N329),"00000")="89118"), "South/Strip",
  OR(TEXT(TRIM(N329),"00000")="89074", TEXT(TRIM(N329),"00000")="89014", TEXT(TRIM(N329),"00000")="89015", TEXT(TRIM(N329),"00000")="89011", TEXT(TRIM(N329),"00000")="89012"), "Suburban SE",
  OR(TEXT(TRIM(N329),"00000")="89117", TEXT(TRIM(N329),"00000")="89128", TEXT(TRIM(N329),"00000")="89135", TEXT(TRIM(N329),"00000")="89144", TEXT(TRIM(N329),"00000")="89145", TEXT(TRIM(N329),"00000")="89147"), "West Valley",
  TRUE, "Other"
)</f>
        <v>Missing/Unknown</v>
      </c>
      <c r="P329" t="s">
        <v>3298</v>
      </c>
      <c r="Q329" t="str">
        <f t="shared" si="22"/>
        <v>Outdoors/Public</v>
      </c>
      <c r="S329" t="s">
        <v>5095</v>
      </c>
      <c r="T329" t="str" cm="1">
        <f t="array" ref="T329">_xlfn.IFS(
  TEXT(TRIM(S329),"00000")="NULL", "Missing/Unknown",
  OR(TEXT(TRIM(S329),"00000")="89101", TEXT(TRIM(S329),"00000")="89104", TEXT(TRIM(S329),"00000")="89106", TEXT(TRIM(S329),"00000")="89102", TEXT(TRIM(S329),"00000")="89107", TEXT(TRIM(S329),"00000")="89108"), "Urban Core",
  OR(TEXT(TRIM(S329),"00000")="89110", TEXT(TRIM(S329),"00000")="89115", TEXT(TRIM(S329),"00000")="89121", TEXT(TRIM(S329),"00000")="89122", TEXT(TRIM(S329),"00000")="89142", TEXT(TRIM(S329),"00000")="89156"), "East Valley",
  OR(TEXT(TRIM(S329),"00000")="89030", TEXT(TRIM(S329),"00000")="89031", TEXT(TRIM(S329),"00000")="89032", TEXT(TRIM(S329),"00000")="89086", TEXT(TRIM(S329),"00000")="89084", TEXT(TRIM(S329),"00000")="89081"), "North LV",
  OR(TEXT(TRIM(S329),"00000")="89109", TEXT(TRIM(S329),"00000")="89103", TEXT(TRIM(S329),"00000")="89119", TEXT(TRIM(S329),"00000")="89123", TEXT(TRIM(S329),"00000")="89169", TEXT(TRIM(S329),"00000")="89118"), "South/Strip",
  OR(TEXT(TRIM(S329),"00000")="89074", TEXT(TRIM(S329),"00000")="89014", TEXT(TRIM(S329),"00000")="89015", TEXT(TRIM(S329),"00000")="89011", TEXT(TRIM(S329),"00000")="89012"), "Suburban SE",
  OR(TEXT(TRIM(S329),"00000")="89117", TEXT(TRIM(S329),"00000")="89128", TEXT(TRIM(S329),"00000")="89135", TEXT(TRIM(S329),"00000")="89144", TEXT(TRIM(S329),"00000")="89145", TEXT(TRIM(S329),"00000")="89147"), "West Valley",
  TRUE, "Other"
)</f>
        <v>Missing/Unknown</v>
      </c>
      <c r="U329" t="s">
        <v>3298</v>
      </c>
      <c r="V329" t="str">
        <f t="shared" si="23"/>
        <v>Outdoors/Public</v>
      </c>
    </row>
    <row r="330" spans="1:22">
      <c r="A330" t="s">
        <v>3013</v>
      </c>
      <c r="B330" t="s">
        <v>3014</v>
      </c>
      <c r="C330" s="1">
        <v>45481</v>
      </c>
      <c r="D330" s="4">
        <v>113</v>
      </c>
      <c r="E330">
        <v>41</v>
      </c>
      <c r="F330" t="str">
        <f t="shared" si="20"/>
        <v>40's</v>
      </c>
      <c r="G330" t="str" cm="1">
        <f t="array" ref="G330">_xlfn.IFS(
  F330="10's", "Child (5–12)",
  OR(F330="20's", F330="30's"), "Young Adult (20–39)",
  OR(F330="40's", F330="50's"), "Adult (40–59)",
  OR(F330="60's", F330="70's", F330="80's", F330="90's"), "Senior (60+)",
  TRUE, "Unknown"
)</f>
        <v>Adult (40–59)</v>
      </c>
      <c r="H330" t="s">
        <v>778</v>
      </c>
      <c r="I330" t="s">
        <v>54</v>
      </c>
      <c r="J330" t="str">
        <f t="shared" si="21"/>
        <v>Environmental Heat</v>
      </c>
      <c r="K330" t="s">
        <v>98</v>
      </c>
      <c r="L330" t="s">
        <v>1071</v>
      </c>
      <c r="M330" t="s">
        <v>5042</v>
      </c>
      <c r="N330" t="s">
        <v>5128</v>
      </c>
      <c r="O330" t="str" cm="1">
        <f t="array" ref="O330">_xlfn.IFS(
  TEXT(TRIM(N330),"00000")="NULL", "Missing/Unknown",
  OR(TEXT(TRIM(N330),"00000")="89101", TEXT(TRIM(N330),"00000")="89104", TEXT(TRIM(N330),"00000")="89106", TEXT(TRIM(N330),"00000")="89102", TEXT(TRIM(N330),"00000")="89107", TEXT(TRIM(N330),"00000")="89108"), "Urban Core",
  OR(TEXT(TRIM(N330),"00000")="89110", TEXT(TRIM(N330),"00000")="89115", TEXT(TRIM(N330),"00000")="89121", TEXT(TRIM(N330),"00000")="89122", TEXT(TRIM(N330),"00000")="89142", TEXT(TRIM(N330),"00000")="89156"), "East Valley",
  OR(TEXT(TRIM(N330),"00000")="89030", TEXT(TRIM(N330),"00000")="89031", TEXT(TRIM(N330),"00000")="89032", TEXT(TRIM(N330),"00000")="89086", TEXT(TRIM(N330),"00000")="89084", TEXT(TRIM(N330),"00000")="89081"), "North LV",
  OR(TEXT(TRIM(N330),"00000")="89109", TEXT(TRIM(N330),"00000")="89103", TEXT(TRIM(N330),"00000")="89119", TEXT(TRIM(N330),"00000")="89123", TEXT(TRIM(N330),"00000")="89169", TEXT(TRIM(N330),"00000")="89118"), "South/Strip",
  OR(TEXT(TRIM(N330),"00000")="89074", TEXT(TRIM(N330),"00000")="89014", TEXT(TRIM(N330),"00000")="89015", TEXT(TRIM(N330),"00000")="89011", TEXT(TRIM(N330),"00000")="89012"), "Suburban SE",
  OR(TEXT(TRIM(N330),"00000")="89117", TEXT(TRIM(N330),"00000")="89128", TEXT(TRIM(N330),"00000")="89135", TEXT(TRIM(N330),"00000")="89144", TEXT(TRIM(N330),"00000")="89145", TEXT(TRIM(N330),"00000")="89147"), "West Valley",
  TRUE, "Other"
)</f>
        <v>East Valley</v>
      </c>
      <c r="P330" t="s">
        <v>38</v>
      </c>
      <c r="Q330" t="str">
        <f t="shared" si="22"/>
        <v>Home/Residence</v>
      </c>
      <c r="R330" t="s">
        <v>5042</v>
      </c>
      <c r="S330" t="s">
        <v>5128</v>
      </c>
      <c r="T330" t="str" cm="1">
        <f t="array" ref="T330">_xlfn.IFS(
  TEXT(TRIM(S330),"00000")="NULL", "Missing/Unknown",
  OR(TEXT(TRIM(S330),"00000")="89101", TEXT(TRIM(S330),"00000")="89104", TEXT(TRIM(S330),"00000")="89106", TEXT(TRIM(S330),"00000")="89102", TEXT(TRIM(S330),"00000")="89107", TEXT(TRIM(S330),"00000")="89108"), "Urban Core",
  OR(TEXT(TRIM(S330),"00000")="89110", TEXT(TRIM(S330),"00000")="89115", TEXT(TRIM(S330),"00000")="89121", TEXT(TRIM(S330),"00000")="89122", TEXT(TRIM(S330),"00000")="89142", TEXT(TRIM(S330),"00000")="89156"), "East Valley",
  OR(TEXT(TRIM(S330),"00000")="89030", TEXT(TRIM(S330),"00000")="89031", TEXT(TRIM(S330),"00000")="89032", TEXT(TRIM(S330),"00000")="89086", TEXT(TRIM(S330),"00000")="89084", TEXT(TRIM(S330),"00000")="89081"), "North LV",
  OR(TEXT(TRIM(S330),"00000")="89109", TEXT(TRIM(S330),"00000")="89103", TEXT(TRIM(S330),"00000")="89119", TEXT(TRIM(S330),"00000")="89123", TEXT(TRIM(S330),"00000")="89169", TEXT(TRIM(S330),"00000")="89118"), "South/Strip",
  OR(TEXT(TRIM(S330),"00000")="89074", TEXT(TRIM(S330),"00000")="89014", TEXT(TRIM(S330),"00000")="89015", TEXT(TRIM(S330),"00000")="89011", TEXT(TRIM(S330),"00000")="89012"), "Suburban SE",
  OR(TEXT(TRIM(S330),"00000")="89117", TEXT(TRIM(S330),"00000")="89128", TEXT(TRIM(S330),"00000")="89135", TEXT(TRIM(S330),"00000")="89144", TEXT(TRIM(S330),"00000")="89145", TEXT(TRIM(S330),"00000")="89147"), "West Valley",
  TRUE, "Other"
)</f>
        <v>East Valley</v>
      </c>
      <c r="U330" t="s">
        <v>38</v>
      </c>
      <c r="V330" t="str">
        <f t="shared" si="23"/>
        <v>Home/Residence</v>
      </c>
    </row>
    <row r="331" spans="1:22">
      <c r="A331" t="s">
        <v>3345</v>
      </c>
      <c r="B331" t="s">
        <v>3346</v>
      </c>
      <c r="C331" s="1">
        <v>45481</v>
      </c>
      <c r="D331" s="4">
        <v>113</v>
      </c>
      <c r="E331">
        <v>23</v>
      </c>
      <c r="F331" t="str">
        <f t="shared" si="20"/>
        <v>20's</v>
      </c>
      <c r="G331" t="str" cm="1">
        <f t="array" ref="G331">_xlfn.IFS(
  F331="10's", "Child (5–12)",
  OR(F331="20's", F331="30's"), "Young Adult (20–39)",
  OR(F331="40's", F331="50's"), "Adult (40–59)",
  OR(F331="60's", F331="70's", F331="80's", F331="90's"), "Senior (60+)",
  TRUE, "Unknown"
)</f>
        <v>Young Adult (20–39)</v>
      </c>
      <c r="H331" t="s">
        <v>778</v>
      </c>
      <c r="I331" t="s">
        <v>4052</v>
      </c>
      <c r="J331" t="str">
        <f t="shared" si="21"/>
        <v>Methamphetamine-related</v>
      </c>
      <c r="K331" t="s">
        <v>54</v>
      </c>
      <c r="L331" t="s">
        <v>250</v>
      </c>
      <c r="M331" t="s">
        <v>4695</v>
      </c>
      <c r="N331" t="s">
        <v>5098</v>
      </c>
      <c r="O331" t="str" cm="1">
        <f t="array" ref="O331">_xlfn.IFS(
  TEXT(TRIM(N331),"00000")="NULL", "Missing/Unknown",
  OR(TEXT(TRIM(N331),"00000")="89101", TEXT(TRIM(N331),"00000")="89104", TEXT(TRIM(N331),"00000")="89106", TEXT(TRIM(N331),"00000")="89102", TEXT(TRIM(N331),"00000")="89107", TEXT(TRIM(N331),"00000")="89108"), "Urban Core",
  OR(TEXT(TRIM(N331),"00000")="89110", TEXT(TRIM(N331),"00000")="89115", TEXT(TRIM(N331),"00000")="89121", TEXT(TRIM(N331),"00000")="89122", TEXT(TRIM(N331),"00000")="89142", TEXT(TRIM(N331),"00000")="89156"), "East Valley",
  OR(TEXT(TRIM(N331),"00000")="89030", TEXT(TRIM(N331),"00000")="89031", TEXT(TRIM(N331),"00000")="89032", TEXT(TRIM(N331),"00000")="89086", TEXT(TRIM(N331),"00000")="89084", TEXT(TRIM(N331),"00000")="89081"), "North LV",
  OR(TEXT(TRIM(N331),"00000")="89109", TEXT(TRIM(N331),"00000")="89103", TEXT(TRIM(N331),"00000")="89119", TEXT(TRIM(N331),"00000")="89123", TEXT(TRIM(N331),"00000")="89169", TEXT(TRIM(N331),"00000")="89118"), "South/Strip",
  OR(TEXT(TRIM(N331),"00000")="89074", TEXT(TRIM(N331),"00000")="89014", TEXT(TRIM(N331),"00000")="89015", TEXT(TRIM(N331),"00000")="89011", TEXT(TRIM(N331),"00000")="89012"), "Suburban SE",
  OR(TEXT(TRIM(N331),"00000")="89117", TEXT(TRIM(N331),"00000")="89128", TEXT(TRIM(N331),"00000")="89135", TEXT(TRIM(N331),"00000")="89144", TEXT(TRIM(N331),"00000")="89145", TEXT(TRIM(N331),"00000")="89147"), "West Valley",
  TRUE, "Other"
)</f>
        <v>Urban Core</v>
      </c>
      <c r="P331" t="s">
        <v>3298</v>
      </c>
      <c r="Q331" t="str">
        <f t="shared" si="22"/>
        <v>Outdoors/Public</v>
      </c>
      <c r="R331" t="s">
        <v>4695</v>
      </c>
      <c r="S331" t="s">
        <v>5098</v>
      </c>
      <c r="T331" t="str" cm="1">
        <f t="array" ref="T331">_xlfn.IFS(
  TEXT(TRIM(S331),"00000")="NULL", "Missing/Unknown",
  OR(TEXT(TRIM(S331),"00000")="89101", TEXT(TRIM(S331),"00000")="89104", TEXT(TRIM(S331),"00000")="89106", TEXT(TRIM(S331),"00000")="89102", TEXT(TRIM(S331),"00000")="89107", TEXT(TRIM(S331),"00000")="89108"), "Urban Core",
  OR(TEXT(TRIM(S331),"00000")="89110", TEXT(TRIM(S331),"00000")="89115", TEXT(TRIM(S331),"00000")="89121", TEXT(TRIM(S331),"00000")="89122", TEXT(TRIM(S331),"00000")="89142", TEXT(TRIM(S331),"00000")="89156"), "East Valley",
  OR(TEXT(TRIM(S331),"00000")="89030", TEXT(TRIM(S331),"00000")="89031", TEXT(TRIM(S331),"00000")="89032", TEXT(TRIM(S331),"00000")="89086", TEXT(TRIM(S331),"00000")="89084", TEXT(TRIM(S331),"00000")="89081"), "North LV",
  OR(TEXT(TRIM(S331),"00000")="89109", TEXT(TRIM(S331),"00000")="89103", TEXT(TRIM(S331),"00000")="89119", TEXT(TRIM(S331),"00000")="89123", TEXT(TRIM(S331),"00000")="89169", TEXT(TRIM(S331),"00000")="89118"), "South/Strip",
  OR(TEXT(TRIM(S331),"00000")="89074", TEXT(TRIM(S331),"00000")="89014", TEXT(TRIM(S331),"00000")="89015", TEXT(TRIM(S331),"00000")="89011", TEXT(TRIM(S331),"00000")="89012"), "Suburban SE",
  OR(TEXT(TRIM(S331),"00000")="89117", TEXT(TRIM(S331),"00000")="89128", TEXT(TRIM(S331),"00000")="89135", TEXT(TRIM(S331),"00000")="89144", TEXT(TRIM(S331),"00000")="89145", TEXT(TRIM(S331),"00000")="89147"), "West Valley",
  TRUE, "Other"
)</f>
        <v>Urban Core</v>
      </c>
      <c r="U331" t="s">
        <v>3298</v>
      </c>
      <c r="V331" t="str">
        <f t="shared" si="23"/>
        <v>Outdoors/Public</v>
      </c>
    </row>
    <row r="332" spans="1:22">
      <c r="A332" t="s">
        <v>3942</v>
      </c>
      <c r="B332" t="s">
        <v>3943</v>
      </c>
      <c r="C332" s="1">
        <v>45481</v>
      </c>
      <c r="D332" s="4">
        <v>113</v>
      </c>
      <c r="E332">
        <v>50</v>
      </c>
      <c r="F332" t="str">
        <f t="shared" si="20"/>
        <v>50's</v>
      </c>
      <c r="G332" t="str" cm="1">
        <f t="array" ref="G332">_xlfn.IFS(
  F332="10's", "Child (5–12)",
  OR(F332="20's", F332="30's"), "Young Adult (20–39)",
  OR(F332="40's", F332="50's"), "Adult (40–59)",
  OR(F332="60's", F332="70's", F332="80's", F332="90's"), "Senior (60+)",
  TRUE, "Unknown"
)</f>
        <v>Adult (40–59)</v>
      </c>
      <c r="H332" t="s">
        <v>841</v>
      </c>
      <c r="I332" t="s">
        <v>4065</v>
      </c>
      <c r="J332" t="str">
        <f t="shared" si="21"/>
        <v>Ethanol-related</v>
      </c>
      <c r="K332" t="s">
        <v>54</v>
      </c>
      <c r="L332" t="s">
        <v>3945</v>
      </c>
      <c r="M332" t="s">
        <v>4620</v>
      </c>
      <c r="N332" t="s">
        <v>5122</v>
      </c>
      <c r="O332" t="str" cm="1">
        <f t="array" ref="O332">_xlfn.IFS(
  TEXT(TRIM(N332),"00000")="NULL", "Missing/Unknown",
  OR(TEXT(TRIM(N332),"00000")="89101", TEXT(TRIM(N332),"00000")="89104", TEXT(TRIM(N332),"00000")="89106", TEXT(TRIM(N332),"00000")="89102", TEXT(TRIM(N332),"00000")="89107", TEXT(TRIM(N332),"00000")="89108"), "Urban Core",
  OR(TEXT(TRIM(N332),"00000")="89110", TEXT(TRIM(N332),"00000")="89115", TEXT(TRIM(N332),"00000")="89121", TEXT(TRIM(N332),"00000")="89122", TEXT(TRIM(N332),"00000")="89142", TEXT(TRIM(N332),"00000")="89156"), "East Valley",
  OR(TEXT(TRIM(N332),"00000")="89030", TEXT(TRIM(N332),"00000")="89031", TEXT(TRIM(N332),"00000")="89032", TEXT(TRIM(N332),"00000")="89086", TEXT(TRIM(N332),"00000")="89084", TEXT(TRIM(N332),"00000")="89081"), "North LV",
  OR(TEXT(TRIM(N332),"00000")="89109", TEXT(TRIM(N332),"00000")="89103", TEXT(TRIM(N332),"00000")="89119", TEXT(TRIM(N332),"00000")="89123", TEXT(TRIM(N332),"00000")="89169", TEXT(TRIM(N332),"00000")="89118"), "South/Strip",
  OR(TEXT(TRIM(N332),"00000")="89074", TEXT(TRIM(N332),"00000")="89014", TEXT(TRIM(N332),"00000")="89015", TEXT(TRIM(N332),"00000")="89011", TEXT(TRIM(N332),"00000")="89012"), "Suburban SE",
  OR(TEXT(TRIM(N332),"00000")="89117", TEXT(TRIM(N332),"00000")="89128", TEXT(TRIM(N332),"00000")="89135", TEXT(TRIM(N332),"00000")="89144", TEXT(TRIM(N332),"00000")="89145", TEXT(TRIM(N332),"00000")="89147"), "West Valley",
  TRUE, "Other"
)</f>
        <v>East Valley</v>
      </c>
      <c r="P332" t="s">
        <v>3298</v>
      </c>
      <c r="Q332" t="str">
        <f t="shared" si="22"/>
        <v>Outdoors/Public</v>
      </c>
      <c r="R332" t="s">
        <v>4620</v>
      </c>
      <c r="S332" t="s">
        <v>5122</v>
      </c>
      <c r="T332" t="str" cm="1">
        <f t="array" ref="T332">_xlfn.IFS(
  TEXT(TRIM(S332),"00000")="NULL", "Missing/Unknown",
  OR(TEXT(TRIM(S332),"00000")="89101", TEXT(TRIM(S332),"00000")="89104", TEXT(TRIM(S332),"00000")="89106", TEXT(TRIM(S332),"00000")="89102", TEXT(TRIM(S332),"00000")="89107", TEXT(TRIM(S332),"00000")="89108"), "Urban Core",
  OR(TEXT(TRIM(S332),"00000")="89110", TEXT(TRIM(S332),"00000")="89115", TEXT(TRIM(S332),"00000")="89121", TEXT(TRIM(S332),"00000")="89122", TEXT(TRIM(S332),"00000")="89142", TEXT(TRIM(S332),"00000")="89156"), "East Valley",
  OR(TEXT(TRIM(S332),"00000")="89030", TEXT(TRIM(S332),"00000")="89031", TEXT(TRIM(S332),"00000")="89032", TEXT(TRIM(S332),"00000")="89086", TEXT(TRIM(S332),"00000")="89084", TEXT(TRIM(S332),"00000")="89081"), "North LV",
  OR(TEXT(TRIM(S332),"00000")="89109", TEXT(TRIM(S332),"00000")="89103", TEXT(TRIM(S332),"00000")="89119", TEXT(TRIM(S332),"00000")="89123", TEXT(TRIM(S332),"00000")="89169", TEXT(TRIM(S332),"00000")="89118"), "South/Strip",
  OR(TEXT(TRIM(S332),"00000")="89074", TEXT(TRIM(S332),"00000")="89014", TEXT(TRIM(S332),"00000")="89015", TEXT(TRIM(S332),"00000")="89011", TEXT(TRIM(S332),"00000")="89012"), "Suburban SE",
  OR(TEXT(TRIM(S332),"00000")="89117", TEXT(TRIM(S332),"00000")="89128", TEXT(TRIM(S332),"00000")="89135", TEXT(TRIM(S332),"00000")="89144", TEXT(TRIM(S332),"00000")="89145", TEXT(TRIM(S332),"00000")="89147"), "West Valley",
  TRUE, "Other"
)</f>
        <v>East Valley</v>
      </c>
      <c r="U332" t="s">
        <v>3298</v>
      </c>
      <c r="V332" t="str">
        <f t="shared" si="23"/>
        <v>Outdoors/Public</v>
      </c>
    </row>
    <row r="333" spans="1:22">
      <c r="A333" t="s">
        <v>3379</v>
      </c>
      <c r="B333" t="s">
        <v>3380</v>
      </c>
      <c r="C333" s="1">
        <v>45481</v>
      </c>
      <c r="D333" s="4">
        <v>113</v>
      </c>
      <c r="E333">
        <v>55</v>
      </c>
      <c r="F333" t="str">
        <f t="shared" si="20"/>
        <v>50's</v>
      </c>
      <c r="G333" t="str" cm="1">
        <f t="array" ref="G333">_xlfn.IFS(
  F333="10's", "Child (5–12)",
  OR(F333="20's", F333="30's"), "Young Adult (20–39)",
  OR(F333="40's", F333="50's"), "Adult (40–59)",
  OR(F333="60's", F333="70's", F333="80's", F333="90's"), "Senior (60+)",
  TRUE, "Unknown"
)</f>
        <v>Adult (40–59)</v>
      </c>
      <c r="H333" t="s">
        <v>841</v>
      </c>
      <c r="I333" t="s">
        <v>660</v>
      </c>
      <c r="J333" t="str">
        <f t="shared" si="21"/>
        <v>Environmental Heat</v>
      </c>
      <c r="K333" t="s">
        <v>135</v>
      </c>
      <c r="L333" t="s">
        <v>250</v>
      </c>
      <c r="N333" t="s">
        <v>5095</v>
      </c>
      <c r="O333" t="str" cm="1">
        <f t="array" ref="O333">_xlfn.IFS(
  TEXT(TRIM(N333),"00000")="NULL", "Missing/Unknown",
  OR(TEXT(TRIM(N333),"00000")="89101", TEXT(TRIM(N333),"00000")="89104", TEXT(TRIM(N333),"00000")="89106", TEXT(TRIM(N333),"00000")="89102", TEXT(TRIM(N333),"00000")="89107", TEXT(TRIM(N333),"00000")="89108"), "Urban Core",
  OR(TEXT(TRIM(N333),"00000")="89110", TEXT(TRIM(N333),"00000")="89115", TEXT(TRIM(N333),"00000")="89121", TEXT(TRIM(N333),"00000")="89122", TEXT(TRIM(N333),"00000")="89142", TEXT(TRIM(N333),"00000")="89156"), "East Valley",
  OR(TEXT(TRIM(N333),"00000")="89030", TEXT(TRIM(N333),"00000")="89031", TEXT(TRIM(N333),"00000")="89032", TEXT(TRIM(N333),"00000")="89086", TEXT(TRIM(N333),"00000")="89084", TEXT(TRIM(N333),"00000")="89081"), "North LV",
  OR(TEXT(TRIM(N333),"00000")="89109", TEXT(TRIM(N333),"00000")="89103", TEXT(TRIM(N333),"00000")="89119", TEXT(TRIM(N333),"00000")="89123", TEXT(TRIM(N333),"00000")="89169", TEXT(TRIM(N333),"00000")="89118"), "South/Strip",
  OR(TEXT(TRIM(N333),"00000")="89074", TEXT(TRIM(N333),"00000")="89014", TEXT(TRIM(N333),"00000")="89015", TEXT(TRIM(N333),"00000")="89011", TEXT(TRIM(N333),"00000")="89012"), "Suburban SE",
  OR(TEXT(TRIM(N333),"00000")="89117", TEXT(TRIM(N333),"00000")="89128", TEXT(TRIM(N333),"00000")="89135", TEXT(TRIM(N333),"00000")="89144", TEXT(TRIM(N333),"00000")="89145", TEXT(TRIM(N333),"00000")="89147"), "West Valley",
  TRUE, "Other"
)</f>
        <v>Missing/Unknown</v>
      </c>
      <c r="P333" t="s">
        <v>3298</v>
      </c>
      <c r="Q333" t="str">
        <f t="shared" si="22"/>
        <v>Outdoors/Public</v>
      </c>
      <c r="R333" t="s">
        <v>4576</v>
      </c>
      <c r="S333" t="s">
        <v>5118</v>
      </c>
      <c r="T333" t="str" cm="1">
        <f t="array" ref="T333">_xlfn.IFS(
  TEXT(TRIM(S333),"00000")="NULL", "Missing/Unknown",
  OR(TEXT(TRIM(S333),"00000")="89101", TEXT(TRIM(S333),"00000")="89104", TEXT(TRIM(S333),"00000")="89106", TEXT(TRIM(S333),"00000")="89102", TEXT(TRIM(S333),"00000")="89107", TEXT(TRIM(S333),"00000")="89108"), "Urban Core",
  OR(TEXT(TRIM(S333),"00000")="89110", TEXT(TRIM(S333),"00000")="89115", TEXT(TRIM(S333),"00000")="89121", TEXT(TRIM(S333),"00000")="89122", TEXT(TRIM(S333),"00000")="89142", TEXT(TRIM(S333),"00000")="89156"), "East Valley",
  OR(TEXT(TRIM(S333),"00000")="89030", TEXT(TRIM(S333),"00000")="89031", TEXT(TRIM(S333),"00000")="89032", TEXT(TRIM(S333),"00000")="89086", TEXT(TRIM(S333),"00000")="89084", TEXT(TRIM(S333),"00000")="89081"), "North LV",
  OR(TEXT(TRIM(S333),"00000")="89109", TEXT(TRIM(S333),"00000")="89103", TEXT(TRIM(S333),"00000")="89119", TEXT(TRIM(S333),"00000")="89123", TEXT(TRIM(S333),"00000")="89169", TEXT(TRIM(S333),"00000")="89118"), "South/Strip",
  OR(TEXT(TRIM(S333),"00000")="89074", TEXT(TRIM(S333),"00000")="89014", TEXT(TRIM(S333),"00000")="89015", TEXT(TRIM(S333),"00000")="89011", TEXT(TRIM(S333),"00000")="89012"), "Suburban SE",
  OR(TEXT(TRIM(S333),"00000")="89117", TEXT(TRIM(S333),"00000")="89128", TEXT(TRIM(S333),"00000")="89135", TEXT(TRIM(S333),"00000")="89144", TEXT(TRIM(S333),"00000")="89145", TEXT(TRIM(S333),"00000")="89147"), "West Valley",
  TRUE, "Other"
)</f>
        <v>South/Strip</v>
      </c>
      <c r="U333" t="s">
        <v>4305</v>
      </c>
      <c r="V333" t="str">
        <f t="shared" si="23"/>
        <v>Medical Facility</v>
      </c>
    </row>
    <row r="334" spans="1:22">
      <c r="A334" t="s">
        <v>3376</v>
      </c>
      <c r="B334" t="s">
        <v>3377</v>
      </c>
      <c r="C334" s="1">
        <v>45481</v>
      </c>
      <c r="D334" s="4">
        <v>113</v>
      </c>
      <c r="E334">
        <v>61</v>
      </c>
      <c r="F334" t="str">
        <f t="shared" si="20"/>
        <v>60's</v>
      </c>
      <c r="G334" t="str" cm="1">
        <f t="array" ref="G334">_xlfn.IFS(
  F334="10's", "Child (5–12)",
  OR(F334="20's", F334="30's"), "Young Adult (20–39)",
  OR(F334="40's", F334="50's"), "Adult (40–59)",
  OR(F334="60's", F334="70's", F334="80's", F334="90's"), "Senior (60+)",
  TRUE, "Unknown"
)</f>
        <v>Senior (60+)</v>
      </c>
      <c r="H334" t="s">
        <v>27</v>
      </c>
      <c r="I334" t="s">
        <v>660</v>
      </c>
      <c r="J334" t="str">
        <f t="shared" si="21"/>
        <v>Environmental Heat</v>
      </c>
      <c r="K334" t="s">
        <v>4184</v>
      </c>
      <c r="L334" t="s">
        <v>1071</v>
      </c>
      <c r="N334" t="s">
        <v>5095</v>
      </c>
      <c r="O334" t="str" cm="1">
        <f t="array" ref="O334">_xlfn.IFS(
  TEXT(TRIM(N334),"00000")="NULL", "Missing/Unknown",
  OR(TEXT(TRIM(N334),"00000")="89101", TEXT(TRIM(N334),"00000")="89104", TEXT(TRIM(N334),"00000")="89106", TEXT(TRIM(N334),"00000")="89102", TEXT(TRIM(N334),"00000")="89107", TEXT(TRIM(N334),"00000")="89108"), "Urban Core",
  OR(TEXT(TRIM(N334),"00000")="89110", TEXT(TRIM(N334),"00000")="89115", TEXT(TRIM(N334),"00000")="89121", TEXT(TRIM(N334),"00000")="89122", TEXT(TRIM(N334),"00000")="89142", TEXT(TRIM(N334),"00000")="89156"), "East Valley",
  OR(TEXT(TRIM(N334),"00000")="89030", TEXT(TRIM(N334),"00000")="89031", TEXT(TRIM(N334),"00000")="89032", TEXT(TRIM(N334),"00000")="89086", TEXT(TRIM(N334),"00000")="89084", TEXT(TRIM(N334),"00000")="89081"), "North LV",
  OR(TEXT(TRIM(N334),"00000")="89109", TEXT(TRIM(N334),"00000")="89103", TEXT(TRIM(N334),"00000")="89119", TEXT(TRIM(N334),"00000")="89123", TEXT(TRIM(N334),"00000")="89169", TEXT(TRIM(N334),"00000")="89118"), "South/Strip",
  OR(TEXT(TRIM(N334),"00000")="89074", TEXT(TRIM(N334),"00000")="89014", TEXT(TRIM(N334),"00000")="89015", TEXT(TRIM(N334),"00000")="89011", TEXT(TRIM(N334),"00000")="89012"), "Suburban SE",
  OR(TEXT(TRIM(N334),"00000")="89117", TEXT(TRIM(N334),"00000")="89128", TEXT(TRIM(N334),"00000")="89135", TEXT(TRIM(N334),"00000")="89144", TEXT(TRIM(N334),"00000")="89145", TEXT(TRIM(N334),"00000")="89147"), "West Valley",
  TRUE, "Other"
)</f>
        <v>Missing/Unknown</v>
      </c>
      <c r="P334" t="s">
        <v>2666</v>
      </c>
      <c r="Q334" t="str">
        <f t="shared" si="22"/>
        <v>Outdoors/Public</v>
      </c>
      <c r="S334" t="s">
        <v>5095</v>
      </c>
      <c r="T334" t="str" cm="1">
        <f t="array" ref="T334">_xlfn.IFS(
  TEXT(TRIM(S334),"00000")="NULL", "Missing/Unknown",
  OR(TEXT(TRIM(S334),"00000")="89101", TEXT(TRIM(S334),"00000")="89104", TEXT(TRIM(S334),"00000")="89106", TEXT(TRIM(S334),"00000")="89102", TEXT(TRIM(S334),"00000")="89107", TEXT(TRIM(S334),"00000")="89108"), "Urban Core",
  OR(TEXT(TRIM(S334),"00000")="89110", TEXT(TRIM(S334),"00000")="89115", TEXT(TRIM(S334),"00000")="89121", TEXT(TRIM(S334),"00000")="89122", TEXT(TRIM(S334),"00000")="89142", TEXT(TRIM(S334),"00000")="89156"), "East Valley",
  OR(TEXT(TRIM(S334),"00000")="89030", TEXT(TRIM(S334),"00000")="89031", TEXT(TRIM(S334),"00000")="89032", TEXT(TRIM(S334),"00000")="89086", TEXT(TRIM(S334),"00000")="89084", TEXT(TRIM(S334),"00000")="89081"), "North LV",
  OR(TEXT(TRIM(S334),"00000")="89109", TEXT(TRIM(S334),"00000")="89103", TEXT(TRIM(S334),"00000")="89119", TEXT(TRIM(S334),"00000")="89123", TEXT(TRIM(S334),"00000")="89169", TEXT(TRIM(S334),"00000")="89118"), "South/Strip",
  OR(TEXT(TRIM(S334),"00000")="89074", TEXT(TRIM(S334),"00000")="89014", TEXT(TRIM(S334),"00000")="89015", TEXT(TRIM(S334),"00000")="89011", TEXT(TRIM(S334),"00000")="89012"), "Suburban SE",
  OR(TEXT(TRIM(S334),"00000")="89117", TEXT(TRIM(S334),"00000")="89128", TEXT(TRIM(S334),"00000")="89135", TEXT(TRIM(S334),"00000")="89144", TEXT(TRIM(S334),"00000")="89145", TEXT(TRIM(S334),"00000")="89147"), "West Valley",
  TRUE, "Other"
)</f>
        <v>Missing/Unknown</v>
      </c>
      <c r="U334" t="s">
        <v>2666</v>
      </c>
      <c r="V334" t="str">
        <f t="shared" si="23"/>
        <v>Outdoors/Public</v>
      </c>
    </row>
    <row r="335" spans="1:22">
      <c r="A335" t="s">
        <v>3006</v>
      </c>
      <c r="B335" t="s">
        <v>3007</v>
      </c>
      <c r="C335" s="1">
        <v>45480</v>
      </c>
      <c r="D335" s="4">
        <v>118.04</v>
      </c>
      <c r="E335">
        <v>70</v>
      </c>
      <c r="F335" t="str">
        <f t="shared" si="20"/>
        <v>70's</v>
      </c>
      <c r="G335" t="str" cm="1">
        <f t="array" ref="G335">_xlfn.IFS(
  F335="10's", "Child (5–12)",
  OR(F335="20's", F335="30's"), "Young Adult (20–39)",
  OR(F335="40's", F335="50's"), "Adult (40–59)",
  OR(F335="60's", F335="70's", F335="80's", F335="90's"), "Senior (60+)",
  TRUE, "Unknown"
)</f>
        <v>Senior (60+)</v>
      </c>
      <c r="H335" t="s">
        <v>841</v>
      </c>
      <c r="I335" t="s">
        <v>54</v>
      </c>
      <c r="J335" t="str">
        <f t="shared" si="21"/>
        <v>Environmental Heat</v>
      </c>
      <c r="K335" t="s">
        <v>3008</v>
      </c>
      <c r="L335" t="s">
        <v>1071</v>
      </c>
      <c r="M335" t="s">
        <v>4938</v>
      </c>
      <c r="N335" t="s">
        <v>5116</v>
      </c>
      <c r="O335" t="str" cm="1">
        <f t="array" ref="O335">_xlfn.IFS(
  TEXT(TRIM(N335),"00000")="NULL", "Missing/Unknown",
  OR(TEXT(TRIM(N335),"00000")="89101", TEXT(TRIM(N335),"00000")="89104", TEXT(TRIM(N335),"00000")="89106", TEXT(TRIM(N335),"00000")="89102", TEXT(TRIM(N335),"00000")="89107", TEXT(TRIM(N335),"00000")="89108"), "Urban Core",
  OR(TEXT(TRIM(N335),"00000")="89110", TEXT(TRIM(N335),"00000")="89115", TEXT(TRIM(N335),"00000")="89121", TEXT(TRIM(N335),"00000")="89122", TEXT(TRIM(N335),"00000")="89142", TEXT(TRIM(N335),"00000")="89156"), "East Valley",
  OR(TEXT(TRIM(N335),"00000")="89030", TEXT(TRIM(N335),"00000")="89031", TEXT(TRIM(N335),"00000")="89032", TEXT(TRIM(N335),"00000")="89086", TEXT(TRIM(N335),"00000")="89084", TEXT(TRIM(N335),"00000")="89081"), "North LV",
  OR(TEXT(TRIM(N335),"00000")="89109", TEXT(TRIM(N335),"00000")="89103", TEXT(TRIM(N335),"00000")="89119", TEXT(TRIM(N335),"00000")="89123", TEXT(TRIM(N335),"00000")="89169", TEXT(TRIM(N335),"00000")="89118"), "South/Strip",
  OR(TEXT(TRIM(N335),"00000")="89074", TEXT(TRIM(N335),"00000")="89014", TEXT(TRIM(N335),"00000")="89015", TEXT(TRIM(N335),"00000")="89011", TEXT(TRIM(N335),"00000")="89012"), "Suburban SE",
  OR(TEXT(TRIM(N335),"00000")="89117", TEXT(TRIM(N335),"00000")="89128", TEXT(TRIM(N335),"00000")="89135", TEXT(TRIM(N335),"00000")="89144", TEXT(TRIM(N335),"00000")="89145", TEXT(TRIM(N335),"00000")="89147"), "West Valley",
  TRUE, "Other"
)</f>
        <v>West Valley</v>
      </c>
      <c r="P335" t="s">
        <v>1073</v>
      </c>
      <c r="Q335" t="str">
        <f t="shared" si="22"/>
        <v>Home/Residence</v>
      </c>
      <c r="R335" t="s">
        <v>4938</v>
      </c>
      <c r="S335" t="s">
        <v>5116</v>
      </c>
      <c r="T335" t="str" cm="1">
        <f t="array" ref="T335">_xlfn.IFS(
  TEXT(TRIM(S335),"00000")="NULL", "Missing/Unknown",
  OR(TEXT(TRIM(S335),"00000")="89101", TEXT(TRIM(S335),"00000")="89104", TEXT(TRIM(S335),"00000")="89106", TEXT(TRIM(S335),"00000")="89102", TEXT(TRIM(S335),"00000")="89107", TEXT(TRIM(S335),"00000")="89108"), "Urban Core",
  OR(TEXT(TRIM(S335),"00000")="89110", TEXT(TRIM(S335),"00000")="89115", TEXT(TRIM(S335),"00000")="89121", TEXT(TRIM(S335),"00000")="89122", TEXT(TRIM(S335),"00000")="89142", TEXT(TRIM(S335),"00000")="89156"), "East Valley",
  OR(TEXT(TRIM(S335),"00000")="89030", TEXT(TRIM(S335),"00000")="89031", TEXT(TRIM(S335),"00000")="89032", TEXT(TRIM(S335),"00000")="89086", TEXT(TRIM(S335),"00000")="89084", TEXT(TRIM(S335),"00000")="89081"), "North LV",
  OR(TEXT(TRIM(S335),"00000")="89109", TEXT(TRIM(S335),"00000")="89103", TEXT(TRIM(S335),"00000")="89119", TEXT(TRIM(S335),"00000")="89123", TEXT(TRIM(S335),"00000")="89169", TEXT(TRIM(S335),"00000")="89118"), "South/Strip",
  OR(TEXT(TRIM(S335),"00000")="89074", TEXT(TRIM(S335),"00000")="89014", TEXT(TRIM(S335),"00000")="89015", TEXT(TRIM(S335),"00000")="89011", TEXT(TRIM(S335),"00000")="89012"), "Suburban SE",
  OR(TEXT(TRIM(S335),"00000")="89117", TEXT(TRIM(S335),"00000")="89128", TEXT(TRIM(S335),"00000")="89135", TEXT(TRIM(S335),"00000")="89144", TEXT(TRIM(S335),"00000")="89145", TEXT(TRIM(S335),"00000")="89147"), "West Valley",
  TRUE, "Other"
)</f>
        <v>West Valley</v>
      </c>
      <c r="U335" t="s">
        <v>1073</v>
      </c>
      <c r="V335" t="str">
        <f t="shared" si="23"/>
        <v>Home/Residence</v>
      </c>
    </row>
    <row r="336" spans="1:22">
      <c r="A336" t="s">
        <v>3010</v>
      </c>
      <c r="B336" t="s">
        <v>3011</v>
      </c>
      <c r="C336" s="1">
        <v>45480</v>
      </c>
      <c r="D336" s="4">
        <v>118.04</v>
      </c>
      <c r="E336">
        <v>79</v>
      </c>
      <c r="F336" t="str">
        <f t="shared" si="20"/>
        <v>70's</v>
      </c>
      <c r="G336" t="str" cm="1">
        <f t="array" ref="G336">_xlfn.IFS(
  F336="10's", "Child (5–12)",
  OR(F336="20's", F336="30's"), "Young Adult (20–39)",
  OR(F336="40's", F336="50's"), "Adult (40–59)",
  OR(F336="60's", F336="70's", F336="80's", F336="90's"), "Senior (60+)",
  TRUE, "Unknown"
)</f>
        <v>Senior (60+)</v>
      </c>
      <c r="H336" t="s">
        <v>841</v>
      </c>
      <c r="I336" t="s">
        <v>54</v>
      </c>
      <c r="J336" t="str">
        <f t="shared" si="21"/>
        <v>Environmental Heat</v>
      </c>
      <c r="K336" t="s">
        <v>63</v>
      </c>
      <c r="L336" t="s">
        <v>1071</v>
      </c>
      <c r="M336" t="s">
        <v>4696</v>
      </c>
      <c r="N336" t="s">
        <v>5108</v>
      </c>
      <c r="O336" t="str" cm="1">
        <f t="array" ref="O336">_xlfn.IFS(
  TEXT(TRIM(N336),"00000")="NULL", "Missing/Unknown",
  OR(TEXT(TRIM(N336),"00000")="89101", TEXT(TRIM(N336),"00000")="89104", TEXT(TRIM(N336),"00000")="89106", TEXT(TRIM(N336),"00000")="89102", TEXT(TRIM(N336),"00000")="89107", TEXT(TRIM(N336),"00000")="89108"), "Urban Core",
  OR(TEXT(TRIM(N336),"00000")="89110", TEXT(TRIM(N336),"00000")="89115", TEXT(TRIM(N336),"00000")="89121", TEXT(TRIM(N336),"00000")="89122", TEXT(TRIM(N336),"00000")="89142", TEXT(TRIM(N336),"00000")="89156"), "East Valley",
  OR(TEXT(TRIM(N336),"00000")="89030", TEXT(TRIM(N336),"00000")="89031", TEXT(TRIM(N336),"00000")="89032", TEXT(TRIM(N336),"00000")="89086", TEXT(TRIM(N336),"00000")="89084", TEXT(TRIM(N336),"00000")="89081"), "North LV",
  OR(TEXT(TRIM(N336),"00000")="89109", TEXT(TRIM(N336),"00000")="89103", TEXT(TRIM(N336),"00000")="89119", TEXT(TRIM(N336),"00000")="89123", TEXT(TRIM(N336),"00000")="89169", TEXT(TRIM(N336),"00000")="89118"), "South/Strip",
  OR(TEXT(TRIM(N336),"00000")="89074", TEXT(TRIM(N336),"00000")="89014", TEXT(TRIM(N336),"00000")="89015", TEXT(TRIM(N336),"00000")="89011", TEXT(TRIM(N336),"00000")="89012"), "Suburban SE",
  OR(TEXT(TRIM(N336),"00000")="89117", TEXT(TRIM(N336),"00000")="89128", TEXT(TRIM(N336),"00000")="89135", TEXT(TRIM(N336),"00000")="89144", TEXT(TRIM(N336),"00000")="89145", TEXT(TRIM(N336),"00000")="89147"), "West Valley",
  TRUE, "Other"
)</f>
        <v>East Valley</v>
      </c>
      <c r="P336" t="s">
        <v>3298</v>
      </c>
      <c r="Q336" t="str">
        <f t="shared" si="22"/>
        <v>Outdoors/Public</v>
      </c>
      <c r="R336" t="s">
        <v>4696</v>
      </c>
      <c r="S336" t="s">
        <v>5108</v>
      </c>
      <c r="T336" t="str" cm="1">
        <f t="array" ref="T336">_xlfn.IFS(
  TEXT(TRIM(S336),"00000")="NULL", "Missing/Unknown",
  OR(TEXT(TRIM(S336),"00000")="89101", TEXT(TRIM(S336),"00000")="89104", TEXT(TRIM(S336),"00000")="89106", TEXT(TRIM(S336),"00000")="89102", TEXT(TRIM(S336),"00000")="89107", TEXT(TRIM(S336),"00000")="89108"), "Urban Core",
  OR(TEXT(TRIM(S336),"00000")="89110", TEXT(TRIM(S336),"00000")="89115", TEXT(TRIM(S336),"00000")="89121", TEXT(TRIM(S336),"00000")="89122", TEXT(TRIM(S336),"00000")="89142", TEXT(TRIM(S336),"00000")="89156"), "East Valley",
  OR(TEXT(TRIM(S336),"00000")="89030", TEXT(TRIM(S336),"00000")="89031", TEXT(TRIM(S336),"00000")="89032", TEXT(TRIM(S336),"00000")="89086", TEXT(TRIM(S336),"00000")="89084", TEXT(TRIM(S336),"00000")="89081"), "North LV",
  OR(TEXT(TRIM(S336),"00000")="89109", TEXT(TRIM(S336),"00000")="89103", TEXT(TRIM(S336),"00000")="89119", TEXT(TRIM(S336),"00000")="89123", TEXT(TRIM(S336),"00000")="89169", TEXT(TRIM(S336),"00000")="89118"), "South/Strip",
  OR(TEXT(TRIM(S336),"00000")="89074", TEXT(TRIM(S336),"00000")="89014", TEXT(TRIM(S336),"00000")="89015", TEXT(TRIM(S336),"00000")="89011", TEXT(TRIM(S336),"00000")="89012"), "Suburban SE",
  OR(TEXT(TRIM(S336),"00000")="89117", TEXT(TRIM(S336),"00000")="89128", TEXT(TRIM(S336),"00000")="89135", TEXT(TRIM(S336),"00000")="89144", TEXT(TRIM(S336),"00000")="89145", TEXT(TRIM(S336),"00000")="89147"), "West Valley",
  TRUE, "Other"
)</f>
        <v>East Valley</v>
      </c>
      <c r="U336" t="s">
        <v>3298</v>
      </c>
      <c r="V336" t="str">
        <f t="shared" si="23"/>
        <v>Outdoors/Public</v>
      </c>
    </row>
    <row r="337" spans="1:22">
      <c r="A337" t="s">
        <v>3372</v>
      </c>
      <c r="B337" t="s">
        <v>3263</v>
      </c>
      <c r="C337" s="1">
        <v>45480</v>
      </c>
      <c r="D337" s="4">
        <v>118.04</v>
      </c>
      <c r="E337">
        <v>56</v>
      </c>
      <c r="F337" t="str">
        <f t="shared" si="20"/>
        <v>50's</v>
      </c>
      <c r="G337" t="str" cm="1">
        <f t="array" ref="G337">_xlfn.IFS(
  F337="10's", "Child (5–12)",
  OR(F337="20's", F337="30's"), "Young Adult (20–39)",
  OR(F337="40's", F337="50's"), "Adult (40–59)",
  OR(F337="60's", F337="70's", F337="80's", F337="90's"), "Senior (60+)",
  TRUE, "Unknown"
)</f>
        <v>Adult (40–59)</v>
      </c>
      <c r="H337" t="s">
        <v>778</v>
      </c>
      <c r="I337" t="s">
        <v>660</v>
      </c>
      <c r="J337" t="str">
        <f t="shared" si="21"/>
        <v>Environmental Heat</v>
      </c>
      <c r="K337" t="s">
        <v>98</v>
      </c>
      <c r="L337" t="s">
        <v>250</v>
      </c>
      <c r="M337" t="s">
        <v>4697</v>
      </c>
      <c r="N337" t="s">
        <v>5101</v>
      </c>
      <c r="O337" t="str" cm="1">
        <f t="array" ref="O337">_xlfn.IFS(
  TEXT(TRIM(N337),"00000")="NULL", "Missing/Unknown",
  OR(TEXT(TRIM(N337),"00000")="89101", TEXT(TRIM(N337),"00000")="89104", TEXT(TRIM(N337),"00000")="89106", TEXT(TRIM(N337),"00000")="89102", TEXT(TRIM(N337),"00000")="89107", TEXT(TRIM(N337),"00000")="89108"), "Urban Core",
  OR(TEXT(TRIM(N337),"00000")="89110", TEXT(TRIM(N337),"00000")="89115", TEXT(TRIM(N337),"00000")="89121", TEXT(TRIM(N337),"00000")="89122", TEXT(TRIM(N337),"00000")="89142", TEXT(TRIM(N337),"00000")="89156"), "East Valley",
  OR(TEXT(TRIM(N337),"00000")="89030", TEXT(TRIM(N337),"00000")="89031", TEXT(TRIM(N337),"00000")="89032", TEXT(TRIM(N337),"00000")="89086", TEXT(TRIM(N337),"00000")="89084", TEXT(TRIM(N337),"00000")="89081"), "North LV",
  OR(TEXT(TRIM(N337),"00000")="89109", TEXT(TRIM(N337),"00000")="89103", TEXT(TRIM(N337),"00000")="89119", TEXT(TRIM(N337),"00000")="89123", TEXT(TRIM(N337),"00000")="89169", TEXT(TRIM(N337),"00000")="89118"), "South/Strip",
  OR(TEXT(TRIM(N337),"00000")="89074", TEXT(TRIM(N337),"00000")="89014", TEXT(TRIM(N337),"00000")="89015", TEXT(TRIM(N337),"00000")="89011", TEXT(TRIM(N337),"00000")="89012"), "Suburban SE",
  OR(TEXT(TRIM(N337),"00000")="89117", TEXT(TRIM(N337),"00000")="89128", TEXT(TRIM(N337),"00000")="89135", TEXT(TRIM(N337),"00000")="89144", TEXT(TRIM(N337),"00000")="89145", TEXT(TRIM(N337),"00000")="89147"), "West Valley",
  TRUE, "Other"
)</f>
        <v>Urban Core</v>
      </c>
      <c r="P337" t="s">
        <v>3298</v>
      </c>
      <c r="Q337" t="str">
        <f t="shared" si="22"/>
        <v>Outdoors/Public</v>
      </c>
      <c r="R337" t="s">
        <v>4697</v>
      </c>
      <c r="S337" t="s">
        <v>5101</v>
      </c>
      <c r="T337" t="str" cm="1">
        <f t="array" ref="T337">_xlfn.IFS(
  TEXT(TRIM(S337),"00000")="NULL", "Missing/Unknown",
  OR(TEXT(TRIM(S337),"00000")="89101", TEXT(TRIM(S337),"00000")="89104", TEXT(TRIM(S337),"00000")="89106", TEXT(TRIM(S337),"00000")="89102", TEXT(TRIM(S337),"00000")="89107", TEXT(TRIM(S337),"00000")="89108"), "Urban Core",
  OR(TEXT(TRIM(S337),"00000")="89110", TEXT(TRIM(S337),"00000")="89115", TEXT(TRIM(S337),"00000")="89121", TEXT(TRIM(S337),"00000")="89122", TEXT(TRIM(S337),"00000")="89142", TEXT(TRIM(S337),"00000")="89156"), "East Valley",
  OR(TEXT(TRIM(S337),"00000")="89030", TEXT(TRIM(S337),"00000")="89031", TEXT(TRIM(S337),"00000")="89032", TEXT(TRIM(S337),"00000")="89086", TEXT(TRIM(S337),"00000")="89084", TEXT(TRIM(S337),"00000")="89081"), "North LV",
  OR(TEXT(TRIM(S337),"00000")="89109", TEXT(TRIM(S337),"00000")="89103", TEXT(TRIM(S337),"00000")="89119", TEXT(TRIM(S337),"00000")="89123", TEXT(TRIM(S337),"00000")="89169", TEXT(TRIM(S337),"00000")="89118"), "South/Strip",
  OR(TEXT(TRIM(S337),"00000")="89074", TEXT(TRIM(S337),"00000")="89014", TEXT(TRIM(S337),"00000")="89015", TEXT(TRIM(S337),"00000")="89011", TEXT(TRIM(S337),"00000")="89012"), "Suburban SE",
  OR(TEXT(TRIM(S337),"00000")="89117", TEXT(TRIM(S337),"00000")="89128", TEXT(TRIM(S337),"00000")="89135", TEXT(TRIM(S337),"00000")="89144", TEXT(TRIM(S337),"00000")="89145", TEXT(TRIM(S337),"00000")="89147"), "West Valley",
  TRUE, "Other"
)</f>
        <v>Urban Core</v>
      </c>
      <c r="U337" t="s">
        <v>3298</v>
      </c>
      <c r="V337" t="str">
        <f t="shared" si="23"/>
        <v>Outdoors/Public</v>
      </c>
    </row>
    <row r="338" spans="1:22">
      <c r="A338" t="s">
        <v>3439</v>
      </c>
      <c r="B338" t="s">
        <v>3440</v>
      </c>
      <c r="C338" s="1">
        <v>45480</v>
      </c>
      <c r="D338" s="4">
        <v>118.04</v>
      </c>
      <c r="E338">
        <v>78</v>
      </c>
      <c r="F338" t="str">
        <f t="shared" si="20"/>
        <v>70's</v>
      </c>
      <c r="G338" t="str" cm="1">
        <f t="array" ref="G338">_xlfn.IFS(
  F338="10's", "Child (5–12)",
  OR(F338="20's", F338="30's"), "Young Adult (20–39)",
  OR(F338="40's", F338="50's"), "Adult (40–59)",
  OR(F338="60's", F338="70's", F338="80's", F338="90's"), "Senior (60+)",
  TRUE, "Unknown"
)</f>
        <v>Senior (60+)</v>
      </c>
      <c r="H338" t="s">
        <v>841</v>
      </c>
      <c r="I338" t="s">
        <v>4012</v>
      </c>
      <c r="J338" t="str">
        <f t="shared" si="21"/>
        <v>Cardiovascular Disease</v>
      </c>
      <c r="K338" t="s">
        <v>3441</v>
      </c>
      <c r="L338" t="s">
        <v>250</v>
      </c>
      <c r="N338" t="s">
        <v>5095</v>
      </c>
      <c r="O338" t="str" cm="1">
        <f t="array" ref="O338">_xlfn.IFS(
  TEXT(TRIM(N338),"00000")="NULL", "Missing/Unknown",
  OR(TEXT(TRIM(N338),"00000")="89101", TEXT(TRIM(N338),"00000")="89104", TEXT(TRIM(N338),"00000")="89106", TEXT(TRIM(N338),"00000")="89102", TEXT(TRIM(N338),"00000")="89107", TEXT(TRIM(N338),"00000")="89108"), "Urban Core",
  OR(TEXT(TRIM(N338),"00000")="89110", TEXT(TRIM(N338),"00000")="89115", TEXT(TRIM(N338),"00000")="89121", TEXT(TRIM(N338),"00000")="89122", TEXT(TRIM(N338),"00000")="89142", TEXT(TRIM(N338),"00000")="89156"), "East Valley",
  OR(TEXT(TRIM(N338),"00000")="89030", TEXT(TRIM(N338),"00000")="89031", TEXT(TRIM(N338),"00000")="89032", TEXT(TRIM(N338),"00000")="89086", TEXT(TRIM(N338),"00000")="89084", TEXT(TRIM(N338),"00000")="89081"), "North LV",
  OR(TEXT(TRIM(N338),"00000")="89109", TEXT(TRIM(N338),"00000")="89103", TEXT(TRIM(N338),"00000")="89119", TEXT(TRIM(N338),"00000")="89123", TEXT(TRIM(N338),"00000")="89169", TEXT(TRIM(N338),"00000")="89118"), "South/Strip",
  OR(TEXT(TRIM(N338),"00000")="89074", TEXT(TRIM(N338),"00000")="89014", TEXT(TRIM(N338),"00000")="89015", TEXT(TRIM(N338),"00000")="89011", TEXT(TRIM(N338),"00000")="89012"), "Suburban SE",
  OR(TEXT(TRIM(N338),"00000")="89117", TEXT(TRIM(N338),"00000")="89128", TEXT(TRIM(N338),"00000")="89135", TEXT(TRIM(N338),"00000")="89144", TEXT(TRIM(N338),"00000")="89145", TEXT(TRIM(N338),"00000")="89147"), "West Valley",
  TRUE, "Other"
)</f>
        <v>Missing/Unknown</v>
      </c>
      <c r="P338" t="s">
        <v>1073</v>
      </c>
      <c r="Q338" t="str">
        <f t="shared" si="22"/>
        <v>Home/Residence</v>
      </c>
      <c r="S338" t="s">
        <v>5095</v>
      </c>
      <c r="T338" t="str" cm="1">
        <f t="array" ref="T338">_xlfn.IFS(
  TEXT(TRIM(S338),"00000")="NULL", "Missing/Unknown",
  OR(TEXT(TRIM(S338),"00000")="89101", TEXT(TRIM(S338),"00000")="89104", TEXT(TRIM(S338),"00000")="89106", TEXT(TRIM(S338),"00000")="89102", TEXT(TRIM(S338),"00000")="89107", TEXT(TRIM(S338),"00000")="89108"), "Urban Core",
  OR(TEXT(TRIM(S338),"00000")="89110", TEXT(TRIM(S338),"00000")="89115", TEXT(TRIM(S338),"00000")="89121", TEXT(TRIM(S338),"00000")="89122", TEXT(TRIM(S338),"00000")="89142", TEXT(TRIM(S338),"00000")="89156"), "East Valley",
  OR(TEXT(TRIM(S338),"00000")="89030", TEXT(TRIM(S338),"00000")="89031", TEXT(TRIM(S338),"00000")="89032", TEXT(TRIM(S338),"00000")="89086", TEXT(TRIM(S338),"00000")="89084", TEXT(TRIM(S338),"00000")="89081"), "North LV",
  OR(TEXT(TRIM(S338),"00000")="89109", TEXT(TRIM(S338),"00000")="89103", TEXT(TRIM(S338),"00000")="89119", TEXT(TRIM(S338),"00000")="89123", TEXT(TRIM(S338),"00000")="89169", TEXT(TRIM(S338),"00000")="89118"), "South/Strip",
  OR(TEXT(TRIM(S338),"00000")="89074", TEXT(TRIM(S338),"00000")="89014", TEXT(TRIM(S338),"00000")="89015", TEXT(TRIM(S338),"00000")="89011", TEXT(TRIM(S338),"00000")="89012"), "Suburban SE",
  OR(TEXT(TRIM(S338),"00000")="89117", TEXT(TRIM(S338),"00000")="89128", TEXT(TRIM(S338),"00000")="89135", TEXT(TRIM(S338),"00000")="89144", TEXT(TRIM(S338),"00000")="89145", TEXT(TRIM(S338),"00000")="89147"), "West Valley",
  TRUE, "Other"
)</f>
        <v>Missing/Unknown</v>
      </c>
      <c r="U338" t="s">
        <v>1073</v>
      </c>
      <c r="V338" t="str">
        <f t="shared" si="23"/>
        <v>Home/Residence</v>
      </c>
    </row>
    <row r="339" spans="1:22">
      <c r="A339" t="s">
        <v>3374</v>
      </c>
      <c r="B339" t="s">
        <v>3375</v>
      </c>
      <c r="C339" s="1">
        <v>45480</v>
      </c>
      <c r="D339" s="4">
        <v>118.04</v>
      </c>
      <c r="E339">
        <v>27</v>
      </c>
      <c r="F339" t="str">
        <f t="shared" si="20"/>
        <v>20's</v>
      </c>
      <c r="G339" t="str" cm="1">
        <f t="array" ref="G339">_xlfn.IFS(
  F339="10's", "Child (5–12)",
  OR(F339="20's", F339="30's"), "Young Adult (20–39)",
  OR(F339="40's", F339="50's"), "Adult (40–59)",
  OR(F339="60's", F339="70's", F339="80's", F339="90's"), "Senior (60+)",
  TRUE, "Unknown"
)</f>
        <v>Young Adult (20–39)</v>
      </c>
      <c r="H339" t="s">
        <v>4309</v>
      </c>
      <c r="I339" t="s">
        <v>660</v>
      </c>
      <c r="J339" t="str">
        <f t="shared" si="21"/>
        <v>Environmental Heat</v>
      </c>
      <c r="K339" t="s">
        <v>98</v>
      </c>
      <c r="L339" t="s">
        <v>250</v>
      </c>
      <c r="N339" t="s">
        <v>5095</v>
      </c>
      <c r="O339" t="str" cm="1">
        <f t="array" ref="O339">_xlfn.IFS(
  TEXT(TRIM(N339),"00000")="NULL", "Missing/Unknown",
  OR(TEXT(TRIM(N339),"00000")="89101", TEXT(TRIM(N339),"00000")="89104", TEXT(TRIM(N339),"00000")="89106", TEXT(TRIM(N339),"00000")="89102", TEXT(TRIM(N339),"00000")="89107", TEXT(TRIM(N339),"00000")="89108"), "Urban Core",
  OR(TEXT(TRIM(N339),"00000")="89110", TEXT(TRIM(N339),"00000")="89115", TEXT(TRIM(N339),"00000")="89121", TEXT(TRIM(N339),"00000")="89122", TEXT(TRIM(N339),"00000")="89142", TEXT(TRIM(N339),"00000")="89156"), "East Valley",
  OR(TEXT(TRIM(N339),"00000")="89030", TEXT(TRIM(N339),"00000")="89031", TEXT(TRIM(N339),"00000")="89032", TEXT(TRIM(N339),"00000")="89086", TEXT(TRIM(N339),"00000")="89084", TEXT(TRIM(N339),"00000")="89081"), "North LV",
  OR(TEXT(TRIM(N339),"00000")="89109", TEXT(TRIM(N339),"00000")="89103", TEXT(TRIM(N339),"00000")="89119", TEXT(TRIM(N339),"00000")="89123", TEXT(TRIM(N339),"00000")="89169", TEXT(TRIM(N339),"00000")="89118"), "South/Strip",
  OR(TEXT(TRIM(N339),"00000")="89074", TEXT(TRIM(N339),"00000")="89014", TEXT(TRIM(N339),"00000")="89015", TEXT(TRIM(N339),"00000")="89011", TEXT(TRIM(N339),"00000")="89012"), "Suburban SE",
  OR(TEXT(TRIM(N339),"00000")="89117", TEXT(TRIM(N339),"00000")="89128", TEXT(TRIM(N339),"00000")="89135", TEXT(TRIM(N339),"00000")="89144", TEXT(TRIM(N339),"00000")="89145", TEXT(TRIM(N339),"00000")="89147"), "West Valley",
  TRUE, "Other"
)</f>
        <v>Missing/Unknown</v>
      </c>
      <c r="P339" t="s">
        <v>2666</v>
      </c>
      <c r="Q339" t="str">
        <f t="shared" si="22"/>
        <v>Outdoors/Public</v>
      </c>
      <c r="R339" t="s">
        <v>5054</v>
      </c>
      <c r="S339" t="s">
        <v>5097</v>
      </c>
      <c r="T339" t="str" cm="1">
        <f t="array" ref="T339">_xlfn.IFS(
  TEXT(TRIM(S339),"00000")="NULL", "Missing/Unknown",
  OR(TEXT(TRIM(S339),"00000")="89101", TEXT(TRIM(S339),"00000")="89104", TEXT(TRIM(S339),"00000")="89106", TEXT(TRIM(S339),"00000")="89102", TEXT(TRIM(S339),"00000")="89107", TEXT(TRIM(S339),"00000")="89108"), "Urban Core",
  OR(TEXT(TRIM(S339),"00000")="89110", TEXT(TRIM(S339),"00000")="89115", TEXT(TRIM(S339),"00000")="89121", TEXT(TRIM(S339),"00000")="89122", TEXT(TRIM(S339),"00000")="89142", TEXT(TRIM(S339),"00000")="89156"), "East Valley",
  OR(TEXT(TRIM(S339),"00000")="89030", TEXT(TRIM(S339),"00000")="89031", TEXT(TRIM(S339),"00000")="89032", TEXT(TRIM(S339),"00000")="89086", TEXT(TRIM(S339),"00000")="89084", TEXT(TRIM(S339),"00000")="89081"), "North LV",
  OR(TEXT(TRIM(S339),"00000")="89109", TEXT(TRIM(S339),"00000")="89103", TEXT(TRIM(S339),"00000")="89119", TEXT(TRIM(S339),"00000")="89123", TEXT(TRIM(S339),"00000")="89169", TEXT(TRIM(S339),"00000")="89118"), "South/Strip",
  OR(TEXT(TRIM(S339),"00000")="89074", TEXT(TRIM(S339),"00000")="89014", TEXT(TRIM(S339),"00000")="89015", TEXT(TRIM(S339),"00000")="89011", TEXT(TRIM(S339),"00000")="89012"), "Suburban SE",
  OR(TEXT(TRIM(S339),"00000")="89117", TEXT(TRIM(S339),"00000")="89128", TEXT(TRIM(S339),"00000")="89135", TEXT(TRIM(S339),"00000")="89144", TEXT(TRIM(S339),"00000")="89145", TEXT(TRIM(S339),"00000")="89147"), "West Valley",
  TRUE, "Other"
)</f>
        <v>Urban Core</v>
      </c>
      <c r="U339" t="s">
        <v>2666</v>
      </c>
      <c r="V339" t="str">
        <f t="shared" si="23"/>
        <v>Outdoors/Public</v>
      </c>
    </row>
    <row r="340" spans="1:22">
      <c r="A340" t="s">
        <v>2469</v>
      </c>
      <c r="B340" t="s">
        <v>2470</v>
      </c>
      <c r="C340" s="1">
        <v>45479</v>
      </c>
      <c r="D340" s="4">
        <v>114.08</v>
      </c>
      <c r="E340">
        <v>71</v>
      </c>
      <c r="F340" t="str">
        <f t="shared" si="20"/>
        <v>70's</v>
      </c>
      <c r="G340" t="str" cm="1">
        <f t="array" ref="G340">_xlfn.IFS(
  F340="10's", "Child (5–12)",
  OR(F340="20's", F340="30's"), "Young Adult (20–39)",
  OR(F340="40's", F340="50's"), "Adult (40–59)",
  OR(F340="60's", F340="70's", F340="80's", F340="90's"), "Senior (60+)",
  TRUE, "Unknown"
)</f>
        <v>Senior (60+)</v>
      </c>
      <c r="H340" t="s">
        <v>841</v>
      </c>
      <c r="I340" t="s">
        <v>4066</v>
      </c>
      <c r="J340" t="str">
        <f t="shared" si="21"/>
        <v>Methamphetamine-related</v>
      </c>
      <c r="K340" t="s">
        <v>54</v>
      </c>
      <c r="L340" t="s">
        <v>250</v>
      </c>
      <c r="M340" t="s">
        <v>4318</v>
      </c>
      <c r="N340" t="s">
        <v>5107</v>
      </c>
      <c r="O340" t="str" cm="1">
        <f t="array" ref="O340">_xlfn.IFS(
  TEXT(TRIM(N340),"00000")="NULL", "Missing/Unknown",
  OR(TEXT(TRIM(N340),"00000")="89101", TEXT(TRIM(N340),"00000")="89104", TEXT(TRIM(N340),"00000")="89106", TEXT(TRIM(N340),"00000")="89102", TEXT(TRIM(N340),"00000")="89107", TEXT(TRIM(N340),"00000")="89108"), "Urban Core",
  OR(TEXT(TRIM(N340),"00000")="89110", TEXT(TRIM(N340),"00000")="89115", TEXT(TRIM(N340),"00000")="89121", TEXT(TRIM(N340),"00000")="89122", TEXT(TRIM(N340),"00000")="89142", TEXT(TRIM(N340),"00000")="89156"), "East Valley",
  OR(TEXT(TRIM(N340),"00000")="89030", TEXT(TRIM(N340),"00000")="89031", TEXT(TRIM(N340),"00000")="89032", TEXT(TRIM(N340),"00000")="89086", TEXT(TRIM(N340),"00000")="89084", TEXT(TRIM(N340),"00000")="89081"), "North LV",
  OR(TEXT(TRIM(N340),"00000")="89109", TEXT(TRIM(N340),"00000")="89103", TEXT(TRIM(N340),"00000")="89119", TEXT(TRIM(N340),"00000")="89123", TEXT(TRIM(N340),"00000")="89169", TEXT(TRIM(N340),"00000")="89118"), "South/Strip",
  OR(TEXT(TRIM(N340),"00000")="89074", TEXT(TRIM(N340),"00000")="89014", TEXT(TRIM(N340),"00000")="89015", TEXT(TRIM(N340),"00000")="89011", TEXT(TRIM(N340),"00000")="89012"), "Suburban SE",
  OR(TEXT(TRIM(N340),"00000")="89117", TEXT(TRIM(N340),"00000")="89128", TEXT(TRIM(N340),"00000")="89135", TEXT(TRIM(N340),"00000")="89144", TEXT(TRIM(N340),"00000")="89145", TEXT(TRIM(N340),"00000")="89147"), "West Valley",
  TRUE, "Other"
)</f>
        <v>South/Strip</v>
      </c>
      <c r="P340" t="s">
        <v>132</v>
      </c>
      <c r="Q340" t="str">
        <f t="shared" si="22"/>
        <v>Outdoors/Public</v>
      </c>
      <c r="R340" t="s">
        <v>4318</v>
      </c>
      <c r="S340" t="s">
        <v>5107</v>
      </c>
      <c r="T340" t="str" cm="1">
        <f t="array" ref="T340">_xlfn.IFS(
  TEXT(TRIM(S340),"00000")="NULL", "Missing/Unknown",
  OR(TEXT(TRIM(S340),"00000")="89101", TEXT(TRIM(S340),"00000")="89104", TEXT(TRIM(S340),"00000")="89106", TEXT(TRIM(S340),"00000")="89102", TEXT(TRIM(S340),"00000")="89107", TEXT(TRIM(S340),"00000")="89108"), "Urban Core",
  OR(TEXT(TRIM(S340),"00000")="89110", TEXT(TRIM(S340),"00000")="89115", TEXT(TRIM(S340),"00000")="89121", TEXT(TRIM(S340),"00000")="89122", TEXT(TRIM(S340),"00000")="89142", TEXT(TRIM(S340),"00000")="89156"), "East Valley",
  OR(TEXT(TRIM(S340),"00000")="89030", TEXT(TRIM(S340),"00000")="89031", TEXT(TRIM(S340),"00000")="89032", TEXT(TRIM(S340),"00000")="89086", TEXT(TRIM(S340),"00000")="89084", TEXT(TRIM(S340),"00000")="89081"), "North LV",
  OR(TEXT(TRIM(S340),"00000")="89109", TEXT(TRIM(S340),"00000")="89103", TEXT(TRIM(S340),"00000")="89119", TEXT(TRIM(S340),"00000")="89123", TEXT(TRIM(S340),"00000")="89169", TEXT(TRIM(S340),"00000")="89118"), "South/Strip",
  OR(TEXT(TRIM(S340),"00000")="89074", TEXT(TRIM(S340),"00000")="89014", TEXT(TRIM(S340),"00000")="89015", TEXT(TRIM(S340),"00000")="89011", TEXT(TRIM(S340),"00000")="89012"), "Suburban SE",
  OR(TEXT(TRIM(S340),"00000")="89117", TEXT(TRIM(S340),"00000")="89128", TEXT(TRIM(S340),"00000")="89135", TEXT(TRIM(S340),"00000")="89144", TEXT(TRIM(S340),"00000")="89145", TEXT(TRIM(S340),"00000")="89147"), "West Valley",
  TRUE, "Other"
)</f>
        <v>South/Strip</v>
      </c>
      <c r="U340" t="s">
        <v>132</v>
      </c>
      <c r="V340" t="str">
        <f t="shared" si="23"/>
        <v>Outdoors/Public</v>
      </c>
    </row>
    <row r="341" spans="1:22">
      <c r="A341" t="s">
        <v>3001</v>
      </c>
      <c r="B341" t="s">
        <v>3002</v>
      </c>
      <c r="C341" s="1">
        <v>45479</v>
      </c>
      <c r="D341" s="4">
        <v>114.08</v>
      </c>
      <c r="E341">
        <v>86</v>
      </c>
      <c r="F341" t="str">
        <f t="shared" si="20"/>
        <v>80's</v>
      </c>
      <c r="G341" t="str" cm="1">
        <f t="array" ref="G341">_xlfn.IFS(
  F341="10's", "Child (5–12)",
  OR(F341="20's", F341="30's"), "Young Adult (20–39)",
  OR(F341="40's", F341="50's"), "Adult (40–59)",
  OR(F341="60's", F341="70's", F341="80's", F341="90's"), "Senior (60+)",
  TRUE, "Unknown"
)</f>
        <v>Senior (60+)</v>
      </c>
      <c r="H341" t="s">
        <v>841</v>
      </c>
      <c r="I341" t="s">
        <v>54</v>
      </c>
      <c r="J341" t="str">
        <f t="shared" si="21"/>
        <v>Environmental Heat</v>
      </c>
      <c r="K341" t="s">
        <v>63</v>
      </c>
      <c r="L341" t="s">
        <v>1071</v>
      </c>
      <c r="M341" t="s">
        <v>4316</v>
      </c>
      <c r="N341" t="s">
        <v>5109</v>
      </c>
      <c r="O341" t="str" cm="1">
        <f t="array" ref="O341">_xlfn.IFS(
  TEXT(TRIM(N341),"00000")="NULL", "Missing/Unknown",
  OR(TEXT(TRIM(N341),"00000")="89101", TEXT(TRIM(N341),"00000")="89104", TEXT(TRIM(N341),"00000")="89106", TEXT(TRIM(N341),"00000")="89102", TEXT(TRIM(N341),"00000")="89107", TEXT(TRIM(N341),"00000")="89108"), "Urban Core",
  OR(TEXT(TRIM(N341),"00000")="89110", TEXT(TRIM(N341),"00000")="89115", TEXT(TRIM(N341),"00000")="89121", TEXT(TRIM(N341),"00000")="89122", TEXT(TRIM(N341),"00000")="89142", TEXT(TRIM(N341),"00000")="89156"), "East Valley",
  OR(TEXT(TRIM(N341),"00000")="89030", TEXT(TRIM(N341),"00000")="89031", TEXT(TRIM(N341),"00000")="89032", TEXT(TRIM(N341),"00000")="89086", TEXT(TRIM(N341),"00000")="89084", TEXT(TRIM(N341),"00000")="89081"), "North LV",
  OR(TEXT(TRIM(N341),"00000")="89109", TEXT(TRIM(N341),"00000")="89103", TEXT(TRIM(N341),"00000")="89119", TEXT(TRIM(N341),"00000")="89123", TEXT(TRIM(N341),"00000")="89169", TEXT(TRIM(N341),"00000")="89118"), "South/Strip",
  OR(TEXT(TRIM(N341),"00000")="89074", TEXT(TRIM(N341),"00000")="89014", TEXT(TRIM(N341),"00000")="89015", TEXT(TRIM(N341),"00000")="89011", TEXT(TRIM(N341),"00000")="89012"), "Suburban SE",
  OR(TEXT(TRIM(N341),"00000")="89117", TEXT(TRIM(N341),"00000")="89128", TEXT(TRIM(N341),"00000")="89135", TEXT(TRIM(N341),"00000")="89144", TEXT(TRIM(N341),"00000")="89145", TEXT(TRIM(N341),"00000")="89147"), "West Valley",
  TRUE, "Other"
)</f>
        <v>South/Strip</v>
      </c>
      <c r="P341" t="s">
        <v>3298</v>
      </c>
      <c r="Q341" t="str">
        <f t="shared" si="22"/>
        <v>Outdoors/Public</v>
      </c>
      <c r="R341" t="s">
        <v>4316</v>
      </c>
      <c r="S341" t="s">
        <v>5109</v>
      </c>
      <c r="T341" t="str" cm="1">
        <f t="array" ref="T341">_xlfn.IFS(
  TEXT(TRIM(S341),"00000")="NULL", "Missing/Unknown",
  OR(TEXT(TRIM(S341),"00000")="89101", TEXT(TRIM(S341),"00000")="89104", TEXT(TRIM(S341),"00000")="89106", TEXT(TRIM(S341),"00000")="89102", TEXT(TRIM(S341),"00000")="89107", TEXT(TRIM(S341),"00000")="89108"), "Urban Core",
  OR(TEXT(TRIM(S341),"00000")="89110", TEXT(TRIM(S341),"00000")="89115", TEXT(TRIM(S341),"00000")="89121", TEXT(TRIM(S341),"00000")="89122", TEXT(TRIM(S341),"00000")="89142", TEXT(TRIM(S341),"00000")="89156"), "East Valley",
  OR(TEXT(TRIM(S341),"00000")="89030", TEXT(TRIM(S341),"00000")="89031", TEXT(TRIM(S341),"00000")="89032", TEXT(TRIM(S341),"00000")="89086", TEXT(TRIM(S341),"00000")="89084", TEXT(TRIM(S341),"00000")="89081"), "North LV",
  OR(TEXT(TRIM(S341),"00000")="89109", TEXT(TRIM(S341),"00000")="89103", TEXT(TRIM(S341),"00000")="89119", TEXT(TRIM(S341),"00000")="89123", TEXT(TRIM(S341),"00000")="89169", TEXT(TRIM(S341),"00000")="89118"), "South/Strip",
  OR(TEXT(TRIM(S341),"00000")="89074", TEXT(TRIM(S341),"00000")="89014", TEXT(TRIM(S341),"00000")="89015", TEXT(TRIM(S341),"00000")="89011", TEXT(TRIM(S341),"00000")="89012"), "Suburban SE",
  OR(TEXT(TRIM(S341),"00000")="89117", TEXT(TRIM(S341),"00000")="89128", TEXT(TRIM(S341),"00000")="89135", TEXT(TRIM(S341),"00000")="89144", TEXT(TRIM(S341),"00000")="89145", TEXT(TRIM(S341),"00000")="89147"), "West Valley",
  TRUE, "Other"
)</f>
        <v>South/Strip</v>
      </c>
      <c r="U341" t="s">
        <v>2990</v>
      </c>
      <c r="V341" t="str">
        <f t="shared" si="23"/>
        <v>Home/Residence</v>
      </c>
    </row>
    <row r="342" spans="1:22">
      <c r="A342" t="s">
        <v>2560</v>
      </c>
      <c r="B342" t="s">
        <v>2561</v>
      </c>
      <c r="C342" s="1">
        <v>45479</v>
      </c>
      <c r="D342" s="4">
        <v>114.08</v>
      </c>
      <c r="E342">
        <v>38</v>
      </c>
      <c r="F342" t="str">
        <f t="shared" si="20"/>
        <v>30's</v>
      </c>
      <c r="G342" t="str" cm="1">
        <f t="array" ref="G342">_xlfn.IFS(
  F342="10's", "Child (5–12)",
  OR(F342="20's", F342="30's"), "Young Adult (20–39)",
  OR(F342="40's", F342="50's"), "Adult (40–59)",
  OR(F342="60's", F342="70's", F342="80's", F342="90's"), "Senior (60+)",
  TRUE, "Unknown"
)</f>
        <v>Young Adult (20–39)</v>
      </c>
      <c r="H342" t="s">
        <v>841</v>
      </c>
      <c r="I342" t="s">
        <v>4067</v>
      </c>
      <c r="J342" t="str">
        <f t="shared" si="21"/>
        <v>Methamphetamine-related</v>
      </c>
      <c r="K342" t="s">
        <v>54</v>
      </c>
      <c r="L342" t="s">
        <v>250</v>
      </c>
      <c r="M342" t="s">
        <v>4329</v>
      </c>
      <c r="N342" t="s">
        <v>5109</v>
      </c>
      <c r="O342" t="str" cm="1">
        <f t="array" ref="O342">_xlfn.IFS(
  TEXT(TRIM(N342),"00000")="NULL", "Missing/Unknown",
  OR(TEXT(TRIM(N342),"00000")="89101", TEXT(TRIM(N342),"00000")="89104", TEXT(TRIM(N342),"00000")="89106", TEXT(TRIM(N342),"00000")="89102", TEXT(TRIM(N342),"00000")="89107", TEXT(TRIM(N342),"00000")="89108"), "Urban Core",
  OR(TEXT(TRIM(N342),"00000")="89110", TEXT(TRIM(N342),"00000")="89115", TEXT(TRIM(N342),"00000")="89121", TEXT(TRIM(N342),"00000")="89122", TEXT(TRIM(N342),"00000")="89142", TEXT(TRIM(N342),"00000")="89156"), "East Valley",
  OR(TEXT(TRIM(N342),"00000")="89030", TEXT(TRIM(N342),"00000")="89031", TEXT(TRIM(N342),"00000")="89032", TEXT(TRIM(N342),"00000")="89086", TEXT(TRIM(N342),"00000")="89084", TEXT(TRIM(N342),"00000")="89081"), "North LV",
  OR(TEXT(TRIM(N342),"00000")="89109", TEXT(TRIM(N342),"00000")="89103", TEXT(TRIM(N342),"00000")="89119", TEXT(TRIM(N342),"00000")="89123", TEXT(TRIM(N342),"00000")="89169", TEXT(TRIM(N342),"00000")="89118"), "South/Strip",
  OR(TEXT(TRIM(N342),"00000")="89074", TEXT(TRIM(N342),"00000")="89014", TEXT(TRIM(N342),"00000")="89015", TEXT(TRIM(N342),"00000")="89011", TEXT(TRIM(N342),"00000")="89012"), "Suburban SE",
  OR(TEXT(TRIM(N342),"00000")="89117", TEXT(TRIM(N342),"00000")="89128", TEXT(TRIM(N342),"00000")="89135", TEXT(TRIM(N342),"00000")="89144", TEXT(TRIM(N342),"00000")="89145", TEXT(TRIM(N342),"00000")="89147"), "West Valley",
  TRUE, "Other"
)</f>
        <v>South/Strip</v>
      </c>
      <c r="P342" t="s">
        <v>4296</v>
      </c>
      <c r="Q342" t="str">
        <f t="shared" si="22"/>
        <v>Outdoors/Public</v>
      </c>
      <c r="R342" t="s">
        <v>4329</v>
      </c>
      <c r="S342" t="s">
        <v>5109</v>
      </c>
      <c r="T342" t="str" cm="1">
        <f t="array" ref="T342">_xlfn.IFS(
  TEXT(TRIM(S342),"00000")="NULL", "Missing/Unknown",
  OR(TEXT(TRIM(S342),"00000")="89101", TEXT(TRIM(S342),"00000")="89104", TEXT(TRIM(S342),"00000")="89106", TEXT(TRIM(S342),"00000")="89102", TEXT(TRIM(S342),"00000")="89107", TEXT(TRIM(S342),"00000")="89108"), "Urban Core",
  OR(TEXT(TRIM(S342),"00000")="89110", TEXT(TRIM(S342),"00000")="89115", TEXT(TRIM(S342),"00000")="89121", TEXT(TRIM(S342),"00000")="89122", TEXT(TRIM(S342),"00000")="89142", TEXT(TRIM(S342),"00000")="89156"), "East Valley",
  OR(TEXT(TRIM(S342),"00000")="89030", TEXT(TRIM(S342),"00000")="89031", TEXT(TRIM(S342),"00000")="89032", TEXT(TRIM(S342),"00000")="89086", TEXT(TRIM(S342),"00000")="89084", TEXT(TRIM(S342),"00000")="89081"), "North LV",
  OR(TEXT(TRIM(S342),"00000")="89109", TEXT(TRIM(S342),"00000")="89103", TEXT(TRIM(S342),"00000")="89119", TEXT(TRIM(S342),"00000")="89123", TEXT(TRIM(S342),"00000")="89169", TEXT(TRIM(S342),"00000")="89118"), "South/Strip",
  OR(TEXT(TRIM(S342),"00000")="89074", TEXT(TRIM(S342),"00000")="89014", TEXT(TRIM(S342),"00000")="89015", TEXT(TRIM(S342),"00000")="89011", TEXT(TRIM(S342),"00000")="89012"), "Suburban SE",
  OR(TEXT(TRIM(S342),"00000")="89117", TEXT(TRIM(S342),"00000")="89128", TEXT(TRIM(S342),"00000")="89135", TEXT(TRIM(S342),"00000")="89144", TEXT(TRIM(S342),"00000")="89145", TEXT(TRIM(S342),"00000")="89147"), "West Valley",
  TRUE, "Other"
)</f>
        <v>South/Strip</v>
      </c>
      <c r="U342" t="s">
        <v>4296</v>
      </c>
      <c r="V342" t="str">
        <f t="shared" si="23"/>
        <v>Outdoors/Public</v>
      </c>
    </row>
    <row r="343" spans="1:22">
      <c r="A343" t="s">
        <v>2867</v>
      </c>
      <c r="B343" t="s">
        <v>2868</v>
      </c>
      <c r="C343" s="1">
        <v>45479</v>
      </c>
      <c r="D343" s="4">
        <v>114.08</v>
      </c>
      <c r="E343">
        <v>57</v>
      </c>
      <c r="F343" t="str">
        <f t="shared" si="20"/>
        <v>50's</v>
      </c>
      <c r="G343" t="str" cm="1">
        <f t="array" ref="G343">_xlfn.IFS(
  F343="10's", "Child (5–12)",
  OR(F343="20's", F343="30's"), "Young Adult (20–39)",
  OR(F343="40's", F343="50's"), "Adult (40–59)",
  OR(F343="60's", F343="70's", F343="80's", F343="90's"), "Senior (60+)",
  TRUE, "Unknown"
)</f>
        <v>Adult (40–59)</v>
      </c>
      <c r="H343" t="s">
        <v>4310</v>
      </c>
      <c r="I343" t="s">
        <v>35</v>
      </c>
      <c r="J343" t="str">
        <f t="shared" si="21"/>
        <v>Environmental Heat</v>
      </c>
      <c r="K343" t="s">
        <v>2869</v>
      </c>
      <c r="L343" t="s">
        <v>1071</v>
      </c>
      <c r="M343" t="s">
        <v>4974</v>
      </c>
      <c r="N343" t="s">
        <v>5120</v>
      </c>
      <c r="O343" t="str" cm="1">
        <f t="array" ref="O343">_xlfn.IFS(
  TEXT(TRIM(N343),"00000")="NULL", "Missing/Unknown",
  OR(TEXT(TRIM(N343),"00000")="89101", TEXT(TRIM(N343),"00000")="89104", TEXT(TRIM(N343),"00000")="89106", TEXT(TRIM(N343),"00000")="89102", TEXT(TRIM(N343),"00000")="89107", TEXT(TRIM(N343),"00000")="89108"), "Urban Core",
  OR(TEXT(TRIM(N343),"00000")="89110", TEXT(TRIM(N343),"00000")="89115", TEXT(TRIM(N343),"00000")="89121", TEXT(TRIM(N343),"00000")="89122", TEXT(TRIM(N343),"00000")="89142", TEXT(TRIM(N343),"00000")="89156"), "East Valley",
  OR(TEXT(TRIM(N343),"00000")="89030", TEXT(TRIM(N343),"00000")="89031", TEXT(TRIM(N343),"00000")="89032", TEXT(TRIM(N343),"00000")="89086", TEXT(TRIM(N343),"00000")="89084", TEXT(TRIM(N343),"00000")="89081"), "North LV",
  OR(TEXT(TRIM(N343),"00000")="89109", TEXT(TRIM(N343),"00000")="89103", TEXT(TRIM(N343),"00000")="89119", TEXT(TRIM(N343),"00000")="89123", TEXT(TRIM(N343),"00000")="89169", TEXT(TRIM(N343),"00000")="89118"), "South/Strip",
  OR(TEXT(TRIM(N343),"00000")="89074", TEXT(TRIM(N343),"00000")="89014", TEXT(TRIM(N343),"00000")="89015", TEXT(TRIM(N343),"00000")="89011", TEXT(TRIM(N343),"00000")="89012"), "Suburban SE",
  OR(TEXT(TRIM(N343),"00000")="89117", TEXT(TRIM(N343),"00000")="89128", TEXT(TRIM(N343),"00000")="89135", TEXT(TRIM(N343),"00000")="89144", TEXT(TRIM(N343),"00000")="89145", TEXT(TRIM(N343),"00000")="89147"), "West Valley",
  TRUE, "Other"
)</f>
        <v>Suburban SE</v>
      </c>
      <c r="P343" t="s">
        <v>65</v>
      </c>
      <c r="Q343" t="str">
        <f t="shared" si="22"/>
        <v>Vehicle-related</v>
      </c>
      <c r="R343" t="s">
        <v>4974</v>
      </c>
      <c r="S343" t="s">
        <v>5120</v>
      </c>
      <c r="T343" t="str" cm="1">
        <f t="array" ref="T343">_xlfn.IFS(
  TEXT(TRIM(S343),"00000")="NULL", "Missing/Unknown",
  OR(TEXT(TRIM(S343),"00000")="89101", TEXT(TRIM(S343),"00000")="89104", TEXT(TRIM(S343),"00000")="89106", TEXT(TRIM(S343),"00000")="89102", TEXT(TRIM(S343),"00000")="89107", TEXT(TRIM(S343),"00000")="89108"), "Urban Core",
  OR(TEXT(TRIM(S343),"00000")="89110", TEXT(TRIM(S343),"00000")="89115", TEXT(TRIM(S343),"00000")="89121", TEXT(TRIM(S343),"00000")="89122", TEXT(TRIM(S343),"00000")="89142", TEXT(TRIM(S343),"00000")="89156"), "East Valley",
  OR(TEXT(TRIM(S343),"00000")="89030", TEXT(TRIM(S343),"00000")="89031", TEXT(TRIM(S343),"00000")="89032", TEXT(TRIM(S343),"00000")="89086", TEXT(TRIM(S343),"00000")="89084", TEXT(TRIM(S343),"00000")="89081"), "North LV",
  OR(TEXT(TRIM(S343),"00000")="89109", TEXT(TRIM(S343),"00000")="89103", TEXT(TRIM(S343),"00000")="89119", TEXT(TRIM(S343),"00000")="89123", TEXT(TRIM(S343),"00000")="89169", TEXT(TRIM(S343),"00000")="89118"), "South/Strip",
  OR(TEXT(TRIM(S343),"00000")="89074", TEXT(TRIM(S343),"00000")="89014", TEXT(TRIM(S343),"00000")="89015", TEXT(TRIM(S343),"00000")="89011", TEXT(TRIM(S343),"00000")="89012"), "Suburban SE",
  OR(TEXT(TRIM(S343),"00000")="89117", TEXT(TRIM(S343),"00000")="89128", TEXT(TRIM(S343),"00000")="89135", TEXT(TRIM(S343),"00000")="89144", TEXT(TRIM(S343),"00000")="89145", TEXT(TRIM(S343),"00000")="89147"), "West Valley",
  TRUE, "Other"
)</f>
        <v>Suburban SE</v>
      </c>
      <c r="U343" t="s">
        <v>65</v>
      </c>
      <c r="V343" t="str">
        <f t="shared" si="23"/>
        <v>Vehicle-related</v>
      </c>
    </row>
    <row r="344" spans="1:22">
      <c r="A344" t="s">
        <v>2520</v>
      </c>
      <c r="B344" t="s">
        <v>2521</v>
      </c>
      <c r="C344" s="1">
        <v>45479</v>
      </c>
      <c r="D344" s="4">
        <v>114.08</v>
      </c>
      <c r="E344">
        <v>39</v>
      </c>
      <c r="F344" t="str">
        <f t="shared" si="20"/>
        <v>30's</v>
      </c>
      <c r="G344" t="str" cm="1">
        <f t="array" ref="G344">_xlfn.IFS(
  F344="10's", "Child (5–12)",
  OR(F344="20's", F344="30's"), "Young Adult (20–39)",
  OR(F344="40's", F344="50's"), "Adult (40–59)",
  OR(F344="60's", F344="70's", F344="80's", F344="90's"), "Senior (60+)",
  TRUE, "Unknown"
)</f>
        <v>Young Adult (20–39)</v>
      </c>
      <c r="H344" t="s">
        <v>841</v>
      </c>
      <c r="I344" t="s">
        <v>4016</v>
      </c>
      <c r="J344" t="str">
        <f t="shared" si="21"/>
        <v>Methamphetamine-related</v>
      </c>
      <c r="K344" t="s">
        <v>54</v>
      </c>
      <c r="L344" t="s">
        <v>250</v>
      </c>
      <c r="N344" t="s">
        <v>5095</v>
      </c>
      <c r="O344" t="str" cm="1">
        <f t="array" ref="O344">_xlfn.IFS(
  TEXT(TRIM(N344),"00000")="NULL", "Missing/Unknown",
  OR(TEXT(TRIM(N344),"00000")="89101", TEXT(TRIM(N344),"00000")="89104", TEXT(TRIM(N344),"00000")="89106", TEXT(TRIM(N344),"00000")="89102", TEXT(TRIM(N344),"00000")="89107", TEXT(TRIM(N344),"00000")="89108"), "Urban Core",
  OR(TEXT(TRIM(N344),"00000")="89110", TEXT(TRIM(N344),"00000")="89115", TEXT(TRIM(N344),"00000")="89121", TEXT(TRIM(N344),"00000")="89122", TEXT(TRIM(N344),"00000")="89142", TEXT(TRIM(N344),"00000")="89156"), "East Valley",
  OR(TEXT(TRIM(N344),"00000")="89030", TEXT(TRIM(N344),"00000")="89031", TEXT(TRIM(N344),"00000")="89032", TEXT(TRIM(N344),"00000")="89086", TEXT(TRIM(N344),"00000")="89084", TEXT(TRIM(N344),"00000")="89081"), "North LV",
  OR(TEXT(TRIM(N344),"00000")="89109", TEXT(TRIM(N344),"00000")="89103", TEXT(TRIM(N344),"00000")="89119", TEXT(TRIM(N344),"00000")="89123", TEXT(TRIM(N344),"00000")="89169", TEXT(TRIM(N344),"00000")="89118"), "South/Strip",
  OR(TEXT(TRIM(N344),"00000")="89074", TEXT(TRIM(N344),"00000")="89014", TEXT(TRIM(N344),"00000")="89015", TEXT(TRIM(N344),"00000")="89011", TEXT(TRIM(N344),"00000")="89012"), "Suburban SE",
  OR(TEXT(TRIM(N344),"00000")="89117", TEXT(TRIM(N344),"00000")="89128", TEXT(TRIM(N344),"00000")="89135", TEXT(TRIM(N344),"00000")="89144", TEXT(TRIM(N344),"00000")="89145", TEXT(TRIM(N344),"00000")="89147"), "West Valley",
  TRUE, "Other"
)</f>
        <v>Missing/Unknown</v>
      </c>
      <c r="P344" t="s">
        <v>3298</v>
      </c>
      <c r="Q344" t="str">
        <f t="shared" si="22"/>
        <v>Outdoors/Public</v>
      </c>
      <c r="R344" t="s">
        <v>5053</v>
      </c>
      <c r="S344" t="s">
        <v>5110</v>
      </c>
      <c r="T344" t="str" cm="1">
        <f t="array" ref="T344">_xlfn.IFS(
  TEXT(TRIM(S344),"00000")="NULL", "Missing/Unknown",
  OR(TEXT(TRIM(S344),"00000")="89101", TEXT(TRIM(S344),"00000")="89104", TEXT(TRIM(S344),"00000")="89106", TEXT(TRIM(S344),"00000")="89102", TEXT(TRIM(S344),"00000")="89107", TEXT(TRIM(S344),"00000")="89108"), "Urban Core",
  OR(TEXT(TRIM(S344),"00000")="89110", TEXT(TRIM(S344),"00000")="89115", TEXT(TRIM(S344),"00000")="89121", TEXT(TRIM(S344),"00000")="89122", TEXT(TRIM(S344),"00000")="89142", TEXT(TRIM(S344),"00000")="89156"), "East Valley",
  OR(TEXT(TRIM(S344),"00000")="89030", TEXT(TRIM(S344),"00000")="89031", TEXT(TRIM(S344),"00000")="89032", TEXT(TRIM(S344),"00000")="89086", TEXT(TRIM(S344),"00000")="89084", TEXT(TRIM(S344),"00000")="89081"), "North LV",
  OR(TEXT(TRIM(S344),"00000")="89109", TEXT(TRIM(S344),"00000")="89103", TEXT(TRIM(S344),"00000")="89119", TEXT(TRIM(S344),"00000")="89123", TEXT(TRIM(S344),"00000")="89169", TEXT(TRIM(S344),"00000")="89118"), "South/Strip",
  OR(TEXT(TRIM(S344),"00000")="89074", TEXT(TRIM(S344),"00000")="89014", TEXT(TRIM(S344),"00000")="89015", TEXT(TRIM(S344),"00000")="89011", TEXT(TRIM(S344),"00000")="89012"), "Suburban SE",
  OR(TEXT(TRIM(S344),"00000")="89117", TEXT(TRIM(S344),"00000")="89128", TEXT(TRIM(S344),"00000")="89135", TEXT(TRIM(S344),"00000")="89144", TEXT(TRIM(S344),"00000")="89145", TEXT(TRIM(S344),"00000")="89147"), "West Valley",
  TRUE, "Other"
)</f>
        <v>Suburban SE</v>
      </c>
      <c r="U344" t="s">
        <v>2413</v>
      </c>
      <c r="V344" t="str">
        <f t="shared" si="23"/>
        <v>Medical Facility</v>
      </c>
    </row>
    <row r="345" spans="1:22">
      <c r="A345" t="s">
        <v>3420</v>
      </c>
      <c r="B345" t="s">
        <v>3421</v>
      </c>
      <c r="C345" s="1">
        <v>45479</v>
      </c>
      <c r="D345" s="4">
        <v>114.08</v>
      </c>
      <c r="E345">
        <v>85</v>
      </c>
      <c r="F345" t="str">
        <f t="shared" si="20"/>
        <v>80's</v>
      </c>
      <c r="G345" t="str" cm="1">
        <f t="array" ref="G345">_xlfn.IFS(
  F345="10's", "Child (5–12)",
  OR(F345="20's", F345="30's"), "Young Adult (20–39)",
  OR(F345="40's", F345="50's"), "Adult (40–59)",
  OR(F345="60's", F345="70's", F345="80's", F345="90's"), "Senior (60+)",
  TRUE, "Unknown"
)</f>
        <v>Senior (60+)</v>
      </c>
      <c r="H345" t="s">
        <v>778</v>
      </c>
      <c r="I345" t="s">
        <v>638</v>
      </c>
      <c r="J345" t="str">
        <f t="shared" si="21"/>
        <v>Dehydration / Electrolyte</v>
      </c>
      <c r="K345" t="s">
        <v>3422</v>
      </c>
      <c r="L345" t="s">
        <v>250</v>
      </c>
      <c r="N345" t="s">
        <v>5095</v>
      </c>
      <c r="O345" t="str" cm="1">
        <f t="array" ref="O345">_xlfn.IFS(
  TEXT(TRIM(N345),"00000")="NULL", "Missing/Unknown",
  OR(TEXT(TRIM(N345),"00000")="89101", TEXT(TRIM(N345),"00000")="89104", TEXT(TRIM(N345),"00000")="89106", TEXT(TRIM(N345),"00000")="89102", TEXT(TRIM(N345),"00000")="89107", TEXT(TRIM(N345),"00000")="89108"), "Urban Core",
  OR(TEXT(TRIM(N345),"00000")="89110", TEXT(TRIM(N345),"00000")="89115", TEXT(TRIM(N345),"00000")="89121", TEXT(TRIM(N345),"00000")="89122", TEXT(TRIM(N345),"00000")="89142", TEXT(TRIM(N345),"00000")="89156"), "East Valley",
  OR(TEXT(TRIM(N345),"00000")="89030", TEXT(TRIM(N345),"00000")="89031", TEXT(TRIM(N345),"00000")="89032", TEXT(TRIM(N345),"00000")="89086", TEXT(TRIM(N345),"00000")="89084", TEXT(TRIM(N345),"00000")="89081"), "North LV",
  OR(TEXT(TRIM(N345),"00000")="89109", TEXT(TRIM(N345),"00000")="89103", TEXT(TRIM(N345),"00000")="89119", TEXT(TRIM(N345),"00000")="89123", TEXT(TRIM(N345),"00000")="89169", TEXT(TRIM(N345),"00000")="89118"), "South/Strip",
  OR(TEXT(TRIM(N345),"00000")="89074", TEXT(TRIM(N345),"00000")="89014", TEXT(TRIM(N345),"00000")="89015", TEXT(TRIM(N345),"00000")="89011", TEXT(TRIM(N345),"00000")="89012"), "Suburban SE",
  OR(TEXT(TRIM(N345),"00000")="89117", TEXT(TRIM(N345),"00000")="89128", TEXT(TRIM(N345),"00000")="89135", TEXT(TRIM(N345),"00000")="89144", TEXT(TRIM(N345),"00000")="89145", TEXT(TRIM(N345),"00000")="89147"), "West Valley",
  TRUE, "Other"
)</f>
        <v>Missing/Unknown</v>
      </c>
      <c r="P345" t="s">
        <v>3298</v>
      </c>
      <c r="Q345" t="str">
        <f t="shared" si="22"/>
        <v>Outdoors/Public</v>
      </c>
      <c r="R345" t="s">
        <v>5055</v>
      </c>
      <c r="S345" t="s">
        <v>5119</v>
      </c>
      <c r="T345" t="str" cm="1">
        <f t="array" ref="T345">_xlfn.IFS(
  TEXT(TRIM(S345),"00000")="NULL", "Missing/Unknown",
  OR(TEXT(TRIM(S345),"00000")="89101", TEXT(TRIM(S345),"00000")="89104", TEXT(TRIM(S345),"00000")="89106", TEXT(TRIM(S345),"00000")="89102", TEXT(TRIM(S345),"00000")="89107", TEXT(TRIM(S345),"00000")="89108"), "Urban Core",
  OR(TEXT(TRIM(S345),"00000")="89110", TEXT(TRIM(S345),"00000")="89115", TEXT(TRIM(S345),"00000")="89121", TEXT(TRIM(S345),"00000")="89122", TEXT(TRIM(S345),"00000")="89142", TEXT(TRIM(S345),"00000")="89156"), "East Valley",
  OR(TEXT(TRIM(S345),"00000")="89030", TEXT(TRIM(S345),"00000")="89031", TEXT(TRIM(S345),"00000")="89032", TEXT(TRIM(S345),"00000")="89086", TEXT(TRIM(S345),"00000")="89084", TEXT(TRIM(S345),"00000")="89081"), "North LV",
  OR(TEXT(TRIM(S345),"00000")="89109", TEXT(TRIM(S345),"00000")="89103", TEXT(TRIM(S345),"00000")="89119", TEXT(TRIM(S345),"00000")="89123", TEXT(TRIM(S345),"00000")="89169", TEXT(TRIM(S345),"00000")="89118"), "South/Strip",
  OR(TEXT(TRIM(S345),"00000")="89074", TEXT(TRIM(S345),"00000")="89014", TEXT(TRIM(S345),"00000")="89015", TEXT(TRIM(S345),"00000")="89011", TEXT(TRIM(S345),"00000")="89012"), "Suburban SE",
  OR(TEXT(TRIM(S345),"00000")="89117", TEXT(TRIM(S345),"00000")="89128", TEXT(TRIM(S345),"00000")="89135", TEXT(TRIM(S345),"00000")="89144", TEXT(TRIM(S345),"00000")="89145", TEXT(TRIM(S345),"00000")="89147"), "West Valley",
  TRUE, "Other"
)</f>
        <v>Urban Core</v>
      </c>
      <c r="U345" t="s">
        <v>3298</v>
      </c>
      <c r="V345" t="str">
        <f t="shared" si="23"/>
        <v>Outdoors/Public</v>
      </c>
    </row>
    <row r="346" spans="1:22">
      <c r="A346" t="s">
        <v>3004</v>
      </c>
      <c r="B346" t="s">
        <v>3005</v>
      </c>
      <c r="C346" s="1">
        <v>45479</v>
      </c>
      <c r="D346" s="4">
        <v>114.08</v>
      </c>
      <c r="E346">
        <v>67</v>
      </c>
      <c r="F346" t="str">
        <f t="shared" si="20"/>
        <v>60's</v>
      </c>
      <c r="G346" t="str" cm="1">
        <f t="array" ref="G346">_xlfn.IFS(
  F346="10's", "Child (5–12)",
  OR(F346="20's", F346="30's"), "Young Adult (20–39)",
  OR(F346="40's", F346="50's"), "Adult (40–59)",
  OR(F346="60's", F346="70's", F346="80's", F346="90's"), "Senior (60+)",
  TRUE, "Unknown"
)</f>
        <v>Senior (60+)</v>
      </c>
      <c r="H346" t="s">
        <v>4309</v>
      </c>
      <c r="I346" t="s">
        <v>54</v>
      </c>
      <c r="J346" t="str">
        <f t="shared" si="21"/>
        <v>Environmental Heat</v>
      </c>
      <c r="K346" t="s">
        <v>4016</v>
      </c>
      <c r="L346" t="s">
        <v>250</v>
      </c>
      <c r="N346" t="s">
        <v>5095</v>
      </c>
      <c r="O346" t="str" cm="1">
        <f t="array" ref="O346">_xlfn.IFS(
  TEXT(TRIM(N346),"00000")="NULL", "Missing/Unknown",
  OR(TEXT(TRIM(N346),"00000")="89101", TEXT(TRIM(N346),"00000")="89104", TEXT(TRIM(N346),"00000")="89106", TEXT(TRIM(N346),"00000")="89102", TEXT(TRIM(N346),"00000")="89107", TEXT(TRIM(N346),"00000")="89108"), "Urban Core",
  OR(TEXT(TRIM(N346),"00000")="89110", TEXT(TRIM(N346),"00000")="89115", TEXT(TRIM(N346),"00000")="89121", TEXT(TRIM(N346),"00000")="89122", TEXT(TRIM(N346),"00000")="89142", TEXT(TRIM(N346),"00000")="89156"), "East Valley",
  OR(TEXT(TRIM(N346),"00000")="89030", TEXT(TRIM(N346),"00000")="89031", TEXT(TRIM(N346),"00000")="89032", TEXT(TRIM(N346),"00000")="89086", TEXT(TRIM(N346),"00000")="89084", TEXT(TRIM(N346),"00000")="89081"), "North LV",
  OR(TEXT(TRIM(N346),"00000")="89109", TEXT(TRIM(N346),"00000")="89103", TEXT(TRIM(N346),"00000")="89119", TEXT(TRIM(N346),"00000")="89123", TEXT(TRIM(N346),"00000")="89169", TEXT(TRIM(N346),"00000")="89118"), "South/Strip",
  OR(TEXT(TRIM(N346),"00000")="89074", TEXT(TRIM(N346),"00000")="89014", TEXT(TRIM(N346),"00000")="89015", TEXT(TRIM(N346),"00000")="89011", TEXT(TRIM(N346),"00000")="89012"), "Suburban SE",
  OR(TEXT(TRIM(N346),"00000")="89117", TEXT(TRIM(N346),"00000")="89128", TEXT(TRIM(N346),"00000")="89135", TEXT(TRIM(N346),"00000")="89144", TEXT(TRIM(N346),"00000")="89145", TEXT(TRIM(N346),"00000")="89147"), "West Valley",
  TRUE, "Other"
)</f>
        <v>Missing/Unknown</v>
      </c>
      <c r="P346" t="s">
        <v>3298</v>
      </c>
      <c r="Q346" t="str">
        <f t="shared" si="22"/>
        <v>Outdoors/Public</v>
      </c>
      <c r="S346" t="s">
        <v>5095</v>
      </c>
      <c r="T346" t="str" cm="1">
        <f t="array" ref="T346">_xlfn.IFS(
  TEXT(TRIM(S346),"00000")="NULL", "Missing/Unknown",
  OR(TEXT(TRIM(S346),"00000")="89101", TEXT(TRIM(S346),"00000")="89104", TEXT(TRIM(S346),"00000")="89106", TEXT(TRIM(S346),"00000")="89102", TEXT(TRIM(S346),"00000")="89107", TEXT(TRIM(S346),"00000")="89108"), "Urban Core",
  OR(TEXT(TRIM(S346),"00000")="89110", TEXT(TRIM(S346),"00000")="89115", TEXT(TRIM(S346),"00000")="89121", TEXT(TRIM(S346),"00000")="89122", TEXT(TRIM(S346),"00000")="89142", TEXT(TRIM(S346),"00000")="89156"), "East Valley",
  OR(TEXT(TRIM(S346),"00000")="89030", TEXT(TRIM(S346),"00000")="89031", TEXT(TRIM(S346),"00000")="89032", TEXT(TRIM(S346),"00000")="89086", TEXT(TRIM(S346),"00000")="89084", TEXT(TRIM(S346),"00000")="89081"), "North LV",
  OR(TEXT(TRIM(S346),"00000")="89109", TEXT(TRIM(S346),"00000")="89103", TEXT(TRIM(S346),"00000")="89119", TEXT(TRIM(S346),"00000")="89123", TEXT(TRIM(S346),"00000")="89169", TEXT(TRIM(S346),"00000")="89118"), "South/Strip",
  OR(TEXT(TRIM(S346),"00000")="89074", TEXT(TRIM(S346),"00000")="89014", TEXT(TRIM(S346),"00000")="89015", TEXT(TRIM(S346),"00000")="89011", TEXT(TRIM(S346),"00000")="89012"), "Suburban SE",
  OR(TEXT(TRIM(S346),"00000")="89117", TEXT(TRIM(S346),"00000")="89128", TEXT(TRIM(S346),"00000")="89135", TEXT(TRIM(S346),"00000")="89144", TEXT(TRIM(S346),"00000")="89145", TEXT(TRIM(S346),"00000")="89147"), "West Valley",
  TRUE, "Other"
)</f>
        <v>Missing/Unknown</v>
      </c>
      <c r="U346" t="s">
        <v>3298</v>
      </c>
      <c r="V346" t="str">
        <f t="shared" si="23"/>
        <v>Outdoors/Public</v>
      </c>
    </row>
    <row r="347" spans="1:22">
      <c r="A347" t="s">
        <v>2552</v>
      </c>
      <c r="B347" t="s">
        <v>2553</v>
      </c>
      <c r="C347" s="1">
        <v>45478</v>
      </c>
      <c r="D347" s="4">
        <v>111.02</v>
      </c>
      <c r="E347">
        <v>51</v>
      </c>
      <c r="F347" t="str">
        <f t="shared" si="20"/>
        <v>50's</v>
      </c>
      <c r="G347" t="str" cm="1">
        <f t="array" ref="G347">_xlfn.IFS(
  F347="10's", "Child (5–12)",
  OR(F347="20's", F347="30's"), "Young Adult (20–39)",
  OR(F347="40's", F347="50's"), "Adult (40–59)",
  OR(F347="60's", F347="70's", F347="80's", F347="90's"), "Senior (60+)",
  TRUE, "Unknown"
)</f>
        <v>Adult (40–59)</v>
      </c>
      <c r="H347" t="s">
        <v>27</v>
      </c>
      <c r="I347" t="s">
        <v>4035</v>
      </c>
      <c r="J347" t="str">
        <f t="shared" si="21"/>
        <v>Methamphetamine-related</v>
      </c>
      <c r="K347" t="s">
        <v>54</v>
      </c>
      <c r="L347" t="s">
        <v>1071</v>
      </c>
      <c r="M347" t="s">
        <v>4993</v>
      </c>
      <c r="N347" t="s">
        <v>5101</v>
      </c>
      <c r="O347" t="str" cm="1">
        <f t="array" ref="O347">_xlfn.IFS(
  TEXT(TRIM(N347),"00000")="NULL", "Missing/Unknown",
  OR(TEXT(TRIM(N347),"00000")="89101", TEXT(TRIM(N347),"00000")="89104", TEXT(TRIM(N347),"00000")="89106", TEXT(TRIM(N347),"00000")="89102", TEXT(TRIM(N347),"00000")="89107", TEXT(TRIM(N347),"00000")="89108"), "Urban Core",
  OR(TEXT(TRIM(N347),"00000")="89110", TEXT(TRIM(N347),"00000")="89115", TEXT(TRIM(N347),"00000")="89121", TEXT(TRIM(N347),"00000")="89122", TEXT(TRIM(N347),"00000")="89142", TEXT(TRIM(N347),"00000")="89156"), "East Valley",
  OR(TEXT(TRIM(N347),"00000")="89030", TEXT(TRIM(N347),"00000")="89031", TEXT(TRIM(N347),"00000")="89032", TEXT(TRIM(N347),"00000")="89086", TEXT(TRIM(N347),"00000")="89084", TEXT(TRIM(N347),"00000")="89081"), "North LV",
  OR(TEXT(TRIM(N347),"00000")="89109", TEXT(TRIM(N347),"00000")="89103", TEXT(TRIM(N347),"00000")="89119", TEXT(TRIM(N347),"00000")="89123", TEXT(TRIM(N347),"00000")="89169", TEXT(TRIM(N347),"00000")="89118"), "South/Strip",
  OR(TEXT(TRIM(N347),"00000")="89074", TEXT(TRIM(N347),"00000")="89014", TEXT(TRIM(N347),"00000")="89015", TEXT(TRIM(N347),"00000")="89011", TEXT(TRIM(N347),"00000")="89012"), "Suburban SE",
  OR(TEXT(TRIM(N347),"00000")="89117", TEXT(TRIM(N347),"00000")="89128", TEXT(TRIM(N347),"00000")="89135", TEXT(TRIM(N347),"00000")="89144", TEXT(TRIM(N347),"00000")="89145", TEXT(TRIM(N347),"00000")="89147"), "West Valley",
  TRUE, "Other"
)</f>
        <v>Urban Core</v>
      </c>
      <c r="P347" t="s">
        <v>2556</v>
      </c>
      <c r="Q347" t="str">
        <f t="shared" si="22"/>
        <v>Home/Residence</v>
      </c>
      <c r="R347" t="s">
        <v>4993</v>
      </c>
      <c r="S347" t="s">
        <v>5101</v>
      </c>
      <c r="T347" t="str" cm="1">
        <f t="array" ref="T347">_xlfn.IFS(
  TEXT(TRIM(S347),"00000")="NULL", "Missing/Unknown",
  OR(TEXT(TRIM(S347),"00000")="89101", TEXT(TRIM(S347),"00000")="89104", TEXT(TRIM(S347),"00000")="89106", TEXT(TRIM(S347),"00000")="89102", TEXT(TRIM(S347),"00000")="89107", TEXT(TRIM(S347),"00000")="89108"), "Urban Core",
  OR(TEXT(TRIM(S347),"00000")="89110", TEXT(TRIM(S347),"00000")="89115", TEXT(TRIM(S347),"00000")="89121", TEXT(TRIM(S347),"00000")="89122", TEXT(TRIM(S347),"00000")="89142", TEXT(TRIM(S347),"00000")="89156"), "East Valley",
  OR(TEXT(TRIM(S347),"00000")="89030", TEXT(TRIM(S347),"00000")="89031", TEXT(TRIM(S347),"00000")="89032", TEXT(TRIM(S347),"00000")="89086", TEXT(TRIM(S347),"00000")="89084", TEXT(TRIM(S347),"00000")="89081"), "North LV",
  OR(TEXT(TRIM(S347),"00000")="89109", TEXT(TRIM(S347),"00000")="89103", TEXT(TRIM(S347),"00000")="89119", TEXT(TRIM(S347),"00000")="89123", TEXT(TRIM(S347),"00000")="89169", TEXT(TRIM(S347),"00000")="89118"), "South/Strip",
  OR(TEXT(TRIM(S347),"00000")="89074", TEXT(TRIM(S347),"00000")="89014", TEXT(TRIM(S347),"00000")="89015", TEXT(TRIM(S347),"00000")="89011", TEXT(TRIM(S347),"00000")="89012"), "Suburban SE",
  OR(TEXT(TRIM(S347),"00000")="89117", TEXT(TRIM(S347),"00000")="89128", TEXT(TRIM(S347),"00000")="89135", TEXT(TRIM(S347),"00000")="89144", TEXT(TRIM(S347),"00000")="89145", TEXT(TRIM(S347),"00000")="89147"), "West Valley",
  TRUE, "Other"
)</f>
        <v>Urban Core</v>
      </c>
      <c r="U347" t="s">
        <v>2556</v>
      </c>
      <c r="V347" t="str">
        <f t="shared" si="23"/>
        <v>Home/Residence</v>
      </c>
    </row>
    <row r="348" spans="1:22">
      <c r="A348" t="s">
        <v>2997</v>
      </c>
      <c r="B348" t="s">
        <v>2998</v>
      </c>
      <c r="C348" s="1">
        <v>45478</v>
      </c>
      <c r="D348" s="4">
        <v>111.02</v>
      </c>
      <c r="E348">
        <v>58</v>
      </c>
      <c r="F348" t="str">
        <f t="shared" si="20"/>
        <v>50's</v>
      </c>
      <c r="G348" t="str" cm="1">
        <f t="array" ref="G348">_xlfn.IFS(
  F348="10's", "Child (5–12)",
  OR(F348="20's", F348="30's"), "Young Adult (20–39)",
  OR(F348="40's", F348="50's"), "Adult (40–59)",
  OR(F348="60's", F348="70's", F348="80's", F348="90's"), "Senior (60+)",
  TRUE, "Unknown"
)</f>
        <v>Adult (40–59)</v>
      </c>
      <c r="H348" t="s">
        <v>841</v>
      </c>
      <c r="I348" t="s">
        <v>54</v>
      </c>
      <c r="J348" t="str">
        <f t="shared" si="21"/>
        <v>Environmental Heat</v>
      </c>
      <c r="K348" t="s">
        <v>4185</v>
      </c>
      <c r="L348" t="s">
        <v>1071</v>
      </c>
      <c r="M348" t="s">
        <v>4874</v>
      </c>
      <c r="N348" t="s">
        <v>5103</v>
      </c>
      <c r="O348" t="str" cm="1">
        <f t="array" ref="O348">_xlfn.IFS(
  TEXT(TRIM(N348),"00000")="NULL", "Missing/Unknown",
  OR(TEXT(TRIM(N348),"00000")="89101", TEXT(TRIM(N348),"00000")="89104", TEXT(TRIM(N348),"00000")="89106", TEXT(TRIM(N348),"00000")="89102", TEXT(TRIM(N348),"00000")="89107", TEXT(TRIM(N348),"00000")="89108"), "Urban Core",
  OR(TEXT(TRIM(N348),"00000")="89110", TEXT(TRIM(N348),"00000")="89115", TEXT(TRIM(N348),"00000")="89121", TEXT(TRIM(N348),"00000")="89122", TEXT(TRIM(N348),"00000")="89142", TEXT(TRIM(N348),"00000")="89156"), "East Valley",
  OR(TEXT(TRIM(N348),"00000")="89030", TEXT(TRIM(N348),"00000")="89031", TEXT(TRIM(N348),"00000")="89032", TEXT(TRIM(N348),"00000")="89086", TEXT(TRIM(N348),"00000")="89084", TEXT(TRIM(N348),"00000")="89081"), "North LV",
  OR(TEXT(TRIM(N348),"00000")="89109", TEXT(TRIM(N348),"00000")="89103", TEXT(TRIM(N348),"00000")="89119", TEXT(TRIM(N348),"00000")="89123", TEXT(TRIM(N348),"00000")="89169", TEXT(TRIM(N348),"00000")="89118"), "South/Strip",
  OR(TEXT(TRIM(N348),"00000")="89074", TEXT(TRIM(N348),"00000")="89014", TEXT(TRIM(N348),"00000")="89015", TEXT(TRIM(N348),"00000")="89011", TEXT(TRIM(N348),"00000")="89012"), "Suburban SE",
  OR(TEXT(TRIM(N348),"00000")="89117", TEXT(TRIM(N348),"00000")="89128", TEXT(TRIM(N348),"00000")="89135", TEXT(TRIM(N348),"00000")="89144", TEXT(TRIM(N348),"00000")="89145", TEXT(TRIM(N348),"00000")="89147"), "West Valley",
  TRUE, "Other"
)</f>
        <v>Other</v>
      </c>
      <c r="P348" t="s">
        <v>24</v>
      </c>
      <c r="Q348" t="str">
        <f t="shared" si="22"/>
        <v>Outdoors/Public</v>
      </c>
      <c r="R348" t="s">
        <v>4874</v>
      </c>
      <c r="S348" t="s">
        <v>5103</v>
      </c>
      <c r="T348" t="str" cm="1">
        <f t="array" ref="T348">_xlfn.IFS(
  TEXT(TRIM(S348),"00000")="NULL", "Missing/Unknown",
  OR(TEXT(TRIM(S348),"00000")="89101", TEXT(TRIM(S348),"00000")="89104", TEXT(TRIM(S348),"00000")="89106", TEXT(TRIM(S348),"00000")="89102", TEXT(TRIM(S348),"00000")="89107", TEXT(TRIM(S348),"00000")="89108"), "Urban Core",
  OR(TEXT(TRIM(S348),"00000")="89110", TEXT(TRIM(S348),"00000")="89115", TEXT(TRIM(S348),"00000")="89121", TEXT(TRIM(S348),"00000")="89122", TEXT(TRIM(S348),"00000")="89142", TEXT(TRIM(S348),"00000")="89156"), "East Valley",
  OR(TEXT(TRIM(S348),"00000")="89030", TEXT(TRIM(S348),"00000")="89031", TEXT(TRIM(S348),"00000")="89032", TEXT(TRIM(S348),"00000")="89086", TEXT(TRIM(S348),"00000")="89084", TEXT(TRIM(S348),"00000")="89081"), "North LV",
  OR(TEXT(TRIM(S348),"00000")="89109", TEXT(TRIM(S348),"00000")="89103", TEXT(TRIM(S348),"00000")="89119", TEXT(TRIM(S348),"00000")="89123", TEXT(TRIM(S348),"00000")="89169", TEXT(TRIM(S348),"00000")="89118"), "South/Strip",
  OR(TEXT(TRIM(S348),"00000")="89074", TEXT(TRIM(S348),"00000")="89014", TEXT(TRIM(S348),"00000")="89015", TEXT(TRIM(S348),"00000")="89011", TEXT(TRIM(S348),"00000")="89012"), "Suburban SE",
  OR(TEXT(TRIM(S348),"00000")="89117", TEXT(TRIM(S348),"00000")="89128", TEXT(TRIM(S348),"00000")="89135", TEXT(TRIM(S348),"00000")="89144", TEXT(TRIM(S348),"00000")="89145", TEXT(TRIM(S348),"00000")="89147"), "West Valley",
  TRUE, "Other"
)</f>
        <v>Other</v>
      </c>
      <c r="U348" t="s">
        <v>24</v>
      </c>
      <c r="V348" t="str">
        <f t="shared" si="23"/>
        <v>Outdoors/Public</v>
      </c>
    </row>
    <row r="349" spans="1:22">
      <c r="A349" t="s">
        <v>2865</v>
      </c>
      <c r="B349" t="s">
        <v>2866</v>
      </c>
      <c r="C349" s="1">
        <v>45478</v>
      </c>
      <c r="D349" s="4">
        <v>111.02</v>
      </c>
      <c r="E349">
        <v>64</v>
      </c>
      <c r="F349" t="str">
        <f t="shared" si="20"/>
        <v>60's</v>
      </c>
      <c r="G349" t="str" cm="1">
        <f t="array" ref="G349">_xlfn.IFS(
  F349="10's", "Child (5–12)",
  OR(F349="20's", F349="30's"), "Young Adult (20–39)",
  OR(F349="40's", F349="50's"), "Adult (40–59)",
  OR(F349="60's", F349="70's", F349="80's", F349="90's"), "Senior (60+)",
  TRUE, "Unknown"
)</f>
        <v>Senior (60+)</v>
      </c>
      <c r="H349" t="s">
        <v>841</v>
      </c>
      <c r="I349" t="s">
        <v>35</v>
      </c>
      <c r="J349" t="str">
        <f t="shared" si="21"/>
        <v>Environmental Heat</v>
      </c>
      <c r="K349" t="s">
        <v>28</v>
      </c>
      <c r="L349" t="s">
        <v>250</v>
      </c>
      <c r="N349" t="s">
        <v>5095</v>
      </c>
      <c r="O349" t="str" cm="1">
        <f t="array" ref="O349">_xlfn.IFS(
  TEXT(TRIM(N349),"00000")="NULL", "Missing/Unknown",
  OR(TEXT(TRIM(N349),"00000")="89101", TEXT(TRIM(N349),"00000")="89104", TEXT(TRIM(N349),"00000")="89106", TEXT(TRIM(N349),"00000")="89102", TEXT(TRIM(N349),"00000")="89107", TEXT(TRIM(N349),"00000")="89108"), "Urban Core",
  OR(TEXT(TRIM(N349),"00000")="89110", TEXT(TRIM(N349),"00000")="89115", TEXT(TRIM(N349),"00000")="89121", TEXT(TRIM(N349),"00000")="89122", TEXT(TRIM(N349),"00000")="89142", TEXT(TRIM(N349),"00000")="89156"), "East Valley",
  OR(TEXT(TRIM(N349),"00000")="89030", TEXT(TRIM(N349),"00000")="89031", TEXT(TRIM(N349),"00000")="89032", TEXT(TRIM(N349),"00000")="89086", TEXT(TRIM(N349),"00000")="89084", TEXT(TRIM(N349),"00000")="89081"), "North LV",
  OR(TEXT(TRIM(N349),"00000")="89109", TEXT(TRIM(N349),"00000")="89103", TEXT(TRIM(N349),"00000")="89119", TEXT(TRIM(N349),"00000")="89123", TEXT(TRIM(N349),"00000")="89169", TEXT(TRIM(N349),"00000")="89118"), "South/Strip",
  OR(TEXT(TRIM(N349),"00000")="89074", TEXT(TRIM(N349),"00000")="89014", TEXT(TRIM(N349),"00000")="89015", TEXT(TRIM(N349),"00000")="89011", TEXT(TRIM(N349),"00000")="89012"), "Suburban SE",
  OR(TEXT(TRIM(N349),"00000")="89117", TEXT(TRIM(N349),"00000")="89128", TEXT(TRIM(N349),"00000")="89135", TEXT(TRIM(N349),"00000")="89144", TEXT(TRIM(N349),"00000")="89145", TEXT(TRIM(N349),"00000")="89147"), "West Valley",
  TRUE, "Other"
)</f>
        <v>Missing/Unknown</v>
      </c>
      <c r="P349" t="s">
        <v>3298</v>
      </c>
      <c r="Q349" t="str">
        <f t="shared" si="22"/>
        <v>Outdoors/Public</v>
      </c>
      <c r="S349" t="s">
        <v>5095</v>
      </c>
      <c r="T349" t="str" cm="1">
        <f t="array" ref="T349">_xlfn.IFS(
  TEXT(TRIM(S349),"00000")="NULL", "Missing/Unknown",
  OR(TEXT(TRIM(S349),"00000")="89101", TEXT(TRIM(S349),"00000")="89104", TEXT(TRIM(S349),"00000")="89106", TEXT(TRIM(S349),"00000")="89102", TEXT(TRIM(S349),"00000")="89107", TEXT(TRIM(S349),"00000")="89108"), "Urban Core",
  OR(TEXT(TRIM(S349),"00000")="89110", TEXT(TRIM(S349),"00000")="89115", TEXT(TRIM(S349),"00000")="89121", TEXT(TRIM(S349),"00000")="89122", TEXT(TRIM(S349),"00000")="89142", TEXT(TRIM(S349),"00000")="89156"), "East Valley",
  OR(TEXT(TRIM(S349),"00000")="89030", TEXT(TRIM(S349),"00000")="89031", TEXT(TRIM(S349),"00000")="89032", TEXT(TRIM(S349),"00000")="89086", TEXT(TRIM(S349),"00000")="89084", TEXT(TRIM(S349),"00000")="89081"), "North LV",
  OR(TEXT(TRIM(S349),"00000")="89109", TEXT(TRIM(S349),"00000")="89103", TEXT(TRIM(S349),"00000")="89119", TEXT(TRIM(S349),"00000")="89123", TEXT(TRIM(S349),"00000")="89169", TEXT(TRIM(S349),"00000")="89118"), "South/Strip",
  OR(TEXT(TRIM(S349),"00000")="89074", TEXT(TRIM(S349),"00000")="89014", TEXT(TRIM(S349),"00000")="89015", TEXT(TRIM(S349),"00000")="89011", TEXT(TRIM(S349),"00000")="89012"), "Suburban SE",
  OR(TEXT(TRIM(S349),"00000")="89117", TEXT(TRIM(S349),"00000")="89128", TEXT(TRIM(S349),"00000")="89135", TEXT(TRIM(S349),"00000")="89144", TEXT(TRIM(S349),"00000")="89145", TEXT(TRIM(S349),"00000")="89147"), "West Valley",
  TRUE, "Other"
)</f>
        <v>Missing/Unknown</v>
      </c>
      <c r="U349" t="s">
        <v>3298</v>
      </c>
      <c r="V349" t="str">
        <f t="shared" si="23"/>
        <v>Outdoors/Public</v>
      </c>
    </row>
    <row r="350" spans="1:22">
      <c r="A350" t="s">
        <v>2995</v>
      </c>
      <c r="B350" t="s">
        <v>2996</v>
      </c>
      <c r="C350" s="1">
        <v>45478</v>
      </c>
      <c r="D350" s="4">
        <v>111.02</v>
      </c>
      <c r="E350">
        <v>52</v>
      </c>
      <c r="F350" t="str">
        <f t="shared" si="20"/>
        <v>50's</v>
      </c>
      <c r="G350" t="str" cm="1">
        <f t="array" ref="G350">_xlfn.IFS(
  F350="10's", "Child (5–12)",
  OR(F350="20's", F350="30's"), "Young Adult (20–39)",
  OR(F350="40's", F350="50's"), "Adult (40–59)",
  OR(F350="60's", F350="70's", F350="80's", F350="90's"), "Senior (60+)",
  TRUE, "Unknown"
)</f>
        <v>Adult (40–59)</v>
      </c>
      <c r="H350" t="s">
        <v>778</v>
      </c>
      <c r="I350" t="s">
        <v>54</v>
      </c>
      <c r="J350" t="str">
        <f t="shared" si="21"/>
        <v>Environmental Heat</v>
      </c>
      <c r="K350" t="s">
        <v>4016</v>
      </c>
      <c r="L350" t="s">
        <v>250</v>
      </c>
      <c r="N350" t="s">
        <v>5095</v>
      </c>
      <c r="O350" t="str" cm="1">
        <f t="array" ref="O350">_xlfn.IFS(
  TEXT(TRIM(N350),"00000")="NULL", "Missing/Unknown",
  OR(TEXT(TRIM(N350),"00000")="89101", TEXT(TRIM(N350),"00000")="89104", TEXT(TRIM(N350),"00000")="89106", TEXT(TRIM(N350),"00000")="89102", TEXT(TRIM(N350),"00000")="89107", TEXT(TRIM(N350),"00000")="89108"), "Urban Core",
  OR(TEXT(TRIM(N350),"00000")="89110", TEXT(TRIM(N350),"00000")="89115", TEXT(TRIM(N350),"00000")="89121", TEXT(TRIM(N350),"00000")="89122", TEXT(TRIM(N350),"00000")="89142", TEXT(TRIM(N350),"00000")="89156"), "East Valley",
  OR(TEXT(TRIM(N350),"00000")="89030", TEXT(TRIM(N350),"00000")="89031", TEXT(TRIM(N350),"00000")="89032", TEXT(TRIM(N350),"00000")="89086", TEXT(TRIM(N350),"00000")="89084", TEXT(TRIM(N350),"00000")="89081"), "North LV",
  OR(TEXT(TRIM(N350),"00000")="89109", TEXT(TRIM(N350),"00000")="89103", TEXT(TRIM(N350),"00000")="89119", TEXT(TRIM(N350),"00000")="89123", TEXT(TRIM(N350),"00000")="89169", TEXT(TRIM(N350),"00000")="89118"), "South/Strip",
  OR(TEXT(TRIM(N350),"00000")="89074", TEXT(TRIM(N350),"00000")="89014", TEXT(TRIM(N350),"00000")="89015", TEXT(TRIM(N350),"00000")="89011", TEXT(TRIM(N350),"00000")="89012"), "Suburban SE",
  OR(TEXT(TRIM(N350),"00000")="89117", TEXT(TRIM(N350),"00000")="89128", TEXT(TRIM(N350),"00000")="89135", TEXT(TRIM(N350),"00000")="89144", TEXT(TRIM(N350),"00000")="89145", TEXT(TRIM(N350),"00000")="89147"), "West Valley",
  TRUE, "Other"
)</f>
        <v>Missing/Unknown</v>
      </c>
      <c r="P350" t="s">
        <v>3298</v>
      </c>
      <c r="Q350" t="str">
        <f t="shared" si="22"/>
        <v>Outdoors/Public</v>
      </c>
      <c r="S350" t="s">
        <v>5095</v>
      </c>
      <c r="T350" t="str" cm="1">
        <f t="array" ref="T350">_xlfn.IFS(
  TEXT(TRIM(S350),"00000")="NULL", "Missing/Unknown",
  OR(TEXT(TRIM(S350),"00000")="89101", TEXT(TRIM(S350),"00000")="89104", TEXT(TRIM(S350),"00000")="89106", TEXT(TRIM(S350),"00000")="89102", TEXT(TRIM(S350),"00000")="89107", TEXT(TRIM(S350),"00000")="89108"), "Urban Core",
  OR(TEXT(TRIM(S350),"00000")="89110", TEXT(TRIM(S350),"00000")="89115", TEXT(TRIM(S350),"00000")="89121", TEXT(TRIM(S350),"00000")="89122", TEXT(TRIM(S350),"00000")="89142", TEXT(TRIM(S350),"00000")="89156"), "East Valley",
  OR(TEXT(TRIM(S350),"00000")="89030", TEXT(TRIM(S350),"00000")="89031", TEXT(TRIM(S350),"00000")="89032", TEXT(TRIM(S350),"00000")="89086", TEXT(TRIM(S350),"00000")="89084", TEXT(TRIM(S350),"00000")="89081"), "North LV",
  OR(TEXT(TRIM(S350),"00000")="89109", TEXT(TRIM(S350),"00000")="89103", TEXT(TRIM(S350),"00000")="89119", TEXT(TRIM(S350),"00000")="89123", TEXT(TRIM(S350),"00000")="89169", TEXT(TRIM(S350),"00000")="89118"), "South/Strip",
  OR(TEXT(TRIM(S350),"00000")="89074", TEXT(TRIM(S350),"00000")="89014", TEXT(TRIM(S350),"00000")="89015", TEXT(TRIM(S350),"00000")="89011", TEXT(TRIM(S350),"00000")="89012"), "Suburban SE",
  OR(TEXT(TRIM(S350),"00000")="89117", TEXT(TRIM(S350),"00000")="89128", TEXT(TRIM(S350),"00000")="89135", TEXT(TRIM(S350),"00000")="89144", TEXT(TRIM(S350),"00000")="89145", TEXT(TRIM(S350),"00000")="89147"), "West Valley",
  TRUE, "Other"
)</f>
        <v>Missing/Unknown</v>
      </c>
      <c r="U350" t="s">
        <v>3298</v>
      </c>
      <c r="V350" t="str">
        <f t="shared" si="23"/>
        <v>Outdoors/Public</v>
      </c>
    </row>
    <row r="351" spans="1:22">
      <c r="A351" t="s">
        <v>3295</v>
      </c>
      <c r="B351" t="s">
        <v>3296</v>
      </c>
      <c r="C351" s="1">
        <v>45477</v>
      </c>
      <c r="D351" s="4">
        <v>114.08</v>
      </c>
      <c r="E351">
        <v>47</v>
      </c>
      <c r="F351" t="str">
        <f t="shared" si="20"/>
        <v>40's</v>
      </c>
      <c r="G351" t="str" cm="1">
        <f t="array" ref="G351">_xlfn.IFS(
  F351="10's", "Child (5–12)",
  OR(F351="20's", F351="30's"), "Young Adult (20–39)",
  OR(F351="40's", F351="50's"), "Adult (40–59)",
  OR(F351="60's", F351="70's", F351="80's", F351="90's"), "Senior (60+)",
  TRUE, "Unknown"
)</f>
        <v>Adult (40–59)</v>
      </c>
      <c r="H351" t="s">
        <v>841</v>
      </c>
      <c r="I351" t="s">
        <v>163</v>
      </c>
      <c r="J351" t="str">
        <f t="shared" si="21"/>
        <v>Environmental Heat</v>
      </c>
      <c r="K351" t="s">
        <v>172</v>
      </c>
      <c r="L351" t="s">
        <v>1071</v>
      </c>
      <c r="N351" t="s">
        <v>5095</v>
      </c>
      <c r="O351" t="str" cm="1">
        <f t="array" ref="O351">_xlfn.IFS(
  TEXT(TRIM(N351),"00000")="NULL", "Missing/Unknown",
  OR(TEXT(TRIM(N351),"00000")="89101", TEXT(TRIM(N351),"00000")="89104", TEXT(TRIM(N351),"00000")="89106", TEXT(TRIM(N351),"00000")="89102", TEXT(TRIM(N351),"00000")="89107", TEXT(TRIM(N351),"00000")="89108"), "Urban Core",
  OR(TEXT(TRIM(N351),"00000")="89110", TEXT(TRIM(N351),"00000")="89115", TEXT(TRIM(N351),"00000")="89121", TEXT(TRIM(N351),"00000")="89122", TEXT(TRIM(N351),"00000")="89142", TEXT(TRIM(N351),"00000")="89156"), "East Valley",
  OR(TEXT(TRIM(N351),"00000")="89030", TEXT(TRIM(N351),"00000")="89031", TEXT(TRIM(N351),"00000")="89032", TEXT(TRIM(N351),"00000")="89086", TEXT(TRIM(N351),"00000")="89084", TEXT(TRIM(N351),"00000")="89081"), "North LV",
  OR(TEXT(TRIM(N351),"00000")="89109", TEXT(TRIM(N351),"00000")="89103", TEXT(TRIM(N351),"00000")="89119", TEXT(TRIM(N351),"00000")="89123", TEXT(TRIM(N351),"00000")="89169", TEXT(TRIM(N351),"00000")="89118"), "South/Strip",
  OR(TEXT(TRIM(N351),"00000")="89074", TEXT(TRIM(N351),"00000")="89014", TEXT(TRIM(N351),"00000")="89015", TEXT(TRIM(N351),"00000")="89011", TEXT(TRIM(N351),"00000")="89012"), "Suburban SE",
  OR(TEXT(TRIM(N351),"00000")="89117", TEXT(TRIM(N351),"00000")="89128", TEXT(TRIM(N351),"00000")="89135", TEXT(TRIM(N351),"00000")="89144", TEXT(TRIM(N351),"00000")="89145", TEXT(TRIM(N351),"00000")="89147"), "West Valley",
  TRUE, "Other"
)</f>
        <v>Missing/Unknown</v>
      </c>
      <c r="P351" t="s">
        <v>3298</v>
      </c>
      <c r="Q351" t="str">
        <f t="shared" si="22"/>
        <v>Outdoors/Public</v>
      </c>
      <c r="R351" t="s">
        <v>5053</v>
      </c>
      <c r="S351" t="s">
        <v>5110</v>
      </c>
      <c r="T351" t="str" cm="1">
        <f t="array" ref="T351">_xlfn.IFS(
  TEXT(TRIM(S351),"00000")="NULL", "Missing/Unknown",
  OR(TEXT(TRIM(S351),"00000")="89101", TEXT(TRIM(S351),"00000")="89104", TEXT(TRIM(S351),"00000")="89106", TEXT(TRIM(S351),"00000")="89102", TEXT(TRIM(S351),"00000")="89107", TEXT(TRIM(S351),"00000")="89108"), "Urban Core",
  OR(TEXT(TRIM(S351),"00000")="89110", TEXT(TRIM(S351),"00000")="89115", TEXT(TRIM(S351),"00000")="89121", TEXT(TRIM(S351),"00000")="89122", TEXT(TRIM(S351),"00000")="89142", TEXT(TRIM(S351),"00000")="89156"), "East Valley",
  OR(TEXT(TRIM(S351),"00000")="89030", TEXT(TRIM(S351),"00000")="89031", TEXT(TRIM(S351),"00000")="89032", TEXT(TRIM(S351),"00000")="89086", TEXT(TRIM(S351),"00000")="89084", TEXT(TRIM(S351),"00000")="89081"), "North LV",
  OR(TEXT(TRIM(S351),"00000")="89109", TEXT(TRIM(S351),"00000")="89103", TEXT(TRIM(S351),"00000")="89119", TEXT(TRIM(S351),"00000")="89123", TEXT(TRIM(S351),"00000")="89169", TEXT(TRIM(S351),"00000")="89118"), "South/Strip",
  OR(TEXT(TRIM(S351),"00000")="89074", TEXT(TRIM(S351),"00000")="89014", TEXT(TRIM(S351),"00000")="89015", TEXT(TRIM(S351),"00000")="89011", TEXT(TRIM(S351),"00000")="89012"), "Suburban SE",
  OR(TEXT(TRIM(S351),"00000")="89117", TEXT(TRIM(S351),"00000")="89128", TEXT(TRIM(S351),"00000")="89135", TEXT(TRIM(S351),"00000")="89144", TEXT(TRIM(S351),"00000")="89145", TEXT(TRIM(S351),"00000")="89147"), "West Valley",
  TRUE, "Other"
)</f>
        <v>Suburban SE</v>
      </c>
      <c r="U351" t="s">
        <v>2433</v>
      </c>
      <c r="V351" t="str">
        <f t="shared" si="23"/>
        <v>Medical Facility</v>
      </c>
    </row>
    <row r="352" spans="1:22">
      <c r="A352" t="s">
        <v>3516</v>
      </c>
      <c r="B352" t="s">
        <v>3517</v>
      </c>
      <c r="C352" s="1">
        <v>45477</v>
      </c>
      <c r="D352" s="4">
        <v>114.08</v>
      </c>
      <c r="E352">
        <v>66</v>
      </c>
      <c r="F352" t="str">
        <f t="shared" si="20"/>
        <v>60's</v>
      </c>
      <c r="G352" t="str" cm="1">
        <f t="array" ref="G352">_xlfn.IFS(
  F352="10's", "Child (5–12)",
  OR(F352="20's", F352="30's"), "Young Adult (20–39)",
  OR(F352="40's", F352="50's"), "Adult (40–59)",
  OR(F352="60's", F352="70's", F352="80's", F352="90's"), "Senior (60+)",
  TRUE, "Unknown"
)</f>
        <v>Senior (60+)</v>
      </c>
      <c r="H352" t="s">
        <v>841</v>
      </c>
      <c r="I352" t="s">
        <v>28</v>
      </c>
      <c r="J352" t="str">
        <f t="shared" si="21"/>
        <v>Cardiovascular Disease</v>
      </c>
      <c r="K352" t="s">
        <v>54</v>
      </c>
      <c r="L352" t="s">
        <v>1071</v>
      </c>
      <c r="M352" t="s">
        <v>4623</v>
      </c>
      <c r="N352" t="s">
        <v>5109</v>
      </c>
      <c r="O352" t="str" cm="1">
        <f t="array" ref="O352">_xlfn.IFS(
  TEXT(TRIM(N352),"00000")="NULL", "Missing/Unknown",
  OR(TEXT(TRIM(N352),"00000")="89101", TEXT(TRIM(N352),"00000")="89104", TEXT(TRIM(N352),"00000")="89106", TEXT(TRIM(N352),"00000")="89102", TEXT(TRIM(N352),"00000")="89107", TEXT(TRIM(N352),"00000")="89108"), "Urban Core",
  OR(TEXT(TRIM(N352),"00000")="89110", TEXT(TRIM(N352),"00000")="89115", TEXT(TRIM(N352),"00000")="89121", TEXT(TRIM(N352),"00000")="89122", TEXT(TRIM(N352),"00000")="89142", TEXT(TRIM(N352),"00000")="89156"), "East Valley",
  OR(TEXT(TRIM(N352),"00000")="89030", TEXT(TRIM(N352),"00000")="89031", TEXT(TRIM(N352),"00000")="89032", TEXT(TRIM(N352),"00000")="89086", TEXT(TRIM(N352),"00000")="89084", TEXT(TRIM(N352),"00000")="89081"), "North LV",
  OR(TEXT(TRIM(N352),"00000")="89109", TEXT(TRIM(N352),"00000")="89103", TEXT(TRIM(N352),"00000")="89119", TEXT(TRIM(N352),"00000")="89123", TEXT(TRIM(N352),"00000")="89169", TEXT(TRIM(N352),"00000")="89118"), "South/Strip",
  OR(TEXT(TRIM(N352),"00000")="89074", TEXT(TRIM(N352),"00000")="89014", TEXT(TRIM(N352),"00000")="89015", TEXT(TRIM(N352),"00000")="89011", TEXT(TRIM(N352),"00000")="89012"), "Suburban SE",
  OR(TEXT(TRIM(N352),"00000")="89117", TEXT(TRIM(N352),"00000")="89128", TEXT(TRIM(N352),"00000")="89135", TEXT(TRIM(N352),"00000")="89144", TEXT(TRIM(N352),"00000")="89145", TEXT(TRIM(N352),"00000")="89147"), "West Valley",
  TRUE, "Other"
)</f>
        <v>South/Strip</v>
      </c>
      <c r="P352" t="s">
        <v>3519</v>
      </c>
      <c r="Q352" t="str">
        <f t="shared" si="22"/>
        <v>Home/Residence</v>
      </c>
      <c r="R352" t="s">
        <v>4623</v>
      </c>
      <c r="S352" t="s">
        <v>5109</v>
      </c>
      <c r="T352" t="str" cm="1">
        <f t="array" ref="T352">_xlfn.IFS(
  TEXT(TRIM(S352),"00000")="NULL", "Missing/Unknown",
  OR(TEXT(TRIM(S352),"00000")="89101", TEXT(TRIM(S352),"00000")="89104", TEXT(TRIM(S352),"00000")="89106", TEXT(TRIM(S352),"00000")="89102", TEXT(TRIM(S352),"00000")="89107", TEXT(TRIM(S352),"00000")="89108"), "Urban Core",
  OR(TEXT(TRIM(S352),"00000")="89110", TEXT(TRIM(S352),"00000")="89115", TEXT(TRIM(S352),"00000")="89121", TEXT(TRIM(S352),"00000")="89122", TEXT(TRIM(S352),"00000")="89142", TEXT(TRIM(S352),"00000")="89156"), "East Valley",
  OR(TEXT(TRIM(S352),"00000")="89030", TEXT(TRIM(S352),"00000")="89031", TEXT(TRIM(S352),"00000")="89032", TEXT(TRIM(S352),"00000")="89086", TEXT(TRIM(S352),"00000")="89084", TEXT(TRIM(S352),"00000")="89081"), "North LV",
  OR(TEXT(TRIM(S352),"00000")="89109", TEXT(TRIM(S352),"00000")="89103", TEXT(TRIM(S352),"00000")="89119", TEXT(TRIM(S352),"00000")="89123", TEXT(TRIM(S352),"00000")="89169", TEXT(TRIM(S352),"00000")="89118"), "South/Strip",
  OR(TEXT(TRIM(S352),"00000")="89074", TEXT(TRIM(S352),"00000")="89014", TEXT(TRIM(S352),"00000")="89015", TEXT(TRIM(S352),"00000")="89011", TEXT(TRIM(S352),"00000")="89012"), "Suburban SE",
  OR(TEXT(TRIM(S352),"00000")="89117", TEXT(TRIM(S352),"00000")="89128", TEXT(TRIM(S352),"00000")="89135", TEXT(TRIM(S352),"00000")="89144", TEXT(TRIM(S352),"00000")="89145", TEXT(TRIM(S352),"00000")="89147"), "West Valley",
  TRUE, "Other"
)</f>
        <v>South/Strip</v>
      </c>
      <c r="U352" t="s">
        <v>3298</v>
      </c>
      <c r="V352" t="str">
        <f t="shared" si="23"/>
        <v>Outdoors/Public</v>
      </c>
    </row>
    <row r="353" spans="1:22">
      <c r="A353" t="s">
        <v>3299</v>
      </c>
      <c r="B353" t="s">
        <v>3300</v>
      </c>
      <c r="C353" s="1">
        <v>45477</v>
      </c>
      <c r="D353" s="4">
        <v>114.08</v>
      </c>
      <c r="E353">
        <v>52</v>
      </c>
      <c r="F353" t="str">
        <f t="shared" si="20"/>
        <v>50's</v>
      </c>
      <c r="G353" t="str" cm="1">
        <f t="array" ref="G353">_xlfn.IFS(
  F353="10's", "Child (5–12)",
  OR(F353="20's", F353="30's"), "Young Adult (20–39)",
  OR(F353="40's", F353="50's"), "Adult (40–59)",
  OR(F353="60's", F353="70's", F353="80's", F353="90's"), "Senior (60+)",
  TRUE, "Unknown"
)</f>
        <v>Adult (40–59)</v>
      </c>
      <c r="H353" t="s">
        <v>841</v>
      </c>
      <c r="I353" t="s">
        <v>163</v>
      </c>
      <c r="J353" t="str">
        <f t="shared" si="21"/>
        <v>Environmental Heat</v>
      </c>
      <c r="K353" t="s">
        <v>172</v>
      </c>
      <c r="L353" t="s">
        <v>250</v>
      </c>
      <c r="M353" t="s">
        <v>4331</v>
      </c>
      <c r="N353" t="s">
        <v>5101</v>
      </c>
      <c r="O353" t="str" cm="1">
        <f t="array" ref="O353">_xlfn.IFS(
  TEXT(TRIM(N353),"00000")="NULL", "Missing/Unknown",
  OR(TEXT(TRIM(N353),"00000")="89101", TEXT(TRIM(N353),"00000")="89104", TEXT(TRIM(N353),"00000")="89106", TEXT(TRIM(N353),"00000")="89102", TEXT(TRIM(N353),"00000")="89107", TEXT(TRIM(N353),"00000")="89108"), "Urban Core",
  OR(TEXT(TRIM(N353),"00000")="89110", TEXT(TRIM(N353),"00000")="89115", TEXT(TRIM(N353),"00000")="89121", TEXT(TRIM(N353),"00000")="89122", TEXT(TRIM(N353),"00000")="89142", TEXT(TRIM(N353),"00000")="89156"), "East Valley",
  OR(TEXT(TRIM(N353),"00000")="89030", TEXT(TRIM(N353),"00000")="89031", TEXT(TRIM(N353),"00000")="89032", TEXT(TRIM(N353),"00000")="89086", TEXT(TRIM(N353),"00000")="89084", TEXT(TRIM(N353),"00000")="89081"), "North LV",
  OR(TEXT(TRIM(N353),"00000")="89109", TEXT(TRIM(N353),"00000")="89103", TEXT(TRIM(N353),"00000")="89119", TEXT(TRIM(N353),"00000")="89123", TEXT(TRIM(N353),"00000")="89169", TEXT(TRIM(N353),"00000")="89118"), "South/Strip",
  OR(TEXT(TRIM(N353),"00000")="89074", TEXT(TRIM(N353),"00000")="89014", TEXT(TRIM(N353),"00000")="89015", TEXT(TRIM(N353),"00000")="89011", TEXT(TRIM(N353),"00000")="89012"), "Suburban SE",
  OR(TEXT(TRIM(N353),"00000")="89117", TEXT(TRIM(N353),"00000")="89128", TEXT(TRIM(N353),"00000")="89135", TEXT(TRIM(N353),"00000")="89144", TEXT(TRIM(N353),"00000")="89145", TEXT(TRIM(N353),"00000")="89147"), "West Valley",
  TRUE, "Other"
)</f>
        <v>Urban Core</v>
      </c>
      <c r="P353" t="s">
        <v>3298</v>
      </c>
      <c r="Q353" t="str">
        <f t="shared" si="22"/>
        <v>Outdoors/Public</v>
      </c>
      <c r="R353" t="s">
        <v>4341</v>
      </c>
      <c r="S353" t="s">
        <v>5100</v>
      </c>
      <c r="T353" t="str" cm="1">
        <f t="array" ref="T353">_xlfn.IFS(
  TEXT(TRIM(S353),"00000")="NULL", "Missing/Unknown",
  OR(TEXT(TRIM(S353),"00000")="89101", TEXT(TRIM(S353),"00000")="89104", TEXT(TRIM(S353),"00000")="89106", TEXT(TRIM(S353),"00000")="89102", TEXT(TRIM(S353),"00000")="89107", TEXT(TRIM(S353),"00000")="89108"), "Urban Core",
  OR(TEXT(TRIM(S353),"00000")="89110", TEXT(TRIM(S353),"00000")="89115", TEXT(TRIM(S353),"00000")="89121", TEXT(TRIM(S353),"00000")="89122", TEXT(TRIM(S353),"00000")="89142", TEXT(TRIM(S353),"00000")="89156"), "East Valley",
  OR(TEXT(TRIM(S353),"00000")="89030", TEXT(TRIM(S353),"00000")="89031", TEXT(TRIM(S353),"00000")="89032", TEXT(TRIM(S353),"00000")="89086", TEXT(TRIM(S353),"00000")="89084", TEXT(TRIM(S353),"00000")="89081"), "North LV",
  OR(TEXT(TRIM(S353),"00000")="89109", TEXT(TRIM(S353),"00000")="89103", TEXT(TRIM(S353),"00000")="89119", TEXT(TRIM(S353),"00000")="89123", TEXT(TRIM(S353),"00000")="89169", TEXT(TRIM(S353),"00000")="89118"), "South/Strip",
  OR(TEXT(TRIM(S353),"00000")="89074", TEXT(TRIM(S353),"00000")="89014", TEXT(TRIM(S353),"00000")="89015", TEXT(TRIM(S353),"00000")="89011", TEXT(TRIM(S353),"00000")="89012"), "Suburban SE",
  OR(TEXT(TRIM(S353),"00000")="89117", TEXT(TRIM(S353),"00000")="89128", TEXT(TRIM(S353),"00000")="89135", TEXT(TRIM(S353),"00000")="89144", TEXT(TRIM(S353),"00000")="89145", TEXT(TRIM(S353),"00000")="89147"), "West Valley",
  TRUE, "Other"
)</f>
        <v>North LV</v>
      </c>
      <c r="U353" t="s">
        <v>2465</v>
      </c>
      <c r="V353" t="str">
        <f t="shared" si="23"/>
        <v>Medical Facility</v>
      </c>
    </row>
    <row r="354" spans="1:22">
      <c r="A354" t="s">
        <v>2991</v>
      </c>
      <c r="B354" t="s">
        <v>2992</v>
      </c>
      <c r="C354" s="1">
        <v>45477</v>
      </c>
      <c r="D354" s="4">
        <v>114.08</v>
      </c>
      <c r="E354">
        <v>85</v>
      </c>
      <c r="F354" t="str">
        <f t="shared" si="20"/>
        <v>80's</v>
      </c>
      <c r="G354" t="str" cm="1">
        <f t="array" ref="G354">_xlfn.IFS(
  F354="10's", "Child (5–12)",
  OR(F354="20's", F354="30's"), "Young Adult (20–39)",
  OR(F354="40's", F354="50's"), "Adult (40–59)",
  OR(F354="60's", F354="70's", F354="80's", F354="90's"), "Senior (60+)",
  TRUE, "Unknown"
)</f>
        <v>Senior (60+)</v>
      </c>
      <c r="H354" t="s">
        <v>778</v>
      </c>
      <c r="I354" t="s">
        <v>54</v>
      </c>
      <c r="J354" t="str">
        <f t="shared" si="21"/>
        <v>Environmental Heat</v>
      </c>
      <c r="K354" t="s">
        <v>2993</v>
      </c>
      <c r="L354" t="s">
        <v>1071</v>
      </c>
      <c r="M354" t="s">
        <v>4940</v>
      </c>
      <c r="N354" t="s">
        <v>5109</v>
      </c>
      <c r="O354" t="str" cm="1">
        <f t="array" ref="O354">_xlfn.IFS(
  TEXT(TRIM(N354),"00000")="NULL", "Missing/Unknown",
  OR(TEXT(TRIM(N354),"00000")="89101", TEXT(TRIM(N354),"00000")="89104", TEXT(TRIM(N354),"00000")="89106", TEXT(TRIM(N354),"00000")="89102", TEXT(TRIM(N354),"00000")="89107", TEXT(TRIM(N354),"00000")="89108"), "Urban Core",
  OR(TEXT(TRIM(N354),"00000")="89110", TEXT(TRIM(N354),"00000")="89115", TEXT(TRIM(N354),"00000")="89121", TEXT(TRIM(N354),"00000")="89122", TEXT(TRIM(N354),"00000")="89142", TEXT(TRIM(N354),"00000")="89156"), "East Valley",
  OR(TEXT(TRIM(N354),"00000")="89030", TEXT(TRIM(N354),"00000")="89031", TEXT(TRIM(N354),"00000")="89032", TEXT(TRIM(N354),"00000")="89086", TEXT(TRIM(N354),"00000")="89084", TEXT(TRIM(N354),"00000")="89081"), "North LV",
  OR(TEXT(TRIM(N354),"00000")="89109", TEXT(TRIM(N354),"00000")="89103", TEXT(TRIM(N354),"00000")="89119", TEXT(TRIM(N354),"00000")="89123", TEXT(TRIM(N354),"00000")="89169", TEXT(TRIM(N354),"00000")="89118"), "South/Strip",
  OR(TEXT(TRIM(N354),"00000")="89074", TEXT(TRIM(N354),"00000")="89014", TEXT(TRIM(N354),"00000")="89015", TEXT(TRIM(N354),"00000")="89011", TEXT(TRIM(N354),"00000")="89012"), "Suburban SE",
  OR(TEXT(TRIM(N354),"00000")="89117", TEXT(TRIM(N354),"00000")="89128", TEXT(TRIM(N354),"00000")="89135", TEXT(TRIM(N354),"00000")="89144", TEXT(TRIM(N354),"00000")="89145", TEXT(TRIM(N354),"00000")="89147"), "West Valley",
  TRUE, "Other"
)</f>
        <v>South/Strip</v>
      </c>
      <c r="P354" t="s">
        <v>1073</v>
      </c>
      <c r="Q354" t="str">
        <f t="shared" si="22"/>
        <v>Home/Residence</v>
      </c>
      <c r="R354" t="s">
        <v>4940</v>
      </c>
      <c r="S354" t="s">
        <v>5109</v>
      </c>
      <c r="T354" t="str" cm="1">
        <f t="array" ref="T354">_xlfn.IFS(
  TEXT(TRIM(S354),"00000")="NULL", "Missing/Unknown",
  OR(TEXT(TRIM(S354),"00000")="89101", TEXT(TRIM(S354),"00000")="89104", TEXT(TRIM(S354),"00000")="89106", TEXT(TRIM(S354),"00000")="89102", TEXT(TRIM(S354),"00000")="89107", TEXT(TRIM(S354),"00000")="89108"), "Urban Core",
  OR(TEXT(TRIM(S354),"00000")="89110", TEXT(TRIM(S354),"00000")="89115", TEXT(TRIM(S354),"00000")="89121", TEXT(TRIM(S354),"00000")="89122", TEXT(TRIM(S354),"00000")="89142", TEXT(TRIM(S354),"00000")="89156"), "East Valley",
  OR(TEXT(TRIM(S354),"00000")="89030", TEXT(TRIM(S354),"00000")="89031", TEXT(TRIM(S354),"00000")="89032", TEXT(TRIM(S354),"00000")="89086", TEXT(TRIM(S354),"00000")="89084", TEXT(TRIM(S354),"00000")="89081"), "North LV",
  OR(TEXT(TRIM(S354),"00000")="89109", TEXT(TRIM(S354),"00000")="89103", TEXT(TRIM(S354),"00000")="89119", TEXT(TRIM(S354),"00000")="89123", TEXT(TRIM(S354),"00000")="89169", TEXT(TRIM(S354),"00000")="89118"), "South/Strip",
  OR(TEXT(TRIM(S354),"00000")="89074", TEXT(TRIM(S354),"00000")="89014", TEXT(TRIM(S354),"00000")="89015", TEXT(TRIM(S354),"00000")="89011", TEXT(TRIM(S354),"00000")="89012"), "Suburban SE",
  OR(TEXT(TRIM(S354),"00000")="89117", TEXT(TRIM(S354),"00000")="89128", TEXT(TRIM(S354),"00000")="89135", TEXT(TRIM(S354),"00000")="89144", TEXT(TRIM(S354),"00000")="89145", TEXT(TRIM(S354),"00000")="89147"), "West Valley",
  TRUE, "Other"
)</f>
        <v>South/Strip</v>
      </c>
      <c r="U354" t="s">
        <v>1073</v>
      </c>
      <c r="V354" t="str">
        <f t="shared" si="23"/>
        <v>Home/Residence</v>
      </c>
    </row>
    <row r="355" spans="1:22">
      <c r="A355" t="s">
        <v>3520</v>
      </c>
      <c r="B355" t="s">
        <v>3521</v>
      </c>
      <c r="C355" s="1">
        <v>45477</v>
      </c>
      <c r="D355" s="4">
        <v>114.08</v>
      </c>
      <c r="E355">
        <v>82</v>
      </c>
      <c r="F355" t="str">
        <f t="shared" si="20"/>
        <v>80's</v>
      </c>
      <c r="G355" t="str" cm="1">
        <f t="array" ref="G355">_xlfn.IFS(
  F355="10's", "Child (5–12)",
  OR(F355="20's", F355="30's"), "Young Adult (20–39)",
  OR(F355="40's", F355="50's"), "Adult (40–59)",
  OR(F355="60's", F355="70's", F355="80's", F355="90's"), "Senior (60+)",
  TRUE, "Unknown"
)</f>
        <v>Senior (60+)</v>
      </c>
      <c r="H355" t="s">
        <v>841</v>
      </c>
      <c r="I355" t="s">
        <v>28</v>
      </c>
      <c r="J355" t="str">
        <f t="shared" si="21"/>
        <v>Cardiovascular Disease</v>
      </c>
      <c r="K355" t="s">
        <v>54</v>
      </c>
      <c r="L355" t="s">
        <v>1071</v>
      </c>
      <c r="M355" t="s">
        <v>4364</v>
      </c>
      <c r="N355" t="s">
        <v>5098</v>
      </c>
      <c r="O355" t="str" cm="1">
        <f t="array" ref="O355">_xlfn.IFS(
  TEXT(TRIM(N355),"00000")="NULL", "Missing/Unknown",
  OR(TEXT(TRIM(N355),"00000")="89101", TEXT(TRIM(N355),"00000")="89104", TEXT(TRIM(N355),"00000")="89106", TEXT(TRIM(N355),"00000")="89102", TEXT(TRIM(N355),"00000")="89107", TEXT(TRIM(N355),"00000")="89108"), "Urban Core",
  OR(TEXT(TRIM(N355),"00000")="89110", TEXT(TRIM(N355),"00000")="89115", TEXT(TRIM(N355),"00000")="89121", TEXT(TRIM(N355),"00000")="89122", TEXT(TRIM(N355),"00000")="89142", TEXT(TRIM(N355),"00000")="89156"), "East Valley",
  OR(TEXT(TRIM(N355),"00000")="89030", TEXT(TRIM(N355),"00000")="89031", TEXT(TRIM(N355),"00000")="89032", TEXT(TRIM(N355),"00000")="89086", TEXT(TRIM(N355),"00000")="89084", TEXT(TRIM(N355),"00000")="89081"), "North LV",
  OR(TEXT(TRIM(N355),"00000")="89109", TEXT(TRIM(N355),"00000")="89103", TEXT(TRIM(N355),"00000")="89119", TEXT(TRIM(N355),"00000")="89123", TEXT(TRIM(N355),"00000")="89169", TEXT(TRIM(N355),"00000")="89118"), "South/Strip",
  OR(TEXT(TRIM(N355),"00000")="89074", TEXT(TRIM(N355),"00000")="89014", TEXT(TRIM(N355),"00000")="89015", TEXT(TRIM(N355),"00000")="89011", TEXT(TRIM(N355),"00000")="89012"), "Suburban SE",
  OR(TEXT(TRIM(N355),"00000")="89117", TEXT(TRIM(N355),"00000")="89128", TEXT(TRIM(N355),"00000")="89135", TEXT(TRIM(N355),"00000")="89144", TEXT(TRIM(N355),"00000")="89145", TEXT(TRIM(N355),"00000")="89147"), "West Valley",
  TRUE, "Other"
)</f>
        <v>Urban Core</v>
      </c>
      <c r="P355" t="s">
        <v>1073</v>
      </c>
      <c r="Q355" t="str">
        <f t="shared" si="22"/>
        <v>Home/Residence</v>
      </c>
      <c r="R355" t="s">
        <v>4364</v>
      </c>
      <c r="S355" t="s">
        <v>5098</v>
      </c>
      <c r="T355" t="str" cm="1">
        <f t="array" ref="T355">_xlfn.IFS(
  TEXT(TRIM(S355),"00000")="NULL", "Missing/Unknown",
  OR(TEXT(TRIM(S355),"00000")="89101", TEXT(TRIM(S355),"00000")="89104", TEXT(TRIM(S355),"00000")="89106", TEXT(TRIM(S355),"00000")="89102", TEXT(TRIM(S355),"00000")="89107", TEXT(TRIM(S355),"00000")="89108"), "Urban Core",
  OR(TEXT(TRIM(S355),"00000")="89110", TEXT(TRIM(S355),"00000")="89115", TEXT(TRIM(S355),"00000")="89121", TEXT(TRIM(S355),"00000")="89122", TEXT(TRIM(S355),"00000")="89142", TEXT(TRIM(S355),"00000")="89156"), "East Valley",
  OR(TEXT(TRIM(S355),"00000")="89030", TEXT(TRIM(S355),"00000")="89031", TEXT(TRIM(S355),"00000")="89032", TEXT(TRIM(S355),"00000")="89086", TEXT(TRIM(S355),"00000")="89084", TEXT(TRIM(S355),"00000")="89081"), "North LV",
  OR(TEXT(TRIM(S355),"00000")="89109", TEXT(TRIM(S355),"00000")="89103", TEXT(TRIM(S355),"00000")="89119", TEXT(TRIM(S355),"00000")="89123", TEXT(TRIM(S355),"00000")="89169", TEXT(TRIM(S355),"00000")="89118"), "South/Strip",
  OR(TEXT(TRIM(S355),"00000")="89074", TEXT(TRIM(S355),"00000")="89014", TEXT(TRIM(S355),"00000")="89015", TEXT(TRIM(S355),"00000")="89011", TEXT(TRIM(S355),"00000")="89012"), "Suburban SE",
  OR(TEXT(TRIM(S355),"00000")="89117", TEXT(TRIM(S355),"00000")="89128", TEXT(TRIM(S355),"00000")="89135", TEXT(TRIM(S355),"00000")="89144", TEXT(TRIM(S355),"00000")="89145", TEXT(TRIM(S355),"00000")="89147"), "West Valley",
  TRUE, "Other"
)</f>
        <v>Urban Core</v>
      </c>
      <c r="U355" t="s">
        <v>1073</v>
      </c>
      <c r="V355" t="str">
        <f t="shared" si="23"/>
        <v>Home/Residence</v>
      </c>
    </row>
    <row r="356" spans="1:22">
      <c r="A356" t="s">
        <v>3842</v>
      </c>
      <c r="B356" t="s">
        <v>3843</v>
      </c>
      <c r="C356" s="1">
        <v>45477</v>
      </c>
      <c r="D356" s="4">
        <v>114.08</v>
      </c>
      <c r="E356">
        <v>39</v>
      </c>
      <c r="F356" t="str">
        <f t="shared" si="20"/>
        <v>30's</v>
      </c>
      <c r="G356" t="str" cm="1">
        <f t="array" ref="G356">_xlfn.IFS(
  F356="10's", "Child (5–12)",
  OR(F356="20's", F356="30's"), "Young Adult (20–39)",
  OR(F356="40's", F356="50's"), "Adult (40–59)",
  OR(F356="60's", F356="70's", F356="80's", F356="90's"), "Senior (60+)",
  TRUE, "Unknown"
)</f>
        <v>Young Adult (20–39)</v>
      </c>
      <c r="H356" t="s">
        <v>841</v>
      </c>
      <c r="I356" t="s">
        <v>172</v>
      </c>
      <c r="J356" t="str">
        <f t="shared" si="21"/>
        <v>Methamphetamine-related</v>
      </c>
      <c r="K356" t="s">
        <v>54</v>
      </c>
      <c r="L356" t="s">
        <v>250</v>
      </c>
      <c r="M356" t="s">
        <v>4698</v>
      </c>
      <c r="N356" t="s">
        <v>5100</v>
      </c>
      <c r="O356" t="str" cm="1">
        <f t="array" ref="O356">_xlfn.IFS(
  TEXT(TRIM(N356),"00000")="NULL", "Missing/Unknown",
  OR(TEXT(TRIM(N356),"00000")="89101", TEXT(TRIM(N356),"00000")="89104", TEXT(TRIM(N356),"00000")="89106", TEXT(TRIM(N356),"00000")="89102", TEXT(TRIM(N356),"00000")="89107", TEXT(TRIM(N356),"00000")="89108"), "Urban Core",
  OR(TEXT(TRIM(N356),"00000")="89110", TEXT(TRIM(N356),"00000")="89115", TEXT(TRIM(N356),"00000")="89121", TEXT(TRIM(N356),"00000")="89122", TEXT(TRIM(N356),"00000")="89142", TEXT(TRIM(N356),"00000")="89156"), "East Valley",
  OR(TEXT(TRIM(N356),"00000")="89030", TEXT(TRIM(N356),"00000")="89031", TEXT(TRIM(N356),"00000")="89032", TEXT(TRIM(N356),"00000")="89086", TEXT(TRIM(N356),"00000")="89084", TEXT(TRIM(N356),"00000")="89081"), "North LV",
  OR(TEXT(TRIM(N356),"00000")="89109", TEXT(TRIM(N356),"00000")="89103", TEXT(TRIM(N356),"00000")="89119", TEXT(TRIM(N356),"00000")="89123", TEXT(TRIM(N356),"00000")="89169", TEXT(TRIM(N356),"00000")="89118"), "South/Strip",
  OR(TEXT(TRIM(N356),"00000")="89074", TEXT(TRIM(N356),"00000")="89014", TEXT(TRIM(N356),"00000")="89015", TEXT(TRIM(N356),"00000")="89011", TEXT(TRIM(N356),"00000")="89012"), "Suburban SE",
  OR(TEXT(TRIM(N356),"00000")="89117", TEXT(TRIM(N356),"00000")="89128", TEXT(TRIM(N356),"00000")="89135", TEXT(TRIM(N356),"00000")="89144", TEXT(TRIM(N356),"00000")="89145", TEXT(TRIM(N356),"00000")="89147"), "West Valley",
  TRUE, "Other"
)</f>
        <v>North LV</v>
      </c>
      <c r="P356" t="s">
        <v>3298</v>
      </c>
      <c r="Q356" t="str">
        <f t="shared" si="22"/>
        <v>Outdoors/Public</v>
      </c>
      <c r="R356" t="s">
        <v>4698</v>
      </c>
      <c r="S356" t="s">
        <v>5100</v>
      </c>
      <c r="T356" t="str" cm="1">
        <f t="array" ref="T356">_xlfn.IFS(
  TEXT(TRIM(S356),"00000")="NULL", "Missing/Unknown",
  OR(TEXT(TRIM(S356),"00000")="89101", TEXT(TRIM(S356),"00000")="89104", TEXT(TRIM(S356),"00000")="89106", TEXT(TRIM(S356),"00000")="89102", TEXT(TRIM(S356),"00000")="89107", TEXT(TRIM(S356),"00000")="89108"), "Urban Core",
  OR(TEXT(TRIM(S356),"00000")="89110", TEXT(TRIM(S356),"00000")="89115", TEXT(TRIM(S356),"00000")="89121", TEXT(TRIM(S356),"00000")="89122", TEXT(TRIM(S356),"00000")="89142", TEXT(TRIM(S356),"00000")="89156"), "East Valley",
  OR(TEXT(TRIM(S356),"00000")="89030", TEXT(TRIM(S356),"00000")="89031", TEXT(TRIM(S356),"00000")="89032", TEXT(TRIM(S356),"00000")="89086", TEXT(TRIM(S356),"00000")="89084", TEXT(TRIM(S356),"00000")="89081"), "North LV",
  OR(TEXT(TRIM(S356),"00000")="89109", TEXT(TRIM(S356),"00000")="89103", TEXT(TRIM(S356),"00000")="89119", TEXT(TRIM(S356),"00000")="89123", TEXT(TRIM(S356),"00000")="89169", TEXT(TRIM(S356),"00000")="89118"), "South/Strip",
  OR(TEXT(TRIM(S356),"00000")="89074", TEXT(TRIM(S356),"00000")="89014", TEXT(TRIM(S356),"00000")="89015", TEXT(TRIM(S356),"00000")="89011", TEXT(TRIM(S356),"00000")="89012"), "Suburban SE",
  OR(TEXT(TRIM(S356),"00000")="89117", TEXT(TRIM(S356),"00000")="89128", TEXT(TRIM(S356),"00000")="89135", TEXT(TRIM(S356),"00000")="89144", TEXT(TRIM(S356),"00000")="89145", TEXT(TRIM(S356),"00000")="89147"), "West Valley",
  TRUE, "Other"
)</f>
        <v>North LV</v>
      </c>
      <c r="U356" t="s">
        <v>3298</v>
      </c>
      <c r="V356" t="str">
        <f t="shared" si="23"/>
        <v>Outdoors/Public</v>
      </c>
    </row>
    <row r="357" spans="1:22">
      <c r="A357" t="s">
        <v>2986</v>
      </c>
      <c r="B357" t="s">
        <v>2987</v>
      </c>
      <c r="C357" s="1">
        <v>45477</v>
      </c>
      <c r="D357" s="4">
        <v>114.08</v>
      </c>
      <c r="E357">
        <v>71</v>
      </c>
      <c r="F357" t="str">
        <f t="shared" si="20"/>
        <v>70's</v>
      </c>
      <c r="G357" t="str" cm="1">
        <f t="array" ref="G357">_xlfn.IFS(
  F357="10's", "Child (5–12)",
  OR(F357="20's", F357="30's"), "Young Adult (20–39)",
  OR(F357="40's", F357="50's"), "Adult (40–59)",
  OR(F357="60's", F357="70's", F357="80's", F357="90's"), "Senior (60+)",
  TRUE, "Unknown"
)</f>
        <v>Senior (60+)</v>
      </c>
      <c r="H357" t="s">
        <v>27</v>
      </c>
      <c r="I357" t="s">
        <v>54</v>
      </c>
      <c r="J357" t="str">
        <f t="shared" si="21"/>
        <v>Environmental Heat</v>
      </c>
      <c r="K357" t="s">
        <v>4186</v>
      </c>
      <c r="L357" t="s">
        <v>1071</v>
      </c>
      <c r="M357" t="s">
        <v>4994</v>
      </c>
      <c r="N357" t="s">
        <v>5128</v>
      </c>
      <c r="O357" t="str" cm="1">
        <f t="array" ref="O357">_xlfn.IFS(
  TEXT(TRIM(N357),"00000")="NULL", "Missing/Unknown",
  OR(TEXT(TRIM(N357),"00000")="89101", TEXT(TRIM(N357),"00000")="89104", TEXT(TRIM(N357),"00000")="89106", TEXT(TRIM(N357),"00000")="89102", TEXT(TRIM(N357),"00000")="89107", TEXT(TRIM(N357),"00000")="89108"), "Urban Core",
  OR(TEXT(TRIM(N357),"00000")="89110", TEXT(TRIM(N357),"00000")="89115", TEXT(TRIM(N357),"00000")="89121", TEXT(TRIM(N357),"00000")="89122", TEXT(TRIM(N357),"00000")="89142", TEXT(TRIM(N357),"00000")="89156"), "East Valley",
  OR(TEXT(TRIM(N357),"00000")="89030", TEXT(TRIM(N357),"00000")="89031", TEXT(TRIM(N357),"00000")="89032", TEXT(TRIM(N357),"00000")="89086", TEXT(TRIM(N357),"00000")="89084", TEXT(TRIM(N357),"00000")="89081"), "North LV",
  OR(TEXT(TRIM(N357),"00000")="89109", TEXT(TRIM(N357),"00000")="89103", TEXT(TRIM(N357),"00000")="89119", TEXT(TRIM(N357),"00000")="89123", TEXT(TRIM(N357),"00000")="89169", TEXT(TRIM(N357),"00000")="89118"), "South/Strip",
  OR(TEXT(TRIM(N357),"00000")="89074", TEXT(TRIM(N357),"00000")="89014", TEXT(TRIM(N357),"00000")="89015", TEXT(TRIM(N357),"00000")="89011", TEXT(TRIM(N357),"00000")="89012"), "Suburban SE",
  OR(TEXT(TRIM(N357),"00000")="89117", TEXT(TRIM(N357),"00000")="89128", TEXT(TRIM(N357),"00000")="89135", TEXT(TRIM(N357),"00000")="89144", TEXT(TRIM(N357),"00000")="89145", TEXT(TRIM(N357),"00000")="89147"), "West Valley",
  TRUE, "Other"
)</f>
        <v>East Valley</v>
      </c>
      <c r="P357" t="s">
        <v>2990</v>
      </c>
      <c r="Q357" t="str">
        <f t="shared" si="22"/>
        <v>Home/Residence</v>
      </c>
      <c r="R357" t="s">
        <v>4994</v>
      </c>
      <c r="S357" t="s">
        <v>5128</v>
      </c>
      <c r="T357" t="str" cm="1">
        <f t="array" ref="T357">_xlfn.IFS(
  TEXT(TRIM(S357),"00000")="NULL", "Missing/Unknown",
  OR(TEXT(TRIM(S357),"00000")="89101", TEXT(TRIM(S357),"00000")="89104", TEXT(TRIM(S357),"00000")="89106", TEXT(TRIM(S357),"00000")="89102", TEXT(TRIM(S357),"00000")="89107", TEXT(TRIM(S357),"00000")="89108"), "Urban Core",
  OR(TEXT(TRIM(S357),"00000")="89110", TEXT(TRIM(S357),"00000")="89115", TEXT(TRIM(S357),"00000")="89121", TEXT(TRIM(S357),"00000")="89122", TEXT(TRIM(S357),"00000")="89142", TEXT(TRIM(S357),"00000")="89156"), "East Valley",
  OR(TEXT(TRIM(S357),"00000")="89030", TEXT(TRIM(S357),"00000")="89031", TEXT(TRIM(S357),"00000")="89032", TEXT(TRIM(S357),"00000")="89086", TEXT(TRIM(S357),"00000")="89084", TEXT(TRIM(S357),"00000")="89081"), "North LV",
  OR(TEXT(TRIM(S357),"00000")="89109", TEXT(TRIM(S357),"00000")="89103", TEXT(TRIM(S357),"00000")="89119", TEXT(TRIM(S357),"00000")="89123", TEXT(TRIM(S357),"00000")="89169", TEXT(TRIM(S357),"00000")="89118"), "South/Strip",
  OR(TEXT(TRIM(S357),"00000")="89074", TEXT(TRIM(S357),"00000")="89014", TEXT(TRIM(S357),"00000")="89015", TEXT(TRIM(S357),"00000")="89011", TEXT(TRIM(S357),"00000")="89012"), "Suburban SE",
  OR(TEXT(TRIM(S357),"00000")="89117", TEXT(TRIM(S357),"00000")="89128", TEXT(TRIM(S357),"00000")="89135", TEXT(TRIM(S357),"00000")="89144", TEXT(TRIM(S357),"00000")="89145", TEXT(TRIM(S357),"00000")="89147"), "West Valley",
  TRUE, "Other"
)</f>
        <v>East Valley</v>
      </c>
      <c r="U357" t="s">
        <v>2990</v>
      </c>
      <c r="V357" t="str">
        <f t="shared" si="23"/>
        <v>Home/Residence</v>
      </c>
    </row>
    <row r="358" spans="1:22">
      <c r="A358" t="s">
        <v>3358</v>
      </c>
      <c r="B358" t="s">
        <v>3359</v>
      </c>
      <c r="C358" s="1">
        <v>45477</v>
      </c>
      <c r="D358" s="4">
        <v>114.08</v>
      </c>
      <c r="E358">
        <v>46</v>
      </c>
      <c r="F358" t="str">
        <f t="shared" si="20"/>
        <v>40's</v>
      </c>
      <c r="G358" t="str" cm="1">
        <f t="array" ref="G358">_xlfn.IFS(
  F358="10's", "Child (5–12)",
  OR(F358="20's", F358="30's"), "Young Adult (20–39)",
  OR(F358="40's", F358="50's"), "Adult (40–59)",
  OR(F358="60's", F358="70's", F358="80's", F358="90's"), "Senior (60+)",
  TRUE, "Unknown"
)</f>
        <v>Adult (40–59)</v>
      </c>
      <c r="H358" t="s">
        <v>841</v>
      </c>
      <c r="I358" t="s">
        <v>4311</v>
      </c>
      <c r="J358" t="str">
        <f t="shared" si="21"/>
        <v>Fentanyl-related</v>
      </c>
      <c r="K358" t="s">
        <v>3360</v>
      </c>
      <c r="L358" t="s">
        <v>250</v>
      </c>
      <c r="N358" t="s">
        <v>5095</v>
      </c>
      <c r="O358" t="str" cm="1">
        <f t="array" ref="O358">_xlfn.IFS(
  TEXT(TRIM(N358),"00000")="NULL", "Missing/Unknown",
  OR(TEXT(TRIM(N358),"00000")="89101", TEXT(TRIM(N358),"00000")="89104", TEXT(TRIM(N358),"00000")="89106", TEXT(TRIM(N358),"00000")="89102", TEXT(TRIM(N358),"00000")="89107", TEXT(TRIM(N358),"00000")="89108"), "Urban Core",
  OR(TEXT(TRIM(N358),"00000")="89110", TEXT(TRIM(N358),"00000")="89115", TEXT(TRIM(N358),"00000")="89121", TEXT(TRIM(N358),"00000")="89122", TEXT(TRIM(N358),"00000")="89142", TEXT(TRIM(N358),"00000")="89156"), "East Valley",
  OR(TEXT(TRIM(N358),"00000")="89030", TEXT(TRIM(N358),"00000")="89031", TEXT(TRIM(N358),"00000")="89032", TEXT(TRIM(N358),"00000")="89086", TEXT(TRIM(N358),"00000")="89084", TEXT(TRIM(N358),"00000")="89081"), "North LV",
  OR(TEXT(TRIM(N358),"00000")="89109", TEXT(TRIM(N358),"00000")="89103", TEXT(TRIM(N358),"00000")="89119", TEXT(TRIM(N358),"00000")="89123", TEXT(TRIM(N358),"00000")="89169", TEXT(TRIM(N358),"00000")="89118"), "South/Strip",
  OR(TEXT(TRIM(N358),"00000")="89074", TEXT(TRIM(N358),"00000")="89014", TEXT(TRIM(N358),"00000")="89015", TEXT(TRIM(N358),"00000")="89011", TEXT(TRIM(N358),"00000")="89012"), "Suburban SE",
  OR(TEXT(TRIM(N358),"00000")="89117", TEXT(TRIM(N358),"00000")="89128", TEXT(TRIM(N358),"00000")="89135", TEXT(TRIM(N358),"00000")="89144", TEXT(TRIM(N358),"00000")="89145", TEXT(TRIM(N358),"00000")="89147"), "West Valley",
  TRUE, "Other"
)</f>
        <v>Missing/Unknown</v>
      </c>
      <c r="P358" t="s">
        <v>3298</v>
      </c>
      <c r="Q358" t="str">
        <f t="shared" si="22"/>
        <v>Outdoors/Public</v>
      </c>
      <c r="S358" t="s">
        <v>5095</v>
      </c>
      <c r="T358" t="str" cm="1">
        <f t="array" ref="T358">_xlfn.IFS(
  TEXT(TRIM(S358),"00000")="NULL", "Missing/Unknown",
  OR(TEXT(TRIM(S358),"00000")="89101", TEXT(TRIM(S358),"00000")="89104", TEXT(TRIM(S358),"00000")="89106", TEXT(TRIM(S358),"00000")="89102", TEXT(TRIM(S358),"00000")="89107", TEXT(TRIM(S358),"00000")="89108"), "Urban Core",
  OR(TEXT(TRIM(S358),"00000")="89110", TEXT(TRIM(S358),"00000")="89115", TEXT(TRIM(S358),"00000")="89121", TEXT(TRIM(S358),"00000")="89122", TEXT(TRIM(S358),"00000")="89142", TEXT(TRIM(S358),"00000")="89156"), "East Valley",
  OR(TEXT(TRIM(S358),"00000")="89030", TEXT(TRIM(S358),"00000")="89031", TEXT(TRIM(S358),"00000")="89032", TEXT(TRIM(S358),"00000")="89086", TEXT(TRIM(S358),"00000")="89084", TEXT(TRIM(S358),"00000")="89081"), "North LV",
  OR(TEXT(TRIM(S358),"00000")="89109", TEXT(TRIM(S358),"00000")="89103", TEXT(TRIM(S358),"00000")="89119", TEXT(TRIM(S358),"00000")="89123", TEXT(TRIM(S358),"00000")="89169", TEXT(TRIM(S358),"00000")="89118"), "South/Strip",
  OR(TEXT(TRIM(S358),"00000")="89074", TEXT(TRIM(S358),"00000")="89014", TEXT(TRIM(S358),"00000")="89015", TEXT(TRIM(S358),"00000")="89011", TEXT(TRIM(S358),"00000")="89012"), "Suburban SE",
  OR(TEXT(TRIM(S358),"00000")="89117", TEXT(TRIM(S358),"00000")="89128", TEXT(TRIM(S358),"00000")="89135", TEXT(TRIM(S358),"00000")="89144", TEXT(TRIM(S358),"00000")="89145", TEXT(TRIM(S358),"00000")="89147"), "West Valley",
  TRUE, "Other"
)</f>
        <v>Missing/Unknown</v>
      </c>
      <c r="U358" t="s">
        <v>3298</v>
      </c>
      <c r="V358" t="str">
        <f t="shared" si="23"/>
        <v>Outdoors/Public</v>
      </c>
    </row>
    <row r="359" spans="1:22">
      <c r="A359" t="s">
        <v>3292</v>
      </c>
      <c r="B359" t="s">
        <v>3293</v>
      </c>
      <c r="C359" s="1">
        <v>45476</v>
      </c>
      <c r="D359" s="4">
        <v>111.92</v>
      </c>
      <c r="E359">
        <v>41</v>
      </c>
      <c r="F359" t="str">
        <f t="shared" si="20"/>
        <v>40's</v>
      </c>
      <c r="G359" t="str" cm="1">
        <f t="array" ref="G359">_xlfn.IFS(
  F359="10's", "Child (5–12)",
  OR(F359="20's", F359="30's"), "Young Adult (20–39)",
  OR(F359="40's", F359="50's"), "Adult (40–59)",
  OR(F359="60's", F359="70's", F359="80's", F359="90's"), "Senior (60+)",
  TRUE, "Unknown"
)</f>
        <v>Adult (40–59)</v>
      </c>
      <c r="H359" t="s">
        <v>778</v>
      </c>
      <c r="I359" t="s">
        <v>163</v>
      </c>
      <c r="J359" t="str">
        <f t="shared" si="21"/>
        <v>Environmental Heat</v>
      </c>
      <c r="K359" t="s">
        <v>172</v>
      </c>
      <c r="L359" t="s">
        <v>250</v>
      </c>
      <c r="M359" t="s">
        <v>4514</v>
      </c>
      <c r="N359" t="s">
        <v>5097</v>
      </c>
      <c r="O359" t="str" cm="1">
        <f t="array" ref="O359">_xlfn.IFS(
  TEXT(TRIM(N359),"00000")="NULL", "Missing/Unknown",
  OR(TEXT(TRIM(N359),"00000")="89101", TEXT(TRIM(N359),"00000")="89104", TEXT(TRIM(N359),"00000")="89106", TEXT(TRIM(N359),"00000")="89102", TEXT(TRIM(N359),"00000")="89107", TEXT(TRIM(N359),"00000")="89108"), "Urban Core",
  OR(TEXT(TRIM(N359),"00000")="89110", TEXT(TRIM(N359),"00000")="89115", TEXT(TRIM(N359),"00000")="89121", TEXT(TRIM(N359),"00000")="89122", TEXT(TRIM(N359),"00000")="89142", TEXT(TRIM(N359),"00000")="89156"), "East Valley",
  OR(TEXT(TRIM(N359),"00000")="89030", TEXT(TRIM(N359),"00000")="89031", TEXT(TRIM(N359),"00000")="89032", TEXT(TRIM(N359),"00000")="89086", TEXT(TRIM(N359),"00000")="89084", TEXT(TRIM(N359),"00000")="89081"), "North LV",
  OR(TEXT(TRIM(N359),"00000")="89109", TEXT(TRIM(N359),"00000")="89103", TEXT(TRIM(N359),"00000")="89119", TEXT(TRIM(N359),"00000")="89123", TEXT(TRIM(N359),"00000")="89169", TEXT(TRIM(N359),"00000")="89118"), "South/Strip",
  OR(TEXT(TRIM(N359),"00000")="89074", TEXT(TRIM(N359),"00000")="89014", TEXT(TRIM(N359),"00000")="89015", TEXT(TRIM(N359),"00000")="89011", TEXT(TRIM(N359),"00000")="89012"), "Suburban SE",
  OR(TEXT(TRIM(N359),"00000")="89117", TEXT(TRIM(N359),"00000")="89128", TEXT(TRIM(N359),"00000")="89135", TEXT(TRIM(N359),"00000")="89144", TEXT(TRIM(N359),"00000")="89145", TEXT(TRIM(N359),"00000")="89147"), "West Valley",
  TRUE, "Other"
)</f>
        <v>Urban Core</v>
      </c>
      <c r="P359" t="s">
        <v>38</v>
      </c>
      <c r="Q359" t="str">
        <f t="shared" si="22"/>
        <v>Home/Residence</v>
      </c>
      <c r="R359" t="s">
        <v>5055</v>
      </c>
      <c r="S359" t="s">
        <v>5119</v>
      </c>
      <c r="T359" t="str" cm="1">
        <f t="array" ref="T359">_xlfn.IFS(
  TEXT(TRIM(S359),"00000")="NULL", "Missing/Unknown",
  OR(TEXT(TRIM(S359),"00000")="89101", TEXT(TRIM(S359),"00000")="89104", TEXT(TRIM(S359),"00000")="89106", TEXT(TRIM(S359),"00000")="89102", TEXT(TRIM(S359),"00000")="89107", TEXT(TRIM(S359),"00000")="89108"), "Urban Core",
  OR(TEXT(TRIM(S359),"00000")="89110", TEXT(TRIM(S359),"00000")="89115", TEXT(TRIM(S359),"00000")="89121", TEXT(TRIM(S359),"00000")="89122", TEXT(TRIM(S359),"00000")="89142", TEXT(TRIM(S359),"00000")="89156"), "East Valley",
  OR(TEXT(TRIM(S359),"00000")="89030", TEXT(TRIM(S359),"00000")="89031", TEXT(TRIM(S359),"00000")="89032", TEXT(TRIM(S359),"00000")="89086", TEXT(TRIM(S359),"00000")="89084", TEXT(TRIM(S359),"00000")="89081"), "North LV",
  OR(TEXT(TRIM(S359),"00000")="89109", TEXT(TRIM(S359),"00000")="89103", TEXT(TRIM(S359),"00000")="89119", TEXT(TRIM(S359),"00000")="89123", TEXT(TRIM(S359),"00000")="89169", TEXT(TRIM(S359),"00000")="89118"), "South/Strip",
  OR(TEXT(TRIM(S359),"00000")="89074", TEXT(TRIM(S359),"00000")="89014", TEXT(TRIM(S359),"00000")="89015", TEXT(TRIM(S359),"00000")="89011", TEXT(TRIM(S359),"00000")="89012"), "Suburban SE",
  OR(TEXT(TRIM(S359),"00000")="89117", TEXT(TRIM(S359),"00000")="89128", TEXT(TRIM(S359),"00000")="89135", TEXT(TRIM(S359),"00000")="89144", TEXT(TRIM(S359),"00000")="89145", TEXT(TRIM(S359),"00000")="89147"), "West Valley",
  TRUE, "Other"
)</f>
        <v>Urban Core</v>
      </c>
      <c r="U359" t="s">
        <v>2433</v>
      </c>
      <c r="V359" t="str">
        <f t="shared" si="23"/>
        <v>Medical Facility</v>
      </c>
    </row>
    <row r="360" spans="1:22">
      <c r="A360" t="s">
        <v>3781</v>
      </c>
      <c r="B360" t="s">
        <v>3782</v>
      </c>
      <c r="C360" s="1">
        <v>45476</v>
      </c>
      <c r="D360" s="4">
        <v>111.92</v>
      </c>
      <c r="E360">
        <v>55</v>
      </c>
      <c r="F360" t="str">
        <f t="shared" si="20"/>
        <v>50's</v>
      </c>
      <c r="G360" t="str" cm="1">
        <f t="array" ref="G360">_xlfn.IFS(
  F360="10's", "Child (5–12)",
  OR(F360="20's", F360="30's"), "Young Adult (20–39)",
  OR(F360="40's", F360="50's"), "Adult (40–59)",
  OR(F360="60's", F360="70's", F360="80's", F360="90's"), "Senior (60+)",
  TRUE, "Unknown"
)</f>
        <v>Adult (40–59)</v>
      </c>
      <c r="H360" t="s">
        <v>841</v>
      </c>
      <c r="I360" t="s">
        <v>172</v>
      </c>
      <c r="J360" t="str">
        <f t="shared" si="21"/>
        <v>Methamphetamine-related</v>
      </c>
      <c r="K360" t="s">
        <v>54</v>
      </c>
      <c r="L360" t="s">
        <v>1071</v>
      </c>
      <c r="M360" t="s">
        <v>4610</v>
      </c>
      <c r="N360" t="s">
        <v>5117</v>
      </c>
      <c r="O360" t="str" cm="1">
        <f t="array" ref="O360">_xlfn.IFS(
  TEXT(TRIM(N360),"00000")="NULL", "Missing/Unknown",
  OR(TEXT(TRIM(N360),"00000")="89101", TEXT(TRIM(N360),"00000")="89104", TEXT(TRIM(N360),"00000")="89106", TEXT(TRIM(N360),"00000")="89102", TEXT(TRIM(N360),"00000")="89107", TEXT(TRIM(N360),"00000")="89108"), "Urban Core",
  OR(TEXT(TRIM(N360),"00000")="89110", TEXT(TRIM(N360),"00000")="89115", TEXT(TRIM(N360),"00000")="89121", TEXT(TRIM(N360),"00000")="89122", TEXT(TRIM(N360),"00000")="89142", TEXT(TRIM(N360),"00000")="89156"), "East Valley",
  OR(TEXT(TRIM(N360),"00000")="89030", TEXT(TRIM(N360),"00000")="89031", TEXT(TRIM(N360),"00000")="89032", TEXT(TRIM(N360),"00000")="89086", TEXT(TRIM(N360),"00000")="89084", TEXT(TRIM(N360),"00000")="89081"), "North LV",
  OR(TEXT(TRIM(N360),"00000")="89109", TEXT(TRIM(N360),"00000")="89103", TEXT(TRIM(N360),"00000")="89119", TEXT(TRIM(N360),"00000")="89123", TEXT(TRIM(N360),"00000")="89169", TEXT(TRIM(N360),"00000")="89118"), "South/Strip",
  OR(TEXT(TRIM(N360),"00000")="89074", TEXT(TRIM(N360),"00000")="89014", TEXT(TRIM(N360),"00000")="89015", TEXT(TRIM(N360),"00000")="89011", TEXT(TRIM(N360),"00000")="89012"), "Suburban SE",
  OR(TEXT(TRIM(N360),"00000")="89117", TEXT(TRIM(N360),"00000")="89128", TEXT(TRIM(N360),"00000")="89135", TEXT(TRIM(N360),"00000")="89144", TEXT(TRIM(N360),"00000")="89145", TEXT(TRIM(N360),"00000")="89147"), "West Valley",
  TRUE, "Other"
)</f>
        <v>North LV</v>
      </c>
      <c r="P360" t="s">
        <v>1073</v>
      </c>
      <c r="Q360" t="str">
        <f t="shared" si="22"/>
        <v>Home/Residence</v>
      </c>
      <c r="R360" t="s">
        <v>4610</v>
      </c>
      <c r="S360" t="s">
        <v>5117</v>
      </c>
      <c r="T360" t="str" cm="1">
        <f t="array" ref="T360">_xlfn.IFS(
  TEXT(TRIM(S360),"00000")="NULL", "Missing/Unknown",
  OR(TEXT(TRIM(S360),"00000")="89101", TEXT(TRIM(S360),"00000")="89104", TEXT(TRIM(S360),"00000")="89106", TEXT(TRIM(S360),"00000")="89102", TEXT(TRIM(S360),"00000")="89107", TEXT(TRIM(S360),"00000")="89108"), "Urban Core",
  OR(TEXT(TRIM(S360),"00000")="89110", TEXT(TRIM(S360),"00000")="89115", TEXT(TRIM(S360),"00000")="89121", TEXT(TRIM(S360),"00000")="89122", TEXT(TRIM(S360),"00000")="89142", TEXT(TRIM(S360),"00000")="89156"), "East Valley",
  OR(TEXT(TRIM(S360),"00000")="89030", TEXT(TRIM(S360),"00000")="89031", TEXT(TRIM(S360),"00000")="89032", TEXT(TRIM(S360),"00000")="89086", TEXT(TRIM(S360),"00000")="89084", TEXT(TRIM(S360),"00000")="89081"), "North LV",
  OR(TEXT(TRIM(S360),"00000")="89109", TEXT(TRIM(S360),"00000")="89103", TEXT(TRIM(S360),"00000")="89119", TEXT(TRIM(S360),"00000")="89123", TEXT(TRIM(S360),"00000")="89169", TEXT(TRIM(S360),"00000")="89118"), "South/Strip",
  OR(TEXT(TRIM(S360),"00000")="89074", TEXT(TRIM(S360),"00000")="89014", TEXT(TRIM(S360),"00000")="89015", TEXT(TRIM(S360),"00000")="89011", TEXT(TRIM(S360),"00000")="89012"), "Suburban SE",
  OR(TEXT(TRIM(S360),"00000")="89117", TEXT(TRIM(S360),"00000")="89128", TEXT(TRIM(S360),"00000")="89135", TEXT(TRIM(S360),"00000")="89144", TEXT(TRIM(S360),"00000")="89145", TEXT(TRIM(S360),"00000")="89147"), "West Valley",
  TRUE, "Other"
)</f>
        <v>North LV</v>
      </c>
      <c r="U360" t="s">
        <v>1073</v>
      </c>
      <c r="V360" t="str">
        <f t="shared" si="23"/>
        <v>Home/Residence</v>
      </c>
    </row>
    <row r="361" spans="1:22">
      <c r="A361" t="s">
        <v>3932</v>
      </c>
      <c r="B361" t="s">
        <v>3933</v>
      </c>
      <c r="C361" s="1">
        <v>45476</v>
      </c>
      <c r="D361" s="4">
        <v>111.92</v>
      </c>
      <c r="E361">
        <v>43</v>
      </c>
      <c r="F361" t="str">
        <f t="shared" si="20"/>
        <v>40's</v>
      </c>
      <c r="G361" t="str" cm="1">
        <f t="array" ref="G361">_xlfn.IFS(
  F361="10's", "Child (5–12)",
  OR(F361="20's", F361="30's"), "Young Adult (20–39)",
  OR(F361="40's", F361="50's"), "Adult (40–59)",
  OR(F361="60's", F361="70's", F361="80's", F361="90's"), "Senior (60+)",
  TRUE, "Unknown"
)</f>
        <v>Adult (40–59)</v>
      </c>
      <c r="H361" t="s">
        <v>778</v>
      </c>
      <c r="I361" t="s">
        <v>3934</v>
      </c>
      <c r="J361" t="str">
        <f t="shared" si="21"/>
        <v>Other / Unknown</v>
      </c>
      <c r="K361" t="s">
        <v>35</v>
      </c>
      <c r="L361" t="s">
        <v>1071</v>
      </c>
      <c r="M361" t="s">
        <v>4941</v>
      </c>
      <c r="N361" t="s">
        <v>5127</v>
      </c>
      <c r="O361" t="str" cm="1">
        <f t="array" ref="O361">_xlfn.IFS(
  TEXT(TRIM(N361),"00000")="NULL", "Missing/Unknown",
  OR(TEXT(TRIM(N361),"00000")="89101", TEXT(TRIM(N361),"00000")="89104", TEXT(TRIM(N361),"00000")="89106", TEXT(TRIM(N361),"00000")="89102", TEXT(TRIM(N361),"00000")="89107", TEXT(TRIM(N361),"00000")="89108"), "Urban Core",
  OR(TEXT(TRIM(N361),"00000")="89110", TEXT(TRIM(N361),"00000")="89115", TEXT(TRIM(N361),"00000")="89121", TEXT(TRIM(N361),"00000")="89122", TEXT(TRIM(N361),"00000")="89142", TEXT(TRIM(N361),"00000")="89156"), "East Valley",
  OR(TEXT(TRIM(N361),"00000")="89030", TEXT(TRIM(N361),"00000")="89031", TEXT(TRIM(N361),"00000")="89032", TEXT(TRIM(N361),"00000")="89086", TEXT(TRIM(N361),"00000")="89084", TEXT(TRIM(N361),"00000")="89081"), "North LV",
  OR(TEXT(TRIM(N361),"00000")="89109", TEXT(TRIM(N361),"00000")="89103", TEXT(TRIM(N361),"00000")="89119", TEXT(TRIM(N361),"00000")="89123", TEXT(TRIM(N361),"00000")="89169", TEXT(TRIM(N361),"00000")="89118"), "South/Strip",
  OR(TEXT(TRIM(N361),"00000")="89074", TEXT(TRIM(N361),"00000")="89014", TEXT(TRIM(N361),"00000")="89015", TEXT(TRIM(N361),"00000")="89011", TEXT(TRIM(N361),"00000")="89012"), "Suburban SE",
  OR(TEXT(TRIM(N361),"00000")="89117", TEXT(TRIM(N361),"00000")="89128", TEXT(TRIM(N361),"00000")="89135", TEXT(TRIM(N361),"00000")="89144", TEXT(TRIM(N361),"00000")="89145", TEXT(TRIM(N361),"00000")="89147"), "West Valley",
  TRUE, "Other"
)</f>
        <v>Other</v>
      </c>
      <c r="P361" t="s">
        <v>1073</v>
      </c>
      <c r="Q361" t="str">
        <f t="shared" si="22"/>
        <v>Home/Residence</v>
      </c>
      <c r="R361" t="s">
        <v>4941</v>
      </c>
      <c r="S361" t="s">
        <v>5127</v>
      </c>
      <c r="T361" t="str" cm="1">
        <f t="array" ref="T361">_xlfn.IFS(
  TEXT(TRIM(S361),"00000")="NULL", "Missing/Unknown",
  OR(TEXT(TRIM(S361),"00000")="89101", TEXT(TRIM(S361),"00000")="89104", TEXT(TRIM(S361),"00000")="89106", TEXT(TRIM(S361),"00000")="89102", TEXT(TRIM(S361),"00000")="89107", TEXT(TRIM(S361),"00000")="89108"), "Urban Core",
  OR(TEXT(TRIM(S361),"00000")="89110", TEXT(TRIM(S361),"00000")="89115", TEXT(TRIM(S361),"00000")="89121", TEXT(TRIM(S361),"00000")="89122", TEXT(TRIM(S361),"00000")="89142", TEXT(TRIM(S361),"00000")="89156"), "East Valley",
  OR(TEXT(TRIM(S361),"00000")="89030", TEXT(TRIM(S361),"00000")="89031", TEXT(TRIM(S361),"00000")="89032", TEXT(TRIM(S361),"00000")="89086", TEXT(TRIM(S361),"00000")="89084", TEXT(TRIM(S361),"00000")="89081"), "North LV",
  OR(TEXT(TRIM(S361),"00000")="89109", TEXT(TRIM(S361),"00000")="89103", TEXT(TRIM(S361),"00000")="89119", TEXT(TRIM(S361),"00000")="89123", TEXT(TRIM(S361),"00000")="89169", TEXT(TRIM(S361),"00000")="89118"), "South/Strip",
  OR(TEXT(TRIM(S361),"00000")="89074", TEXT(TRIM(S361),"00000")="89014", TEXT(TRIM(S361),"00000")="89015", TEXT(TRIM(S361),"00000")="89011", TEXT(TRIM(S361),"00000")="89012"), "Suburban SE",
  OR(TEXT(TRIM(S361),"00000")="89117", TEXT(TRIM(S361),"00000")="89128", TEXT(TRIM(S361),"00000")="89135", TEXT(TRIM(S361),"00000")="89144", TEXT(TRIM(S361),"00000")="89145", TEXT(TRIM(S361),"00000")="89147"), "West Valley",
  TRUE, "Other"
)</f>
        <v>Other</v>
      </c>
      <c r="U361" t="s">
        <v>1073</v>
      </c>
      <c r="V361" t="str">
        <f t="shared" si="23"/>
        <v>Home/Residence</v>
      </c>
    </row>
    <row r="362" spans="1:22">
      <c r="A362" t="s">
        <v>2847</v>
      </c>
      <c r="B362" t="s">
        <v>2848</v>
      </c>
      <c r="C362" s="1">
        <v>45474</v>
      </c>
      <c r="D362" s="4">
        <v>107.06</v>
      </c>
      <c r="E362">
        <v>65</v>
      </c>
      <c r="F362" t="str">
        <f t="shared" si="20"/>
        <v>60's</v>
      </c>
      <c r="G362" t="str" cm="1">
        <f t="array" ref="G362">_xlfn.IFS(
  F362="10's", "Child (5–12)",
  OR(F362="20's", F362="30's"), "Young Adult (20–39)",
  OR(F362="40's", F362="50's"), "Adult (40–59)",
  OR(F362="60's", F362="70's", F362="80's", F362="90's"), "Senior (60+)",
  TRUE, "Unknown"
)</f>
        <v>Senior (60+)</v>
      </c>
      <c r="H362" t="s">
        <v>841</v>
      </c>
      <c r="I362" t="s">
        <v>1124</v>
      </c>
      <c r="J362" t="str">
        <f t="shared" si="21"/>
        <v>Cardiovascular Disease</v>
      </c>
      <c r="K362" t="s">
        <v>54</v>
      </c>
      <c r="L362" t="s">
        <v>250</v>
      </c>
      <c r="M362" t="s">
        <v>4699</v>
      </c>
      <c r="N362" t="s">
        <v>5097</v>
      </c>
      <c r="O362" t="str" cm="1">
        <f t="array" ref="O362">_xlfn.IFS(
  TEXT(TRIM(N362),"00000")="NULL", "Missing/Unknown",
  OR(TEXT(TRIM(N362),"00000")="89101", TEXT(TRIM(N362),"00000")="89104", TEXT(TRIM(N362),"00000")="89106", TEXT(TRIM(N362),"00000")="89102", TEXT(TRIM(N362),"00000")="89107", TEXT(TRIM(N362),"00000")="89108"), "Urban Core",
  OR(TEXT(TRIM(N362),"00000")="89110", TEXT(TRIM(N362),"00000")="89115", TEXT(TRIM(N362),"00000")="89121", TEXT(TRIM(N362),"00000")="89122", TEXT(TRIM(N362),"00000")="89142", TEXT(TRIM(N362),"00000")="89156"), "East Valley",
  OR(TEXT(TRIM(N362),"00000")="89030", TEXT(TRIM(N362),"00000")="89031", TEXT(TRIM(N362),"00000")="89032", TEXT(TRIM(N362),"00000")="89086", TEXT(TRIM(N362),"00000")="89084", TEXT(TRIM(N362),"00000")="89081"), "North LV",
  OR(TEXT(TRIM(N362),"00000")="89109", TEXT(TRIM(N362),"00000")="89103", TEXT(TRIM(N362),"00000")="89119", TEXT(TRIM(N362),"00000")="89123", TEXT(TRIM(N362),"00000")="89169", TEXT(TRIM(N362),"00000")="89118"), "South/Strip",
  OR(TEXT(TRIM(N362),"00000")="89074", TEXT(TRIM(N362),"00000")="89014", TEXT(TRIM(N362),"00000")="89015", TEXT(TRIM(N362),"00000")="89011", TEXT(TRIM(N362),"00000")="89012"), "Suburban SE",
  OR(TEXT(TRIM(N362),"00000")="89117", TEXT(TRIM(N362),"00000")="89128", TEXT(TRIM(N362),"00000")="89135", TEXT(TRIM(N362),"00000")="89144", TEXT(TRIM(N362),"00000")="89145", TEXT(TRIM(N362),"00000")="89147"), "West Valley",
  TRUE, "Other"
)</f>
        <v>Urban Core</v>
      </c>
      <c r="P362" t="s">
        <v>3298</v>
      </c>
      <c r="Q362" t="str">
        <f t="shared" si="22"/>
        <v>Outdoors/Public</v>
      </c>
      <c r="R362" t="s">
        <v>4699</v>
      </c>
      <c r="S362" t="s">
        <v>5097</v>
      </c>
      <c r="T362" t="str" cm="1">
        <f t="array" ref="T362">_xlfn.IFS(
  TEXT(TRIM(S362),"00000")="NULL", "Missing/Unknown",
  OR(TEXT(TRIM(S362),"00000")="89101", TEXT(TRIM(S362),"00000")="89104", TEXT(TRIM(S362),"00000")="89106", TEXT(TRIM(S362),"00000")="89102", TEXT(TRIM(S362),"00000")="89107", TEXT(TRIM(S362),"00000")="89108"), "Urban Core",
  OR(TEXT(TRIM(S362),"00000")="89110", TEXT(TRIM(S362),"00000")="89115", TEXT(TRIM(S362),"00000")="89121", TEXT(TRIM(S362),"00000")="89122", TEXT(TRIM(S362),"00000")="89142", TEXT(TRIM(S362),"00000")="89156"), "East Valley",
  OR(TEXT(TRIM(S362),"00000")="89030", TEXT(TRIM(S362),"00000")="89031", TEXT(TRIM(S362),"00000")="89032", TEXT(TRIM(S362),"00000")="89086", TEXT(TRIM(S362),"00000")="89084", TEXT(TRIM(S362),"00000")="89081"), "North LV",
  OR(TEXT(TRIM(S362),"00000")="89109", TEXT(TRIM(S362),"00000")="89103", TEXT(TRIM(S362),"00000")="89119", TEXT(TRIM(S362),"00000")="89123", TEXT(TRIM(S362),"00000")="89169", TEXT(TRIM(S362),"00000")="89118"), "South/Strip",
  OR(TEXT(TRIM(S362),"00000")="89074", TEXT(TRIM(S362),"00000")="89014", TEXT(TRIM(S362),"00000")="89015", TEXT(TRIM(S362),"00000")="89011", TEXT(TRIM(S362),"00000")="89012"), "Suburban SE",
  OR(TEXT(TRIM(S362),"00000")="89117", TEXT(TRIM(S362),"00000")="89128", TEXT(TRIM(S362),"00000")="89135", TEXT(TRIM(S362),"00000")="89144", TEXT(TRIM(S362),"00000")="89145", TEXT(TRIM(S362),"00000")="89147"), "West Valley",
  TRUE, "Other"
)</f>
        <v>Urban Core</v>
      </c>
      <c r="U362" t="s">
        <v>3298</v>
      </c>
      <c r="V362" t="str">
        <f t="shared" si="23"/>
        <v>Outdoors/Public</v>
      </c>
    </row>
    <row r="363" spans="1:22">
      <c r="A363" t="s">
        <v>2982</v>
      </c>
      <c r="B363" t="s">
        <v>2983</v>
      </c>
      <c r="C363" s="1">
        <v>45474</v>
      </c>
      <c r="D363" s="4">
        <v>107.06</v>
      </c>
      <c r="E363">
        <v>50</v>
      </c>
      <c r="F363" t="str">
        <f t="shared" si="20"/>
        <v>50's</v>
      </c>
      <c r="G363" t="str" cm="1">
        <f t="array" ref="G363">_xlfn.IFS(
  F363="10's", "Child (5–12)",
  OR(F363="20's", F363="30's"), "Young Adult (20–39)",
  OR(F363="40's", F363="50's"), "Adult (40–59)",
  OR(F363="60's", F363="70's", F363="80's", F363="90's"), "Senior (60+)",
  TRUE, "Unknown"
)</f>
        <v>Adult (40–59)</v>
      </c>
      <c r="H363" t="s">
        <v>841</v>
      </c>
      <c r="I363" t="s">
        <v>54</v>
      </c>
      <c r="J363" t="str">
        <f t="shared" si="21"/>
        <v>Environmental Heat</v>
      </c>
      <c r="K363" t="s">
        <v>2984</v>
      </c>
      <c r="L363" t="s">
        <v>250</v>
      </c>
      <c r="M363" t="s">
        <v>4700</v>
      </c>
      <c r="N363" t="s">
        <v>5096</v>
      </c>
      <c r="O363" t="str" cm="1">
        <f t="array" ref="O363">_xlfn.IFS(
  TEXT(TRIM(N363),"00000")="NULL", "Missing/Unknown",
  OR(TEXT(TRIM(N363),"00000")="89101", TEXT(TRIM(N363),"00000")="89104", TEXT(TRIM(N363),"00000")="89106", TEXT(TRIM(N363),"00000")="89102", TEXT(TRIM(N363),"00000")="89107", TEXT(TRIM(N363),"00000")="89108"), "Urban Core",
  OR(TEXT(TRIM(N363),"00000")="89110", TEXT(TRIM(N363),"00000")="89115", TEXT(TRIM(N363),"00000")="89121", TEXT(TRIM(N363),"00000")="89122", TEXT(TRIM(N363),"00000")="89142", TEXT(TRIM(N363),"00000")="89156"), "East Valley",
  OR(TEXT(TRIM(N363),"00000")="89030", TEXT(TRIM(N363),"00000")="89031", TEXT(TRIM(N363),"00000")="89032", TEXT(TRIM(N363),"00000")="89086", TEXT(TRIM(N363),"00000")="89084", TEXT(TRIM(N363),"00000")="89081"), "North LV",
  OR(TEXT(TRIM(N363),"00000")="89109", TEXT(TRIM(N363),"00000")="89103", TEXT(TRIM(N363),"00000")="89119", TEXT(TRIM(N363),"00000")="89123", TEXT(TRIM(N363),"00000")="89169", TEXT(TRIM(N363),"00000")="89118"), "South/Strip",
  OR(TEXT(TRIM(N363),"00000")="89074", TEXT(TRIM(N363),"00000")="89014", TEXT(TRIM(N363),"00000")="89015", TEXT(TRIM(N363),"00000")="89011", TEXT(TRIM(N363),"00000")="89012"), "Suburban SE",
  OR(TEXT(TRIM(N363),"00000")="89117", TEXT(TRIM(N363),"00000")="89128", TEXT(TRIM(N363),"00000")="89135", TEXT(TRIM(N363),"00000")="89144", TEXT(TRIM(N363),"00000")="89145", TEXT(TRIM(N363),"00000")="89147"), "West Valley",
  TRUE, "Other"
)</f>
        <v>South/Strip</v>
      </c>
      <c r="P363" t="s">
        <v>3298</v>
      </c>
      <c r="Q363" t="str">
        <f t="shared" si="22"/>
        <v>Outdoors/Public</v>
      </c>
      <c r="R363" t="s">
        <v>4700</v>
      </c>
      <c r="S363" t="s">
        <v>5096</v>
      </c>
      <c r="T363" t="str" cm="1">
        <f t="array" ref="T363">_xlfn.IFS(
  TEXT(TRIM(S363),"00000")="NULL", "Missing/Unknown",
  OR(TEXT(TRIM(S363),"00000")="89101", TEXT(TRIM(S363),"00000")="89104", TEXT(TRIM(S363),"00000")="89106", TEXT(TRIM(S363),"00000")="89102", TEXT(TRIM(S363),"00000")="89107", TEXT(TRIM(S363),"00000")="89108"), "Urban Core",
  OR(TEXT(TRIM(S363),"00000")="89110", TEXT(TRIM(S363),"00000")="89115", TEXT(TRIM(S363),"00000")="89121", TEXT(TRIM(S363),"00000")="89122", TEXT(TRIM(S363),"00000")="89142", TEXT(TRIM(S363),"00000")="89156"), "East Valley",
  OR(TEXT(TRIM(S363),"00000")="89030", TEXT(TRIM(S363),"00000")="89031", TEXT(TRIM(S363),"00000")="89032", TEXT(TRIM(S363),"00000")="89086", TEXT(TRIM(S363),"00000")="89084", TEXT(TRIM(S363),"00000")="89081"), "North LV",
  OR(TEXT(TRIM(S363),"00000")="89109", TEXT(TRIM(S363),"00000")="89103", TEXT(TRIM(S363),"00000")="89119", TEXT(TRIM(S363),"00000")="89123", TEXT(TRIM(S363),"00000")="89169", TEXT(TRIM(S363),"00000")="89118"), "South/Strip",
  OR(TEXT(TRIM(S363),"00000")="89074", TEXT(TRIM(S363),"00000")="89014", TEXT(TRIM(S363),"00000")="89015", TEXT(TRIM(S363),"00000")="89011", TEXT(TRIM(S363),"00000")="89012"), "Suburban SE",
  OR(TEXT(TRIM(S363),"00000")="89117", TEXT(TRIM(S363),"00000")="89128", TEXT(TRIM(S363),"00000")="89135", TEXT(TRIM(S363),"00000")="89144", TEXT(TRIM(S363),"00000")="89145", TEXT(TRIM(S363),"00000")="89147"), "West Valley",
  TRUE, "Other"
)</f>
        <v>South/Strip</v>
      </c>
      <c r="U363" t="s">
        <v>3298</v>
      </c>
      <c r="V363" t="str">
        <f t="shared" si="23"/>
        <v>Outdoors/Public</v>
      </c>
    </row>
    <row r="364" spans="1:22">
      <c r="A364" t="s">
        <v>3778</v>
      </c>
      <c r="B364" t="s">
        <v>3779</v>
      </c>
      <c r="C364" s="1">
        <v>45474</v>
      </c>
      <c r="D364" s="4">
        <v>107.06</v>
      </c>
      <c r="E364">
        <v>46</v>
      </c>
      <c r="F364" t="str">
        <f t="shared" si="20"/>
        <v>40's</v>
      </c>
      <c r="G364" t="str" cm="1">
        <f t="array" ref="G364">_xlfn.IFS(
  F364="10's", "Child (5–12)",
  OR(F364="20's", F364="30's"), "Young Adult (20–39)",
  OR(F364="40's", F364="50's"), "Adult (40–59)",
  OR(F364="60's", F364="70's", F364="80's", F364="90's"), "Senior (60+)",
  TRUE, "Unknown"
)</f>
        <v>Adult (40–59)</v>
      </c>
      <c r="H364" t="s">
        <v>841</v>
      </c>
      <c r="I364" t="s">
        <v>172</v>
      </c>
      <c r="J364" t="str">
        <f t="shared" si="21"/>
        <v>Methamphetamine-related</v>
      </c>
      <c r="K364" t="s">
        <v>54</v>
      </c>
      <c r="L364" t="s">
        <v>250</v>
      </c>
      <c r="M364" t="s">
        <v>4701</v>
      </c>
      <c r="N364" t="s">
        <v>5118</v>
      </c>
      <c r="O364" t="str" cm="1">
        <f t="array" ref="O364">_xlfn.IFS(
  TEXT(TRIM(N364),"00000")="NULL", "Missing/Unknown",
  OR(TEXT(TRIM(N364),"00000")="89101", TEXT(TRIM(N364),"00000")="89104", TEXT(TRIM(N364),"00000")="89106", TEXT(TRIM(N364),"00000")="89102", TEXT(TRIM(N364),"00000")="89107", TEXT(TRIM(N364),"00000")="89108"), "Urban Core",
  OR(TEXT(TRIM(N364),"00000")="89110", TEXT(TRIM(N364),"00000")="89115", TEXT(TRIM(N364),"00000")="89121", TEXT(TRIM(N364),"00000")="89122", TEXT(TRIM(N364),"00000")="89142", TEXT(TRIM(N364),"00000")="89156"), "East Valley",
  OR(TEXT(TRIM(N364),"00000")="89030", TEXT(TRIM(N364),"00000")="89031", TEXT(TRIM(N364),"00000")="89032", TEXT(TRIM(N364),"00000")="89086", TEXT(TRIM(N364),"00000")="89084", TEXT(TRIM(N364),"00000")="89081"), "North LV",
  OR(TEXT(TRIM(N364),"00000")="89109", TEXT(TRIM(N364),"00000")="89103", TEXT(TRIM(N364),"00000")="89119", TEXT(TRIM(N364),"00000")="89123", TEXT(TRIM(N364),"00000")="89169", TEXT(TRIM(N364),"00000")="89118"), "South/Strip",
  OR(TEXT(TRIM(N364),"00000")="89074", TEXT(TRIM(N364),"00000")="89014", TEXT(TRIM(N364),"00000")="89015", TEXT(TRIM(N364),"00000")="89011", TEXT(TRIM(N364),"00000")="89012"), "Suburban SE",
  OR(TEXT(TRIM(N364),"00000")="89117", TEXT(TRIM(N364),"00000")="89128", TEXT(TRIM(N364),"00000")="89135", TEXT(TRIM(N364),"00000")="89144", TEXT(TRIM(N364),"00000")="89145", TEXT(TRIM(N364),"00000")="89147"), "West Valley",
  TRUE, "Other"
)</f>
        <v>South/Strip</v>
      </c>
      <c r="P364" t="s">
        <v>3298</v>
      </c>
      <c r="Q364" t="str">
        <f t="shared" si="22"/>
        <v>Outdoors/Public</v>
      </c>
      <c r="R364" t="s">
        <v>4701</v>
      </c>
      <c r="S364" t="s">
        <v>5118</v>
      </c>
      <c r="T364" t="str" cm="1">
        <f t="array" ref="T364">_xlfn.IFS(
  TEXT(TRIM(S364),"00000")="NULL", "Missing/Unknown",
  OR(TEXT(TRIM(S364),"00000")="89101", TEXT(TRIM(S364),"00000")="89104", TEXT(TRIM(S364),"00000")="89106", TEXT(TRIM(S364),"00000")="89102", TEXT(TRIM(S364),"00000")="89107", TEXT(TRIM(S364),"00000")="89108"), "Urban Core",
  OR(TEXT(TRIM(S364),"00000")="89110", TEXT(TRIM(S364),"00000")="89115", TEXT(TRIM(S364),"00000")="89121", TEXT(TRIM(S364),"00000")="89122", TEXT(TRIM(S364),"00000")="89142", TEXT(TRIM(S364),"00000")="89156"), "East Valley",
  OR(TEXT(TRIM(S364),"00000")="89030", TEXT(TRIM(S364),"00000")="89031", TEXT(TRIM(S364),"00000")="89032", TEXT(TRIM(S364),"00000")="89086", TEXT(TRIM(S364),"00000")="89084", TEXT(TRIM(S364),"00000")="89081"), "North LV",
  OR(TEXT(TRIM(S364),"00000")="89109", TEXT(TRIM(S364),"00000")="89103", TEXT(TRIM(S364),"00000")="89119", TEXT(TRIM(S364),"00000")="89123", TEXT(TRIM(S364),"00000")="89169", TEXT(TRIM(S364),"00000")="89118"), "South/Strip",
  OR(TEXT(TRIM(S364),"00000")="89074", TEXT(TRIM(S364),"00000")="89014", TEXT(TRIM(S364),"00000")="89015", TEXT(TRIM(S364),"00000")="89011", TEXT(TRIM(S364),"00000")="89012"), "Suburban SE",
  OR(TEXT(TRIM(S364),"00000")="89117", TEXT(TRIM(S364),"00000")="89128", TEXT(TRIM(S364),"00000")="89135", TEXT(TRIM(S364),"00000")="89144", TEXT(TRIM(S364),"00000")="89145", TEXT(TRIM(S364),"00000")="89147"), "West Valley",
  TRUE, "Other"
)</f>
        <v>South/Strip</v>
      </c>
      <c r="U364" t="s">
        <v>3298</v>
      </c>
      <c r="V364" t="str">
        <f t="shared" si="23"/>
        <v>Outdoors/Public</v>
      </c>
    </row>
    <row r="365" spans="1:22">
      <c r="A365" t="s">
        <v>3436</v>
      </c>
      <c r="B365" t="s">
        <v>3437</v>
      </c>
      <c r="C365" s="1">
        <v>45474</v>
      </c>
      <c r="D365" s="4">
        <v>107.06</v>
      </c>
      <c r="E365">
        <v>81</v>
      </c>
      <c r="F365" t="str">
        <f t="shared" si="20"/>
        <v>80's</v>
      </c>
      <c r="G365" t="str" cm="1">
        <f t="array" ref="G365">_xlfn.IFS(
  F365="10's", "Child (5–12)",
  OR(F365="20's", F365="30's"), "Young Adult (20–39)",
  OR(F365="40's", F365="50's"), "Adult (40–59)",
  OR(F365="60's", F365="70's", F365="80's", F365="90's"), "Senior (60+)",
  TRUE, "Unknown"
)</f>
        <v>Senior (60+)</v>
      </c>
      <c r="H365" t="s">
        <v>841</v>
      </c>
      <c r="I365" t="s">
        <v>4012</v>
      </c>
      <c r="J365" t="str">
        <f t="shared" si="21"/>
        <v>Cardiovascular Disease</v>
      </c>
      <c r="K365" t="s">
        <v>185</v>
      </c>
      <c r="L365" t="s">
        <v>1071</v>
      </c>
      <c r="N365" t="s">
        <v>5095</v>
      </c>
      <c r="O365" t="str" cm="1">
        <f t="array" ref="O365">_xlfn.IFS(
  TEXT(TRIM(N365),"00000")="NULL", "Missing/Unknown",
  OR(TEXT(TRIM(N365),"00000")="89101", TEXT(TRIM(N365),"00000")="89104", TEXT(TRIM(N365),"00000")="89106", TEXT(TRIM(N365),"00000")="89102", TEXT(TRIM(N365),"00000")="89107", TEXT(TRIM(N365),"00000")="89108"), "Urban Core",
  OR(TEXT(TRIM(N365),"00000")="89110", TEXT(TRIM(N365),"00000")="89115", TEXT(TRIM(N365),"00000")="89121", TEXT(TRIM(N365),"00000")="89122", TEXT(TRIM(N365),"00000")="89142", TEXT(TRIM(N365),"00000")="89156"), "East Valley",
  OR(TEXT(TRIM(N365),"00000")="89030", TEXT(TRIM(N365),"00000")="89031", TEXT(TRIM(N365),"00000")="89032", TEXT(TRIM(N365),"00000")="89086", TEXT(TRIM(N365),"00000")="89084", TEXT(TRIM(N365),"00000")="89081"), "North LV",
  OR(TEXT(TRIM(N365),"00000")="89109", TEXT(TRIM(N365),"00000")="89103", TEXT(TRIM(N365),"00000")="89119", TEXT(TRIM(N365),"00000")="89123", TEXT(TRIM(N365),"00000")="89169", TEXT(TRIM(N365),"00000")="89118"), "South/Strip",
  OR(TEXT(TRIM(N365),"00000")="89074", TEXT(TRIM(N365),"00000")="89014", TEXT(TRIM(N365),"00000")="89015", TEXT(TRIM(N365),"00000")="89011", TEXT(TRIM(N365),"00000")="89012"), "Suburban SE",
  OR(TEXT(TRIM(N365),"00000")="89117", TEXT(TRIM(N365),"00000")="89128", TEXT(TRIM(N365),"00000")="89135", TEXT(TRIM(N365),"00000")="89144", TEXT(TRIM(N365),"00000")="89145", TEXT(TRIM(N365),"00000")="89147"), "West Valley",
  TRUE, "Other"
)</f>
        <v>Missing/Unknown</v>
      </c>
      <c r="P365" t="s">
        <v>3298</v>
      </c>
      <c r="Q365" t="str">
        <f t="shared" si="22"/>
        <v>Outdoors/Public</v>
      </c>
      <c r="R365" t="s">
        <v>5077</v>
      </c>
      <c r="S365" t="s">
        <v>5123</v>
      </c>
      <c r="T365" t="str" cm="1">
        <f t="array" ref="T365">_xlfn.IFS(
  TEXT(TRIM(S365),"00000")="NULL", "Missing/Unknown",
  OR(TEXT(TRIM(S365),"00000")="89101", TEXT(TRIM(S365),"00000")="89104", TEXT(TRIM(S365),"00000")="89106", TEXT(TRIM(S365),"00000")="89102", TEXT(TRIM(S365),"00000")="89107", TEXT(TRIM(S365),"00000")="89108"), "Urban Core",
  OR(TEXT(TRIM(S365),"00000")="89110", TEXT(TRIM(S365),"00000")="89115", TEXT(TRIM(S365),"00000")="89121", TEXT(TRIM(S365),"00000")="89122", TEXT(TRIM(S365),"00000")="89142", TEXT(TRIM(S365),"00000")="89156"), "East Valley",
  OR(TEXT(TRIM(S365),"00000")="89030", TEXT(TRIM(S365),"00000")="89031", TEXT(TRIM(S365),"00000")="89032", TEXT(TRIM(S365),"00000")="89086", TEXT(TRIM(S365),"00000")="89084", TEXT(TRIM(S365),"00000")="89081"), "North LV",
  OR(TEXT(TRIM(S365),"00000")="89109", TEXT(TRIM(S365),"00000")="89103", TEXT(TRIM(S365),"00000")="89119", TEXT(TRIM(S365),"00000")="89123", TEXT(TRIM(S365),"00000")="89169", TEXT(TRIM(S365),"00000")="89118"), "South/Strip",
  OR(TEXT(TRIM(S365),"00000")="89074", TEXT(TRIM(S365),"00000")="89014", TEXT(TRIM(S365),"00000")="89015", TEXT(TRIM(S365),"00000")="89011", TEXT(TRIM(S365),"00000")="89012"), "Suburban SE",
  OR(TEXT(TRIM(S365),"00000")="89117", TEXT(TRIM(S365),"00000")="89128", TEXT(TRIM(S365),"00000")="89135", TEXT(TRIM(S365),"00000")="89144", TEXT(TRIM(S365),"00000")="89145", TEXT(TRIM(S365),"00000")="89147"), "West Valley",
  TRUE, "Other"
)</f>
        <v>South/Strip</v>
      </c>
      <c r="U365" t="s">
        <v>1073</v>
      </c>
      <c r="V365" t="str">
        <f t="shared" si="23"/>
        <v>Home/Residence</v>
      </c>
    </row>
    <row r="366" spans="1:22">
      <c r="A366" t="s">
        <v>2750</v>
      </c>
      <c r="B366" t="s">
        <v>2751</v>
      </c>
      <c r="C366" s="1">
        <v>45473</v>
      </c>
      <c r="D366" s="4">
        <v>107.06</v>
      </c>
      <c r="E366">
        <v>44</v>
      </c>
      <c r="F366" t="str">
        <f t="shared" si="20"/>
        <v>40's</v>
      </c>
      <c r="G366" t="str" cm="1">
        <f t="array" ref="G366">_xlfn.IFS(
  F366="10's", "Child (5–12)",
  OR(F366="20's", F366="30's"), "Young Adult (20–39)",
  OR(F366="40's", F366="50's"), "Adult (40–59)",
  OR(F366="60's", F366="70's", F366="80's", F366="90's"), "Senior (60+)",
  TRUE, "Unknown"
)</f>
        <v>Adult (40–59)</v>
      </c>
      <c r="H366" t="s">
        <v>841</v>
      </c>
      <c r="I366" t="s">
        <v>988</v>
      </c>
      <c r="J366" t="str">
        <f t="shared" si="21"/>
        <v>Mixed Drug Toxicity</v>
      </c>
      <c r="K366" t="s">
        <v>54</v>
      </c>
      <c r="L366" t="s">
        <v>250</v>
      </c>
      <c r="M366" t="s">
        <v>4696</v>
      </c>
      <c r="N366" t="s">
        <v>5108</v>
      </c>
      <c r="O366" t="str" cm="1">
        <f t="array" ref="O366">_xlfn.IFS(
  TEXT(TRIM(N366),"00000")="NULL", "Missing/Unknown",
  OR(TEXT(TRIM(N366),"00000")="89101", TEXT(TRIM(N366),"00000")="89104", TEXT(TRIM(N366),"00000")="89106", TEXT(TRIM(N366),"00000")="89102", TEXT(TRIM(N366),"00000")="89107", TEXT(TRIM(N366),"00000")="89108"), "Urban Core",
  OR(TEXT(TRIM(N366),"00000")="89110", TEXT(TRIM(N366),"00000")="89115", TEXT(TRIM(N366),"00000")="89121", TEXT(TRIM(N366),"00000")="89122", TEXT(TRIM(N366),"00000")="89142", TEXT(TRIM(N366),"00000")="89156"), "East Valley",
  OR(TEXT(TRIM(N366),"00000")="89030", TEXT(TRIM(N366),"00000")="89031", TEXT(TRIM(N366),"00000")="89032", TEXT(TRIM(N366),"00000")="89086", TEXT(TRIM(N366),"00000")="89084", TEXT(TRIM(N366),"00000")="89081"), "North LV",
  OR(TEXT(TRIM(N366),"00000")="89109", TEXT(TRIM(N366),"00000")="89103", TEXT(TRIM(N366),"00000")="89119", TEXT(TRIM(N366),"00000")="89123", TEXT(TRIM(N366),"00000")="89169", TEXT(TRIM(N366),"00000")="89118"), "South/Strip",
  OR(TEXT(TRIM(N366),"00000")="89074", TEXT(TRIM(N366),"00000")="89014", TEXT(TRIM(N366),"00000")="89015", TEXT(TRIM(N366),"00000")="89011", TEXT(TRIM(N366),"00000")="89012"), "Suburban SE",
  OR(TEXT(TRIM(N366),"00000")="89117", TEXT(TRIM(N366),"00000")="89128", TEXT(TRIM(N366),"00000")="89135", TEXT(TRIM(N366),"00000")="89144", TEXT(TRIM(N366),"00000")="89145", TEXT(TRIM(N366),"00000")="89147"), "West Valley",
  TRUE, "Other"
)</f>
        <v>East Valley</v>
      </c>
      <c r="P366" t="s">
        <v>3298</v>
      </c>
      <c r="Q366" t="str">
        <f t="shared" si="22"/>
        <v>Outdoors/Public</v>
      </c>
      <c r="R366" t="s">
        <v>4696</v>
      </c>
      <c r="S366" t="s">
        <v>5108</v>
      </c>
      <c r="T366" t="str" cm="1">
        <f t="array" ref="T366">_xlfn.IFS(
  TEXT(TRIM(S366),"00000")="NULL", "Missing/Unknown",
  OR(TEXT(TRIM(S366),"00000")="89101", TEXT(TRIM(S366),"00000")="89104", TEXT(TRIM(S366),"00000")="89106", TEXT(TRIM(S366),"00000")="89102", TEXT(TRIM(S366),"00000")="89107", TEXT(TRIM(S366),"00000")="89108"), "Urban Core",
  OR(TEXT(TRIM(S366),"00000")="89110", TEXT(TRIM(S366),"00000")="89115", TEXT(TRIM(S366),"00000")="89121", TEXT(TRIM(S366),"00000")="89122", TEXT(TRIM(S366),"00000")="89142", TEXT(TRIM(S366),"00000")="89156"), "East Valley",
  OR(TEXT(TRIM(S366),"00000")="89030", TEXT(TRIM(S366),"00000")="89031", TEXT(TRIM(S366),"00000")="89032", TEXT(TRIM(S366),"00000")="89086", TEXT(TRIM(S366),"00000")="89084", TEXT(TRIM(S366),"00000")="89081"), "North LV",
  OR(TEXT(TRIM(S366),"00000")="89109", TEXT(TRIM(S366),"00000")="89103", TEXT(TRIM(S366),"00000")="89119", TEXT(TRIM(S366),"00000")="89123", TEXT(TRIM(S366),"00000")="89169", TEXT(TRIM(S366),"00000")="89118"), "South/Strip",
  OR(TEXT(TRIM(S366),"00000")="89074", TEXT(TRIM(S366),"00000")="89014", TEXT(TRIM(S366),"00000")="89015", TEXT(TRIM(S366),"00000")="89011", TEXT(TRIM(S366),"00000")="89012"), "Suburban SE",
  OR(TEXT(TRIM(S366),"00000")="89117", TEXT(TRIM(S366),"00000")="89128", TEXT(TRIM(S366),"00000")="89135", TEXT(TRIM(S366),"00000")="89144", TEXT(TRIM(S366),"00000")="89145", TEXT(TRIM(S366),"00000")="89147"), "West Valley",
  TRUE, "Other"
)</f>
        <v>East Valley</v>
      </c>
      <c r="U366" t="s">
        <v>3298</v>
      </c>
      <c r="V366" t="str">
        <f t="shared" si="23"/>
        <v>Outdoors/Public</v>
      </c>
    </row>
    <row r="367" spans="1:22">
      <c r="A367" t="s">
        <v>2609</v>
      </c>
      <c r="B367" t="s">
        <v>2610</v>
      </c>
      <c r="C367" s="1">
        <v>45473</v>
      </c>
      <c r="D367" s="4">
        <v>107.06</v>
      </c>
      <c r="E367">
        <v>38</v>
      </c>
      <c r="F367" t="str">
        <f t="shared" si="20"/>
        <v>30's</v>
      </c>
      <c r="G367" t="str" cm="1">
        <f t="array" ref="G367">_xlfn.IFS(
  F367="10's", "Child (5–12)",
  OR(F367="20's", F367="30's"), "Young Adult (20–39)",
  OR(F367="40's", F367="50's"), "Adult (40–59)",
  OR(F367="60's", F367="70's", F367="80's", F367="90's"), "Senior (60+)",
  TRUE, "Unknown"
)</f>
        <v>Young Adult (20–39)</v>
      </c>
      <c r="H367" t="s">
        <v>841</v>
      </c>
      <c r="I367" t="s">
        <v>63</v>
      </c>
      <c r="J367" t="str">
        <f t="shared" si="21"/>
        <v>Cardiovascular Disease</v>
      </c>
      <c r="K367" t="s">
        <v>54</v>
      </c>
      <c r="L367" t="s">
        <v>1071</v>
      </c>
      <c r="M367" t="s">
        <v>4598</v>
      </c>
      <c r="N367" t="s">
        <v>5106</v>
      </c>
      <c r="O367" t="str" cm="1">
        <f t="array" ref="O367">_xlfn.IFS(
  TEXT(TRIM(N367),"00000")="NULL", "Missing/Unknown",
  OR(TEXT(TRIM(N367),"00000")="89101", TEXT(TRIM(N367),"00000")="89104", TEXT(TRIM(N367),"00000")="89106", TEXT(TRIM(N367),"00000")="89102", TEXT(TRIM(N367),"00000")="89107", TEXT(TRIM(N367),"00000")="89108"), "Urban Core",
  OR(TEXT(TRIM(N367),"00000")="89110", TEXT(TRIM(N367),"00000")="89115", TEXT(TRIM(N367),"00000")="89121", TEXT(TRIM(N367),"00000")="89122", TEXT(TRIM(N367),"00000")="89142", TEXT(TRIM(N367),"00000")="89156"), "East Valley",
  OR(TEXT(TRIM(N367),"00000")="89030", TEXT(TRIM(N367),"00000")="89031", TEXT(TRIM(N367),"00000")="89032", TEXT(TRIM(N367),"00000")="89086", TEXT(TRIM(N367),"00000")="89084", TEXT(TRIM(N367),"00000")="89081"), "North LV",
  OR(TEXT(TRIM(N367),"00000")="89109", TEXT(TRIM(N367),"00000")="89103", TEXT(TRIM(N367),"00000")="89119", TEXT(TRIM(N367),"00000")="89123", TEXT(TRIM(N367),"00000")="89169", TEXT(TRIM(N367),"00000")="89118"), "South/Strip",
  OR(TEXT(TRIM(N367),"00000")="89074", TEXT(TRIM(N367),"00000")="89014", TEXT(TRIM(N367),"00000")="89015", TEXT(TRIM(N367),"00000")="89011", TEXT(TRIM(N367),"00000")="89012"), "Suburban SE",
  OR(TEXT(TRIM(N367),"00000")="89117", TEXT(TRIM(N367),"00000")="89128", TEXT(TRIM(N367),"00000")="89135", TEXT(TRIM(N367),"00000")="89144", TEXT(TRIM(N367),"00000")="89145", TEXT(TRIM(N367),"00000")="89147"), "West Valley",
  TRUE, "Other"
)</f>
        <v>East Valley</v>
      </c>
      <c r="P367" t="s">
        <v>3298</v>
      </c>
      <c r="Q367" t="str">
        <f t="shared" si="22"/>
        <v>Outdoors/Public</v>
      </c>
      <c r="R367" t="s">
        <v>4598</v>
      </c>
      <c r="S367" t="s">
        <v>5106</v>
      </c>
      <c r="T367" t="str" cm="1">
        <f t="array" ref="T367">_xlfn.IFS(
  TEXT(TRIM(S367),"00000")="NULL", "Missing/Unknown",
  OR(TEXT(TRIM(S367),"00000")="89101", TEXT(TRIM(S367),"00000")="89104", TEXT(TRIM(S367),"00000")="89106", TEXT(TRIM(S367),"00000")="89102", TEXT(TRIM(S367),"00000")="89107", TEXT(TRIM(S367),"00000")="89108"), "Urban Core",
  OR(TEXT(TRIM(S367),"00000")="89110", TEXT(TRIM(S367),"00000")="89115", TEXT(TRIM(S367),"00000")="89121", TEXT(TRIM(S367),"00000")="89122", TEXT(TRIM(S367),"00000")="89142", TEXT(TRIM(S367),"00000")="89156"), "East Valley",
  OR(TEXT(TRIM(S367),"00000")="89030", TEXT(TRIM(S367),"00000")="89031", TEXT(TRIM(S367),"00000")="89032", TEXT(TRIM(S367),"00000")="89086", TEXT(TRIM(S367),"00000")="89084", TEXT(TRIM(S367),"00000")="89081"), "North LV",
  OR(TEXT(TRIM(S367),"00000")="89109", TEXT(TRIM(S367),"00000")="89103", TEXT(TRIM(S367),"00000")="89119", TEXT(TRIM(S367),"00000")="89123", TEXT(TRIM(S367),"00000")="89169", TEXT(TRIM(S367),"00000")="89118"), "South/Strip",
  OR(TEXT(TRIM(S367),"00000")="89074", TEXT(TRIM(S367),"00000")="89014", TEXT(TRIM(S367),"00000")="89015", TEXT(TRIM(S367),"00000")="89011", TEXT(TRIM(S367),"00000")="89012"), "Suburban SE",
  OR(TEXT(TRIM(S367),"00000")="89117", TEXT(TRIM(S367),"00000")="89128", TEXT(TRIM(S367),"00000")="89135", TEXT(TRIM(S367),"00000")="89144", TEXT(TRIM(S367),"00000")="89145", TEXT(TRIM(S367),"00000")="89147"), "West Valley",
  TRUE, "Other"
)</f>
        <v>East Valley</v>
      </c>
      <c r="U367" t="s">
        <v>3298</v>
      </c>
      <c r="V367" t="str">
        <f t="shared" si="23"/>
        <v>Outdoors/Public</v>
      </c>
    </row>
    <row r="368" spans="1:22">
      <c r="A368" t="s">
        <v>2980</v>
      </c>
      <c r="B368" t="s">
        <v>2981</v>
      </c>
      <c r="C368" s="1">
        <v>45473</v>
      </c>
      <c r="D368" s="4">
        <v>107.06</v>
      </c>
      <c r="E368">
        <v>66</v>
      </c>
      <c r="F368" t="str">
        <f t="shared" si="20"/>
        <v>60's</v>
      </c>
      <c r="G368" t="str" cm="1">
        <f t="array" ref="G368">_xlfn.IFS(
  F368="10's", "Child (5–12)",
  OR(F368="20's", F368="30's"), "Young Adult (20–39)",
  OR(F368="40's", F368="50's"), "Adult (40–59)",
  OR(F368="60's", F368="70's", F368="80's", F368="90's"), "Senior (60+)",
  TRUE, "Unknown"
)</f>
        <v>Senior (60+)</v>
      </c>
      <c r="H368" t="s">
        <v>841</v>
      </c>
      <c r="I368" t="s">
        <v>54</v>
      </c>
      <c r="J368" t="str">
        <f t="shared" si="21"/>
        <v>Environmental Heat</v>
      </c>
      <c r="K368" t="s">
        <v>98</v>
      </c>
      <c r="L368" t="s">
        <v>250</v>
      </c>
      <c r="N368" t="s">
        <v>5095</v>
      </c>
      <c r="O368" t="str" cm="1">
        <f t="array" ref="O368">_xlfn.IFS(
  TEXT(TRIM(N368),"00000")="NULL", "Missing/Unknown",
  OR(TEXT(TRIM(N368),"00000")="89101", TEXT(TRIM(N368),"00000")="89104", TEXT(TRIM(N368),"00000")="89106", TEXT(TRIM(N368),"00000")="89102", TEXT(TRIM(N368),"00000")="89107", TEXT(TRIM(N368),"00000")="89108"), "Urban Core",
  OR(TEXT(TRIM(N368),"00000")="89110", TEXT(TRIM(N368),"00000")="89115", TEXT(TRIM(N368),"00000")="89121", TEXT(TRIM(N368),"00000")="89122", TEXT(TRIM(N368),"00000")="89142", TEXT(TRIM(N368),"00000")="89156"), "East Valley",
  OR(TEXT(TRIM(N368),"00000")="89030", TEXT(TRIM(N368),"00000")="89031", TEXT(TRIM(N368),"00000")="89032", TEXT(TRIM(N368),"00000")="89086", TEXT(TRIM(N368),"00000")="89084", TEXT(TRIM(N368),"00000")="89081"), "North LV",
  OR(TEXT(TRIM(N368),"00000")="89109", TEXT(TRIM(N368),"00000")="89103", TEXT(TRIM(N368),"00000")="89119", TEXT(TRIM(N368),"00000")="89123", TEXT(TRIM(N368),"00000")="89169", TEXT(TRIM(N368),"00000")="89118"), "South/Strip",
  OR(TEXT(TRIM(N368),"00000")="89074", TEXT(TRIM(N368),"00000")="89014", TEXT(TRIM(N368),"00000")="89015", TEXT(TRIM(N368),"00000")="89011", TEXT(TRIM(N368),"00000")="89012"), "Suburban SE",
  OR(TEXT(TRIM(N368),"00000")="89117", TEXT(TRIM(N368),"00000")="89128", TEXT(TRIM(N368),"00000")="89135", TEXT(TRIM(N368),"00000")="89144", TEXT(TRIM(N368),"00000")="89145", TEXT(TRIM(N368),"00000")="89147"), "West Valley",
  TRUE, "Other"
)</f>
        <v>Missing/Unknown</v>
      </c>
      <c r="P368" t="s">
        <v>38</v>
      </c>
      <c r="Q368" t="str">
        <f t="shared" si="22"/>
        <v>Home/Residence</v>
      </c>
      <c r="S368" t="s">
        <v>5095</v>
      </c>
      <c r="T368" t="str" cm="1">
        <f t="array" ref="T368">_xlfn.IFS(
  TEXT(TRIM(S368),"00000")="NULL", "Missing/Unknown",
  OR(TEXT(TRIM(S368),"00000")="89101", TEXT(TRIM(S368),"00000")="89104", TEXT(TRIM(S368),"00000")="89106", TEXT(TRIM(S368),"00000")="89102", TEXT(TRIM(S368),"00000")="89107", TEXT(TRIM(S368),"00000")="89108"), "Urban Core",
  OR(TEXT(TRIM(S368),"00000")="89110", TEXT(TRIM(S368),"00000")="89115", TEXT(TRIM(S368),"00000")="89121", TEXT(TRIM(S368),"00000")="89122", TEXT(TRIM(S368),"00000")="89142", TEXT(TRIM(S368),"00000")="89156"), "East Valley",
  OR(TEXT(TRIM(S368),"00000")="89030", TEXT(TRIM(S368),"00000")="89031", TEXT(TRIM(S368),"00000")="89032", TEXT(TRIM(S368),"00000")="89086", TEXT(TRIM(S368),"00000")="89084", TEXT(TRIM(S368),"00000")="89081"), "North LV",
  OR(TEXT(TRIM(S368),"00000")="89109", TEXT(TRIM(S368),"00000")="89103", TEXT(TRIM(S368),"00000")="89119", TEXT(TRIM(S368),"00000")="89123", TEXT(TRIM(S368),"00000")="89169", TEXT(TRIM(S368),"00000")="89118"), "South/Strip",
  OR(TEXT(TRIM(S368),"00000")="89074", TEXT(TRIM(S368),"00000")="89014", TEXT(TRIM(S368),"00000")="89015", TEXT(TRIM(S368),"00000")="89011", TEXT(TRIM(S368),"00000")="89012"), "Suburban SE",
  OR(TEXT(TRIM(S368),"00000")="89117", TEXT(TRIM(S368),"00000")="89128", TEXT(TRIM(S368),"00000")="89135", TEXT(TRIM(S368),"00000")="89144", TEXT(TRIM(S368),"00000")="89145", TEXT(TRIM(S368),"00000")="89147"), "West Valley",
  TRUE, "Other"
)</f>
        <v>Missing/Unknown</v>
      </c>
      <c r="U368" t="s">
        <v>38</v>
      </c>
      <c r="V368" t="str">
        <f t="shared" si="23"/>
        <v>Home/Residence</v>
      </c>
    </row>
    <row r="369" spans="1:22">
      <c r="A369" t="s">
        <v>3491</v>
      </c>
      <c r="B369" t="s">
        <v>3492</v>
      </c>
      <c r="C369" s="1">
        <v>45472</v>
      </c>
      <c r="D369" s="4">
        <v>107.96</v>
      </c>
      <c r="E369">
        <v>75</v>
      </c>
      <c r="F369" t="str">
        <f t="shared" si="20"/>
        <v>70's</v>
      </c>
      <c r="G369" t="str" cm="1">
        <f t="array" ref="G369">_xlfn.IFS(
  F369="10's", "Child (5–12)",
  OR(F369="20's", F369="30's"), "Young Adult (20–39)",
  OR(F369="40's", F369="50's"), "Adult (40–59)",
  OR(F369="60's", F369="70's", F369="80's", F369="90's"), "Senior (60+)",
  TRUE, "Unknown"
)</f>
        <v>Senior (60+)</v>
      </c>
      <c r="H369" t="s">
        <v>841</v>
      </c>
      <c r="I369" t="s">
        <v>68</v>
      </c>
      <c r="J369" t="str">
        <f t="shared" si="21"/>
        <v>Cardiovascular Disease</v>
      </c>
      <c r="K369" t="s">
        <v>54</v>
      </c>
      <c r="L369" t="s">
        <v>250</v>
      </c>
      <c r="M369" t="s">
        <v>4548</v>
      </c>
      <c r="N369" t="s">
        <v>5096</v>
      </c>
      <c r="O369" t="str" cm="1">
        <f t="array" ref="O369">_xlfn.IFS(
  TEXT(TRIM(N369),"00000")="NULL", "Missing/Unknown",
  OR(TEXT(TRIM(N369),"00000")="89101", TEXT(TRIM(N369),"00000")="89104", TEXT(TRIM(N369),"00000")="89106", TEXT(TRIM(N369),"00000")="89102", TEXT(TRIM(N369),"00000")="89107", TEXT(TRIM(N369),"00000")="89108"), "Urban Core",
  OR(TEXT(TRIM(N369),"00000")="89110", TEXT(TRIM(N369),"00000")="89115", TEXT(TRIM(N369),"00000")="89121", TEXT(TRIM(N369),"00000")="89122", TEXT(TRIM(N369),"00000")="89142", TEXT(TRIM(N369),"00000")="89156"), "East Valley",
  OR(TEXT(TRIM(N369),"00000")="89030", TEXT(TRIM(N369),"00000")="89031", TEXT(TRIM(N369),"00000")="89032", TEXT(TRIM(N369),"00000")="89086", TEXT(TRIM(N369),"00000")="89084", TEXT(TRIM(N369),"00000")="89081"), "North LV",
  OR(TEXT(TRIM(N369),"00000")="89109", TEXT(TRIM(N369),"00000")="89103", TEXT(TRIM(N369),"00000")="89119", TEXT(TRIM(N369),"00000")="89123", TEXT(TRIM(N369),"00000")="89169", TEXT(TRIM(N369),"00000")="89118"), "South/Strip",
  OR(TEXT(TRIM(N369),"00000")="89074", TEXT(TRIM(N369),"00000")="89014", TEXT(TRIM(N369),"00000")="89015", TEXT(TRIM(N369),"00000")="89011", TEXT(TRIM(N369),"00000")="89012"), "Suburban SE",
  OR(TEXT(TRIM(N369),"00000")="89117", TEXT(TRIM(N369),"00000")="89128", TEXT(TRIM(N369),"00000")="89135", TEXT(TRIM(N369),"00000")="89144", TEXT(TRIM(N369),"00000")="89145", TEXT(TRIM(N369),"00000")="89147"), "West Valley",
  TRUE, "Other"
)</f>
        <v>South/Strip</v>
      </c>
      <c r="P369" t="s">
        <v>3298</v>
      </c>
      <c r="Q369" t="str">
        <f t="shared" si="22"/>
        <v>Outdoors/Public</v>
      </c>
      <c r="R369" t="s">
        <v>4548</v>
      </c>
      <c r="S369" t="s">
        <v>5096</v>
      </c>
      <c r="T369" t="str" cm="1">
        <f t="array" ref="T369">_xlfn.IFS(
  TEXT(TRIM(S369),"00000")="NULL", "Missing/Unknown",
  OR(TEXT(TRIM(S369),"00000")="89101", TEXT(TRIM(S369),"00000")="89104", TEXT(TRIM(S369),"00000")="89106", TEXT(TRIM(S369),"00000")="89102", TEXT(TRIM(S369),"00000")="89107", TEXT(TRIM(S369),"00000")="89108"), "Urban Core",
  OR(TEXT(TRIM(S369),"00000")="89110", TEXT(TRIM(S369),"00000")="89115", TEXT(TRIM(S369),"00000")="89121", TEXT(TRIM(S369),"00000")="89122", TEXT(TRIM(S369),"00000")="89142", TEXT(TRIM(S369),"00000")="89156"), "East Valley",
  OR(TEXT(TRIM(S369),"00000")="89030", TEXT(TRIM(S369),"00000")="89031", TEXT(TRIM(S369),"00000")="89032", TEXT(TRIM(S369),"00000")="89086", TEXT(TRIM(S369),"00000")="89084", TEXT(TRIM(S369),"00000")="89081"), "North LV",
  OR(TEXT(TRIM(S369),"00000")="89109", TEXT(TRIM(S369),"00000")="89103", TEXT(TRIM(S369),"00000")="89119", TEXT(TRIM(S369),"00000")="89123", TEXT(TRIM(S369),"00000")="89169", TEXT(TRIM(S369),"00000")="89118"), "South/Strip",
  OR(TEXT(TRIM(S369),"00000")="89074", TEXT(TRIM(S369),"00000")="89014", TEXT(TRIM(S369),"00000")="89015", TEXT(TRIM(S369),"00000")="89011", TEXT(TRIM(S369),"00000")="89012"), "Suburban SE",
  OR(TEXT(TRIM(S369),"00000")="89117", TEXT(TRIM(S369),"00000")="89128", TEXT(TRIM(S369),"00000")="89135", TEXT(TRIM(S369),"00000")="89144", TEXT(TRIM(S369),"00000")="89145", TEXT(TRIM(S369),"00000")="89147"), "West Valley",
  TRUE, "Other"
)</f>
        <v>South/Strip</v>
      </c>
      <c r="U369" t="s">
        <v>3298</v>
      </c>
      <c r="V369" t="str">
        <f t="shared" si="23"/>
        <v>Outdoors/Public</v>
      </c>
    </row>
    <row r="370" spans="1:22">
      <c r="A370" t="s">
        <v>2489</v>
      </c>
      <c r="B370" t="s">
        <v>2490</v>
      </c>
      <c r="C370" s="1">
        <v>45472</v>
      </c>
      <c r="D370" s="4">
        <v>107.96</v>
      </c>
      <c r="E370">
        <v>61</v>
      </c>
      <c r="F370" t="str">
        <f t="shared" si="20"/>
        <v>60's</v>
      </c>
      <c r="G370" t="str" cm="1">
        <f t="array" ref="G370">_xlfn.IFS(
  F370="10's", "Child (5–12)",
  OR(F370="20's", F370="30's"), "Young Adult (20–39)",
  OR(F370="40's", F370="50's"), "Adult (40–59)",
  OR(F370="60's", F370="70's", F370="80's", F370="90's"), "Senior (60+)",
  TRUE, "Unknown"
)</f>
        <v>Senior (60+)</v>
      </c>
      <c r="H370" t="s">
        <v>778</v>
      </c>
      <c r="I370" t="s">
        <v>34</v>
      </c>
      <c r="J370" t="str">
        <f t="shared" si="21"/>
        <v>Methamphetamine-related</v>
      </c>
      <c r="K370" t="s">
        <v>2491</v>
      </c>
      <c r="L370" t="s">
        <v>250</v>
      </c>
      <c r="M370" t="s">
        <v>4995</v>
      </c>
      <c r="N370" t="s">
        <v>5096</v>
      </c>
      <c r="O370" t="str" cm="1">
        <f t="array" ref="O370">_xlfn.IFS(
  TEXT(TRIM(N370),"00000")="NULL", "Missing/Unknown",
  OR(TEXT(TRIM(N370),"00000")="89101", TEXT(TRIM(N370),"00000")="89104", TEXT(TRIM(N370),"00000")="89106", TEXT(TRIM(N370),"00000")="89102", TEXT(TRIM(N370),"00000")="89107", TEXT(TRIM(N370),"00000")="89108"), "Urban Core",
  OR(TEXT(TRIM(N370),"00000")="89110", TEXT(TRIM(N370),"00000")="89115", TEXT(TRIM(N370),"00000")="89121", TEXT(TRIM(N370),"00000")="89122", TEXT(TRIM(N370),"00000")="89142", TEXT(TRIM(N370),"00000")="89156"), "East Valley",
  OR(TEXT(TRIM(N370),"00000")="89030", TEXT(TRIM(N370),"00000")="89031", TEXT(TRIM(N370),"00000")="89032", TEXT(TRIM(N370),"00000")="89086", TEXT(TRIM(N370),"00000")="89084", TEXT(TRIM(N370),"00000")="89081"), "North LV",
  OR(TEXT(TRIM(N370),"00000")="89109", TEXT(TRIM(N370),"00000")="89103", TEXT(TRIM(N370),"00000")="89119", TEXT(TRIM(N370),"00000")="89123", TEXT(TRIM(N370),"00000")="89169", TEXT(TRIM(N370),"00000")="89118"), "South/Strip",
  OR(TEXT(TRIM(N370),"00000")="89074", TEXT(TRIM(N370),"00000")="89014", TEXT(TRIM(N370),"00000")="89015", TEXT(TRIM(N370),"00000")="89011", TEXT(TRIM(N370),"00000")="89012"), "Suburban SE",
  OR(TEXT(TRIM(N370),"00000")="89117", TEXT(TRIM(N370),"00000")="89128", TEXT(TRIM(N370),"00000")="89135", TEXT(TRIM(N370),"00000")="89144", TEXT(TRIM(N370),"00000")="89145", TEXT(TRIM(N370),"00000")="89147"), "West Valley",
  TRUE, "Other"
)</f>
        <v>South/Strip</v>
      </c>
      <c r="P370" t="s">
        <v>2666</v>
      </c>
      <c r="Q370" t="str">
        <f t="shared" si="22"/>
        <v>Outdoors/Public</v>
      </c>
      <c r="R370" t="s">
        <v>4995</v>
      </c>
      <c r="S370" t="s">
        <v>5096</v>
      </c>
      <c r="T370" t="str" cm="1">
        <f t="array" ref="T370">_xlfn.IFS(
  TEXT(TRIM(S370),"00000")="NULL", "Missing/Unknown",
  OR(TEXT(TRIM(S370),"00000")="89101", TEXT(TRIM(S370),"00000")="89104", TEXT(TRIM(S370),"00000")="89106", TEXT(TRIM(S370),"00000")="89102", TEXT(TRIM(S370),"00000")="89107", TEXT(TRIM(S370),"00000")="89108"), "Urban Core",
  OR(TEXT(TRIM(S370),"00000")="89110", TEXT(TRIM(S370),"00000")="89115", TEXT(TRIM(S370),"00000")="89121", TEXT(TRIM(S370),"00000")="89122", TEXT(TRIM(S370),"00000")="89142", TEXT(TRIM(S370),"00000")="89156"), "East Valley",
  OR(TEXT(TRIM(S370),"00000")="89030", TEXT(TRIM(S370),"00000")="89031", TEXT(TRIM(S370),"00000")="89032", TEXT(TRIM(S370),"00000")="89086", TEXT(TRIM(S370),"00000")="89084", TEXT(TRIM(S370),"00000")="89081"), "North LV",
  OR(TEXT(TRIM(S370),"00000")="89109", TEXT(TRIM(S370),"00000")="89103", TEXT(TRIM(S370),"00000")="89119", TEXT(TRIM(S370),"00000")="89123", TEXT(TRIM(S370),"00000")="89169", TEXT(TRIM(S370),"00000")="89118"), "South/Strip",
  OR(TEXT(TRIM(S370),"00000")="89074", TEXT(TRIM(S370),"00000")="89014", TEXT(TRIM(S370),"00000")="89015", TEXT(TRIM(S370),"00000")="89011", TEXT(TRIM(S370),"00000")="89012"), "Suburban SE",
  OR(TEXT(TRIM(S370),"00000")="89117", TEXT(TRIM(S370),"00000")="89128", TEXT(TRIM(S370),"00000")="89135", TEXT(TRIM(S370),"00000")="89144", TEXT(TRIM(S370),"00000")="89145", TEXT(TRIM(S370),"00000")="89147"), "West Valley",
  TRUE, "Other"
)</f>
        <v>South/Strip</v>
      </c>
      <c r="U370" t="s">
        <v>2666</v>
      </c>
      <c r="V370" t="str">
        <f t="shared" si="23"/>
        <v>Outdoors/Public</v>
      </c>
    </row>
    <row r="371" spans="1:22">
      <c r="A371" t="s">
        <v>2607</v>
      </c>
      <c r="B371" t="s">
        <v>2608</v>
      </c>
      <c r="C371" s="1">
        <v>45472</v>
      </c>
      <c r="D371" s="4">
        <v>107.96</v>
      </c>
      <c r="E371">
        <v>61</v>
      </c>
      <c r="F371" t="str">
        <f t="shared" si="20"/>
        <v>60's</v>
      </c>
      <c r="G371" t="str" cm="1">
        <f t="array" ref="G371">_xlfn.IFS(
  F371="10's", "Child (5–12)",
  OR(F371="20's", F371="30's"), "Young Adult (20–39)",
  OR(F371="40's", F371="50's"), "Adult (40–59)",
  OR(F371="60's", F371="70's", F371="80's", F371="90's"), "Senior (60+)",
  TRUE, "Unknown"
)</f>
        <v>Senior (60+)</v>
      </c>
      <c r="H371" t="s">
        <v>27</v>
      </c>
      <c r="I371" t="s">
        <v>63</v>
      </c>
      <c r="J371" t="str">
        <f t="shared" si="21"/>
        <v>Cardiovascular Disease</v>
      </c>
      <c r="K371" t="s">
        <v>54</v>
      </c>
      <c r="L371" t="s">
        <v>250</v>
      </c>
      <c r="N371" t="s">
        <v>5095</v>
      </c>
      <c r="O371" t="str" cm="1">
        <f t="array" ref="O371">_xlfn.IFS(
  TEXT(TRIM(N371),"00000")="NULL", "Missing/Unknown",
  OR(TEXT(TRIM(N371),"00000")="89101", TEXT(TRIM(N371),"00000")="89104", TEXT(TRIM(N371),"00000")="89106", TEXT(TRIM(N371),"00000")="89102", TEXT(TRIM(N371),"00000")="89107", TEXT(TRIM(N371),"00000")="89108"), "Urban Core",
  OR(TEXT(TRIM(N371),"00000")="89110", TEXT(TRIM(N371),"00000")="89115", TEXT(TRIM(N371),"00000")="89121", TEXT(TRIM(N371),"00000")="89122", TEXT(TRIM(N371),"00000")="89142", TEXT(TRIM(N371),"00000")="89156"), "East Valley",
  OR(TEXT(TRIM(N371),"00000")="89030", TEXT(TRIM(N371),"00000")="89031", TEXT(TRIM(N371),"00000")="89032", TEXT(TRIM(N371),"00000")="89086", TEXT(TRIM(N371),"00000")="89084", TEXT(TRIM(N371),"00000")="89081"), "North LV",
  OR(TEXT(TRIM(N371),"00000")="89109", TEXT(TRIM(N371),"00000")="89103", TEXT(TRIM(N371),"00000")="89119", TEXT(TRIM(N371),"00000")="89123", TEXT(TRIM(N371),"00000")="89169", TEXT(TRIM(N371),"00000")="89118"), "South/Strip",
  OR(TEXT(TRIM(N371),"00000")="89074", TEXT(TRIM(N371),"00000")="89014", TEXT(TRIM(N371),"00000")="89015", TEXT(TRIM(N371),"00000")="89011", TEXT(TRIM(N371),"00000")="89012"), "Suburban SE",
  OR(TEXT(TRIM(N371),"00000")="89117", TEXT(TRIM(N371),"00000")="89128", TEXT(TRIM(N371),"00000")="89135", TEXT(TRIM(N371),"00000")="89144", TEXT(TRIM(N371),"00000")="89145", TEXT(TRIM(N371),"00000")="89147"), "West Valley",
  TRUE, "Other"
)</f>
        <v>Missing/Unknown</v>
      </c>
      <c r="P371" t="s">
        <v>3298</v>
      </c>
      <c r="Q371" t="str">
        <f t="shared" si="22"/>
        <v>Outdoors/Public</v>
      </c>
      <c r="S371" t="s">
        <v>5095</v>
      </c>
      <c r="T371" t="str" cm="1">
        <f t="array" ref="T371">_xlfn.IFS(
  TEXT(TRIM(S371),"00000")="NULL", "Missing/Unknown",
  OR(TEXT(TRIM(S371),"00000")="89101", TEXT(TRIM(S371),"00000")="89104", TEXT(TRIM(S371),"00000")="89106", TEXT(TRIM(S371),"00000")="89102", TEXT(TRIM(S371),"00000")="89107", TEXT(TRIM(S371),"00000")="89108"), "Urban Core",
  OR(TEXT(TRIM(S371),"00000")="89110", TEXT(TRIM(S371),"00000")="89115", TEXT(TRIM(S371),"00000")="89121", TEXT(TRIM(S371),"00000")="89122", TEXT(TRIM(S371),"00000")="89142", TEXT(TRIM(S371),"00000")="89156"), "East Valley",
  OR(TEXT(TRIM(S371),"00000")="89030", TEXT(TRIM(S371),"00000")="89031", TEXT(TRIM(S371),"00000")="89032", TEXT(TRIM(S371),"00000")="89086", TEXT(TRIM(S371),"00000")="89084", TEXT(TRIM(S371),"00000")="89081"), "North LV",
  OR(TEXT(TRIM(S371),"00000")="89109", TEXT(TRIM(S371),"00000")="89103", TEXT(TRIM(S371),"00000")="89119", TEXT(TRIM(S371),"00000")="89123", TEXT(TRIM(S371),"00000")="89169", TEXT(TRIM(S371),"00000")="89118"), "South/Strip",
  OR(TEXT(TRIM(S371),"00000")="89074", TEXT(TRIM(S371),"00000")="89014", TEXT(TRIM(S371),"00000")="89015", TEXT(TRIM(S371),"00000")="89011", TEXT(TRIM(S371),"00000")="89012"), "Suburban SE",
  OR(TEXT(TRIM(S371),"00000")="89117", TEXT(TRIM(S371),"00000")="89128", TEXT(TRIM(S371),"00000")="89135", TEXT(TRIM(S371),"00000")="89144", TEXT(TRIM(S371),"00000")="89145", TEXT(TRIM(S371),"00000")="89147"), "West Valley",
  TRUE, "Other"
)</f>
        <v>Missing/Unknown</v>
      </c>
      <c r="U371" t="s">
        <v>3298</v>
      </c>
      <c r="V371" t="str">
        <f t="shared" si="23"/>
        <v>Outdoors/Public</v>
      </c>
    </row>
    <row r="372" spans="1:22">
      <c r="A372" t="s">
        <v>2978</v>
      </c>
      <c r="B372" t="s">
        <v>2979</v>
      </c>
      <c r="C372" s="1">
        <v>45472</v>
      </c>
      <c r="D372" s="4">
        <v>107.96</v>
      </c>
      <c r="E372">
        <v>74</v>
      </c>
      <c r="F372" t="str">
        <f t="shared" si="20"/>
        <v>70's</v>
      </c>
      <c r="G372" t="str" cm="1">
        <f t="array" ref="G372">_xlfn.IFS(
  F372="10's", "Child (5–12)",
  OR(F372="20's", F372="30's"), "Young Adult (20–39)",
  OR(F372="40's", F372="50's"), "Adult (40–59)",
  OR(F372="60's", F372="70's", F372="80's", F372="90's"), "Senior (60+)",
  TRUE, "Unknown"
)</f>
        <v>Senior (60+)</v>
      </c>
      <c r="H372" t="s">
        <v>778</v>
      </c>
      <c r="I372" t="s">
        <v>54</v>
      </c>
      <c r="J372" t="str">
        <f t="shared" si="21"/>
        <v>Environmental Heat</v>
      </c>
      <c r="K372" t="s">
        <v>98</v>
      </c>
      <c r="L372" t="s">
        <v>250</v>
      </c>
      <c r="N372" t="s">
        <v>5095</v>
      </c>
      <c r="O372" t="str" cm="1">
        <f t="array" ref="O372">_xlfn.IFS(
  TEXT(TRIM(N372),"00000")="NULL", "Missing/Unknown",
  OR(TEXT(TRIM(N372),"00000")="89101", TEXT(TRIM(N372),"00000")="89104", TEXT(TRIM(N372),"00000")="89106", TEXT(TRIM(N372),"00000")="89102", TEXT(TRIM(N372),"00000")="89107", TEXT(TRIM(N372),"00000")="89108"), "Urban Core",
  OR(TEXT(TRIM(N372),"00000")="89110", TEXT(TRIM(N372),"00000")="89115", TEXT(TRIM(N372),"00000")="89121", TEXT(TRIM(N372),"00000")="89122", TEXT(TRIM(N372),"00000")="89142", TEXT(TRIM(N372),"00000")="89156"), "East Valley",
  OR(TEXT(TRIM(N372),"00000")="89030", TEXT(TRIM(N372),"00000")="89031", TEXT(TRIM(N372),"00000")="89032", TEXT(TRIM(N372),"00000")="89086", TEXT(TRIM(N372),"00000")="89084", TEXT(TRIM(N372),"00000")="89081"), "North LV",
  OR(TEXT(TRIM(N372),"00000")="89109", TEXT(TRIM(N372),"00000")="89103", TEXT(TRIM(N372),"00000")="89119", TEXT(TRIM(N372),"00000")="89123", TEXT(TRIM(N372),"00000")="89169", TEXT(TRIM(N372),"00000")="89118"), "South/Strip",
  OR(TEXT(TRIM(N372),"00000")="89074", TEXT(TRIM(N372),"00000")="89014", TEXT(TRIM(N372),"00000")="89015", TEXT(TRIM(N372),"00000")="89011", TEXT(TRIM(N372),"00000")="89012"), "Suburban SE",
  OR(TEXT(TRIM(N372),"00000")="89117", TEXT(TRIM(N372),"00000")="89128", TEXT(TRIM(N372),"00000")="89135", TEXT(TRIM(N372),"00000")="89144", TEXT(TRIM(N372),"00000")="89145", TEXT(TRIM(N372),"00000")="89147"), "West Valley",
  TRUE, "Other"
)</f>
        <v>Missing/Unknown</v>
      </c>
      <c r="P372" t="s">
        <v>38</v>
      </c>
      <c r="Q372" t="str">
        <f t="shared" si="22"/>
        <v>Home/Residence</v>
      </c>
      <c r="S372" t="s">
        <v>5095</v>
      </c>
      <c r="T372" t="str" cm="1">
        <f t="array" ref="T372">_xlfn.IFS(
  TEXT(TRIM(S372),"00000")="NULL", "Missing/Unknown",
  OR(TEXT(TRIM(S372),"00000")="89101", TEXT(TRIM(S372),"00000")="89104", TEXT(TRIM(S372),"00000")="89106", TEXT(TRIM(S372),"00000")="89102", TEXT(TRIM(S372),"00000")="89107", TEXT(TRIM(S372),"00000")="89108"), "Urban Core",
  OR(TEXT(TRIM(S372),"00000")="89110", TEXT(TRIM(S372),"00000")="89115", TEXT(TRIM(S372),"00000")="89121", TEXT(TRIM(S372),"00000")="89122", TEXT(TRIM(S372),"00000")="89142", TEXT(TRIM(S372),"00000")="89156"), "East Valley",
  OR(TEXT(TRIM(S372),"00000")="89030", TEXT(TRIM(S372),"00000")="89031", TEXT(TRIM(S372),"00000")="89032", TEXT(TRIM(S372),"00000")="89086", TEXT(TRIM(S372),"00000")="89084", TEXT(TRIM(S372),"00000")="89081"), "North LV",
  OR(TEXT(TRIM(S372),"00000")="89109", TEXT(TRIM(S372),"00000")="89103", TEXT(TRIM(S372),"00000")="89119", TEXT(TRIM(S372),"00000")="89123", TEXT(TRIM(S372),"00000")="89169", TEXT(TRIM(S372),"00000")="89118"), "South/Strip",
  OR(TEXT(TRIM(S372),"00000")="89074", TEXT(TRIM(S372),"00000")="89014", TEXT(TRIM(S372),"00000")="89015", TEXT(TRIM(S372),"00000")="89011", TEXT(TRIM(S372),"00000")="89012"), "Suburban SE",
  OR(TEXT(TRIM(S372),"00000")="89117", TEXT(TRIM(S372),"00000")="89128", TEXT(TRIM(S372),"00000")="89135", TEXT(TRIM(S372),"00000")="89144", TEXT(TRIM(S372),"00000")="89145", TEXT(TRIM(S372),"00000")="89147"), "West Valley",
  TRUE, "Other"
)</f>
        <v>Missing/Unknown</v>
      </c>
      <c r="U372" t="s">
        <v>38</v>
      </c>
      <c r="V372" t="str">
        <f t="shared" si="23"/>
        <v>Home/Residence</v>
      </c>
    </row>
    <row r="373" spans="1:22">
      <c r="A373" t="s">
        <v>3974</v>
      </c>
      <c r="B373" t="s">
        <v>3975</v>
      </c>
      <c r="C373" s="1">
        <v>45471</v>
      </c>
      <c r="D373" s="4">
        <v>105.98</v>
      </c>
      <c r="E373">
        <v>48</v>
      </c>
      <c r="F373" t="str">
        <f t="shared" si="20"/>
        <v>40's</v>
      </c>
      <c r="G373" t="str" cm="1">
        <f t="array" ref="G373">_xlfn.IFS(
  F373="10's", "Child (5–12)",
  OR(F373="20's", F373="30's"), "Young Adult (20–39)",
  OR(F373="40's", F373="50's"), "Adult (40–59)",
  OR(F373="60's", F373="70's", F373="80's", F373="90's"), "Senior (60+)",
  TRUE, "Unknown"
)</f>
        <v>Adult (40–59)</v>
      </c>
      <c r="H373" t="s">
        <v>778</v>
      </c>
      <c r="I373" t="s">
        <v>4025</v>
      </c>
      <c r="J373" t="str">
        <f t="shared" si="21"/>
        <v>Methamphetamine-related</v>
      </c>
      <c r="K373" t="s">
        <v>54</v>
      </c>
      <c r="L373" t="s">
        <v>250</v>
      </c>
      <c r="M373" t="s">
        <v>4956</v>
      </c>
      <c r="N373" t="s">
        <v>5096</v>
      </c>
      <c r="O373" t="str" cm="1">
        <f t="array" ref="O373">_xlfn.IFS(
  TEXT(TRIM(N373),"00000")="NULL", "Missing/Unknown",
  OR(TEXT(TRIM(N373),"00000")="89101", TEXT(TRIM(N373),"00000")="89104", TEXT(TRIM(N373),"00000")="89106", TEXT(TRIM(N373),"00000")="89102", TEXT(TRIM(N373),"00000")="89107", TEXT(TRIM(N373),"00000")="89108"), "Urban Core",
  OR(TEXT(TRIM(N373),"00000")="89110", TEXT(TRIM(N373),"00000")="89115", TEXT(TRIM(N373),"00000")="89121", TEXT(TRIM(N373),"00000")="89122", TEXT(TRIM(N373),"00000")="89142", TEXT(TRIM(N373),"00000")="89156"), "East Valley",
  OR(TEXT(TRIM(N373),"00000")="89030", TEXT(TRIM(N373),"00000")="89031", TEXT(TRIM(N373),"00000")="89032", TEXT(TRIM(N373),"00000")="89086", TEXT(TRIM(N373),"00000")="89084", TEXT(TRIM(N373),"00000")="89081"), "North LV",
  OR(TEXT(TRIM(N373),"00000")="89109", TEXT(TRIM(N373),"00000")="89103", TEXT(TRIM(N373),"00000")="89119", TEXT(TRIM(N373),"00000")="89123", TEXT(TRIM(N373),"00000")="89169", TEXT(TRIM(N373),"00000")="89118"), "South/Strip",
  OR(TEXT(TRIM(N373),"00000")="89074", TEXT(TRIM(N373),"00000")="89014", TEXT(TRIM(N373),"00000")="89015", TEXT(TRIM(N373),"00000")="89011", TEXT(TRIM(N373),"00000")="89012"), "Suburban SE",
  OR(TEXT(TRIM(N373),"00000")="89117", TEXT(TRIM(N373),"00000")="89128", TEXT(TRIM(N373),"00000")="89135", TEXT(TRIM(N373),"00000")="89144", TEXT(TRIM(N373),"00000")="89145", TEXT(TRIM(N373),"00000")="89147"), "West Valley",
  TRUE, "Other"
)</f>
        <v>South/Strip</v>
      </c>
      <c r="P373" t="s">
        <v>208</v>
      </c>
      <c r="Q373" t="str">
        <f t="shared" si="22"/>
        <v>Outdoors/Public</v>
      </c>
      <c r="R373" t="s">
        <v>4956</v>
      </c>
      <c r="S373" t="s">
        <v>5096</v>
      </c>
      <c r="T373" t="str" cm="1">
        <f t="array" ref="T373">_xlfn.IFS(
  TEXT(TRIM(S373),"00000")="NULL", "Missing/Unknown",
  OR(TEXT(TRIM(S373),"00000")="89101", TEXT(TRIM(S373),"00000")="89104", TEXT(TRIM(S373),"00000")="89106", TEXT(TRIM(S373),"00000")="89102", TEXT(TRIM(S373),"00000")="89107", TEXT(TRIM(S373),"00000")="89108"), "Urban Core",
  OR(TEXT(TRIM(S373),"00000")="89110", TEXT(TRIM(S373),"00000")="89115", TEXT(TRIM(S373),"00000")="89121", TEXT(TRIM(S373),"00000")="89122", TEXT(TRIM(S373),"00000")="89142", TEXT(TRIM(S373),"00000")="89156"), "East Valley",
  OR(TEXT(TRIM(S373),"00000")="89030", TEXT(TRIM(S373),"00000")="89031", TEXT(TRIM(S373),"00000")="89032", TEXT(TRIM(S373),"00000")="89086", TEXT(TRIM(S373),"00000")="89084", TEXT(TRIM(S373),"00000")="89081"), "North LV",
  OR(TEXT(TRIM(S373),"00000")="89109", TEXT(TRIM(S373),"00000")="89103", TEXT(TRIM(S373),"00000")="89119", TEXT(TRIM(S373),"00000")="89123", TEXT(TRIM(S373),"00000")="89169", TEXT(TRIM(S373),"00000")="89118"), "South/Strip",
  OR(TEXT(TRIM(S373),"00000")="89074", TEXT(TRIM(S373),"00000")="89014", TEXT(TRIM(S373),"00000")="89015", TEXT(TRIM(S373),"00000")="89011", TEXT(TRIM(S373),"00000")="89012"), "Suburban SE",
  OR(TEXT(TRIM(S373),"00000")="89117", TEXT(TRIM(S373),"00000")="89128", TEXT(TRIM(S373),"00000")="89135", TEXT(TRIM(S373),"00000")="89144", TEXT(TRIM(S373),"00000")="89145", TEXT(TRIM(S373),"00000")="89147"), "West Valley",
  TRUE, "Other"
)</f>
        <v>South/Strip</v>
      </c>
      <c r="U373" t="s">
        <v>208</v>
      </c>
      <c r="V373" t="str">
        <f t="shared" si="23"/>
        <v>Outdoors/Public</v>
      </c>
    </row>
    <row r="374" spans="1:22">
      <c r="A374" t="s">
        <v>3487</v>
      </c>
      <c r="B374" t="s">
        <v>3488</v>
      </c>
      <c r="C374" s="1">
        <v>45471</v>
      </c>
      <c r="D374" s="4">
        <v>105.98</v>
      </c>
      <c r="E374">
        <v>71</v>
      </c>
      <c r="F374" t="str">
        <f t="shared" si="20"/>
        <v>70's</v>
      </c>
      <c r="G374" t="str" cm="1">
        <f t="array" ref="G374">_xlfn.IFS(
  F374="10's", "Child (5–12)",
  OR(F374="20's", F374="30's"), "Young Adult (20–39)",
  OR(F374="40's", F374="50's"), "Adult (40–59)",
  OR(F374="60's", F374="70's", F374="80's", F374="90's"), "Senior (60+)",
  TRUE, "Unknown"
)</f>
        <v>Senior (60+)</v>
      </c>
      <c r="H374" t="s">
        <v>841</v>
      </c>
      <c r="I374" t="s">
        <v>68</v>
      </c>
      <c r="J374" t="str">
        <f t="shared" si="21"/>
        <v>Cardiovascular Disease</v>
      </c>
      <c r="K374" t="s">
        <v>4187</v>
      </c>
      <c r="L374" t="s">
        <v>1071</v>
      </c>
      <c r="M374" t="s">
        <v>4480</v>
      </c>
      <c r="N374" t="s">
        <v>5107</v>
      </c>
      <c r="O374" t="str" cm="1">
        <f t="array" ref="O374">_xlfn.IFS(
  TEXT(TRIM(N374),"00000")="NULL", "Missing/Unknown",
  OR(TEXT(TRIM(N374),"00000")="89101", TEXT(TRIM(N374),"00000")="89104", TEXT(TRIM(N374),"00000")="89106", TEXT(TRIM(N374),"00000")="89102", TEXT(TRIM(N374),"00000")="89107", TEXT(TRIM(N374),"00000")="89108"), "Urban Core",
  OR(TEXT(TRIM(N374),"00000")="89110", TEXT(TRIM(N374),"00000")="89115", TEXT(TRIM(N374),"00000")="89121", TEXT(TRIM(N374),"00000")="89122", TEXT(TRIM(N374),"00000")="89142", TEXT(TRIM(N374),"00000")="89156"), "East Valley",
  OR(TEXT(TRIM(N374),"00000")="89030", TEXT(TRIM(N374),"00000")="89031", TEXT(TRIM(N374),"00000")="89032", TEXT(TRIM(N374),"00000")="89086", TEXT(TRIM(N374),"00000")="89084", TEXT(TRIM(N374),"00000")="89081"), "North LV",
  OR(TEXT(TRIM(N374),"00000")="89109", TEXT(TRIM(N374),"00000")="89103", TEXT(TRIM(N374),"00000")="89119", TEXT(TRIM(N374),"00000")="89123", TEXT(TRIM(N374),"00000")="89169", TEXT(TRIM(N374),"00000")="89118"), "South/Strip",
  OR(TEXT(TRIM(N374),"00000")="89074", TEXT(TRIM(N374),"00000")="89014", TEXT(TRIM(N374),"00000")="89015", TEXT(TRIM(N374),"00000")="89011", TEXT(TRIM(N374),"00000")="89012"), "Suburban SE",
  OR(TEXT(TRIM(N374),"00000")="89117", TEXT(TRIM(N374),"00000")="89128", TEXT(TRIM(N374),"00000")="89135", TEXT(TRIM(N374),"00000")="89144", TEXT(TRIM(N374),"00000")="89145", TEXT(TRIM(N374),"00000")="89147"), "West Valley",
  TRUE, "Other"
)</f>
        <v>South/Strip</v>
      </c>
      <c r="P374" t="s">
        <v>1073</v>
      </c>
      <c r="Q374" t="str">
        <f t="shared" si="22"/>
        <v>Home/Residence</v>
      </c>
      <c r="R374" t="s">
        <v>4480</v>
      </c>
      <c r="S374" t="s">
        <v>5107</v>
      </c>
      <c r="T374" t="str" cm="1">
        <f t="array" ref="T374">_xlfn.IFS(
  TEXT(TRIM(S374),"00000")="NULL", "Missing/Unknown",
  OR(TEXT(TRIM(S374),"00000")="89101", TEXT(TRIM(S374),"00000")="89104", TEXT(TRIM(S374),"00000")="89106", TEXT(TRIM(S374),"00000")="89102", TEXT(TRIM(S374),"00000")="89107", TEXT(TRIM(S374),"00000")="89108"), "Urban Core",
  OR(TEXT(TRIM(S374),"00000")="89110", TEXT(TRIM(S374),"00000")="89115", TEXT(TRIM(S374),"00000")="89121", TEXT(TRIM(S374),"00000")="89122", TEXT(TRIM(S374),"00000")="89142", TEXT(TRIM(S374),"00000")="89156"), "East Valley",
  OR(TEXT(TRIM(S374),"00000")="89030", TEXT(TRIM(S374),"00000")="89031", TEXT(TRIM(S374),"00000")="89032", TEXT(TRIM(S374),"00000")="89086", TEXT(TRIM(S374),"00000")="89084", TEXT(TRIM(S374),"00000")="89081"), "North LV",
  OR(TEXT(TRIM(S374),"00000")="89109", TEXT(TRIM(S374),"00000")="89103", TEXT(TRIM(S374),"00000")="89119", TEXT(TRIM(S374),"00000")="89123", TEXT(TRIM(S374),"00000")="89169", TEXT(TRIM(S374),"00000")="89118"), "South/Strip",
  OR(TEXT(TRIM(S374),"00000")="89074", TEXT(TRIM(S374),"00000")="89014", TEXT(TRIM(S374),"00000")="89015", TEXT(TRIM(S374),"00000")="89011", TEXT(TRIM(S374),"00000")="89012"), "Suburban SE",
  OR(TEXT(TRIM(S374),"00000")="89117", TEXT(TRIM(S374),"00000")="89128", TEXT(TRIM(S374),"00000")="89135", TEXT(TRIM(S374),"00000")="89144", TEXT(TRIM(S374),"00000")="89145", TEXT(TRIM(S374),"00000")="89147"), "West Valley",
  TRUE, "Other"
)</f>
        <v>South/Strip</v>
      </c>
      <c r="U374" t="s">
        <v>1073</v>
      </c>
      <c r="V374" t="str">
        <f t="shared" si="23"/>
        <v>Home/Residence</v>
      </c>
    </row>
    <row r="375" spans="1:22">
      <c r="A375" t="s">
        <v>2517</v>
      </c>
      <c r="B375" t="s">
        <v>2518</v>
      </c>
      <c r="C375" s="1">
        <v>45471</v>
      </c>
      <c r="D375" s="4">
        <v>105.98</v>
      </c>
      <c r="E375">
        <v>49</v>
      </c>
      <c r="F375" t="str">
        <f t="shared" si="20"/>
        <v>40's</v>
      </c>
      <c r="G375" t="str" cm="1">
        <f t="array" ref="G375">_xlfn.IFS(
  F375="10's", "Child (5–12)",
  OR(F375="20's", F375="30's"), "Young Adult (20–39)",
  OR(F375="40's", F375="50's"), "Adult (40–59)",
  OR(F375="60's", F375="70's", F375="80's", F375="90's"), "Senior (60+)",
  TRUE, "Unknown"
)</f>
        <v>Adult (40–59)</v>
      </c>
      <c r="H375" t="s">
        <v>841</v>
      </c>
      <c r="I375" t="s">
        <v>4016</v>
      </c>
      <c r="J375" t="str">
        <f t="shared" si="21"/>
        <v>Methamphetamine-related</v>
      </c>
      <c r="K375" t="s">
        <v>54</v>
      </c>
      <c r="L375" t="s">
        <v>250</v>
      </c>
      <c r="M375" t="s">
        <v>4336</v>
      </c>
      <c r="N375" t="s">
        <v>5101</v>
      </c>
      <c r="O375" t="str" cm="1">
        <f t="array" ref="O375">_xlfn.IFS(
  TEXT(TRIM(N375),"00000")="NULL", "Missing/Unknown",
  OR(TEXT(TRIM(N375),"00000")="89101", TEXT(TRIM(N375),"00000")="89104", TEXT(TRIM(N375),"00000")="89106", TEXT(TRIM(N375),"00000")="89102", TEXT(TRIM(N375),"00000")="89107", TEXT(TRIM(N375),"00000")="89108"), "Urban Core",
  OR(TEXT(TRIM(N375),"00000")="89110", TEXT(TRIM(N375),"00000")="89115", TEXT(TRIM(N375),"00000")="89121", TEXT(TRIM(N375),"00000")="89122", TEXT(TRIM(N375),"00000")="89142", TEXT(TRIM(N375),"00000")="89156"), "East Valley",
  OR(TEXT(TRIM(N375),"00000")="89030", TEXT(TRIM(N375),"00000")="89031", TEXT(TRIM(N375),"00000")="89032", TEXT(TRIM(N375),"00000")="89086", TEXT(TRIM(N375),"00000")="89084", TEXT(TRIM(N375),"00000")="89081"), "North LV",
  OR(TEXT(TRIM(N375),"00000")="89109", TEXT(TRIM(N375),"00000")="89103", TEXT(TRIM(N375),"00000")="89119", TEXT(TRIM(N375),"00000")="89123", TEXT(TRIM(N375),"00000")="89169", TEXT(TRIM(N375),"00000")="89118"), "South/Strip",
  OR(TEXT(TRIM(N375),"00000")="89074", TEXT(TRIM(N375),"00000")="89014", TEXT(TRIM(N375),"00000")="89015", TEXT(TRIM(N375),"00000")="89011", TEXT(TRIM(N375),"00000")="89012"), "Suburban SE",
  OR(TEXT(TRIM(N375),"00000")="89117", TEXT(TRIM(N375),"00000")="89128", TEXT(TRIM(N375),"00000")="89135", TEXT(TRIM(N375),"00000")="89144", TEXT(TRIM(N375),"00000")="89145", TEXT(TRIM(N375),"00000")="89147"), "West Valley",
  TRUE, "Other"
)</f>
        <v>Urban Core</v>
      </c>
      <c r="P375" t="s">
        <v>2482</v>
      </c>
      <c r="Q375" t="str">
        <f t="shared" si="22"/>
        <v>Outdoors/Public</v>
      </c>
      <c r="R375" t="s">
        <v>4336</v>
      </c>
      <c r="S375" t="s">
        <v>5101</v>
      </c>
      <c r="T375" t="str" cm="1">
        <f t="array" ref="T375">_xlfn.IFS(
  TEXT(TRIM(S375),"00000")="NULL", "Missing/Unknown",
  OR(TEXT(TRIM(S375),"00000")="89101", TEXT(TRIM(S375),"00000")="89104", TEXT(TRIM(S375),"00000")="89106", TEXT(TRIM(S375),"00000")="89102", TEXT(TRIM(S375),"00000")="89107", TEXT(TRIM(S375),"00000")="89108"), "Urban Core",
  OR(TEXT(TRIM(S375),"00000")="89110", TEXT(TRIM(S375),"00000")="89115", TEXT(TRIM(S375),"00000")="89121", TEXT(TRIM(S375),"00000")="89122", TEXT(TRIM(S375),"00000")="89142", TEXT(TRIM(S375),"00000")="89156"), "East Valley",
  OR(TEXT(TRIM(S375),"00000")="89030", TEXT(TRIM(S375),"00000")="89031", TEXT(TRIM(S375),"00000")="89032", TEXT(TRIM(S375),"00000")="89086", TEXT(TRIM(S375),"00000")="89084", TEXT(TRIM(S375),"00000")="89081"), "North LV",
  OR(TEXT(TRIM(S375),"00000")="89109", TEXT(TRIM(S375),"00000")="89103", TEXT(TRIM(S375),"00000")="89119", TEXT(TRIM(S375),"00000")="89123", TEXT(TRIM(S375),"00000")="89169", TEXT(TRIM(S375),"00000")="89118"), "South/Strip",
  OR(TEXT(TRIM(S375),"00000")="89074", TEXT(TRIM(S375),"00000")="89014", TEXT(TRIM(S375),"00000")="89015", TEXT(TRIM(S375),"00000")="89011", TEXT(TRIM(S375),"00000")="89012"), "Suburban SE",
  OR(TEXT(TRIM(S375),"00000")="89117", TEXT(TRIM(S375),"00000")="89128", TEXT(TRIM(S375),"00000")="89135", TEXT(TRIM(S375),"00000")="89144", TEXT(TRIM(S375),"00000")="89145", TEXT(TRIM(S375),"00000")="89147"), "West Valley",
  TRUE, "Other"
)</f>
        <v>Urban Core</v>
      </c>
      <c r="U375" t="s">
        <v>2482</v>
      </c>
      <c r="V375" t="str">
        <f t="shared" si="23"/>
        <v>Outdoors/Public</v>
      </c>
    </row>
    <row r="376" spans="1:22">
      <c r="A376" t="s">
        <v>3285</v>
      </c>
      <c r="B376" t="s">
        <v>3286</v>
      </c>
      <c r="C376" s="1">
        <v>45471</v>
      </c>
      <c r="D376" s="4">
        <v>105.98</v>
      </c>
      <c r="E376">
        <v>47</v>
      </c>
      <c r="F376" t="str">
        <f t="shared" si="20"/>
        <v>40's</v>
      </c>
      <c r="G376" t="str" cm="1">
        <f t="array" ref="G376">_xlfn.IFS(
  F376="10's", "Child (5–12)",
  OR(F376="20's", F376="30's"), "Young Adult (20–39)",
  OR(F376="40's", F376="50's"), "Adult (40–59)",
  OR(F376="60's", F376="70's", F376="80's", F376="90's"), "Senior (60+)",
  TRUE, "Unknown"
)</f>
        <v>Adult (40–59)</v>
      </c>
      <c r="H376" t="s">
        <v>250</v>
      </c>
      <c r="I376" t="s">
        <v>4111</v>
      </c>
      <c r="J376" t="str">
        <f t="shared" si="21"/>
        <v>Environmental Heat</v>
      </c>
      <c r="K376" t="s">
        <v>98</v>
      </c>
      <c r="L376" t="s">
        <v>250</v>
      </c>
      <c r="N376" t="s">
        <v>5095</v>
      </c>
      <c r="O376" t="str" cm="1">
        <f t="array" ref="O376">_xlfn.IFS(
  TEXT(TRIM(N376),"00000")="NULL", "Missing/Unknown",
  OR(TEXT(TRIM(N376),"00000")="89101", TEXT(TRIM(N376),"00000")="89104", TEXT(TRIM(N376),"00000")="89106", TEXT(TRIM(N376),"00000")="89102", TEXT(TRIM(N376),"00000")="89107", TEXT(TRIM(N376),"00000")="89108"), "Urban Core",
  OR(TEXT(TRIM(N376),"00000")="89110", TEXT(TRIM(N376),"00000")="89115", TEXT(TRIM(N376),"00000")="89121", TEXT(TRIM(N376),"00000")="89122", TEXT(TRIM(N376),"00000")="89142", TEXT(TRIM(N376),"00000")="89156"), "East Valley",
  OR(TEXT(TRIM(N376),"00000")="89030", TEXT(TRIM(N376),"00000")="89031", TEXT(TRIM(N376),"00000")="89032", TEXT(TRIM(N376),"00000")="89086", TEXT(TRIM(N376),"00000")="89084", TEXT(TRIM(N376),"00000")="89081"), "North LV",
  OR(TEXT(TRIM(N376),"00000")="89109", TEXT(TRIM(N376),"00000")="89103", TEXT(TRIM(N376),"00000")="89119", TEXT(TRIM(N376),"00000")="89123", TEXT(TRIM(N376),"00000")="89169", TEXT(TRIM(N376),"00000")="89118"), "South/Strip",
  OR(TEXT(TRIM(N376),"00000")="89074", TEXT(TRIM(N376),"00000")="89014", TEXT(TRIM(N376),"00000")="89015", TEXT(TRIM(N376),"00000")="89011", TEXT(TRIM(N376),"00000")="89012"), "Suburban SE",
  OR(TEXT(TRIM(N376),"00000")="89117", TEXT(TRIM(N376),"00000")="89128", TEXT(TRIM(N376),"00000")="89135", TEXT(TRIM(N376),"00000")="89144", TEXT(TRIM(N376),"00000")="89145", TEXT(TRIM(N376),"00000")="89147"), "West Valley",
  TRUE, "Other"
)</f>
        <v>Missing/Unknown</v>
      </c>
      <c r="P376" t="s">
        <v>38</v>
      </c>
      <c r="Q376" t="str">
        <f t="shared" si="22"/>
        <v>Home/Residence</v>
      </c>
      <c r="R376" t="s">
        <v>4713</v>
      </c>
      <c r="S376" t="s">
        <v>5125</v>
      </c>
      <c r="T376" t="str" cm="1">
        <f t="array" ref="T376">_xlfn.IFS(
  TEXT(TRIM(S376),"00000")="NULL", "Missing/Unknown",
  OR(TEXT(TRIM(S376),"00000")="89101", TEXT(TRIM(S376),"00000")="89104", TEXT(TRIM(S376),"00000")="89106", TEXT(TRIM(S376),"00000")="89102", TEXT(TRIM(S376),"00000")="89107", TEXT(TRIM(S376),"00000")="89108"), "Urban Core",
  OR(TEXT(TRIM(S376),"00000")="89110", TEXT(TRIM(S376),"00000")="89115", TEXT(TRIM(S376),"00000")="89121", TEXT(TRIM(S376),"00000")="89122", TEXT(TRIM(S376),"00000")="89142", TEXT(TRIM(S376),"00000")="89156"), "East Valley",
  OR(TEXT(TRIM(S376),"00000")="89030", TEXT(TRIM(S376),"00000")="89031", TEXT(TRIM(S376),"00000")="89032", TEXT(TRIM(S376),"00000")="89086", TEXT(TRIM(S376),"00000")="89084", TEXT(TRIM(S376),"00000")="89081"), "North LV",
  OR(TEXT(TRIM(S376),"00000")="89109", TEXT(TRIM(S376),"00000")="89103", TEXT(TRIM(S376),"00000")="89119", TEXT(TRIM(S376),"00000")="89123", TEXT(TRIM(S376),"00000")="89169", TEXT(TRIM(S376),"00000")="89118"), "South/Strip",
  OR(TEXT(TRIM(S376),"00000")="89074", TEXT(TRIM(S376),"00000")="89014", TEXT(TRIM(S376),"00000")="89015", TEXT(TRIM(S376),"00000")="89011", TEXT(TRIM(S376),"00000")="89012"), "Suburban SE",
  OR(TEXT(TRIM(S376),"00000")="89117", TEXT(TRIM(S376),"00000")="89128", TEXT(TRIM(S376),"00000")="89135", TEXT(TRIM(S376),"00000")="89144", TEXT(TRIM(S376),"00000")="89145", TEXT(TRIM(S376),"00000")="89147"), "West Valley",
  TRUE, "Other"
)</f>
        <v>South/Strip</v>
      </c>
      <c r="U376" t="s">
        <v>2413</v>
      </c>
      <c r="V376" t="str">
        <f t="shared" si="23"/>
        <v>Medical Facility</v>
      </c>
    </row>
    <row r="377" spans="1:22">
      <c r="A377" t="s">
        <v>2487</v>
      </c>
      <c r="B377" t="s">
        <v>2488</v>
      </c>
      <c r="C377" s="1">
        <v>45471</v>
      </c>
      <c r="D377" s="4">
        <v>105.98</v>
      </c>
      <c r="E377">
        <v>62</v>
      </c>
      <c r="F377" t="str">
        <f t="shared" si="20"/>
        <v>60's</v>
      </c>
      <c r="G377" t="str" cm="1">
        <f t="array" ref="G377">_xlfn.IFS(
  F377="10's", "Child (5–12)",
  OR(F377="20's", F377="30's"), "Young Adult (20–39)",
  OR(F377="40's", F377="50's"), "Adult (40–59)",
  OR(F377="60's", F377="70's", F377="80's", F377="90's"), "Senior (60+)",
  TRUE, "Unknown"
)</f>
        <v>Senior (60+)</v>
      </c>
      <c r="H377" t="s">
        <v>841</v>
      </c>
      <c r="I377" t="s">
        <v>34</v>
      </c>
      <c r="J377" t="str">
        <f t="shared" si="21"/>
        <v>Methamphetamine-related</v>
      </c>
      <c r="K377" t="s">
        <v>1362</v>
      </c>
      <c r="L377" t="s">
        <v>250</v>
      </c>
      <c r="N377" t="s">
        <v>5095</v>
      </c>
      <c r="O377" t="str" cm="1">
        <f t="array" ref="O377">_xlfn.IFS(
  TEXT(TRIM(N377),"00000")="NULL", "Missing/Unknown",
  OR(TEXT(TRIM(N377),"00000")="89101", TEXT(TRIM(N377),"00000")="89104", TEXT(TRIM(N377),"00000")="89106", TEXT(TRIM(N377),"00000")="89102", TEXT(TRIM(N377),"00000")="89107", TEXT(TRIM(N377),"00000")="89108"), "Urban Core",
  OR(TEXT(TRIM(N377),"00000")="89110", TEXT(TRIM(N377),"00000")="89115", TEXT(TRIM(N377),"00000")="89121", TEXT(TRIM(N377),"00000")="89122", TEXT(TRIM(N377),"00000")="89142", TEXT(TRIM(N377),"00000")="89156"), "East Valley",
  OR(TEXT(TRIM(N377),"00000")="89030", TEXT(TRIM(N377),"00000")="89031", TEXT(TRIM(N377),"00000")="89032", TEXT(TRIM(N377),"00000")="89086", TEXT(TRIM(N377),"00000")="89084", TEXT(TRIM(N377),"00000")="89081"), "North LV",
  OR(TEXT(TRIM(N377),"00000")="89109", TEXT(TRIM(N377),"00000")="89103", TEXT(TRIM(N377),"00000")="89119", TEXT(TRIM(N377),"00000")="89123", TEXT(TRIM(N377),"00000")="89169", TEXT(TRIM(N377),"00000")="89118"), "South/Strip",
  OR(TEXT(TRIM(N377),"00000")="89074", TEXT(TRIM(N377),"00000")="89014", TEXT(TRIM(N377),"00000")="89015", TEXT(TRIM(N377),"00000")="89011", TEXT(TRIM(N377),"00000")="89012"), "Suburban SE",
  OR(TEXT(TRIM(N377),"00000")="89117", TEXT(TRIM(N377),"00000")="89128", TEXT(TRIM(N377),"00000")="89135", TEXT(TRIM(N377),"00000")="89144", TEXT(TRIM(N377),"00000")="89145", TEXT(TRIM(N377),"00000")="89147"), "West Valley",
  TRUE, "Other"
)</f>
        <v>Missing/Unknown</v>
      </c>
      <c r="P377" t="s">
        <v>3298</v>
      </c>
      <c r="Q377" t="str">
        <f t="shared" si="22"/>
        <v>Outdoors/Public</v>
      </c>
      <c r="S377" t="s">
        <v>5095</v>
      </c>
      <c r="T377" t="str" cm="1">
        <f t="array" ref="T377">_xlfn.IFS(
  TEXT(TRIM(S377),"00000")="NULL", "Missing/Unknown",
  OR(TEXT(TRIM(S377),"00000")="89101", TEXT(TRIM(S377),"00000")="89104", TEXT(TRIM(S377),"00000")="89106", TEXT(TRIM(S377),"00000")="89102", TEXT(TRIM(S377),"00000")="89107", TEXT(TRIM(S377),"00000")="89108"), "Urban Core",
  OR(TEXT(TRIM(S377),"00000")="89110", TEXT(TRIM(S377),"00000")="89115", TEXT(TRIM(S377),"00000")="89121", TEXT(TRIM(S377),"00000")="89122", TEXT(TRIM(S377),"00000")="89142", TEXT(TRIM(S377),"00000")="89156"), "East Valley",
  OR(TEXT(TRIM(S377),"00000")="89030", TEXT(TRIM(S377),"00000")="89031", TEXT(TRIM(S377),"00000")="89032", TEXT(TRIM(S377),"00000")="89086", TEXT(TRIM(S377),"00000")="89084", TEXT(TRIM(S377),"00000")="89081"), "North LV",
  OR(TEXT(TRIM(S377),"00000")="89109", TEXT(TRIM(S377),"00000")="89103", TEXT(TRIM(S377),"00000")="89119", TEXT(TRIM(S377),"00000")="89123", TEXT(TRIM(S377),"00000")="89169", TEXT(TRIM(S377),"00000")="89118"), "South/Strip",
  OR(TEXT(TRIM(S377),"00000")="89074", TEXT(TRIM(S377),"00000")="89014", TEXT(TRIM(S377),"00000")="89015", TEXT(TRIM(S377),"00000")="89011", TEXT(TRIM(S377),"00000")="89012"), "Suburban SE",
  OR(TEXT(TRIM(S377),"00000")="89117", TEXT(TRIM(S377),"00000")="89128", TEXT(TRIM(S377),"00000")="89135", TEXT(TRIM(S377),"00000")="89144", TEXT(TRIM(S377),"00000")="89145", TEXT(TRIM(S377),"00000")="89147"), "West Valley",
  TRUE, "Other"
)</f>
        <v>Missing/Unknown</v>
      </c>
      <c r="U377" t="s">
        <v>3298</v>
      </c>
      <c r="V377" t="str">
        <f t="shared" si="23"/>
        <v>Outdoors/Public</v>
      </c>
    </row>
    <row r="378" spans="1:22">
      <c r="A378" t="s">
        <v>2483</v>
      </c>
      <c r="B378" t="s">
        <v>2484</v>
      </c>
      <c r="C378" s="1">
        <v>45470</v>
      </c>
      <c r="D378" s="4">
        <v>109.04</v>
      </c>
      <c r="E378">
        <v>69</v>
      </c>
      <c r="F378" t="str">
        <f t="shared" si="20"/>
        <v>60's</v>
      </c>
      <c r="G378" t="str" cm="1">
        <f t="array" ref="G378">_xlfn.IFS(
  F378="10's", "Child (5–12)",
  OR(F378="20's", F378="30's"), "Young Adult (20–39)",
  OR(F378="40's", F378="50's"), "Adult (40–59)",
  OR(F378="60's", F378="70's", F378="80's", F378="90's"), "Senior (60+)",
  TRUE, "Unknown"
)</f>
        <v>Senior (60+)</v>
      </c>
      <c r="H378" t="s">
        <v>841</v>
      </c>
      <c r="I378" t="s">
        <v>34</v>
      </c>
      <c r="J378" t="str">
        <f t="shared" si="21"/>
        <v>Methamphetamine-related</v>
      </c>
      <c r="K378" t="s">
        <v>54</v>
      </c>
      <c r="L378" t="s">
        <v>1071</v>
      </c>
      <c r="M378" t="s">
        <v>4605</v>
      </c>
      <c r="N378" t="s">
        <v>5100</v>
      </c>
      <c r="O378" t="str" cm="1">
        <f t="array" ref="O378">_xlfn.IFS(
  TEXT(TRIM(N378),"00000")="NULL", "Missing/Unknown",
  OR(TEXT(TRIM(N378),"00000")="89101", TEXT(TRIM(N378),"00000")="89104", TEXT(TRIM(N378),"00000")="89106", TEXT(TRIM(N378),"00000")="89102", TEXT(TRIM(N378),"00000")="89107", TEXT(TRIM(N378),"00000")="89108"), "Urban Core",
  OR(TEXT(TRIM(N378),"00000")="89110", TEXT(TRIM(N378),"00000")="89115", TEXT(TRIM(N378),"00000")="89121", TEXT(TRIM(N378),"00000")="89122", TEXT(TRIM(N378),"00000")="89142", TEXT(TRIM(N378),"00000")="89156"), "East Valley",
  OR(TEXT(TRIM(N378),"00000")="89030", TEXT(TRIM(N378),"00000")="89031", TEXT(TRIM(N378),"00000")="89032", TEXT(TRIM(N378),"00000")="89086", TEXT(TRIM(N378),"00000")="89084", TEXT(TRIM(N378),"00000")="89081"), "North LV",
  OR(TEXT(TRIM(N378),"00000")="89109", TEXT(TRIM(N378),"00000")="89103", TEXT(TRIM(N378),"00000")="89119", TEXT(TRIM(N378),"00000")="89123", TEXT(TRIM(N378),"00000")="89169", TEXT(TRIM(N378),"00000")="89118"), "South/Strip",
  OR(TEXT(TRIM(N378),"00000")="89074", TEXT(TRIM(N378),"00000")="89014", TEXT(TRIM(N378),"00000")="89015", TEXT(TRIM(N378),"00000")="89011", TEXT(TRIM(N378),"00000")="89012"), "Suburban SE",
  OR(TEXT(TRIM(N378),"00000")="89117", TEXT(TRIM(N378),"00000")="89128", TEXT(TRIM(N378),"00000")="89135", TEXT(TRIM(N378),"00000")="89144", TEXT(TRIM(N378),"00000")="89145", TEXT(TRIM(N378),"00000")="89147"), "West Valley",
  TRUE, "Other"
)</f>
        <v>North LV</v>
      </c>
      <c r="P378" t="s">
        <v>1042</v>
      </c>
      <c r="Q378" t="str">
        <f t="shared" si="22"/>
        <v>Business/Commercial</v>
      </c>
      <c r="R378" t="s">
        <v>4605</v>
      </c>
      <c r="S378" t="s">
        <v>5100</v>
      </c>
      <c r="T378" t="str" cm="1">
        <f t="array" ref="T378">_xlfn.IFS(
  TEXT(TRIM(S378),"00000")="NULL", "Missing/Unknown",
  OR(TEXT(TRIM(S378),"00000")="89101", TEXT(TRIM(S378),"00000")="89104", TEXT(TRIM(S378),"00000")="89106", TEXT(TRIM(S378),"00000")="89102", TEXT(TRIM(S378),"00000")="89107", TEXT(TRIM(S378),"00000")="89108"), "Urban Core",
  OR(TEXT(TRIM(S378),"00000")="89110", TEXT(TRIM(S378),"00000")="89115", TEXT(TRIM(S378),"00000")="89121", TEXT(TRIM(S378),"00000")="89122", TEXT(TRIM(S378),"00000")="89142", TEXT(TRIM(S378),"00000")="89156"), "East Valley",
  OR(TEXT(TRIM(S378),"00000")="89030", TEXT(TRIM(S378),"00000")="89031", TEXT(TRIM(S378),"00000")="89032", TEXT(TRIM(S378),"00000")="89086", TEXT(TRIM(S378),"00000")="89084", TEXT(TRIM(S378),"00000")="89081"), "North LV",
  OR(TEXT(TRIM(S378),"00000")="89109", TEXT(TRIM(S378),"00000")="89103", TEXT(TRIM(S378),"00000")="89119", TEXT(TRIM(S378),"00000")="89123", TEXT(TRIM(S378),"00000")="89169", TEXT(TRIM(S378),"00000")="89118"), "South/Strip",
  OR(TEXT(TRIM(S378),"00000")="89074", TEXT(TRIM(S378),"00000")="89014", TEXT(TRIM(S378),"00000")="89015", TEXT(TRIM(S378),"00000")="89011", TEXT(TRIM(S378),"00000")="89012"), "Suburban SE",
  OR(TEXT(TRIM(S378),"00000")="89117", TEXT(TRIM(S378),"00000")="89128", TEXT(TRIM(S378),"00000")="89135", TEXT(TRIM(S378),"00000")="89144", TEXT(TRIM(S378),"00000")="89145", TEXT(TRIM(S378),"00000")="89147"), "West Valley",
  TRUE, "Other"
)</f>
        <v>North LV</v>
      </c>
      <c r="U378" t="s">
        <v>1042</v>
      </c>
      <c r="V378" t="str">
        <f t="shared" si="23"/>
        <v>Business/Commercial</v>
      </c>
    </row>
    <row r="379" spans="1:22">
      <c r="A379" t="s">
        <v>3416</v>
      </c>
      <c r="B379" t="s">
        <v>3417</v>
      </c>
      <c r="C379" s="1">
        <v>45470</v>
      </c>
      <c r="D379" s="4">
        <v>109.04</v>
      </c>
      <c r="E379">
        <v>34</v>
      </c>
      <c r="F379" t="str">
        <f t="shared" si="20"/>
        <v>30's</v>
      </c>
      <c r="G379" t="str" cm="1">
        <f t="array" ref="G379">_xlfn.IFS(
  F379="10's", "Child (5–12)",
  OR(F379="20's", F379="30's"), "Young Adult (20–39)",
  OR(F379="40's", F379="50's"), "Adult (40–59)",
  OR(F379="60's", F379="70's", F379="80's", F379="90's"), "Senior (60+)",
  TRUE, "Unknown"
)</f>
        <v>Young Adult (20–39)</v>
      </c>
      <c r="H379" t="s">
        <v>778</v>
      </c>
      <c r="I379" t="s">
        <v>638</v>
      </c>
      <c r="J379" t="str">
        <f t="shared" si="21"/>
        <v>Dehydration / Electrolyte</v>
      </c>
      <c r="K379" t="s">
        <v>98</v>
      </c>
      <c r="L379" t="s">
        <v>250</v>
      </c>
      <c r="M379" t="s">
        <v>4870</v>
      </c>
      <c r="N379" t="s">
        <v>5100</v>
      </c>
      <c r="O379" t="str" cm="1">
        <f t="array" ref="O379">_xlfn.IFS(
  TEXT(TRIM(N379),"00000")="NULL", "Missing/Unknown",
  OR(TEXT(TRIM(N379),"00000")="89101", TEXT(TRIM(N379),"00000")="89104", TEXT(TRIM(N379),"00000")="89106", TEXT(TRIM(N379),"00000")="89102", TEXT(TRIM(N379),"00000")="89107", TEXT(TRIM(N379),"00000")="89108"), "Urban Core",
  OR(TEXT(TRIM(N379),"00000")="89110", TEXT(TRIM(N379),"00000")="89115", TEXT(TRIM(N379),"00000")="89121", TEXT(TRIM(N379),"00000")="89122", TEXT(TRIM(N379),"00000")="89142", TEXT(TRIM(N379),"00000")="89156"), "East Valley",
  OR(TEXT(TRIM(N379),"00000")="89030", TEXT(TRIM(N379),"00000")="89031", TEXT(TRIM(N379),"00000")="89032", TEXT(TRIM(N379),"00000")="89086", TEXT(TRIM(N379),"00000")="89084", TEXT(TRIM(N379),"00000")="89081"), "North LV",
  OR(TEXT(TRIM(N379),"00000")="89109", TEXT(TRIM(N379),"00000")="89103", TEXT(TRIM(N379),"00000")="89119", TEXT(TRIM(N379),"00000")="89123", TEXT(TRIM(N379),"00000")="89169", TEXT(TRIM(N379),"00000")="89118"), "South/Strip",
  OR(TEXT(TRIM(N379),"00000")="89074", TEXT(TRIM(N379),"00000")="89014", TEXT(TRIM(N379),"00000")="89015", TEXT(TRIM(N379),"00000")="89011", TEXT(TRIM(N379),"00000")="89012"), "Suburban SE",
  OR(TEXT(TRIM(N379),"00000")="89117", TEXT(TRIM(N379),"00000")="89128", TEXT(TRIM(N379),"00000")="89135", TEXT(TRIM(N379),"00000")="89144", TEXT(TRIM(N379),"00000")="89145", TEXT(TRIM(N379),"00000")="89147"), "West Valley",
  TRUE, "Other"
)</f>
        <v>North LV</v>
      </c>
      <c r="P379" t="s">
        <v>3047</v>
      </c>
      <c r="Q379" t="str">
        <f t="shared" si="22"/>
        <v>Outdoors/Public</v>
      </c>
      <c r="R379" t="s">
        <v>4870</v>
      </c>
      <c r="S379" t="s">
        <v>5100</v>
      </c>
      <c r="T379" t="str" cm="1">
        <f t="array" ref="T379">_xlfn.IFS(
  TEXT(TRIM(S379),"00000")="NULL", "Missing/Unknown",
  OR(TEXT(TRIM(S379),"00000")="89101", TEXT(TRIM(S379),"00000")="89104", TEXT(TRIM(S379),"00000")="89106", TEXT(TRIM(S379),"00000")="89102", TEXT(TRIM(S379),"00000")="89107", TEXT(TRIM(S379),"00000")="89108"), "Urban Core",
  OR(TEXT(TRIM(S379),"00000")="89110", TEXT(TRIM(S379),"00000")="89115", TEXT(TRIM(S379),"00000")="89121", TEXT(TRIM(S379),"00000")="89122", TEXT(TRIM(S379),"00000")="89142", TEXT(TRIM(S379),"00000")="89156"), "East Valley",
  OR(TEXT(TRIM(S379),"00000")="89030", TEXT(TRIM(S379),"00000")="89031", TEXT(TRIM(S379),"00000")="89032", TEXT(TRIM(S379),"00000")="89086", TEXT(TRIM(S379),"00000")="89084", TEXT(TRIM(S379),"00000")="89081"), "North LV",
  OR(TEXT(TRIM(S379),"00000")="89109", TEXT(TRIM(S379),"00000")="89103", TEXT(TRIM(S379),"00000")="89119", TEXT(TRIM(S379),"00000")="89123", TEXT(TRIM(S379),"00000")="89169", TEXT(TRIM(S379),"00000")="89118"), "South/Strip",
  OR(TEXT(TRIM(S379),"00000")="89074", TEXT(TRIM(S379),"00000")="89014", TEXT(TRIM(S379),"00000")="89015", TEXT(TRIM(S379),"00000")="89011", TEXT(TRIM(S379),"00000")="89012"), "Suburban SE",
  OR(TEXT(TRIM(S379),"00000")="89117", TEXT(TRIM(S379),"00000")="89128", TEXT(TRIM(S379),"00000")="89135", TEXT(TRIM(S379),"00000")="89144", TEXT(TRIM(S379),"00000")="89145", TEXT(TRIM(S379),"00000")="89147"), "West Valley",
  TRUE, "Other"
)</f>
        <v>North LV</v>
      </c>
      <c r="U379" t="s">
        <v>3047</v>
      </c>
      <c r="V379" t="str">
        <f t="shared" si="23"/>
        <v>Outdoors/Public</v>
      </c>
    </row>
    <row r="380" spans="1:22">
      <c r="A380" t="s">
        <v>2701</v>
      </c>
      <c r="B380" t="s">
        <v>2702</v>
      </c>
      <c r="C380" s="1">
        <v>45470</v>
      </c>
      <c r="D380" s="4">
        <v>109.04</v>
      </c>
      <c r="E380">
        <v>54</v>
      </c>
      <c r="F380" t="str">
        <f t="shared" si="20"/>
        <v>50's</v>
      </c>
      <c r="G380" t="str" cm="1">
        <f t="array" ref="G380">_xlfn.IFS(
  F380="10's", "Child (5–12)",
  OR(F380="20's", F380="30's"), "Young Adult (20–39)",
  OR(F380="40's", F380="50's"), "Adult (40–59)",
  OR(F380="60's", F380="70's", F380="80's", F380="90's"), "Senior (60+)",
  TRUE, "Unknown"
)</f>
        <v>Adult (40–59)</v>
      </c>
      <c r="H380" t="s">
        <v>27</v>
      </c>
      <c r="I380" t="s">
        <v>4023</v>
      </c>
      <c r="J380" t="str">
        <f t="shared" si="21"/>
        <v>Ethanol-related</v>
      </c>
      <c r="K380" t="s">
        <v>54</v>
      </c>
      <c r="L380" t="s">
        <v>1071</v>
      </c>
      <c r="M380" t="s">
        <v>5036</v>
      </c>
      <c r="N380" t="s">
        <v>5115</v>
      </c>
      <c r="O380" t="str" cm="1">
        <f t="array" ref="O380">_xlfn.IFS(
  TEXT(TRIM(N380),"00000")="NULL", "Missing/Unknown",
  OR(TEXT(TRIM(N380),"00000")="89101", TEXT(TRIM(N380),"00000")="89104", TEXT(TRIM(N380),"00000")="89106", TEXT(TRIM(N380),"00000")="89102", TEXT(TRIM(N380),"00000")="89107", TEXT(TRIM(N380),"00000")="89108"), "Urban Core",
  OR(TEXT(TRIM(N380),"00000")="89110", TEXT(TRIM(N380),"00000")="89115", TEXT(TRIM(N380),"00000")="89121", TEXT(TRIM(N380),"00000")="89122", TEXT(TRIM(N380),"00000")="89142", TEXT(TRIM(N380),"00000")="89156"), "East Valley",
  OR(TEXT(TRIM(N380),"00000")="89030", TEXT(TRIM(N380),"00000")="89031", TEXT(TRIM(N380),"00000")="89032", TEXT(TRIM(N380),"00000")="89086", TEXT(TRIM(N380),"00000")="89084", TEXT(TRIM(N380),"00000")="89081"), "North LV",
  OR(TEXT(TRIM(N380),"00000")="89109", TEXT(TRIM(N380),"00000")="89103", TEXT(TRIM(N380),"00000")="89119", TEXT(TRIM(N380),"00000")="89123", TEXT(TRIM(N380),"00000")="89169", TEXT(TRIM(N380),"00000")="89118"), "South/Strip",
  OR(TEXT(TRIM(N380),"00000")="89074", TEXT(TRIM(N380),"00000")="89014", TEXT(TRIM(N380),"00000")="89015", TEXT(TRIM(N380),"00000")="89011", TEXT(TRIM(N380),"00000")="89012"), "Suburban SE",
  OR(TEXT(TRIM(N380),"00000")="89117", TEXT(TRIM(N380),"00000")="89128", TEXT(TRIM(N380),"00000")="89135", TEXT(TRIM(N380),"00000")="89144", TEXT(TRIM(N380),"00000")="89145", TEXT(TRIM(N380),"00000")="89147"), "West Valley",
  TRUE, "Other"
)</f>
        <v>Other</v>
      </c>
      <c r="P380" t="s">
        <v>3298</v>
      </c>
      <c r="Q380" t="str">
        <f t="shared" si="22"/>
        <v>Outdoors/Public</v>
      </c>
      <c r="R380" t="s">
        <v>5036</v>
      </c>
      <c r="S380" t="s">
        <v>5115</v>
      </c>
      <c r="T380" t="str" cm="1">
        <f t="array" ref="T380">_xlfn.IFS(
  TEXT(TRIM(S380),"00000")="NULL", "Missing/Unknown",
  OR(TEXT(TRIM(S380),"00000")="89101", TEXT(TRIM(S380),"00000")="89104", TEXT(TRIM(S380),"00000")="89106", TEXT(TRIM(S380),"00000")="89102", TEXT(TRIM(S380),"00000")="89107", TEXT(TRIM(S380),"00000")="89108"), "Urban Core",
  OR(TEXT(TRIM(S380),"00000")="89110", TEXT(TRIM(S380),"00000")="89115", TEXT(TRIM(S380),"00000")="89121", TEXT(TRIM(S380),"00000")="89122", TEXT(TRIM(S380),"00000")="89142", TEXT(TRIM(S380),"00000")="89156"), "East Valley",
  OR(TEXT(TRIM(S380),"00000")="89030", TEXT(TRIM(S380),"00000")="89031", TEXT(TRIM(S380),"00000")="89032", TEXT(TRIM(S380),"00000")="89086", TEXT(TRIM(S380),"00000")="89084", TEXT(TRIM(S380),"00000")="89081"), "North LV",
  OR(TEXT(TRIM(S380),"00000")="89109", TEXT(TRIM(S380),"00000")="89103", TEXT(TRIM(S380),"00000")="89119", TEXT(TRIM(S380),"00000")="89123", TEXT(TRIM(S380),"00000")="89169", TEXT(TRIM(S380),"00000")="89118"), "South/Strip",
  OR(TEXT(TRIM(S380),"00000")="89074", TEXT(TRIM(S380),"00000")="89014", TEXT(TRIM(S380),"00000")="89015", TEXT(TRIM(S380),"00000")="89011", TEXT(TRIM(S380),"00000")="89012"), "Suburban SE",
  OR(TEXT(TRIM(S380),"00000")="89117", TEXT(TRIM(S380),"00000")="89128", TEXT(TRIM(S380),"00000")="89135", TEXT(TRIM(S380),"00000")="89144", TEXT(TRIM(S380),"00000")="89145", TEXT(TRIM(S380),"00000")="89147"), "West Valley",
  TRUE, "Other"
)</f>
        <v>Other</v>
      </c>
      <c r="U380" t="s">
        <v>3298</v>
      </c>
      <c r="V380" t="str">
        <f t="shared" si="23"/>
        <v>Outdoors/Public</v>
      </c>
    </row>
    <row r="381" spans="1:22">
      <c r="A381" t="s">
        <v>2742</v>
      </c>
      <c r="B381" t="s">
        <v>2743</v>
      </c>
      <c r="C381" s="1">
        <v>45470</v>
      </c>
      <c r="D381" s="4">
        <v>109.04</v>
      </c>
      <c r="E381">
        <v>66</v>
      </c>
      <c r="F381" t="str">
        <f t="shared" si="20"/>
        <v>60's</v>
      </c>
      <c r="G381" t="str" cm="1">
        <f t="array" ref="G381">_xlfn.IFS(
  F381="10's", "Child (5–12)",
  OR(F381="20's", F381="30's"), "Young Adult (20–39)",
  OR(F381="40's", F381="50's"), "Adult (40–59)",
  OR(F381="60's", F381="70's", F381="80's", F381="90's"), "Senior (60+)",
  TRUE, "Unknown"
)</f>
        <v>Senior (60+)</v>
      </c>
      <c r="H381" t="s">
        <v>778</v>
      </c>
      <c r="I381" t="s">
        <v>4068</v>
      </c>
      <c r="J381" t="str">
        <f t="shared" si="21"/>
        <v>Ethanol-related</v>
      </c>
      <c r="K381" t="s">
        <v>54</v>
      </c>
      <c r="L381" t="s">
        <v>1071</v>
      </c>
      <c r="M381" t="s">
        <v>4975</v>
      </c>
      <c r="N381" t="s">
        <v>5097</v>
      </c>
      <c r="O381" t="str" cm="1">
        <f t="array" ref="O381">_xlfn.IFS(
  TEXT(TRIM(N381),"00000")="NULL", "Missing/Unknown",
  OR(TEXT(TRIM(N381),"00000")="89101", TEXT(TRIM(N381),"00000")="89104", TEXT(TRIM(N381),"00000")="89106", TEXT(TRIM(N381),"00000")="89102", TEXT(TRIM(N381),"00000")="89107", TEXT(TRIM(N381),"00000")="89108"), "Urban Core",
  OR(TEXT(TRIM(N381),"00000")="89110", TEXT(TRIM(N381),"00000")="89115", TEXT(TRIM(N381),"00000")="89121", TEXT(TRIM(N381),"00000")="89122", TEXT(TRIM(N381),"00000")="89142", TEXT(TRIM(N381),"00000")="89156"), "East Valley",
  OR(TEXT(TRIM(N381),"00000")="89030", TEXT(TRIM(N381),"00000")="89031", TEXT(TRIM(N381),"00000")="89032", TEXT(TRIM(N381),"00000")="89086", TEXT(TRIM(N381),"00000")="89084", TEXT(TRIM(N381),"00000")="89081"), "North LV",
  OR(TEXT(TRIM(N381),"00000")="89109", TEXT(TRIM(N381),"00000")="89103", TEXT(TRIM(N381),"00000")="89119", TEXT(TRIM(N381),"00000")="89123", TEXT(TRIM(N381),"00000")="89169", TEXT(TRIM(N381),"00000")="89118"), "South/Strip",
  OR(TEXT(TRIM(N381),"00000")="89074", TEXT(TRIM(N381),"00000")="89014", TEXT(TRIM(N381),"00000")="89015", TEXT(TRIM(N381),"00000")="89011", TEXT(TRIM(N381),"00000")="89012"), "Suburban SE",
  OR(TEXT(TRIM(N381),"00000")="89117", TEXT(TRIM(N381),"00000")="89128", TEXT(TRIM(N381),"00000")="89135", TEXT(TRIM(N381),"00000")="89144", TEXT(TRIM(N381),"00000")="89145", TEXT(TRIM(N381),"00000")="89147"), "West Valley",
  TRUE, "Other"
)</f>
        <v>Urban Core</v>
      </c>
      <c r="P381" t="s">
        <v>65</v>
      </c>
      <c r="Q381" t="str">
        <f t="shared" si="22"/>
        <v>Vehicle-related</v>
      </c>
      <c r="R381" t="s">
        <v>4975</v>
      </c>
      <c r="S381" t="s">
        <v>5097</v>
      </c>
      <c r="T381" t="str" cm="1">
        <f t="array" ref="T381">_xlfn.IFS(
  TEXT(TRIM(S381),"00000")="NULL", "Missing/Unknown",
  OR(TEXT(TRIM(S381),"00000")="89101", TEXT(TRIM(S381),"00000")="89104", TEXT(TRIM(S381),"00000")="89106", TEXT(TRIM(S381),"00000")="89102", TEXT(TRIM(S381),"00000")="89107", TEXT(TRIM(S381),"00000")="89108"), "Urban Core",
  OR(TEXT(TRIM(S381),"00000")="89110", TEXT(TRIM(S381),"00000")="89115", TEXT(TRIM(S381),"00000")="89121", TEXT(TRIM(S381),"00000")="89122", TEXT(TRIM(S381),"00000")="89142", TEXT(TRIM(S381),"00000")="89156"), "East Valley",
  OR(TEXT(TRIM(S381),"00000")="89030", TEXT(TRIM(S381),"00000")="89031", TEXT(TRIM(S381),"00000")="89032", TEXT(TRIM(S381),"00000")="89086", TEXT(TRIM(S381),"00000")="89084", TEXT(TRIM(S381),"00000")="89081"), "North LV",
  OR(TEXT(TRIM(S381),"00000")="89109", TEXT(TRIM(S381),"00000")="89103", TEXT(TRIM(S381),"00000")="89119", TEXT(TRIM(S381),"00000")="89123", TEXT(TRIM(S381),"00000")="89169", TEXT(TRIM(S381),"00000")="89118"), "South/Strip",
  OR(TEXT(TRIM(S381),"00000")="89074", TEXT(TRIM(S381),"00000")="89014", TEXT(TRIM(S381),"00000")="89015", TEXT(TRIM(S381),"00000")="89011", TEXT(TRIM(S381),"00000")="89012"), "Suburban SE",
  OR(TEXT(TRIM(S381),"00000")="89117", TEXT(TRIM(S381),"00000")="89128", TEXT(TRIM(S381),"00000")="89135", TEXT(TRIM(S381),"00000")="89144", TEXT(TRIM(S381),"00000")="89145", TEXT(TRIM(S381),"00000")="89147"), "West Valley",
  TRUE, "Other"
)</f>
        <v>Urban Core</v>
      </c>
      <c r="U381" t="s">
        <v>65</v>
      </c>
      <c r="V381" t="str">
        <f t="shared" si="23"/>
        <v>Vehicle-related</v>
      </c>
    </row>
    <row r="382" spans="1:22">
      <c r="A382" t="s">
        <v>2834</v>
      </c>
      <c r="B382" t="s">
        <v>2835</v>
      </c>
      <c r="C382" s="1">
        <v>45470</v>
      </c>
      <c r="D382" s="4">
        <v>109.04</v>
      </c>
      <c r="E382">
        <v>62</v>
      </c>
      <c r="F382" t="str">
        <f t="shared" si="20"/>
        <v>60's</v>
      </c>
      <c r="G382" t="str" cm="1">
        <f t="array" ref="G382">_xlfn.IFS(
  F382="10's", "Child (5–12)",
  OR(F382="20's", F382="30's"), "Young Adult (20–39)",
  OR(F382="40's", F382="50's"), "Adult (40–59)",
  OR(F382="60's", F382="70's", F382="80's", F382="90's"), "Senior (60+)",
  TRUE, "Unknown"
)</f>
        <v>Senior (60+)</v>
      </c>
      <c r="H382" t="s">
        <v>841</v>
      </c>
      <c r="I382" t="s">
        <v>349</v>
      </c>
      <c r="J382" t="str">
        <f t="shared" si="21"/>
        <v>Other / Unknown</v>
      </c>
      <c r="K382" t="s">
        <v>54</v>
      </c>
      <c r="L382" t="s">
        <v>1071</v>
      </c>
      <c r="N382" t="s">
        <v>5095</v>
      </c>
      <c r="O382" t="str" cm="1">
        <f t="array" ref="O382">_xlfn.IFS(
  TEXT(TRIM(N382),"00000")="NULL", "Missing/Unknown",
  OR(TEXT(TRIM(N382),"00000")="89101", TEXT(TRIM(N382),"00000")="89104", TEXT(TRIM(N382),"00000")="89106", TEXT(TRIM(N382),"00000")="89102", TEXT(TRIM(N382),"00000")="89107", TEXT(TRIM(N382),"00000")="89108"), "Urban Core",
  OR(TEXT(TRIM(N382),"00000")="89110", TEXT(TRIM(N382),"00000")="89115", TEXT(TRIM(N382),"00000")="89121", TEXT(TRIM(N382),"00000")="89122", TEXT(TRIM(N382),"00000")="89142", TEXT(TRIM(N382),"00000")="89156"), "East Valley",
  OR(TEXT(TRIM(N382),"00000")="89030", TEXT(TRIM(N382),"00000")="89031", TEXT(TRIM(N382),"00000")="89032", TEXT(TRIM(N382),"00000")="89086", TEXT(TRIM(N382),"00000")="89084", TEXT(TRIM(N382),"00000")="89081"), "North LV",
  OR(TEXT(TRIM(N382),"00000")="89109", TEXT(TRIM(N382),"00000")="89103", TEXT(TRIM(N382),"00000")="89119", TEXT(TRIM(N382),"00000")="89123", TEXT(TRIM(N382),"00000")="89169", TEXT(TRIM(N382),"00000")="89118"), "South/Strip",
  OR(TEXT(TRIM(N382),"00000")="89074", TEXT(TRIM(N382),"00000")="89014", TEXT(TRIM(N382),"00000")="89015", TEXT(TRIM(N382),"00000")="89011", TEXT(TRIM(N382),"00000")="89012"), "Suburban SE",
  OR(TEXT(TRIM(N382),"00000")="89117", TEXT(TRIM(N382),"00000")="89128", TEXT(TRIM(N382),"00000")="89135", TEXT(TRIM(N382),"00000")="89144", TEXT(TRIM(N382),"00000")="89145", TEXT(TRIM(N382),"00000")="89147"), "West Valley",
  TRUE, "Other"
)</f>
        <v>Missing/Unknown</v>
      </c>
      <c r="P382" t="s">
        <v>38</v>
      </c>
      <c r="Q382" t="str">
        <f t="shared" si="22"/>
        <v>Home/Residence</v>
      </c>
      <c r="R382" t="s">
        <v>5078</v>
      </c>
      <c r="S382" t="s">
        <v>5141</v>
      </c>
      <c r="T382" t="str" cm="1">
        <f t="array" ref="T382">_xlfn.IFS(
  TEXT(TRIM(S382),"00000")="NULL", "Missing/Unknown",
  OR(TEXT(TRIM(S382),"00000")="89101", TEXT(TRIM(S382),"00000")="89104", TEXT(TRIM(S382),"00000")="89106", TEXT(TRIM(S382),"00000")="89102", TEXT(TRIM(S382),"00000")="89107", TEXT(TRIM(S382),"00000")="89108"), "Urban Core",
  OR(TEXT(TRIM(S382),"00000")="89110", TEXT(TRIM(S382),"00000")="89115", TEXT(TRIM(S382),"00000")="89121", TEXT(TRIM(S382),"00000")="89122", TEXT(TRIM(S382),"00000")="89142", TEXT(TRIM(S382),"00000")="89156"), "East Valley",
  OR(TEXT(TRIM(S382),"00000")="89030", TEXT(TRIM(S382),"00000")="89031", TEXT(TRIM(S382),"00000")="89032", TEXT(TRIM(S382),"00000")="89086", TEXT(TRIM(S382),"00000")="89084", TEXT(TRIM(S382),"00000")="89081"), "North LV",
  OR(TEXT(TRIM(S382),"00000")="89109", TEXT(TRIM(S382),"00000")="89103", TEXT(TRIM(S382),"00000")="89119", TEXT(TRIM(S382),"00000")="89123", TEXT(TRIM(S382),"00000")="89169", TEXT(TRIM(S382),"00000")="89118"), "South/Strip",
  OR(TEXT(TRIM(S382),"00000")="89074", TEXT(TRIM(S382),"00000")="89014", TEXT(TRIM(S382),"00000")="89015", TEXT(TRIM(S382),"00000")="89011", TEXT(TRIM(S382),"00000")="89012"), "Suburban SE",
  OR(TEXT(TRIM(S382),"00000")="89117", TEXT(TRIM(S382),"00000")="89128", TEXT(TRIM(S382),"00000")="89135", TEXT(TRIM(S382),"00000")="89144", TEXT(TRIM(S382),"00000")="89145", TEXT(TRIM(S382),"00000")="89147"), "West Valley",
  TRUE, "Other"
)</f>
        <v>Other</v>
      </c>
      <c r="U382" t="s">
        <v>1073</v>
      </c>
      <c r="V382" t="str">
        <f t="shared" si="23"/>
        <v>Home/Residence</v>
      </c>
    </row>
    <row r="383" spans="1:22">
      <c r="A383" t="s">
        <v>2769</v>
      </c>
      <c r="B383" t="s">
        <v>2770</v>
      </c>
      <c r="C383" s="1">
        <v>45470</v>
      </c>
      <c r="D383" s="4">
        <v>109.04</v>
      </c>
      <c r="E383">
        <v>41</v>
      </c>
      <c r="F383" t="str">
        <f t="shared" si="20"/>
        <v>40's</v>
      </c>
      <c r="G383" t="str" cm="1">
        <f t="array" ref="G383">_xlfn.IFS(
  F383="10's", "Child (5–12)",
  OR(F383="20's", F383="30's"), "Young Adult (20–39)",
  OR(F383="40's", F383="50's"), "Adult (40–59)",
  OR(F383="60's", F383="70's", F383="80's", F383="90's"), "Senior (60+)",
  TRUE, "Unknown"
)</f>
        <v>Adult (40–59)</v>
      </c>
      <c r="H383" t="s">
        <v>778</v>
      </c>
      <c r="I383" t="s">
        <v>4069</v>
      </c>
      <c r="J383" t="str">
        <f t="shared" si="21"/>
        <v>Methamphetamine-related</v>
      </c>
      <c r="K383" t="s">
        <v>54</v>
      </c>
      <c r="L383" t="s">
        <v>250</v>
      </c>
      <c r="N383" t="s">
        <v>5095</v>
      </c>
      <c r="O383" t="str" cm="1">
        <f t="array" ref="O383">_xlfn.IFS(
  TEXT(TRIM(N383),"00000")="NULL", "Missing/Unknown",
  OR(TEXT(TRIM(N383),"00000")="89101", TEXT(TRIM(N383),"00000")="89104", TEXT(TRIM(N383),"00000")="89106", TEXT(TRIM(N383),"00000")="89102", TEXT(TRIM(N383),"00000")="89107", TEXT(TRIM(N383),"00000")="89108"), "Urban Core",
  OR(TEXT(TRIM(N383),"00000")="89110", TEXT(TRIM(N383),"00000")="89115", TEXT(TRIM(N383),"00000")="89121", TEXT(TRIM(N383),"00000")="89122", TEXT(TRIM(N383),"00000")="89142", TEXT(TRIM(N383),"00000")="89156"), "East Valley",
  OR(TEXT(TRIM(N383),"00000")="89030", TEXT(TRIM(N383),"00000")="89031", TEXT(TRIM(N383),"00000")="89032", TEXT(TRIM(N383),"00000")="89086", TEXT(TRIM(N383),"00000")="89084", TEXT(TRIM(N383),"00000")="89081"), "North LV",
  OR(TEXT(TRIM(N383),"00000")="89109", TEXT(TRIM(N383),"00000")="89103", TEXT(TRIM(N383),"00000")="89119", TEXT(TRIM(N383),"00000")="89123", TEXT(TRIM(N383),"00000")="89169", TEXT(TRIM(N383),"00000")="89118"), "South/Strip",
  OR(TEXT(TRIM(N383),"00000")="89074", TEXT(TRIM(N383),"00000")="89014", TEXT(TRIM(N383),"00000")="89015", TEXT(TRIM(N383),"00000")="89011", TEXT(TRIM(N383),"00000")="89012"), "Suburban SE",
  OR(TEXT(TRIM(N383),"00000")="89117", TEXT(TRIM(N383),"00000")="89128", TEXT(TRIM(N383),"00000")="89135", TEXT(TRIM(N383),"00000")="89144", TEXT(TRIM(N383),"00000")="89145", TEXT(TRIM(N383),"00000")="89147"), "West Valley",
  TRUE, "Other"
)</f>
        <v>Missing/Unknown</v>
      </c>
      <c r="P383" t="s">
        <v>3298</v>
      </c>
      <c r="Q383" t="str">
        <f t="shared" si="22"/>
        <v>Outdoors/Public</v>
      </c>
      <c r="S383" t="s">
        <v>5095</v>
      </c>
      <c r="T383" t="str" cm="1">
        <f t="array" ref="T383">_xlfn.IFS(
  TEXT(TRIM(S383),"00000")="NULL", "Missing/Unknown",
  OR(TEXT(TRIM(S383),"00000")="89101", TEXT(TRIM(S383),"00000")="89104", TEXT(TRIM(S383),"00000")="89106", TEXT(TRIM(S383),"00000")="89102", TEXT(TRIM(S383),"00000")="89107", TEXT(TRIM(S383),"00000")="89108"), "Urban Core",
  OR(TEXT(TRIM(S383),"00000")="89110", TEXT(TRIM(S383),"00000")="89115", TEXT(TRIM(S383),"00000")="89121", TEXT(TRIM(S383),"00000")="89122", TEXT(TRIM(S383),"00000")="89142", TEXT(TRIM(S383),"00000")="89156"), "East Valley",
  OR(TEXT(TRIM(S383),"00000")="89030", TEXT(TRIM(S383),"00000")="89031", TEXT(TRIM(S383),"00000")="89032", TEXT(TRIM(S383),"00000")="89086", TEXT(TRIM(S383),"00000")="89084", TEXT(TRIM(S383),"00000")="89081"), "North LV",
  OR(TEXT(TRIM(S383),"00000")="89109", TEXT(TRIM(S383),"00000")="89103", TEXT(TRIM(S383),"00000")="89119", TEXT(TRIM(S383),"00000")="89123", TEXT(TRIM(S383),"00000")="89169", TEXT(TRIM(S383),"00000")="89118"), "South/Strip",
  OR(TEXT(TRIM(S383),"00000")="89074", TEXT(TRIM(S383),"00000")="89014", TEXT(TRIM(S383),"00000")="89015", TEXT(TRIM(S383),"00000")="89011", TEXT(TRIM(S383),"00000")="89012"), "Suburban SE",
  OR(TEXT(TRIM(S383),"00000")="89117", TEXT(TRIM(S383),"00000")="89128", TEXT(TRIM(S383),"00000")="89135", TEXT(TRIM(S383),"00000")="89144", TEXT(TRIM(S383),"00000")="89145", TEXT(TRIM(S383),"00000")="89147"), "West Valley",
  TRUE, "Other"
)</f>
        <v>Missing/Unknown</v>
      </c>
      <c r="U383" t="s">
        <v>3298</v>
      </c>
      <c r="V383" t="str">
        <f t="shared" si="23"/>
        <v>Outdoors/Public</v>
      </c>
    </row>
    <row r="384" spans="1:22">
      <c r="A384" t="s">
        <v>3620</v>
      </c>
      <c r="B384" t="s">
        <v>3621</v>
      </c>
      <c r="C384" s="1">
        <v>45469</v>
      </c>
      <c r="D384" s="4">
        <v>109.04</v>
      </c>
      <c r="E384">
        <v>64</v>
      </c>
      <c r="F384" t="str">
        <f t="shared" si="20"/>
        <v>60's</v>
      </c>
      <c r="G384" t="str" cm="1">
        <f t="array" ref="G384">_xlfn.IFS(
  F384="10's", "Child (5–12)",
  OR(F384="20's", F384="30's"), "Young Adult (20–39)",
  OR(F384="40's", F384="50's"), "Adult (40–59)",
  OR(F384="60's", F384="70's", F384="80's", F384="90's"), "Senior (60+)",
  TRUE, "Unknown"
)</f>
        <v>Senior (60+)</v>
      </c>
      <c r="H384" t="s">
        <v>4309</v>
      </c>
      <c r="I384" t="s">
        <v>4071</v>
      </c>
      <c r="J384" t="str">
        <f t="shared" si="21"/>
        <v>Environmental Heat</v>
      </c>
      <c r="K384" t="s">
        <v>3623</v>
      </c>
      <c r="L384" t="s">
        <v>250</v>
      </c>
      <c r="M384" t="s">
        <v>4340</v>
      </c>
      <c r="N384" t="s">
        <v>5100</v>
      </c>
      <c r="O384" t="str" cm="1">
        <f t="array" ref="O384">_xlfn.IFS(
  TEXT(TRIM(N384),"00000")="NULL", "Missing/Unknown",
  OR(TEXT(TRIM(N384),"00000")="89101", TEXT(TRIM(N384),"00000")="89104", TEXT(TRIM(N384),"00000")="89106", TEXT(TRIM(N384),"00000")="89102", TEXT(TRIM(N384),"00000")="89107", TEXT(TRIM(N384),"00000")="89108"), "Urban Core",
  OR(TEXT(TRIM(N384),"00000")="89110", TEXT(TRIM(N384),"00000")="89115", TEXT(TRIM(N384),"00000")="89121", TEXT(TRIM(N384),"00000")="89122", TEXT(TRIM(N384),"00000")="89142", TEXT(TRIM(N384),"00000")="89156"), "East Valley",
  OR(TEXT(TRIM(N384),"00000")="89030", TEXT(TRIM(N384),"00000")="89031", TEXT(TRIM(N384),"00000")="89032", TEXT(TRIM(N384),"00000")="89086", TEXT(TRIM(N384),"00000")="89084", TEXT(TRIM(N384),"00000")="89081"), "North LV",
  OR(TEXT(TRIM(N384),"00000")="89109", TEXT(TRIM(N384),"00000")="89103", TEXT(TRIM(N384),"00000")="89119", TEXT(TRIM(N384),"00000")="89123", TEXT(TRIM(N384),"00000")="89169", TEXT(TRIM(N384),"00000")="89118"), "South/Strip",
  OR(TEXT(TRIM(N384),"00000")="89074", TEXT(TRIM(N384),"00000")="89014", TEXT(TRIM(N384),"00000")="89015", TEXT(TRIM(N384),"00000")="89011", TEXT(TRIM(N384),"00000")="89012"), "Suburban SE",
  OR(TEXT(TRIM(N384),"00000")="89117", TEXT(TRIM(N384),"00000")="89128", TEXT(TRIM(N384),"00000")="89135", TEXT(TRIM(N384),"00000")="89144", TEXT(TRIM(N384),"00000")="89145", TEXT(TRIM(N384),"00000")="89147"), "West Valley",
  TRUE, "Other"
)</f>
        <v>North LV</v>
      </c>
      <c r="P384" t="s">
        <v>132</v>
      </c>
      <c r="Q384" t="str">
        <f t="shared" si="22"/>
        <v>Outdoors/Public</v>
      </c>
      <c r="R384" t="s">
        <v>5055</v>
      </c>
      <c r="S384" t="s">
        <v>5119</v>
      </c>
      <c r="T384" t="str" cm="1">
        <f t="array" ref="T384">_xlfn.IFS(
  TEXT(TRIM(S384),"00000")="NULL", "Missing/Unknown",
  OR(TEXT(TRIM(S384),"00000")="89101", TEXT(TRIM(S384),"00000")="89104", TEXT(TRIM(S384),"00000")="89106", TEXT(TRIM(S384),"00000")="89102", TEXT(TRIM(S384),"00000")="89107", TEXT(TRIM(S384),"00000")="89108"), "Urban Core",
  OR(TEXT(TRIM(S384),"00000")="89110", TEXT(TRIM(S384),"00000")="89115", TEXT(TRIM(S384),"00000")="89121", TEXT(TRIM(S384),"00000")="89122", TEXT(TRIM(S384),"00000")="89142", TEXT(TRIM(S384),"00000")="89156"), "East Valley",
  OR(TEXT(TRIM(S384),"00000")="89030", TEXT(TRIM(S384),"00000")="89031", TEXT(TRIM(S384),"00000")="89032", TEXT(TRIM(S384),"00000")="89086", TEXT(TRIM(S384),"00000")="89084", TEXT(TRIM(S384),"00000")="89081"), "North LV",
  OR(TEXT(TRIM(S384),"00000")="89109", TEXT(TRIM(S384),"00000")="89103", TEXT(TRIM(S384),"00000")="89119", TEXT(TRIM(S384),"00000")="89123", TEXT(TRIM(S384),"00000")="89169", TEXT(TRIM(S384),"00000")="89118"), "South/Strip",
  OR(TEXT(TRIM(S384),"00000")="89074", TEXT(TRIM(S384),"00000")="89014", TEXT(TRIM(S384),"00000")="89015", TEXT(TRIM(S384),"00000")="89011", TEXT(TRIM(S384),"00000")="89012"), "Suburban SE",
  OR(TEXT(TRIM(S384),"00000")="89117", TEXT(TRIM(S384),"00000")="89128", TEXT(TRIM(S384),"00000")="89135", TEXT(TRIM(S384),"00000")="89144", TEXT(TRIM(S384),"00000")="89145", TEXT(TRIM(S384),"00000")="89147"), "West Valley",
  TRUE, "Other"
)</f>
        <v>Urban Core</v>
      </c>
      <c r="U384" t="s">
        <v>4298</v>
      </c>
      <c r="V384" t="str">
        <f t="shared" si="23"/>
        <v>Other / Unknown</v>
      </c>
    </row>
    <row r="385" spans="1:22">
      <c r="A385" t="s">
        <v>2776</v>
      </c>
      <c r="B385" t="s">
        <v>2777</v>
      </c>
      <c r="C385" s="1">
        <v>45469</v>
      </c>
      <c r="D385" s="4">
        <v>109.04</v>
      </c>
      <c r="E385">
        <v>46</v>
      </c>
      <c r="F385" t="str">
        <f t="shared" si="20"/>
        <v>40's</v>
      </c>
      <c r="G385" t="str" cm="1">
        <f t="array" ref="G385">_xlfn.IFS(
  F385="10's", "Child (5–12)",
  OR(F385="20's", F385="30's"), "Young Adult (20–39)",
  OR(F385="40's", F385="50's"), "Adult (40–59)",
  OR(F385="60's", F385="70's", F385="80's", F385="90's"), "Senior (60+)",
  TRUE, "Unknown"
)</f>
        <v>Adult (40–59)</v>
      </c>
      <c r="H385" t="s">
        <v>841</v>
      </c>
      <c r="I385" t="s">
        <v>4070</v>
      </c>
      <c r="J385" t="str">
        <f t="shared" si="21"/>
        <v>Fentanyl-related</v>
      </c>
      <c r="K385" t="s">
        <v>54</v>
      </c>
      <c r="L385" t="s">
        <v>250</v>
      </c>
      <c r="M385" t="s">
        <v>4615</v>
      </c>
      <c r="N385" t="s">
        <v>5101</v>
      </c>
      <c r="O385" t="str" cm="1">
        <f t="array" ref="O385">_xlfn.IFS(
  TEXT(TRIM(N385),"00000")="NULL", "Missing/Unknown",
  OR(TEXT(TRIM(N385),"00000")="89101", TEXT(TRIM(N385),"00000")="89104", TEXT(TRIM(N385),"00000")="89106", TEXT(TRIM(N385),"00000")="89102", TEXT(TRIM(N385),"00000")="89107", TEXT(TRIM(N385),"00000")="89108"), "Urban Core",
  OR(TEXT(TRIM(N385),"00000")="89110", TEXT(TRIM(N385),"00000")="89115", TEXT(TRIM(N385),"00000")="89121", TEXT(TRIM(N385),"00000")="89122", TEXT(TRIM(N385),"00000")="89142", TEXT(TRIM(N385),"00000")="89156"), "East Valley",
  OR(TEXT(TRIM(N385),"00000")="89030", TEXT(TRIM(N385),"00000")="89031", TEXT(TRIM(N385),"00000")="89032", TEXT(TRIM(N385),"00000")="89086", TEXT(TRIM(N385),"00000")="89084", TEXT(TRIM(N385),"00000")="89081"), "North LV",
  OR(TEXT(TRIM(N385),"00000")="89109", TEXT(TRIM(N385),"00000")="89103", TEXT(TRIM(N385),"00000")="89119", TEXT(TRIM(N385),"00000")="89123", TEXT(TRIM(N385),"00000")="89169", TEXT(TRIM(N385),"00000")="89118"), "South/Strip",
  OR(TEXT(TRIM(N385),"00000")="89074", TEXT(TRIM(N385),"00000")="89014", TEXT(TRIM(N385),"00000")="89015", TEXT(TRIM(N385),"00000")="89011", TEXT(TRIM(N385),"00000")="89012"), "Suburban SE",
  OR(TEXT(TRIM(N385),"00000")="89117", TEXT(TRIM(N385),"00000")="89128", TEXT(TRIM(N385),"00000")="89135", TEXT(TRIM(N385),"00000")="89144", TEXT(TRIM(N385),"00000")="89145", TEXT(TRIM(N385),"00000")="89147"), "West Valley",
  TRUE, "Other"
)</f>
        <v>Urban Core</v>
      </c>
      <c r="P385" t="s">
        <v>271</v>
      </c>
      <c r="Q385" t="str">
        <f t="shared" si="22"/>
        <v>Home/Residence</v>
      </c>
      <c r="R385" t="s">
        <v>4615</v>
      </c>
      <c r="S385" t="s">
        <v>5101</v>
      </c>
      <c r="T385" t="str" cm="1">
        <f t="array" ref="T385">_xlfn.IFS(
  TEXT(TRIM(S385),"00000")="NULL", "Missing/Unknown",
  OR(TEXT(TRIM(S385),"00000")="89101", TEXT(TRIM(S385),"00000")="89104", TEXT(TRIM(S385),"00000")="89106", TEXT(TRIM(S385),"00000")="89102", TEXT(TRIM(S385),"00000")="89107", TEXT(TRIM(S385),"00000")="89108"), "Urban Core",
  OR(TEXT(TRIM(S385),"00000")="89110", TEXT(TRIM(S385),"00000")="89115", TEXT(TRIM(S385),"00000")="89121", TEXT(TRIM(S385),"00000")="89122", TEXT(TRIM(S385),"00000")="89142", TEXT(TRIM(S385),"00000")="89156"), "East Valley",
  OR(TEXT(TRIM(S385),"00000")="89030", TEXT(TRIM(S385),"00000")="89031", TEXT(TRIM(S385),"00000")="89032", TEXT(TRIM(S385),"00000")="89086", TEXT(TRIM(S385),"00000")="89084", TEXT(TRIM(S385),"00000")="89081"), "North LV",
  OR(TEXT(TRIM(S385),"00000")="89109", TEXT(TRIM(S385),"00000")="89103", TEXT(TRIM(S385),"00000")="89119", TEXT(TRIM(S385),"00000")="89123", TEXT(TRIM(S385),"00000")="89169", TEXT(TRIM(S385),"00000")="89118"), "South/Strip",
  OR(TEXT(TRIM(S385),"00000")="89074", TEXT(TRIM(S385),"00000")="89014", TEXT(TRIM(S385),"00000")="89015", TEXT(TRIM(S385),"00000")="89011", TEXT(TRIM(S385),"00000")="89012"), "Suburban SE",
  OR(TEXT(TRIM(S385),"00000")="89117", TEXT(TRIM(S385),"00000")="89128", TEXT(TRIM(S385),"00000")="89135", TEXT(TRIM(S385),"00000")="89144", TEXT(TRIM(S385),"00000")="89145", TEXT(TRIM(S385),"00000")="89147"), "West Valley",
  TRUE, "Other"
)</f>
        <v>Urban Core</v>
      </c>
      <c r="U385" t="s">
        <v>271</v>
      </c>
      <c r="V385" t="str">
        <f t="shared" si="23"/>
        <v>Home/Residence</v>
      </c>
    </row>
    <row r="386" spans="1:22">
      <c r="A386" t="s">
        <v>2737</v>
      </c>
      <c r="B386" t="s">
        <v>2738</v>
      </c>
      <c r="C386" s="1">
        <v>45469</v>
      </c>
      <c r="D386" s="4">
        <v>109.04</v>
      </c>
      <c r="E386">
        <v>62</v>
      </c>
      <c r="F386" t="str">
        <f t="shared" ref="F386:F449" si="24">_xlfn.CONCAT(INT(E386/10)*10, "'s")</f>
        <v>60's</v>
      </c>
      <c r="G386" t="str" cm="1">
        <f t="array" ref="G386">_xlfn.IFS(
  F386="10's", "Child (5–12)",
  OR(F386="20's", F386="30's"), "Young Adult (20–39)",
  OR(F386="40's", F386="50's"), "Adult (40–59)",
  OR(F386="60's", F386="70's", F386="80's", F386="90's"), "Senior (60+)",
  TRUE, "Unknown"
)</f>
        <v>Senior (60+)</v>
      </c>
      <c r="H386" t="s">
        <v>778</v>
      </c>
      <c r="I386" t="s">
        <v>2739</v>
      </c>
      <c r="J386" t="str">
        <f t="shared" ref="J386:J449" si="25">IF(ISNUMBER(SEARCH("heat", I386)) + ISNUMBER(SEARCH("hyperthermia", I386)) + ISNUMBER(SEARCH("heat stroke", I386)) + ISNUMBER(SEARCH("environmental", I386)), "Environmental Heat",
IF(ISNUMBER(SEARCH("meth", I386)), "Methamphetamine-related",
IF(ISNUMBER(SEARCH("fentanyl", I386)), "Fentanyl-related",
IF(ISNUMBER(SEARCH("cardio", I386)) + ISNUMBER(SEARCH("heart", I386)) + ISNUMBER(SEARCH("atherosclerotic", I386)) + ISNUMBER(SEARCH("hypertensive", I386)) + ISNUMBER(SEARCH("myocardial", I386)) + ISNUMBER(SEARCH("infarction", I386)), "Cardiovascular Disease",
IF(ISNUMBER(SEARCH("ethanol", I386)) + ISNUMBER(SEARCH("alcohol", I386)), "Ethanol-related",
IF(ISNUMBER(SEARCH("dehydration", I386)) + ISNUMBER(SEARCH("hypernatrem", I386)) + ISNUMBER(SEARCH("hyponatrem", I386)), "Dehydration / Electrolyte",
IF(ISNUMBER(SEARCH("intoxication", I386)) + ISNUMBER(SEARCH("toxicity", I386)) + ISNUMBER(SEARCH("overdose", I386)), "Mixed Drug Toxicity",
"Other / Unknown")))))))</f>
        <v>Mixed Drug Toxicity</v>
      </c>
      <c r="K386" t="s">
        <v>2740</v>
      </c>
      <c r="L386" t="s">
        <v>250</v>
      </c>
      <c r="M386" t="s">
        <v>4337</v>
      </c>
      <c r="N386" t="s">
        <v>5097</v>
      </c>
      <c r="O386" t="str" cm="1">
        <f t="array" ref="O386">_xlfn.IFS(
  TEXT(TRIM(N386),"00000")="NULL", "Missing/Unknown",
  OR(TEXT(TRIM(N386),"00000")="89101", TEXT(TRIM(N386),"00000")="89104", TEXT(TRIM(N386),"00000")="89106", TEXT(TRIM(N386),"00000")="89102", TEXT(TRIM(N386),"00000")="89107", TEXT(TRIM(N386),"00000")="89108"), "Urban Core",
  OR(TEXT(TRIM(N386),"00000")="89110", TEXT(TRIM(N386),"00000")="89115", TEXT(TRIM(N386),"00000")="89121", TEXT(TRIM(N386),"00000")="89122", TEXT(TRIM(N386),"00000")="89142", TEXT(TRIM(N386),"00000")="89156"), "East Valley",
  OR(TEXT(TRIM(N386),"00000")="89030", TEXT(TRIM(N386),"00000")="89031", TEXT(TRIM(N386),"00000")="89032", TEXT(TRIM(N386),"00000")="89086", TEXT(TRIM(N386),"00000")="89084", TEXT(TRIM(N386),"00000")="89081"), "North LV",
  OR(TEXT(TRIM(N386),"00000")="89109", TEXT(TRIM(N386),"00000")="89103", TEXT(TRIM(N386),"00000")="89119", TEXT(TRIM(N386),"00000")="89123", TEXT(TRIM(N386),"00000")="89169", TEXT(TRIM(N386),"00000")="89118"), "South/Strip",
  OR(TEXT(TRIM(N386),"00000")="89074", TEXT(TRIM(N386),"00000")="89014", TEXT(TRIM(N386),"00000")="89015", TEXT(TRIM(N386),"00000")="89011", TEXT(TRIM(N386),"00000")="89012"), "Suburban SE",
  OR(TEXT(TRIM(N386),"00000")="89117", TEXT(TRIM(N386),"00000")="89128", TEXT(TRIM(N386),"00000")="89135", TEXT(TRIM(N386),"00000")="89144", TEXT(TRIM(N386),"00000")="89145", TEXT(TRIM(N386),"00000")="89147"), "West Valley",
  TRUE, "Other"
)</f>
        <v>Urban Core</v>
      </c>
      <c r="P386" t="s">
        <v>3298</v>
      </c>
      <c r="Q386" t="str">
        <f t="shared" ref="Q386:Q449" si="26">IF(OR(ISNUMBER(SEARCH("outdoor", P386)), ISNUMBER(SEARCH("park", P386)), ISNUMBER(SEARCH("road", P386)), ISNUMBER(SEARCH("sidewalk", P386)), ISNUMBER(SEARCH("desert", P386)), ISNUMBER(SEARCH("tunnel", P386)), ISNUMBER(SEARCH("lot", P386)), ISNUMBER(SEARCH("lake", P386)), ISNUMBER(SEARCH("bus", P386)), ISNUMBER(SEARCH("shed", P386)), ISNUMBER(SEARCH("amusement", P386))), "Outdoors/Public",
IF(OR(ISNUMBER(SEARCH("home", P386)), ISNUMBER(SEARCH("residence", P386)), ISNUMBER(SEARCH("rv", P386)), ISNUMBER(SEARCH("tent", P386)), ISNUMBER(SEARCH("bedroom", P386)), ISNUMBER(SEARCH("garage", P386)), ISNUMBER(SEARCH("trailer", P386)), ISNUMBER(SEARCH("backyard", P386))), "Home/Residence",
IF(OR(ISNUMBER(SEARCH("vehicle", P386)), ISNUMBER(SEARCH("car", P386)), ISNUMBER(SEARCH("wash", P386))), "Vehicle-related",
IF(OR(ISNUMBER(SEARCH("business", P386)), ISNUMBER(SEARCH("school", P386)), ISNUMBER(SEARCH("hotel", P386)), ISNUMBER(SEARCH("construction", P386)), ISNUMBER(SEARCH("furniture", P386)), ISNUMBER(SEARCH("public", P386))), "Business/Commercial",
IF(OR(ISNUMBER(SEARCH("hospital", P386)), ISNUMBER(SEARCH("assisted", P386)), ISNUMBER(SEARCH("residential care", P386))), "Medical Facility",
IF(OR(ISNUMBER(SEARCH("shelter", P386)), ISNUMBER(SEARCH("jail", P386))), "Shelter/Temporary Housing",
"Other / Unknown"))))))</f>
        <v>Outdoors/Public</v>
      </c>
      <c r="R386" t="s">
        <v>4337</v>
      </c>
      <c r="S386" t="s">
        <v>5097</v>
      </c>
      <c r="T386" t="str" cm="1">
        <f t="array" ref="T386">_xlfn.IFS(
  TEXT(TRIM(S386),"00000")="NULL", "Missing/Unknown",
  OR(TEXT(TRIM(S386),"00000")="89101", TEXT(TRIM(S386),"00000")="89104", TEXT(TRIM(S386),"00000")="89106", TEXT(TRIM(S386),"00000")="89102", TEXT(TRIM(S386),"00000")="89107", TEXT(TRIM(S386),"00000")="89108"), "Urban Core",
  OR(TEXT(TRIM(S386),"00000")="89110", TEXT(TRIM(S386),"00000")="89115", TEXT(TRIM(S386),"00000")="89121", TEXT(TRIM(S386),"00000")="89122", TEXT(TRIM(S386),"00000")="89142", TEXT(TRIM(S386),"00000")="89156"), "East Valley",
  OR(TEXT(TRIM(S386),"00000")="89030", TEXT(TRIM(S386),"00000")="89031", TEXT(TRIM(S386),"00000")="89032", TEXT(TRIM(S386),"00000")="89086", TEXT(TRIM(S386),"00000")="89084", TEXT(TRIM(S386),"00000")="89081"), "North LV",
  OR(TEXT(TRIM(S386),"00000")="89109", TEXT(TRIM(S386),"00000")="89103", TEXT(TRIM(S386),"00000")="89119", TEXT(TRIM(S386),"00000")="89123", TEXT(TRIM(S386),"00000")="89169", TEXT(TRIM(S386),"00000")="89118"), "South/Strip",
  OR(TEXT(TRIM(S386),"00000")="89074", TEXT(TRIM(S386),"00000")="89014", TEXT(TRIM(S386),"00000")="89015", TEXT(TRIM(S386),"00000")="89011", TEXT(TRIM(S386),"00000")="89012"), "Suburban SE",
  OR(TEXT(TRIM(S386),"00000")="89117", TEXT(TRIM(S386),"00000")="89128", TEXT(TRIM(S386),"00000")="89135", TEXT(TRIM(S386),"00000")="89144", TEXT(TRIM(S386),"00000")="89145", TEXT(TRIM(S386),"00000")="89147"), "West Valley",
  TRUE, "Other"
)</f>
        <v>Urban Core</v>
      </c>
      <c r="U386" t="s">
        <v>3298</v>
      </c>
      <c r="V386" t="str">
        <f t="shared" ref="V386:V449" si="27">IF(OR(ISNUMBER(SEARCH("outdoor", U386)), ISNUMBER(SEARCH("park", U386)), ISNUMBER(SEARCH("road", U386)), ISNUMBER(SEARCH("sidewalk", U386)), ISNUMBER(SEARCH("desert", U386)), ISNUMBER(SEARCH("tunnel", U386)), ISNUMBER(SEARCH("lot", U386)), ISNUMBER(SEARCH("lake", U386)), ISNUMBER(SEARCH("bus", U386)), ISNUMBER(SEARCH("shed", U386)), ISNUMBER(SEARCH("amusement", U386))), "Outdoors/Public",
IF(OR(ISNUMBER(SEARCH("home", U386)), ISNUMBER(SEARCH("residence", U386)), ISNUMBER(SEARCH("rv", U386)), ISNUMBER(SEARCH("tent", U386)), ISNUMBER(SEARCH("bedroom", U386)), ISNUMBER(SEARCH("garage", U386)), ISNUMBER(SEARCH("trailer", U386)), ISNUMBER(SEARCH("backyard", U386))), "Home/Residence",
IF(OR(ISNUMBER(SEARCH("vehicle", U386)), ISNUMBER(SEARCH("wash", U386))), "Vehicle-related",
IF(OR(ISNUMBER(SEARCH("business", U386)), ISNUMBER(SEARCH("school", U386)), ISNUMBER(SEARCH("hotel", U386)), ISNUMBER(SEARCH("construction", U386)), ISNUMBER(SEARCH("furniture", U386)), ISNUMBER(SEARCH("public", U386))), "Business/Commercial",
IF(OR(ISNUMBER(SEARCH("hospital", U386)), ISNUMBER(SEARCH("assisted", U386)), ISNUMBER(SEARCH("residential care", U386)), ISNUMBER(SEARCH("emergency room", U386)), ISNUMBER(SEARCH("emergency", U386)), ISNUMBER(SEARCH("intensive care unit", U386)), ISNUMBER(SEARCH("icu", U386))), "Medical Facility",
IF(OR(ISNUMBER(SEARCH("shelter", U386)), ISNUMBER(SEARCH("jail", U386))), "Shelter/Temporary Housing",
"Other / Unknown"))))))</f>
        <v>Outdoors/Public</v>
      </c>
    </row>
    <row r="387" spans="1:22">
      <c r="A387" t="s">
        <v>2975</v>
      </c>
      <c r="B387" t="s">
        <v>2976</v>
      </c>
      <c r="C387" s="1">
        <v>45469</v>
      </c>
      <c r="D387" s="4">
        <v>109.04</v>
      </c>
      <c r="E387">
        <v>57</v>
      </c>
      <c r="F387" t="str">
        <f t="shared" si="24"/>
        <v>50's</v>
      </c>
      <c r="G387" t="str" cm="1">
        <f t="array" ref="G387">_xlfn.IFS(
  F387="10's", "Child (5–12)",
  OR(F387="20's", F387="30's"), "Young Adult (20–39)",
  OR(F387="40's", F387="50's"), "Adult (40–59)",
  OR(F387="60's", F387="70's", F387="80's", F387="90's"), "Senior (60+)",
  TRUE, "Unknown"
)</f>
        <v>Adult (40–59)</v>
      </c>
      <c r="H387" t="s">
        <v>841</v>
      </c>
      <c r="I387" t="s">
        <v>54</v>
      </c>
      <c r="J387" t="str">
        <f t="shared" si="25"/>
        <v>Environmental Heat</v>
      </c>
      <c r="K387" t="s">
        <v>2977</v>
      </c>
      <c r="L387" t="s">
        <v>250</v>
      </c>
      <c r="N387" t="s">
        <v>5095</v>
      </c>
      <c r="O387" t="str" cm="1">
        <f t="array" ref="O387">_xlfn.IFS(
  TEXT(TRIM(N387),"00000")="NULL", "Missing/Unknown",
  OR(TEXT(TRIM(N387),"00000")="89101", TEXT(TRIM(N387),"00000")="89104", TEXT(TRIM(N387),"00000")="89106", TEXT(TRIM(N387),"00000")="89102", TEXT(TRIM(N387),"00000")="89107", TEXT(TRIM(N387),"00000")="89108"), "Urban Core",
  OR(TEXT(TRIM(N387),"00000")="89110", TEXT(TRIM(N387),"00000")="89115", TEXT(TRIM(N387),"00000")="89121", TEXT(TRIM(N387),"00000")="89122", TEXT(TRIM(N387),"00000")="89142", TEXT(TRIM(N387),"00000")="89156"), "East Valley",
  OR(TEXT(TRIM(N387),"00000")="89030", TEXT(TRIM(N387),"00000")="89031", TEXT(TRIM(N387),"00000")="89032", TEXT(TRIM(N387),"00000")="89086", TEXT(TRIM(N387),"00000")="89084", TEXT(TRIM(N387),"00000")="89081"), "North LV",
  OR(TEXT(TRIM(N387),"00000")="89109", TEXT(TRIM(N387),"00000")="89103", TEXT(TRIM(N387),"00000")="89119", TEXT(TRIM(N387),"00000")="89123", TEXT(TRIM(N387),"00000")="89169", TEXT(TRIM(N387),"00000")="89118"), "South/Strip",
  OR(TEXT(TRIM(N387),"00000")="89074", TEXT(TRIM(N387),"00000")="89014", TEXT(TRIM(N387),"00000")="89015", TEXT(TRIM(N387),"00000")="89011", TEXT(TRIM(N387),"00000")="89012"), "Suburban SE",
  OR(TEXT(TRIM(N387),"00000")="89117", TEXT(TRIM(N387),"00000")="89128", TEXT(TRIM(N387),"00000")="89135", TEXT(TRIM(N387),"00000")="89144", TEXT(TRIM(N387),"00000")="89145", TEXT(TRIM(N387),"00000")="89147"), "West Valley",
  TRUE, "Other"
)</f>
        <v>Missing/Unknown</v>
      </c>
      <c r="P387" t="s">
        <v>3298</v>
      </c>
      <c r="Q387" t="str">
        <f t="shared" si="26"/>
        <v>Outdoors/Public</v>
      </c>
      <c r="S387" t="s">
        <v>5095</v>
      </c>
      <c r="T387" t="str" cm="1">
        <f t="array" ref="T387">_xlfn.IFS(
  TEXT(TRIM(S387),"00000")="NULL", "Missing/Unknown",
  OR(TEXT(TRIM(S387),"00000")="89101", TEXT(TRIM(S387),"00000")="89104", TEXT(TRIM(S387),"00000")="89106", TEXT(TRIM(S387),"00000")="89102", TEXT(TRIM(S387),"00000")="89107", TEXT(TRIM(S387),"00000")="89108"), "Urban Core",
  OR(TEXT(TRIM(S387),"00000")="89110", TEXT(TRIM(S387),"00000")="89115", TEXT(TRIM(S387),"00000")="89121", TEXT(TRIM(S387),"00000")="89122", TEXT(TRIM(S387),"00000")="89142", TEXT(TRIM(S387),"00000")="89156"), "East Valley",
  OR(TEXT(TRIM(S387),"00000")="89030", TEXT(TRIM(S387),"00000")="89031", TEXT(TRIM(S387),"00000")="89032", TEXT(TRIM(S387),"00000")="89086", TEXT(TRIM(S387),"00000")="89084", TEXT(TRIM(S387),"00000")="89081"), "North LV",
  OR(TEXT(TRIM(S387),"00000")="89109", TEXT(TRIM(S387),"00000")="89103", TEXT(TRIM(S387),"00000")="89119", TEXT(TRIM(S387),"00000")="89123", TEXT(TRIM(S387),"00000")="89169", TEXT(TRIM(S387),"00000")="89118"), "South/Strip",
  OR(TEXT(TRIM(S387),"00000")="89074", TEXT(TRIM(S387),"00000")="89014", TEXT(TRIM(S387),"00000")="89015", TEXT(TRIM(S387),"00000")="89011", TEXT(TRIM(S387),"00000")="89012"), "Suburban SE",
  OR(TEXT(TRIM(S387),"00000")="89117", TEXT(TRIM(S387),"00000")="89128", TEXT(TRIM(S387),"00000")="89135", TEXT(TRIM(S387),"00000")="89144", TEXT(TRIM(S387),"00000")="89145", TEXT(TRIM(S387),"00000")="89147"), "West Valley",
  TRUE, "Other"
)</f>
        <v>Missing/Unknown</v>
      </c>
      <c r="U387" t="s">
        <v>3298</v>
      </c>
      <c r="V387" t="str">
        <f t="shared" si="27"/>
        <v>Outdoors/Public</v>
      </c>
    </row>
    <row r="388" spans="1:22">
      <c r="A388" t="s">
        <v>2720</v>
      </c>
      <c r="B388" t="s">
        <v>2721</v>
      </c>
      <c r="C388" s="1">
        <v>45469</v>
      </c>
      <c r="D388" s="4">
        <v>109.04</v>
      </c>
      <c r="E388">
        <v>60</v>
      </c>
      <c r="F388" t="str">
        <f t="shared" si="24"/>
        <v>60's</v>
      </c>
      <c r="G388" t="str" cm="1">
        <f t="array" ref="G388">_xlfn.IFS(
  F388="10's", "Child (5–12)",
  OR(F388="20's", F388="30's"), "Young Adult (20–39)",
  OR(F388="40's", F388="50's"), "Adult (40–59)",
  OR(F388="60's", F388="70's", F388="80's", F388="90's"), "Senior (60+)",
  TRUE, "Unknown"
)</f>
        <v>Senior (60+)</v>
      </c>
      <c r="H388" t="s">
        <v>841</v>
      </c>
      <c r="I388" t="s">
        <v>181</v>
      </c>
      <c r="J388" t="str">
        <f t="shared" si="25"/>
        <v>Other / Unknown</v>
      </c>
      <c r="K388" t="s">
        <v>54</v>
      </c>
      <c r="L388" t="s">
        <v>1071</v>
      </c>
      <c r="N388" t="s">
        <v>5095</v>
      </c>
      <c r="O388" t="str" cm="1">
        <f t="array" ref="O388">_xlfn.IFS(
  TEXT(TRIM(N388),"00000")="NULL", "Missing/Unknown",
  OR(TEXT(TRIM(N388),"00000")="89101", TEXT(TRIM(N388),"00000")="89104", TEXT(TRIM(N388),"00000")="89106", TEXT(TRIM(N388),"00000")="89102", TEXT(TRIM(N388),"00000")="89107", TEXT(TRIM(N388),"00000")="89108"), "Urban Core",
  OR(TEXT(TRIM(N388),"00000")="89110", TEXT(TRIM(N388),"00000")="89115", TEXT(TRIM(N388),"00000")="89121", TEXT(TRIM(N388),"00000")="89122", TEXT(TRIM(N388),"00000")="89142", TEXT(TRIM(N388),"00000")="89156"), "East Valley",
  OR(TEXT(TRIM(N388),"00000")="89030", TEXT(TRIM(N388),"00000")="89031", TEXT(TRIM(N388),"00000")="89032", TEXT(TRIM(N388),"00000")="89086", TEXT(TRIM(N388),"00000")="89084", TEXT(TRIM(N388),"00000")="89081"), "North LV",
  OR(TEXT(TRIM(N388),"00000")="89109", TEXT(TRIM(N388),"00000")="89103", TEXT(TRIM(N388),"00000")="89119", TEXT(TRIM(N388),"00000")="89123", TEXT(TRIM(N388),"00000")="89169", TEXT(TRIM(N388),"00000")="89118"), "South/Strip",
  OR(TEXT(TRIM(N388),"00000")="89074", TEXT(TRIM(N388),"00000")="89014", TEXT(TRIM(N388),"00000")="89015", TEXT(TRIM(N388),"00000")="89011", TEXT(TRIM(N388),"00000")="89012"), "Suburban SE",
  OR(TEXT(TRIM(N388),"00000")="89117", TEXT(TRIM(N388),"00000")="89128", TEXT(TRIM(N388),"00000")="89135", TEXT(TRIM(N388),"00000")="89144", TEXT(TRIM(N388),"00000")="89145", TEXT(TRIM(N388),"00000")="89147"), "West Valley",
  TRUE, "Other"
)</f>
        <v>Missing/Unknown</v>
      </c>
      <c r="P388" t="s">
        <v>38</v>
      </c>
      <c r="Q388" t="str">
        <f t="shared" si="26"/>
        <v>Home/Residence</v>
      </c>
      <c r="R388" t="s">
        <v>5079</v>
      </c>
      <c r="S388" t="s">
        <v>5106</v>
      </c>
      <c r="T388" t="str" cm="1">
        <f t="array" ref="T388">_xlfn.IFS(
  TEXT(TRIM(S388),"00000")="NULL", "Missing/Unknown",
  OR(TEXT(TRIM(S388),"00000")="89101", TEXT(TRIM(S388),"00000")="89104", TEXT(TRIM(S388),"00000")="89106", TEXT(TRIM(S388),"00000")="89102", TEXT(TRIM(S388),"00000")="89107", TEXT(TRIM(S388),"00000")="89108"), "Urban Core",
  OR(TEXT(TRIM(S388),"00000")="89110", TEXT(TRIM(S388),"00000")="89115", TEXT(TRIM(S388),"00000")="89121", TEXT(TRIM(S388),"00000")="89122", TEXT(TRIM(S388),"00000")="89142", TEXT(TRIM(S388),"00000")="89156"), "East Valley",
  OR(TEXT(TRIM(S388),"00000")="89030", TEXT(TRIM(S388),"00000")="89031", TEXT(TRIM(S388),"00000")="89032", TEXT(TRIM(S388),"00000")="89086", TEXT(TRIM(S388),"00000")="89084", TEXT(TRIM(S388),"00000")="89081"), "North LV",
  OR(TEXT(TRIM(S388),"00000")="89109", TEXT(TRIM(S388),"00000")="89103", TEXT(TRIM(S388),"00000")="89119", TEXT(TRIM(S388),"00000")="89123", TEXT(TRIM(S388),"00000")="89169", TEXT(TRIM(S388),"00000")="89118"), "South/Strip",
  OR(TEXT(TRIM(S388),"00000")="89074", TEXT(TRIM(S388),"00000")="89014", TEXT(TRIM(S388),"00000")="89015", TEXT(TRIM(S388),"00000")="89011", TEXT(TRIM(S388),"00000")="89012"), "Suburban SE",
  OR(TEXT(TRIM(S388),"00000")="89117", TEXT(TRIM(S388),"00000")="89128", TEXT(TRIM(S388),"00000")="89135", TEXT(TRIM(S388),"00000")="89144", TEXT(TRIM(S388),"00000")="89145", TEXT(TRIM(S388),"00000")="89147"), "West Valley",
  TRUE, "Other"
)</f>
        <v>East Valley</v>
      </c>
      <c r="U388" t="s">
        <v>1073</v>
      </c>
      <c r="V388" t="str">
        <f t="shared" si="27"/>
        <v>Home/Residence</v>
      </c>
    </row>
    <row r="389" spans="1:22">
      <c r="A389" t="s">
        <v>2807</v>
      </c>
      <c r="B389" t="s">
        <v>2808</v>
      </c>
      <c r="C389" s="1">
        <v>45469</v>
      </c>
      <c r="D389" s="4">
        <v>109.04</v>
      </c>
      <c r="E389">
        <v>51</v>
      </c>
      <c r="F389" t="str">
        <f t="shared" si="24"/>
        <v>50's</v>
      </c>
      <c r="G389" t="str" cm="1">
        <f t="array" ref="G389">_xlfn.IFS(
  F389="10's", "Child (5–12)",
  OR(F389="20's", F389="30's"), "Young Adult (20–39)",
  OR(F389="40's", F389="50's"), "Adult (40–59)",
  OR(F389="60's", F389="70's", F389="80's", F389="90's"), "Senior (60+)",
  TRUE, "Unknown"
)</f>
        <v>Adult (40–59)</v>
      </c>
      <c r="H389" t="s">
        <v>841</v>
      </c>
      <c r="I389" t="s">
        <v>73</v>
      </c>
      <c r="J389" t="str">
        <f t="shared" si="25"/>
        <v>Cardiovascular Disease</v>
      </c>
      <c r="K389" t="s">
        <v>54</v>
      </c>
      <c r="L389" t="s">
        <v>1071</v>
      </c>
      <c r="N389" t="s">
        <v>5095</v>
      </c>
      <c r="O389" t="str" cm="1">
        <f t="array" ref="O389">_xlfn.IFS(
  TEXT(TRIM(N389),"00000")="NULL", "Missing/Unknown",
  OR(TEXT(TRIM(N389),"00000")="89101", TEXT(TRIM(N389),"00000")="89104", TEXT(TRIM(N389),"00000")="89106", TEXT(TRIM(N389),"00000")="89102", TEXT(TRIM(N389),"00000")="89107", TEXT(TRIM(N389),"00000")="89108"), "Urban Core",
  OR(TEXT(TRIM(N389),"00000")="89110", TEXT(TRIM(N389),"00000")="89115", TEXT(TRIM(N389),"00000")="89121", TEXT(TRIM(N389),"00000")="89122", TEXT(TRIM(N389),"00000")="89142", TEXT(TRIM(N389),"00000")="89156"), "East Valley",
  OR(TEXT(TRIM(N389),"00000")="89030", TEXT(TRIM(N389),"00000")="89031", TEXT(TRIM(N389),"00000")="89032", TEXT(TRIM(N389),"00000")="89086", TEXT(TRIM(N389),"00000")="89084", TEXT(TRIM(N389),"00000")="89081"), "North LV",
  OR(TEXT(TRIM(N389),"00000")="89109", TEXT(TRIM(N389),"00000")="89103", TEXT(TRIM(N389),"00000")="89119", TEXT(TRIM(N389),"00000")="89123", TEXT(TRIM(N389),"00000")="89169", TEXT(TRIM(N389),"00000")="89118"), "South/Strip",
  OR(TEXT(TRIM(N389),"00000")="89074", TEXT(TRIM(N389),"00000")="89014", TEXT(TRIM(N389),"00000")="89015", TEXT(TRIM(N389),"00000")="89011", TEXT(TRIM(N389),"00000")="89012"), "Suburban SE",
  OR(TEXT(TRIM(N389),"00000")="89117", TEXT(TRIM(N389),"00000")="89128", TEXT(TRIM(N389),"00000")="89135", TEXT(TRIM(N389),"00000")="89144", TEXT(TRIM(N389),"00000")="89145", TEXT(TRIM(N389),"00000")="89147"), "West Valley",
  TRUE, "Other"
)</f>
        <v>Missing/Unknown</v>
      </c>
      <c r="P389" t="s">
        <v>38</v>
      </c>
      <c r="Q389" t="str">
        <f t="shared" si="26"/>
        <v>Home/Residence</v>
      </c>
      <c r="R389" t="s">
        <v>5088</v>
      </c>
      <c r="S389" t="s">
        <v>5108</v>
      </c>
      <c r="T389" t="str" cm="1">
        <f t="array" ref="T389">_xlfn.IFS(
  TEXT(TRIM(S389),"00000")="NULL", "Missing/Unknown",
  OR(TEXT(TRIM(S389),"00000")="89101", TEXT(TRIM(S389),"00000")="89104", TEXT(TRIM(S389),"00000")="89106", TEXT(TRIM(S389),"00000")="89102", TEXT(TRIM(S389),"00000")="89107", TEXT(TRIM(S389),"00000")="89108"), "Urban Core",
  OR(TEXT(TRIM(S389),"00000")="89110", TEXT(TRIM(S389),"00000")="89115", TEXT(TRIM(S389),"00000")="89121", TEXT(TRIM(S389),"00000")="89122", TEXT(TRIM(S389),"00000")="89142", TEXT(TRIM(S389),"00000")="89156"), "East Valley",
  OR(TEXT(TRIM(S389),"00000")="89030", TEXT(TRIM(S389),"00000")="89031", TEXT(TRIM(S389),"00000")="89032", TEXT(TRIM(S389),"00000")="89086", TEXT(TRIM(S389),"00000")="89084", TEXT(TRIM(S389),"00000")="89081"), "North LV",
  OR(TEXT(TRIM(S389),"00000")="89109", TEXT(TRIM(S389),"00000")="89103", TEXT(TRIM(S389),"00000")="89119", TEXT(TRIM(S389),"00000")="89123", TEXT(TRIM(S389),"00000")="89169", TEXT(TRIM(S389),"00000")="89118"), "South/Strip",
  OR(TEXT(TRIM(S389),"00000")="89074", TEXT(TRIM(S389),"00000")="89014", TEXT(TRIM(S389),"00000")="89015", TEXT(TRIM(S389),"00000")="89011", TEXT(TRIM(S389),"00000")="89012"), "Suburban SE",
  OR(TEXT(TRIM(S389),"00000")="89117", TEXT(TRIM(S389),"00000")="89128", TEXT(TRIM(S389),"00000")="89135", TEXT(TRIM(S389),"00000")="89144", TEXT(TRIM(S389),"00000")="89145", TEXT(TRIM(S389),"00000")="89147"), "West Valley",
  TRUE, "Other"
)</f>
        <v>East Valley</v>
      </c>
      <c r="U389" t="s">
        <v>38</v>
      </c>
      <c r="V389" t="str">
        <f t="shared" si="27"/>
        <v>Home/Residence</v>
      </c>
    </row>
    <row r="390" spans="1:22">
      <c r="A390" t="s">
        <v>3433</v>
      </c>
      <c r="B390" t="s">
        <v>3434</v>
      </c>
      <c r="C390" s="1">
        <v>45469</v>
      </c>
      <c r="D390" s="4">
        <v>109.04</v>
      </c>
      <c r="E390">
        <v>53</v>
      </c>
      <c r="F390" t="str">
        <f t="shared" si="24"/>
        <v>50's</v>
      </c>
      <c r="G390" t="str" cm="1">
        <f t="array" ref="G390">_xlfn.IFS(
  F390="10's", "Child (5–12)",
  OR(F390="20's", F390="30's"), "Young Adult (20–39)",
  OR(F390="40's", F390="50's"), "Adult (40–59)",
  OR(F390="60's", F390="70's", F390="80's", F390="90's"), "Senior (60+)",
  TRUE, "Unknown"
)</f>
        <v>Adult (40–59)</v>
      </c>
      <c r="H390" t="s">
        <v>778</v>
      </c>
      <c r="I390" t="s">
        <v>4012</v>
      </c>
      <c r="J390" t="str">
        <f t="shared" si="25"/>
        <v>Cardiovascular Disease</v>
      </c>
      <c r="K390" t="s">
        <v>54</v>
      </c>
      <c r="L390" t="s">
        <v>1071</v>
      </c>
      <c r="N390" t="s">
        <v>5095</v>
      </c>
      <c r="O390" t="str" cm="1">
        <f t="array" ref="O390">_xlfn.IFS(
  TEXT(TRIM(N390),"00000")="NULL", "Missing/Unknown",
  OR(TEXT(TRIM(N390),"00000")="89101", TEXT(TRIM(N390),"00000")="89104", TEXT(TRIM(N390),"00000")="89106", TEXT(TRIM(N390),"00000")="89102", TEXT(TRIM(N390),"00000")="89107", TEXT(TRIM(N390),"00000")="89108"), "Urban Core",
  OR(TEXT(TRIM(N390),"00000")="89110", TEXT(TRIM(N390),"00000")="89115", TEXT(TRIM(N390),"00000")="89121", TEXT(TRIM(N390),"00000")="89122", TEXT(TRIM(N390),"00000")="89142", TEXT(TRIM(N390),"00000")="89156"), "East Valley",
  OR(TEXT(TRIM(N390),"00000")="89030", TEXT(TRIM(N390),"00000")="89031", TEXT(TRIM(N390),"00000")="89032", TEXT(TRIM(N390),"00000")="89086", TEXT(TRIM(N390),"00000")="89084", TEXT(TRIM(N390),"00000")="89081"), "North LV",
  OR(TEXT(TRIM(N390),"00000")="89109", TEXT(TRIM(N390),"00000")="89103", TEXT(TRIM(N390),"00000")="89119", TEXT(TRIM(N390),"00000")="89123", TEXT(TRIM(N390),"00000")="89169", TEXT(TRIM(N390),"00000")="89118"), "South/Strip",
  OR(TEXT(TRIM(N390),"00000")="89074", TEXT(TRIM(N390),"00000")="89014", TEXT(TRIM(N390),"00000")="89015", TEXT(TRIM(N390),"00000")="89011", TEXT(TRIM(N390),"00000")="89012"), "Suburban SE",
  OR(TEXT(TRIM(N390),"00000")="89117", TEXT(TRIM(N390),"00000")="89128", TEXT(TRIM(N390),"00000")="89135", TEXT(TRIM(N390),"00000")="89144", TEXT(TRIM(N390),"00000")="89145", TEXT(TRIM(N390),"00000")="89147"), "West Valley",
  TRUE, "Other"
)</f>
        <v>Missing/Unknown</v>
      </c>
      <c r="P390" t="s">
        <v>38</v>
      </c>
      <c r="Q390" t="str">
        <f t="shared" si="26"/>
        <v>Home/Residence</v>
      </c>
      <c r="R390" t="s">
        <v>5089</v>
      </c>
      <c r="S390" t="s">
        <v>5116</v>
      </c>
      <c r="T390" t="str" cm="1">
        <f t="array" ref="T390">_xlfn.IFS(
  TEXT(TRIM(S390),"00000")="NULL", "Missing/Unknown",
  OR(TEXT(TRIM(S390),"00000")="89101", TEXT(TRIM(S390),"00000")="89104", TEXT(TRIM(S390),"00000")="89106", TEXT(TRIM(S390),"00000")="89102", TEXT(TRIM(S390),"00000")="89107", TEXT(TRIM(S390),"00000")="89108"), "Urban Core",
  OR(TEXT(TRIM(S390),"00000")="89110", TEXT(TRIM(S390),"00000")="89115", TEXT(TRIM(S390),"00000")="89121", TEXT(TRIM(S390),"00000")="89122", TEXT(TRIM(S390),"00000")="89142", TEXT(TRIM(S390),"00000")="89156"), "East Valley",
  OR(TEXT(TRIM(S390),"00000")="89030", TEXT(TRIM(S390),"00000")="89031", TEXT(TRIM(S390),"00000")="89032", TEXT(TRIM(S390),"00000")="89086", TEXT(TRIM(S390),"00000")="89084", TEXT(TRIM(S390),"00000")="89081"), "North LV",
  OR(TEXT(TRIM(S390),"00000")="89109", TEXT(TRIM(S390),"00000")="89103", TEXT(TRIM(S390),"00000")="89119", TEXT(TRIM(S390),"00000")="89123", TEXT(TRIM(S390),"00000")="89169", TEXT(TRIM(S390),"00000")="89118"), "South/Strip",
  OR(TEXT(TRIM(S390),"00000")="89074", TEXT(TRIM(S390),"00000")="89014", TEXT(TRIM(S390),"00000")="89015", TEXT(TRIM(S390),"00000")="89011", TEXT(TRIM(S390),"00000")="89012"), "Suburban SE",
  OR(TEXT(TRIM(S390),"00000")="89117", TEXT(TRIM(S390),"00000")="89128", TEXT(TRIM(S390),"00000")="89135", TEXT(TRIM(S390),"00000")="89144", TEXT(TRIM(S390),"00000")="89145", TEXT(TRIM(S390),"00000")="89147"), "West Valley",
  TRUE, "Other"
)</f>
        <v>West Valley</v>
      </c>
      <c r="U390" t="s">
        <v>38</v>
      </c>
      <c r="V390" t="str">
        <f t="shared" si="27"/>
        <v>Home/Residence</v>
      </c>
    </row>
    <row r="391" spans="1:22">
      <c r="A391" t="s">
        <v>3412</v>
      </c>
      <c r="B391" t="s">
        <v>3413</v>
      </c>
      <c r="C391" s="1">
        <v>45468</v>
      </c>
      <c r="D391" s="4">
        <v>109.94</v>
      </c>
      <c r="E391">
        <v>50</v>
      </c>
      <c r="F391" t="str">
        <f t="shared" si="24"/>
        <v>50's</v>
      </c>
      <c r="G391" t="str" cm="1">
        <f t="array" ref="G391">_xlfn.IFS(
  F391="10's", "Child (5–12)",
  OR(F391="20's", F391="30's"), "Young Adult (20–39)",
  OR(F391="40's", F391="50's"), "Adult (40–59)",
  OR(F391="60's", F391="70's", F391="80's", F391="90's"), "Senior (60+)",
  TRUE, "Unknown"
)</f>
        <v>Adult (40–59)</v>
      </c>
      <c r="H391" t="s">
        <v>4310</v>
      </c>
      <c r="I391" t="s">
        <v>638</v>
      </c>
      <c r="J391" t="str">
        <f t="shared" si="25"/>
        <v>Dehydration / Electrolyte</v>
      </c>
      <c r="K391" t="s">
        <v>4188</v>
      </c>
      <c r="L391" t="s">
        <v>250</v>
      </c>
      <c r="M391" t="s">
        <v>4702</v>
      </c>
      <c r="N391" t="s">
        <v>5119</v>
      </c>
      <c r="O391" t="str" cm="1">
        <f t="array" ref="O391">_xlfn.IFS(
  TEXT(TRIM(N391),"00000")="NULL", "Missing/Unknown",
  OR(TEXT(TRIM(N391),"00000")="89101", TEXT(TRIM(N391),"00000")="89104", TEXT(TRIM(N391),"00000")="89106", TEXT(TRIM(N391),"00000")="89102", TEXT(TRIM(N391),"00000")="89107", TEXT(TRIM(N391),"00000")="89108"), "Urban Core",
  OR(TEXT(TRIM(N391),"00000")="89110", TEXT(TRIM(N391),"00000")="89115", TEXT(TRIM(N391),"00000")="89121", TEXT(TRIM(N391),"00000")="89122", TEXT(TRIM(N391),"00000")="89142", TEXT(TRIM(N391),"00000")="89156"), "East Valley",
  OR(TEXT(TRIM(N391),"00000")="89030", TEXT(TRIM(N391),"00000")="89031", TEXT(TRIM(N391),"00000")="89032", TEXT(TRIM(N391),"00000")="89086", TEXT(TRIM(N391),"00000")="89084", TEXT(TRIM(N391),"00000")="89081"), "North LV",
  OR(TEXT(TRIM(N391),"00000")="89109", TEXT(TRIM(N391),"00000")="89103", TEXT(TRIM(N391),"00000")="89119", TEXT(TRIM(N391),"00000")="89123", TEXT(TRIM(N391),"00000")="89169", TEXT(TRIM(N391),"00000")="89118"), "South/Strip",
  OR(TEXT(TRIM(N391),"00000")="89074", TEXT(TRIM(N391),"00000")="89014", TEXT(TRIM(N391),"00000")="89015", TEXT(TRIM(N391),"00000")="89011", TEXT(TRIM(N391),"00000")="89012"), "Suburban SE",
  OR(TEXT(TRIM(N391),"00000")="89117", TEXT(TRIM(N391),"00000")="89128", TEXT(TRIM(N391),"00000")="89135", TEXT(TRIM(N391),"00000")="89144", TEXT(TRIM(N391),"00000")="89145", TEXT(TRIM(N391),"00000")="89147"), "West Valley",
  TRUE, "Other"
)</f>
        <v>Urban Core</v>
      </c>
      <c r="P391" t="s">
        <v>3298</v>
      </c>
      <c r="Q391" t="str">
        <f t="shared" si="26"/>
        <v>Outdoors/Public</v>
      </c>
      <c r="R391" t="s">
        <v>4702</v>
      </c>
      <c r="S391" t="s">
        <v>5119</v>
      </c>
      <c r="T391" t="str" cm="1">
        <f t="array" ref="T391">_xlfn.IFS(
  TEXT(TRIM(S391),"00000")="NULL", "Missing/Unknown",
  OR(TEXT(TRIM(S391),"00000")="89101", TEXT(TRIM(S391),"00000")="89104", TEXT(TRIM(S391),"00000")="89106", TEXT(TRIM(S391),"00000")="89102", TEXT(TRIM(S391),"00000")="89107", TEXT(TRIM(S391),"00000")="89108"), "Urban Core",
  OR(TEXT(TRIM(S391),"00000")="89110", TEXT(TRIM(S391),"00000")="89115", TEXT(TRIM(S391),"00000")="89121", TEXT(TRIM(S391),"00000")="89122", TEXT(TRIM(S391),"00000")="89142", TEXT(TRIM(S391),"00000")="89156"), "East Valley",
  OR(TEXT(TRIM(S391),"00000")="89030", TEXT(TRIM(S391),"00000")="89031", TEXT(TRIM(S391),"00000")="89032", TEXT(TRIM(S391),"00000")="89086", TEXT(TRIM(S391),"00000")="89084", TEXT(TRIM(S391),"00000")="89081"), "North LV",
  OR(TEXT(TRIM(S391),"00000")="89109", TEXT(TRIM(S391),"00000")="89103", TEXT(TRIM(S391),"00000")="89119", TEXT(TRIM(S391),"00000")="89123", TEXT(TRIM(S391),"00000")="89169", TEXT(TRIM(S391),"00000")="89118"), "South/Strip",
  OR(TEXT(TRIM(S391),"00000")="89074", TEXT(TRIM(S391),"00000")="89014", TEXT(TRIM(S391),"00000")="89015", TEXT(TRIM(S391),"00000")="89011", TEXT(TRIM(S391),"00000")="89012"), "Suburban SE",
  OR(TEXT(TRIM(S391),"00000")="89117", TEXT(TRIM(S391),"00000")="89128", TEXT(TRIM(S391),"00000")="89135", TEXT(TRIM(S391),"00000")="89144", TEXT(TRIM(S391),"00000")="89145", TEXT(TRIM(S391),"00000")="89147"), "West Valley",
  TRUE, "Other"
)</f>
        <v>Urban Core</v>
      </c>
      <c r="U391" t="s">
        <v>3298</v>
      </c>
      <c r="V391" t="str">
        <f t="shared" si="27"/>
        <v>Outdoors/Public</v>
      </c>
    </row>
    <row r="392" spans="1:22">
      <c r="A392" t="s">
        <v>3652</v>
      </c>
      <c r="B392" t="s">
        <v>3653</v>
      </c>
      <c r="C392" s="1">
        <v>45468</v>
      </c>
      <c r="D392" s="4">
        <v>109.94</v>
      </c>
      <c r="E392">
        <v>39</v>
      </c>
      <c r="F392" t="str">
        <f t="shared" si="24"/>
        <v>30's</v>
      </c>
      <c r="G392" t="str" cm="1">
        <f t="array" ref="G392">_xlfn.IFS(
  F392="10's", "Child (5–12)",
  OR(F392="20's", F392="30's"), "Young Adult (20–39)",
  OR(F392="40's", F392="50's"), "Adult (40–59)",
  OR(F392="60's", F392="70's", F392="80's", F392="90's"), "Senior (60+)",
  TRUE, "Unknown"
)</f>
        <v>Young Adult (20–39)</v>
      </c>
      <c r="H392" t="s">
        <v>841</v>
      </c>
      <c r="I392" t="s">
        <v>4072</v>
      </c>
      <c r="J392" t="str">
        <f t="shared" si="25"/>
        <v>Methamphetamine-related</v>
      </c>
      <c r="K392" t="s">
        <v>54</v>
      </c>
      <c r="L392" t="s">
        <v>250</v>
      </c>
      <c r="M392" t="s">
        <v>4703</v>
      </c>
      <c r="N392" t="s">
        <v>5108</v>
      </c>
      <c r="O392" t="str" cm="1">
        <f t="array" ref="O392">_xlfn.IFS(
  TEXT(TRIM(N392),"00000")="NULL", "Missing/Unknown",
  OR(TEXT(TRIM(N392),"00000")="89101", TEXT(TRIM(N392),"00000")="89104", TEXT(TRIM(N392),"00000")="89106", TEXT(TRIM(N392),"00000")="89102", TEXT(TRIM(N392),"00000")="89107", TEXT(TRIM(N392),"00000")="89108"), "Urban Core",
  OR(TEXT(TRIM(N392),"00000")="89110", TEXT(TRIM(N392),"00000")="89115", TEXT(TRIM(N392),"00000")="89121", TEXT(TRIM(N392),"00000")="89122", TEXT(TRIM(N392),"00000")="89142", TEXT(TRIM(N392),"00000")="89156"), "East Valley",
  OR(TEXT(TRIM(N392),"00000")="89030", TEXT(TRIM(N392),"00000")="89031", TEXT(TRIM(N392),"00000")="89032", TEXT(TRIM(N392),"00000")="89086", TEXT(TRIM(N392),"00000")="89084", TEXT(TRIM(N392),"00000")="89081"), "North LV",
  OR(TEXT(TRIM(N392),"00000")="89109", TEXT(TRIM(N392),"00000")="89103", TEXT(TRIM(N392),"00000")="89119", TEXT(TRIM(N392),"00000")="89123", TEXT(TRIM(N392),"00000")="89169", TEXT(TRIM(N392),"00000")="89118"), "South/Strip",
  OR(TEXT(TRIM(N392),"00000")="89074", TEXT(TRIM(N392),"00000")="89014", TEXT(TRIM(N392),"00000")="89015", TEXT(TRIM(N392),"00000")="89011", TEXT(TRIM(N392),"00000")="89012"), "Suburban SE",
  OR(TEXT(TRIM(N392),"00000")="89117", TEXT(TRIM(N392),"00000")="89128", TEXT(TRIM(N392),"00000")="89135", TEXT(TRIM(N392),"00000")="89144", TEXT(TRIM(N392),"00000")="89145", TEXT(TRIM(N392),"00000")="89147"), "West Valley",
  TRUE, "Other"
)</f>
        <v>East Valley</v>
      </c>
      <c r="P392" t="s">
        <v>3298</v>
      </c>
      <c r="Q392" t="str">
        <f t="shared" si="26"/>
        <v>Outdoors/Public</v>
      </c>
      <c r="R392" t="s">
        <v>4703</v>
      </c>
      <c r="S392" t="s">
        <v>5108</v>
      </c>
      <c r="T392" t="str" cm="1">
        <f t="array" ref="T392">_xlfn.IFS(
  TEXT(TRIM(S392),"00000")="NULL", "Missing/Unknown",
  OR(TEXT(TRIM(S392),"00000")="89101", TEXT(TRIM(S392),"00000")="89104", TEXT(TRIM(S392),"00000")="89106", TEXT(TRIM(S392),"00000")="89102", TEXT(TRIM(S392),"00000")="89107", TEXT(TRIM(S392),"00000")="89108"), "Urban Core",
  OR(TEXT(TRIM(S392),"00000")="89110", TEXT(TRIM(S392),"00000")="89115", TEXT(TRIM(S392),"00000")="89121", TEXT(TRIM(S392),"00000")="89122", TEXT(TRIM(S392),"00000")="89142", TEXT(TRIM(S392),"00000")="89156"), "East Valley",
  OR(TEXT(TRIM(S392),"00000")="89030", TEXT(TRIM(S392),"00000")="89031", TEXT(TRIM(S392),"00000")="89032", TEXT(TRIM(S392),"00000")="89086", TEXT(TRIM(S392),"00000")="89084", TEXT(TRIM(S392),"00000")="89081"), "North LV",
  OR(TEXT(TRIM(S392),"00000")="89109", TEXT(TRIM(S392),"00000")="89103", TEXT(TRIM(S392),"00000")="89119", TEXT(TRIM(S392),"00000")="89123", TEXT(TRIM(S392),"00000")="89169", TEXT(TRIM(S392),"00000")="89118"), "South/Strip",
  OR(TEXT(TRIM(S392),"00000")="89074", TEXT(TRIM(S392),"00000")="89014", TEXT(TRIM(S392),"00000")="89015", TEXT(TRIM(S392),"00000")="89011", TEXT(TRIM(S392),"00000")="89012"), "Suburban SE",
  OR(TEXT(TRIM(S392),"00000")="89117", TEXT(TRIM(S392),"00000")="89128", TEXT(TRIM(S392),"00000")="89135", TEXT(TRIM(S392),"00000")="89144", TEXT(TRIM(S392),"00000")="89145", TEXT(TRIM(S392),"00000")="89147"), "West Valley",
  TRUE, "Other"
)</f>
        <v>East Valley</v>
      </c>
      <c r="U392" t="s">
        <v>3298</v>
      </c>
      <c r="V392" t="str">
        <f t="shared" si="27"/>
        <v>Outdoors/Public</v>
      </c>
    </row>
    <row r="393" spans="1:22">
      <c r="A393" t="s">
        <v>3625</v>
      </c>
      <c r="B393" t="s">
        <v>3626</v>
      </c>
      <c r="C393" s="1">
        <v>45468</v>
      </c>
      <c r="D393" s="4">
        <v>109.94</v>
      </c>
      <c r="E393">
        <v>75</v>
      </c>
      <c r="F393" t="str">
        <f t="shared" si="24"/>
        <v>70's</v>
      </c>
      <c r="G393" t="str" cm="1">
        <f t="array" ref="G393">_xlfn.IFS(
  F393="10's", "Child (5–12)",
  OR(F393="20's", F393="30's"), "Young Adult (20–39)",
  OR(F393="40's", F393="50's"), "Adult (40–59)",
  OR(F393="60's", F393="70's", F393="80's", F393="90's"), "Senior (60+)",
  TRUE, "Unknown"
)</f>
        <v>Senior (60+)</v>
      </c>
      <c r="H393" t="s">
        <v>841</v>
      </c>
      <c r="I393" t="s">
        <v>3627</v>
      </c>
      <c r="J393" t="str">
        <f t="shared" si="25"/>
        <v>Environmental Heat</v>
      </c>
      <c r="K393" t="s">
        <v>4189</v>
      </c>
      <c r="L393" t="s">
        <v>1071</v>
      </c>
      <c r="M393" t="s">
        <v>4336</v>
      </c>
      <c r="N393" t="s">
        <v>5101</v>
      </c>
      <c r="O393" t="str" cm="1">
        <f t="array" ref="O393">_xlfn.IFS(
  TEXT(TRIM(N393),"00000")="NULL", "Missing/Unknown",
  OR(TEXT(TRIM(N393),"00000")="89101", TEXT(TRIM(N393),"00000")="89104", TEXT(TRIM(N393),"00000")="89106", TEXT(TRIM(N393),"00000")="89102", TEXT(TRIM(N393),"00000")="89107", TEXT(TRIM(N393),"00000")="89108"), "Urban Core",
  OR(TEXT(TRIM(N393),"00000")="89110", TEXT(TRIM(N393),"00000")="89115", TEXT(TRIM(N393),"00000")="89121", TEXT(TRIM(N393),"00000")="89122", TEXT(TRIM(N393),"00000")="89142", TEXT(TRIM(N393),"00000")="89156"), "East Valley",
  OR(TEXT(TRIM(N393),"00000")="89030", TEXT(TRIM(N393),"00000")="89031", TEXT(TRIM(N393),"00000")="89032", TEXT(TRIM(N393),"00000")="89086", TEXT(TRIM(N393),"00000")="89084", TEXT(TRIM(N393),"00000")="89081"), "North LV",
  OR(TEXT(TRIM(N393),"00000")="89109", TEXT(TRIM(N393),"00000")="89103", TEXT(TRIM(N393),"00000")="89119", TEXT(TRIM(N393),"00000")="89123", TEXT(TRIM(N393),"00000")="89169", TEXT(TRIM(N393),"00000")="89118"), "South/Strip",
  OR(TEXT(TRIM(N393),"00000")="89074", TEXT(TRIM(N393),"00000")="89014", TEXT(TRIM(N393),"00000")="89015", TEXT(TRIM(N393),"00000")="89011", TEXT(TRIM(N393),"00000")="89012"), "Suburban SE",
  OR(TEXT(TRIM(N393),"00000")="89117", TEXT(TRIM(N393),"00000")="89128", TEXT(TRIM(N393),"00000")="89135", TEXT(TRIM(N393),"00000")="89144", TEXT(TRIM(N393),"00000")="89145", TEXT(TRIM(N393),"00000")="89147"), "West Valley",
  TRUE, "Other"
)</f>
        <v>Urban Core</v>
      </c>
      <c r="P393" t="s">
        <v>3298</v>
      </c>
      <c r="Q393" t="str">
        <f t="shared" si="26"/>
        <v>Outdoors/Public</v>
      </c>
      <c r="R393" t="s">
        <v>5058</v>
      </c>
      <c r="S393" t="s">
        <v>5123</v>
      </c>
      <c r="T393" t="str" cm="1">
        <f t="array" ref="T393">_xlfn.IFS(
  TEXT(TRIM(S393),"00000")="NULL", "Missing/Unknown",
  OR(TEXT(TRIM(S393),"00000")="89101", TEXT(TRIM(S393),"00000")="89104", TEXT(TRIM(S393),"00000")="89106", TEXT(TRIM(S393),"00000")="89102", TEXT(TRIM(S393),"00000")="89107", TEXT(TRIM(S393),"00000")="89108"), "Urban Core",
  OR(TEXT(TRIM(S393),"00000")="89110", TEXT(TRIM(S393),"00000")="89115", TEXT(TRIM(S393),"00000")="89121", TEXT(TRIM(S393),"00000")="89122", TEXT(TRIM(S393),"00000")="89142", TEXT(TRIM(S393),"00000")="89156"), "East Valley",
  OR(TEXT(TRIM(S393),"00000")="89030", TEXT(TRIM(S393),"00000")="89031", TEXT(TRIM(S393),"00000")="89032", TEXT(TRIM(S393),"00000")="89086", TEXT(TRIM(S393),"00000")="89084", TEXT(TRIM(S393),"00000")="89081"), "North LV",
  OR(TEXT(TRIM(S393),"00000")="89109", TEXT(TRIM(S393),"00000")="89103", TEXT(TRIM(S393),"00000")="89119", TEXT(TRIM(S393),"00000")="89123", TEXT(TRIM(S393),"00000")="89169", TEXT(TRIM(S393),"00000")="89118"), "South/Strip",
  OR(TEXT(TRIM(S393),"00000")="89074", TEXT(TRIM(S393),"00000")="89014", TEXT(TRIM(S393),"00000")="89015", TEXT(TRIM(S393),"00000")="89011", TEXT(TRIM(S393),"00000")="89012"), "Suburban SE",
  OR(TEXT(TRIM(S393),"00000")="89117", TEXT(TRIM(S393),"00000")="89128", TEXT(TRIM(S393),"00000")="89135", TEXT(TRIM(S393),"00000")="89144", TEXT(TRIM(S393),"00000")="89145", TEXT(TRIM(S393),"00000")="89147"), "West Valley",
  TRUE, "Other"
)</f>
        <v>South/Strip</v>
      </c>
      <c r="U393" t="s">
        <v>3606</v>
      </c>
      <c r="V393" t="str">
        <f t="shared" si="27"/>
        <v>Other / Unknown</v>
      </c>
    </row>
    <row r="394" spans="1:22">
      <c r="A394" t="s">
        <v>3969</v>
      </c>
      <c r="B394" t="s">
        <v>3970</v>
      </c>
      <c r="C394" s="1">
        <v>45467</v>
      </c>
      <c r="D394" s="4">
        <v>111.92</v>
      </c>
      <c r="E394">
        <v>49</v>
      </c>
      <c r="F394" t="str">
        <f t="shared" si="24"/>
        <v>40's</v>
      </c>
      <c r="G394" t="str" cm="1">
        <f t="array" ref="G394">_xlfn.IFS(
  F394="10's", "Child (5–12)",
  OR(F394="20's", F394="30's"), "Young Adult (20–39)",
  OR(F394="40's", F394="50's"), "Adult (40–59)",
  OR(F394="60's", F394="70's", F394="80's", F394="90's"), "Senior (60+)",
  TRUE, "Unknown"
)</f>
        <v>Adult (40–59)</v>
      </c>
      <c r="H394" t="s">
        <v>841</v>
      </c>
      <c r="I394" t="s">
        <v>4025</v>
      </c>
      <c r="J394" t="str">
        <f t="shared" si="25"/>
        <v>Methamphetamine-related</v>
      </c>
      <c r="K394" t="s">
        <v>3971</v>
      </c>
      <c r="L394" t="s">
        <v>250</v>
      </c>
      <c r="M394" t="s">
        <v>4323</v>
      </c>
      <c r="N394" t="s">
        <v>5100</v>
      </c>
      <c r="O394" t="str" cm="1">
        <f t="array" ref="O394">_xlfn.IFS(
  TEXT(TRIM(N394),"00000")="NULL", "Missing/Unknown",
  OR(TEXT(TRIM(N394),"00000")="89101", TEXT(TRIM(N394),"00000")="89104", TEXT(TRIM(N394),"00000")="89106", TEXT(TRIM(N394),"00000")="89102", TEXT(TRIM(N394),"00000")="89107", TEXT(TRIM(N394),"00000")="89108"), "Urban Core",
  OR(TEXT(TRIM(N394),"00000")="89110", TEXT(TRIM(N394),"00000")="89115", TEXT(TRIM(N394),"00000")="89121", TEXT(TRIM(N394),"00000")="89122", TEXT(TRIM(N394),"00000")="89142", TEXT(TRIM(N394),"00000")="89156"), "East Valley",
  OR(TEXT(TRIM(N394),"00000")="89030", TEXT(TRIM(N394),"00000")="89031", TEXT(TRIM(N394),"00000")="89032", TEXT(TRIM(N394),"00000")="89086", TEXT(TRIM(N394),"00000")="89084", TEXT(TRIM(N394),"00000")="89081"), "North LV",
  OR(TEXT(TRIM(N394),"00000")="89109", TEXT(TRIM(N394),"00000")="89103", TEXT(TRIM(N394),"00000")="89119", TEXT(TRIM(N394),"00000")="89123", TEXT(TRIM(N394),"00000")="89169", TEXT(TRIM(N394),"00000")="89118"), "South/Strip",
  OR(TEXT(TRIM(N394),"00000")="89074", TEXT(TRIM(N394),"00000")="89014", TEXT(TRIM(N394),"00000")="89015", TEXT(TRIM(N394),"00000")="89011", TEXT(TRIM(N394),"00000")="89012"), "Suburban SE",
  OR(TEXT(TRIM(N394),"00000")="89117", TEXT(TRIM(N394),"00000")="89128", TEXT(TRIM(N394),"00000")="89135", TEXT(TRIM(N394),"00000")="89144", TEXT(TRIM(N394),"00000")="89145", TEXT(TRIM(N394),"00000")="89147"), "West Valley",
  TRUE, "Other"
)</f>
        <v>North LV</v>
      </c>
      <c r="P394" t="s">
        <v>3973</v>
      </c>
      <c r="Q394" t="str">
        <f t="shared" si="26"/>
        <v>Other / Unknown</v>
      </c>
      <c r="R394" t="s">
        <v>4323</v>
      </c>
      <c r="S394" t="s">
        <v>5100</v>
      </c>
      <c r="T394" t="str" cm="1">
        <f t="array" ref="T394">_xlfn.IFS(
  TEXT(TRIM(S394),"00000")="NULL", "Missing/Unknown",
  OR(TEXT(TRIM(S394),"00000")="89101", TEXT(TRIM(S394),"00000")="89104", TEXT(TRIM(S394),"00000")="89106", TEXT(TRIM(S394),"00000")="89102", TEXT(TRIM(S394),"00000")="89107", TEXT(TRIM(S394),"00000")="89108"), "Urban Core",
  OR(TEXT(TRIM(S394),"00000")="89110", TEXT(TRIM(S394),"00000")="89115", TEXT(TRIM(S394),"00000")="89121", TEXT(TRIM(S394),"00000")="89122", TEXT(TRIM(S394),"00000")="89142", TEXT(TRIM(S394),"00000")="89156"), "East Valley",
  OR(TEXT(TRIM(S394),"00000")="89030", TEXT(TRIM(S394),"00000")="89031", TEXT(TRIM(S394),"00000")="89032", TEXT(TRIM(S394),"00000")="89086", TEXT(TRIM(S394),"00000")="89084", TEXT(TRIM(S394),"00000")="89081"), "North LV",
  OR(TEXT(TRIM(S394),"00000")="89109", TEXT(TRIM(S394),"00000")="89103", TEXT(TRIM(S394),"00000")="89119", TEXT(TRIM(S394),"00000")="89123", TEXT(TRIM(S394),"00000")="89169", TEXT(TRIM(S394),"00000")="89118"), "South/Strip",
  OR(TEXT(TRIM(S394),"00000")="89074", TEXT(TRIM(S394),"00000")="89014", TEXT(TRIM(S394),"00000")="89015", TEXT(TRIM(S394),"00000")="89011", TEXT(TRIM(S394),"00000")="89012"), "Suburban SE",
  OR(TEXT(TRIM(S394),"00000")="89117", TEXT(TRIM(S394),"00000")="89128", TEXT(TRIM(S394),"00000")="89135", TEXT(TRIM(S394),"00000")="89144", TEXT(TRIM(S394),"00000")="89145", TEXT(TRIM(S394),"00000")="89147"), "West Valley",
  TRUE, "Other"
)</f>
        <v>North LV</v>
      </c>
      <c r="U394" t="s">
        <v>3973</v>
      </c>
      <c r="V394" t="str">
        <f t="shared" si="27"/>
        <v>Other / Unknown</v>
      </c>
    </row>
    <row r="395" spans="1:22">
      <c r="A395" t="s">
        <v>2967</v>
      </c>
      <c r="B395" t="s">
        <v>2968</v>
      </c>
      <c r="C395" s="1">
        <v>45467</v>
      </c>
      <c r="D395" s="4">
        <v>111.92</v>
      </c>
      <c r="E395">
        <v>70</v>
      </c>
      <c r="F395" t="str">
        <f t="shared" si="24"/>
        <v>70's</v>
      </c>
      <c r="G395" t="str" cm="1">
        <f t="array" ref="G395">_xlfn.IFS(
  F395="10's", "Child (5–12)",
  OR(F395="20's", F395="30's"), "Young Adult (20–39)",
  OR(F395="40's", F395="50's"), "Adult (40–59)",
  OR(F395="60's", F395="70's", F395="80's", F395="90's"), "Senior (60+)",
  TRUE, "Unknown"
)</f>
        <v>Senior (60+)</v>
      </c>
      <c r="H395" t="s">
        <v>778</v>
      </c>
      <c r="I395" t="s">
        <v>54</v>
      </c>
      <c r="J395" t="str">
        <f t="shared" si="25"/>
        <v>Environmental Heat</v>
      </c>
      <c r="K395" t="s">
        <v>2969</v>
      </c>
      <c r="L395" t="s">
        <v>1071</v>
      </c>
      <c r="M395" t="s">
        <v>4943</v>
      </c>
      <c r="N395" t="s">
        <v>5101</v>
      </c>
      <c r="O395" t="str" cm="1">
        <f t="array" ref="O395">_xlfn.IFS(
  TEXT(TRIM(N395),"00000")="NULL", "Missing/Unknown",
  OR(TEXT(TRIM(N395),"00000")="89101", TEXT(TRIM(N395),"00000")="89104", TEXT(TRIM(N395),"00000")="89106", TEXT(TRIM(N395),"00000")="89102", TEXT(TRIM(N395),"00000")="89107", TEXT(TRIM(N395),"00000")="89108"), "Urban Core",
  OR(TEXT(TRIM(N395),"00000")="89110", TEXT(TRIM(N395),"00000")="89115", TEXT(TRIM(N395),"00000")="89121", TEXT(TRIM(N395),"00000")="89122", TEXT(TRIM(N395),"00000")="89142", TEXT(TRIM(N395),"00000")="89156"), "East Valley",
  OR(TEXT(TRIM(N395),"00000")="89030", TEXT(TRIM(N395),"00000")="89031", TEXT(TRIM(N395),"00000")="89032", TEXT(TRIM(N395),"00000")="89086", TEXT(TRIM(N395),"00000")="89084", TEXT(TRIM(N395),"00000")="89081"), "North LV",
  OR(TEXT(TRIM(N395),"00000")="89109", TEXT(TRIM(N395),"00000")="89103", TEXT(TRIM(N395),"00000")="89119", TEXT(TRIM(N395),"00000")="89123", TEXT(TRIM(N395),"00000")="89169", TEXT(TRIM(N395),"00000")="89118"), "South/Strip",
  OR(TEXT(TRIM(N395),"00000")="89074", TEXT(TRIM(N395),"00000")="89014", TEXT(TRIM(N395),"00000")="89015", TEXT(TRIM(N395),"00000")="89011", TEXT(TRIM(N395),"00000")="89012"), "Suburban SE",
  OR(TEXT(TRIM(N395),"00000")="89117", TEXT(TRIM(N395),"00000")="89128", TEXT(TRIM(N395),"00000")="89135", TEXT(TRIM(N395),"00000")="89144", TEXT(TRIM(N395),"00000")="89145", TEXT(TRIM(N395),"00000")="89147"), "West Valley",
  TRUE, "Other"
)</f>
        <v>Urban Core</v>
      </c>
      <c r="P395" t="s">
        <v>1073</v>
      </c>
      <c r="Q395" t="str">
        <f t="shared" si="26"/>
        <v>Home/Residence</v>
      </c>
      <c r="R395" t="s">
        <v>4943</v>
      </c>
      <c r="S395" t="s">
        <v>5101</v>
      </c>
      <c r="T395" t="str" cm="1">
        <f t="array" ref="T395">_xlfn.IFS(
  TEXT(TRIM(S395),"00000")="NULL", "Missing/Unknown",
  OR(TEXT(TRIM(S395),"00000")="89101", TEXT(TRIM(S395),"00000")="89104", TEXT(TRIM(S395),"00000")="89106", TEXT(TRIM(S395),"00000")="89102", TEXT(TRIM(S395),"00000")="89107", TEXT(TRIM(S395),"00000")="89108"), "Urban Core",
  OR(TEXT(TRIM(S395),"00000")="89110", TEXT(TRIM(S395),"00000")="89115", TEXT(TRIM(S395),"00000")="89121", TEXT(TRIM(S395),"00000")="89122", TEXT(TRIM(S395),"00000")="89142", TEXT(TRIM(S395),"00000")="89156"), "East Valley",
  OR(TEXT(TRIM(S395),"00000")="89030", TEXT(TRIM(S395),"00000")="89031", TEXT(TRIM(S395),"00000")="89032", TEXT(TRIM(S395),"00000")="89086", TEXT(TRIM(S395),"00000")="89084", TEXT(TRIM(S395),"00000")="89081"), "North LV",
  OR(TEXT(TRIM(S395),"00000")="89109", TEXT(TRIM(S395),"00000")="89103", TEXT(TRIM(S395),"00000")="89119", TEXT(TRIM(S395),"00000")="89123", TEXT(TRIM(S395),"00000")="89169", TEXT(TRIM(S395),"00000")="89118"), "South/Strip",
  OR(TEXT(TRIM(S395),"00000")="89074", TEXT(TRIM(S395),"00000")="89014", TEXT(TRIM(S395),"00000")="89015", TEXT(TRIM(S395),"00000")="89011", TEXT(TRIM(S395),"00000")="89012"), "Suburban SE",
  OR(TEXT(TRIM(S395),"00000")="89117", TEXT(TRIM(S395),"00000")="89128", TEXT(TRIM(S395),"00000")="89135", TEXT(TRIM(S395),"00000")="89144", TEXT(TRIM(S395),"00000")="89145", TEXT(TRIM(S395),"00000")="89147"), "West Valley",
  TRUE, "Other"
)</f>
        <v>Urban Core</v>
      </c>
      <c r="U395" t="s">
        <v>1073</v>
      </c>
      <c r="V395" t="str">
        <f t="shared" si="27"/>
        <v>Home/Residence</v>
      </c>
    </row>
    <row r="396" spans="1:22">
      <c r="A396" t="s">
        <v>3965</v>
      </c>
      <c r="B396" t="s">
        <v>3966</v>
      </c>
      <c r="C396" s="1">
        <v>45467</v>
      </c>
      <c r="D396" s="4">
        <v>111.92</v>
      </c>
      <c r="E396">
        <v>62</v>
      </c>
      <c r="F396" t="str">
        <f t="shared" si="24"/>
        <v>60's</v>
      </c>
      <c r="G396" t="str" cm="1">
        <f t="array" ref="G396">_xlfn.IFS(
  F396="10's", "Child (5–12)",
  OR(F396="20's", F396="30's"), "Young Adult (20–39)",
  OR(F396="40's", F396="50's"), "Adult (40–59)",
  OR(F396="60's", F396="70's", F396="80's", F396="90's"), "Senior (60+)",
  TRUE, "Unknown"
)</f>
        <v>Senior (60+)</v>
      </c>
      <c r="H396" t="s">
        <v>841</v>
      </c>
      <c r="I396" t="s">
        <v>4025</v>
      </c>
      <c r="J396" t="str">
        <f t="shared" si="25"/>
        <v>Methamphetamine-related</v>
      </c>
      <c r="K396" t="s">
        <v>4192</v>
      </c>
      <c r="L396" t="s">
        <v>250</v>
      </c>
      <c r="M396" t="s">
        <v>4583</v>
      </c>
      <c r="N396" t="s">
        <v>5097</v>
      </c>
      <c r="O396" t="str" cm="1">
        <f t="array" ref="O396">_xlfn.IFS(
  TEXT(TRIM(N396),"00000")="NULL", "Missing/Unknown",
  OR(TEXT(TRIM(N396),"00000")="89101", TEXT(TRIM(N396),"00000")="89104", TEXT(TRIM(N396),"00000")="89106", TEXT(TRIM(N396),"00000")="89102", TEXT(TRIM(N396),"00000")="89107", TEXT(TRIM(N396),"00000")="89108"), "Urban Core",
  OR(TEXT(TRIM(N396),"00000")="89110", TEXT(TRIM(N396),"00000")="89115", TEXT(TRIM(N396),"00000")="89121", TEXT(TRIM(N396),"00000")="89122", TEXT(TRIM(N396),"00000")="89142", TEXT(TRIM(N396),"00000")="89156"), "East Valley",
  OR(TEXT(TRIM(N396),"00000")="89030", TEXT(TRIM(N396),"00000")="89031", TEXT(TRIM(N396),"00000")="89032", TEXT(TRIM(N396),"00000")="89086", TEXT(TRIM(N396),"00000")="89084", TEXT(TRIM(N396),"00000")="89081"), "North LV",
  OR(TEXT(TRIM(N396),"00000")="89109", TEXT(TRIM(N396),"00000")="89103", TEXT(TRIM(N396),"00000")="89119", TEXT(TRIM(N396),"00000")="89123", TEXT(TRIM(N396),"00000")="89169", TEXT(TRIM(N396),"00000")="89118"), "South/Strip",
  OR(TEXT(TRIM(N396),"00000")="89074", TEXT(TRIM(N396),"00000")="89014", TEXT(TRIM(N396),"00000")="89015", TEXT(TRIM(N396),"00000")="89011", TEXT(TRIM(N396),"00000")="89012"), "Suburban SE",
  OR(TEXT(TRIM(N396),"00000")="89117", TEXT(TRIM(N396),"00000")="89128", TEXT(TRIM(N396),"00000")="89135", TEXT(TRIM(N396),"00000")="89144", TEXT(TRIM(N396),"00000")="89145", TEXT(TRIM(N396),"00000")="89147"), "West Valley",
  TRUE, "Other"
)</f>
        <v>Urban Core</v>
      </c>
      <c r="P396" t="s">
        <v>3298</v>
      </c>
      <c r="Q396" t="str">
        <f t="shared" si="26"/>
        <v>Outdoors/Public</v>
      </c>
      <c r="R396" t="s">
        <v>4583</v>
      </c>
      <c r="S396" t="s">
        <v>5097</v>
      </c>
      <c r="T396" t="str" cm="1">
        <f t="array" ref="T396">_xlfn.IFS(
  TEXT(TRIM(S396),"00000")="NULL", "Missing/Unknown",
  OR(TEXT(TRIM(S396),"00000")="89101", TEXT(TRIM(S396),"00000")="89104", TEXT(TRIM(S396),"00000")="89106", TEXT(TRIM(S396),"00000")="89102", TEXT(TRIM(S396),"00000")="89107", TEXT(TRIM(S396),"00000")="89108"), "Urban Core",
  OR(TEXT(TRIM(S396),"00000")="89110", TEXT(TRIM(S396),"00000")="89115", TEXT(TRIM(S396),"00000")="89121", TEXT(TRIM(S396),"00000")="89122", TEXT(TRIM(S396),"00000")="89142", TEXT(TRIM(S396),"00000")="89156"), "East Valley",
  OR(TEXT(TRIM(S396),"00000")="89030", TEXT(TRIM(S396),"00000")="89031", TEXT(TRIM(S396),"00000")="89032", TEXT(TRIM(S396),"00000")="89086", TEXT(TRIM(S396),"00000")="89084", TEXT(TRIM(S396),"00000")="89081"), "North LV",
  OR(TEXT(TRIM(S396),"00000")="89109", TEXT(TRIM(S396),"00000")="89103", TEXT(TRIM(S396),"00000")="89119", TEXT(TRIM(S396),"00000")="89123", TEXT(TRIM(S396),"00000")="89169", TEXT(TRIM(S396),"00000")="89118"), "South/Strip",
  OR(TEXT(TRIM(S396),"00000")="89074", TEXT(TRIM(S396),"00000")="89014", TEXT(TRIM(S396),"00000")="89015", TEXT(TRIM(S396),"00000")="89011", TEXT(TRIM(S396),"00000")="89012"), "Suburban SE",
  OR(TEXT(TRIM(S396),"00000")="89117", TEXT(TRIM(S396),"00000")="89128", TEXT(TRIM(S396),"00000")="89135", TEXT(TRIM(S396),"00000")="89144", TEXT(TRIM(S396),"00000")="89145", TEXT(TRIM(S396),"00000")="89147"), "West Valley",
  TRUE, "Other"
)</f>
        <v>Urban Core</v>
      </c>
      <c r="U396" t="s">
        <v>3298</v>
      </c>
      <c r="V396" t="str">
        <f t="shared" si="27"/>
        <v>Outdoors/Public</v>
      </c>
    </row>
    <row r="397" spans="1:22">
      <c r="A397" t="s">
        <v>2822</v>
      </c>
      <c r="B397" t="s">
        <v>2823</v>
      </c>
      <c r="C397" s="1">
        <v>45467</v>
      </c>
      <c r="D397" s="4">
        <v>111.92</v>
      </c>
      <c r="E397">
        <v>89</v>
      </c>
      <c r="F397" t="str">
        <f t="shared" si="24"/>
        <v>80's</v>
      </c>
      <c r="G397" t="str" cm="1">
        <f t="array" ref="G397">_xlfn.IFS(
  F397="10's", "Child (5–12)",
  OR(F397="20's", F397="30's"), "Young Adult (20–39)",
  OR(F397="40's", F397="50's"), "Adult (40–59)",
  OR(F397="60's", F397="70's", F397="80's", F397="90's"), "Senior (60+)",
  TRUE, "Unknown"
)</f>
        <v>Senior (60+)</v>
      </c>
      <c r="H397" t="s">
        <v>841</v>
      </c>
      <c r="I397" t="s">
        <v>4031</v>
      </c>
      <c r="J397" t="str">
        <f t="shared" si="25"/>
        <v>Other / Unknown</v>
      </c>
      <c r="K397" t="s">
        <v>54</v>
      </c>
      <c r="L397" t="s">
        <v>1071</v>
      </c>
      <c r="M397" t="s">
        <v>4942</v>
      </c>
      <c r="N397" t="s">
        <v>5141</v>
      </c>
      <c r="O397" t="str" cm="1">
        <f t="array" ref="O397">_xlfn.IFS(
  TEXT(TRIM(N397),"00000")="NULL", "Missing/Unknown",
  OR(TEXT(TRIM(N397),"00000")="89101", TEXT(TRIM(N397),"00000")="89104", TEXT(TRIM(N397),"00000")="89106", TEXT(TRIM(N397),"00000")="89102", TEXT(TRIM(N397),"00000")="89107", TEXT(TRIM(N397),"00000")="89108"), "Urban Core",
  OR(TEXT(TRIM(N397),"00000")="89110", TEXT(TRIM(N397),"00000")="89115", TEXT(TRIM(N397),"00000")="89121", TEXT(TRIM(N397),"00000")="89122", TEXT(TRIM(N397),"00000")="89142", TEXT(TRIM(N397),"00000")="89156"), "East Valley",
  OR(TEXT(TRIM(N397),"00000")="89030", TEXT(TRIM(N397),"00000")="89031", TEXT(TRIM(N397),"00000")="89032", TEXT(TRIM(N397),"00000")="89086", TEXT(TRIM(N397),"00000")="89084", TEXT(TRIM(N397),"00000")="89081"), "North LV",
  OR(TEXT(TRIM(N397),"00000")="89109", TEXT(TRIM(N397),"00000")="89103", TEXT(TRIM(N397),"00000")="89119", TEXT(TRIM(N397),"00000")="89123", TEXT(TRIM(N397),"00000")="89169", TEXT(TRIM(N397),"00000")="89118"), "South/Strip",
  OR(TEXT(TRIM(N397),"00000")="89074", TEXT(TRIM(N397),"00000")="89014", TEXT(TRIM(N397),"00000")="89015", TEXT(TRIM(N397),"00000")="89011", TEXT(TRIM(N397),"00000")="89012"), "Suburban SE",
  OR(TEXT(TRIM(N397),"00000")="89117", TEXT(TRIM(N397),"00000")="89128", TEXT(TRIM(N397),"00000")="89135", TEXT(TRIM(N397),"00000")="89144", TEXT(TRIM(N397),"00000")="89145", TEXT(TRIM(N397),"00000")="89147"), "West Valley",
  TRUE, "Other"
)</f>
        <v>Other</v>
      </c>
      <c r="P397" t="s">
        <v>1073</v>
      </c>
      <c r="Q397" t="str">
        <f t="shared" si="26"/>
        <v>Home/Residence</v>
      </c>
      <c r="R397" t="s">
        <v>4942</v>
      </c>
      <c r="S397" t="s">
        <v>5141</v>
      </c>
      <c r="T397" t="str" cm="1">
        <f t="array" ref="T397">_xlfn.IFS(
  TEXT(TRIM(S397),"00000")="NULL", "Missing/Unknown",
  OR(TEXT(TRIM(S397),"00000")="89101", TEXT(TRIM(S397),"00000")="89104", TEXT(TRIM(S397),"00000")="89106", TEXT(TRIM(S397),"00000")="89102", TEXT(TRIM(S397),"00000")="89107", TEXT(TRIM(S397),"00000")="89108"), "Urban Core",
  OR(TEXT(TRIM(S397),"00000")="89110", TEXT(TRIM(S397),"00000")="89115", TEXT(TRIM(S397),"00000")="89121", TEXT(TRIM(S397),"00000")="89122", TEXT(TRIM(S397),"00000")="89142", TEXT(TRIM(S397),"00000")="89156"), "East Valley",
  OR(TEXT(TRIM(S397),"00000")="89030", TEXT(TRIM(S397),"00000")="89031", TEXT(TRIM(S397),"00000")="89032", TEXT(TRIM(S397),"00000")="89086", TEXT(TRIM(S397),"00000")="89084", TEXT(TRIM(S397),"00000")="89081"), "North LV",
  OR(TEXT(TRIM(S397),"00000")="89109", TEXT(TRIM(S397),"00000")="89103", TEXT(TRIM(S397),"00000")="89119", TEXT(TRIM(S397),"00000")="89123", TEXT(TRIM(S397),"00000")="89169", TEXT(TRIM(S397),"00000")="89118"), "South/Strip",
  OR(TEXT(TRIM(S397),"00000")="89074", TEXT(TRIM(S397),"00000")="89014", TEXT(TRIM(S397),"00000")="89015", TEXT(TRIM(S397),"00000")="89011", TEXT(TRIM(S397),"00000")="89012"), "Suburban SE",
  OR(TEXT(TRIM(S397),"00000")="89117", TEXT(TRIM(S397),"00000")="89128", TEXT(TRIM(S397),"00000")="89135", TEXT(TRIM(S397),"00000")="89144", TEXT(TRIM(S397),"00000")="89145", TEXT(TRIM(S397),"00000")="89147"), "West Valley",
  TRUE, "Other"
)</f>
        <v>Other</v>
      </c>
      <c r="U397" t="s">
        <v>1073</v>
      </c>
      <c r="V397" t="str">
        <f t="shared" si="27"/>
        <v>Home/Residence</v>
      </c>
    </row>
    <row r="398" spans="1:22">
      <c r="A398" t="s">
        <v>2855</v>
      </c>
      <c r="B398" t="s">
        <v>2856</v>
      </c>
      <c r="C398" s="1">
        <v>45467</v>
      </c>
      <c r="D398" s="4">
        <v>111.92</v>
      </c>
      <c r="E398">
        <v>61</v>
      </c>
      <c r="F398" t="str">
        <f t="shared" si="24"/>
        <v>60's</v>
      </c>
      <c r="G398" t="str" cm="1">
        <f t="array" ref="G398">_xlfn.IFS(
  F398="10's", "Child (5–12)",
  OR(F398="20's", F398="30's"), "Young Adult (20–39)",
  OR(F398="40's", F398="50's"), "Adult (40–59)",
  OR(F398="60's", F398="70's", F398="80's", F398="90's"), "Senior (60+)",
  TRUE, "Unknown"
)</f>
        <v>Senior (60+)</v>
      </c>
      <c r="H398" t="s">
        <v>841</v>
      </c>
      <c r="I398" t="s">
        <v>2857</v>
      </c>
      <c r="J398" t="str">
        <f t="shared" si="25"/>
        <v>Other / Unknown</v>
      </c>
      <c r="K398" t="s">
        <v>2858</v>
      </c>
      <c r="L398" t="s">
        <v>250</v>
      </c>
      <c r="M398" t="s">
        <v>4704</v>
      </c>
      <c r="N398" t="s">
        <v>5122</v>
      </c>
      <c r="O398" t="str" cm="1">
        <f t="array" ref="O398">_xlfn.IFS(
  TEXT(TRIM(N398),"00000")="NULL", "Missing/Unknown",
  OR(TEXT(TRIM(N398),"00000")="89101", TEXT(TRIM(N398),"00000")="89104", TEXT(TRIM(N398),"00000")="89106", TEXT(TRIM(N398),"00000")="89102", TEXT(TRIM(N398),"00000")="89107", TEXT(TRIM(N398),"00000")="89108"), "Urban Core",
  OR(TEXT(TRIM(N398),"00000")="89110", TEXT(TRIM(N398),"00000")="89115", TEXT(TRIM(N398),"00000")="89121", TEXT(TRIM(N398),"00000")="89122", TEXT(TRIM(N398),"00000")="89142", TEXT(TRIM(N398),"00000")="89156"), "East Valley",
  OR(TEXT(TRIM(N398),"00000")="89030", TEXT(TRIM(N398),"00000")="89031", TEXT(TRIM(N398),"00000")="89032", TEXT(TRIM(N398),"00000")="89086", TEXT(TRIM(N398),"00000")="89084", TEXT(TRIM(N398),"00000")="89081"), "North LV",
  OR(TEXT(TRIM(N398),"00000")="89109", TEXT(TRIM(N398),"00000")="89103", TEXT(TRIM(N398),"00000")="89119", TEXT(TRIM(N398),"00000")="89123", TEXT(TRIM(N398),"00000")="89169", TEXT(TRIM(N398),"00000")="89118"), "South/Strip",
  OR(TEXT(TRIM(N398),"00000")="89074", TEXT(TRIM(N398),"00000")="89014", TEXT(TRIM(N398),"00000")="89015", TEXT(TRIM(N398),"00000")="89011", TEXT(TRIM(N398),"00000")="89012"), "Suburban SE",
  OR(TEXT(TRIM(N398),"00000")="89117", TEXT(TRIM(N398),"00000")="89128", TEXT(TRIM(N398),"00000")="89135", TEXT(TRIM(N398),"00000")="89144", TEXT(TRIM(N398),"00000")="89145", TEXT(TRIM(N398),"00000")="89147"), "West Valley",
  TRUE, "Other"
)</f>
        <v>East Valley</v>
      </c>
      <c r="P398" t="s">
        <v>3298</v>
      </c>
      <c r="Q398" t="str">
        <f t="shared" si="26"/>
        <v>Outdoors/Public</v>
      </c>
      <c r="R398" t="s">
        <v>4704</v>
      </c>
      <c r="S398" t="s">
        <v>5122</v>
      </c>
      <c r="T398" t="str" cm="1">
        <f t="array" ref="T398">_xlfn.IFS(
  TEXT(TRIM(S398),"00000")="NULL", "Missing/Unknown",
  OR(TEXT(TRIM(S398),"00000")="89101", TEXT(TRIM(S398),"00000")="89104", TEXT(TRIM(S398),"00000")="89106", TEXT(TRIM(S398),"00000")="89102", TEXT(TRIM(S398),"00000")="89107", TEXT(TRIM(S398),"00000")="89108"), "Urban Core",
  OR(TEXT(TRIM(S398),"00000")="89110", TEXT(TRIM(S398),"00000")="89115", TEXT(TRIM(S398),"00000")="89121", TEXT(TRIM(S398),"00000")="89122", TEXT(TRIM(S398),"00000")="89142", TEXT(TRIM(S398),"00000")="89156"), "East Valley",
  OR(TEXT(TRIM(S398),"00000")="89030", TEXT(TRIM(S398),"00000")="89031", TEXT(TRIM(S398),"00000")="89032", TEXT(TRIM(S398),"00000")="89086", TEXT(TRIM(S398),"00000")="89084", TEXT(TRIM(S398),"00000")="89081"), "North LV",
  OR(TEXT(TRIM(S398),"00000")="89109", TEXT(TRIM(S398),"00000")="89103", TEXT(TRIM(S398),"00000")="89119", TEXT(TRIM(S398),"00000")="89123", TEXT(TRIM(S398),"00000")="89169", TEXT(TRIM(S398),"00000")="89118"), "South/Strip",
  OR(TEXT(TRIM(S398),"00000")="89074", TEXT(TRIM(S398),"00000")="89014", TEXT(TRIM(S398),"00000")="89015", TEXT(TRIM(S398),"00000")="89011", TEXT(TRIM(S398),"00000")="89012"), "Suburban SE",
  OR(TEXT(TRIM(S398),"00000")="89117", TEXT(TRIM(S398),"00000")="89128", TEXT(TRIM(S398),"00000")="89135", TEXT(TRIM(S398),"00000")="89144", TEXT(TRIM(S398),"00000")="89145", TEXT(TRIM(S398),"00000")="89147"), "West Valley",
  TRUE, "Other"
)</f>
        <v>East Valley</v>
      </c>
      <c r="U398" t="s">
        <v>3298</v>
      </c>
      <c r="V398" t="str">
        <f t="shared" si="27"/>
        <v>Outdoors/Public</v>
      </c>
    </row>
    <row r="399" spans="1:22">
      <c r="A399" t="s">
        <v>2971</v>
      </c>
      <c r="B399" t="s">
        <v>2972</v>
      </c>
      <c r="C399" s="1">
        <v>45467</v>
      </c>
      <c r="D399" s="4">
        <v>111.92</v>
      </c>
      <c r="E399">
        <v>58</v>
      </c>
      <c r="F399" t="str">
        <f t="shared" si="24"/>
        <v>50's</v>
      </c>
      <c r="G399" t="str" cm="1">
        <f t="array" ref="G399">_xlfn.IFS(
  F399="10's", "Child (5–12)",
  OR(F399="20's", F399="30's"), "Young Adult (20–39)",
  OR(F399="40's", F399="50's"), "Adult (40–59)",
  OR(F399="60's", F399="70's", F399="80's", F399="90's"), "Senior (60+)",
  TRUE, "Unknown"
)</f>
        <v>Adult (40–59)</v>
      </c>
      <c r="H399" t="s">
        <v>841</v>
      </c>
      <c r="I399" t="s">
        <v>54</v>
      </c>
      <c r="J399" t="str">
        <f t="shared" si="25"/>
        <v>Environmental Heat</v>
      </c>
      <c r="K399" t="s">
        <v>4190</v>
      </c>
      <c r="L399" t="s">
        <v>250</v>
      </c>
      <c r="M399" t="s">
        <v>4875</v>
      </c>
      <c r="N399" t="s">
        <v>5105</v>
      </c>
      <c r="O399" t="str" cm="1">
        <f t="array" ref="O399">_xlfn.IFS(
  TEXT(TRIM(N399),"00000")="NULL", "Missing/Unknown",
  OR(TEXT(TRIM(N399),"00000")="89101", TEXT(TRIM(N399),"00000")="89104", TEXT(TRIM(N399),"00000")="89106", TEXT(TRIM(N399),"00000")="89102", TEXT(TRIM(N399),"00000")="89107", TEXT(TRIM(N399),"00000")="89108"), "Urban Core",
  OR(TEXT(TRIM(N399),"00000")="89110", TEXT(TRIM(N399),"00000")="89115", TEXT(TRIM(N399),"00000")="89121", TEXT(TRIM(N399),"00000")="89122", TEXT(TRIM(N399),"00000")="89142", TEXT(TRIM(N399),"00000")="89156"), "East Valley",
  OR(TEXT(TRIM(N399),"00000")="89030", TEXT(TRIM(N399),"00000")="89031", TEXT(TRIM(N399),"00000")="89032", TEXT(TRIM(N399),"00000")="89086", TEXT(TRIM(N399),"00000")="89084", TEXT(TRIM(N399),"00000")="89081"), "North LV",
  OR(TEXT(TRIM(N399),"00000")="89109", TEXT(TRIM(N399),"00000")="89103", TEXT(TRIM(N399),"00000")="89119", TEXT(TRIM(N399),"00000")="89123", TEXT(TRIM(N399),"00000")="89169", TEXT(TRIM(N399),"00000")="89118"), "South/Strip",
  OR(TEXT(TRIM(N399),"00000")="89074", TEXT(TRIM(N399),"00000")="89014", TEXT(TRIM(N399),"00000")="89015", TEXT(TRIM(N399),"00000")="89011", TEXT(TRIM(N399),"00000")="89012"), "Suburban SE",
  OR(TEXT(TRIM(N399),"00000")="89117", TEXT(TRIM(N399),"00000")="89128", TEXT(TRIM(N399),"00000")="89135", TEXT(TRIM(N399),"00000")="89144", TEXT(TRIM(N399),"00000")="89145", TEXT(TRIM(N399),"00000")="89147"), "West Valley",
  TRUE, "Other"
)</f>
        <v>East Valley</v>
      </c>
      <c r="P399" t="s">
        <v>24</v>
      </c>
      <c r="Q399" t="str">
        <f t="shared" si="26"/>
        <v>Outdoors/Public</v>
      </c>
      <c r="R399" t="s">
        <v>4875</v>
      </c>
      <c r="S399" t="s">
        <v>5105</v>
      </c>
      <c r="T399" t="str" cm="1">
        <f t="array" ref="T399">_xlfn.IFS(
  TEXT(TRIM(S399),"00000")="NULL", "Missing/Unknown",
  OR(TEXT(TRIM(S399),"00000")="89101", TEXT(TRIM(S399),"00000")="89104", TEXT(TRIM(S399),"00000")="89106", TEXT(TRIM(S399),"00000")="89102", TEXT(TRIM(S399),"00000")="89107", TEXT(TRIM(S399),"00000")="89108"), "Urban Core",
  OR(TEXT(TRIM(S399),"00000")="89110", TEXT(TRIM(S399),"00000")="89115", TEXT(TRIM(S399),"00000")="89121", TEXT(TRIM(S399),"00000")="89122", TEXT(TRIM(S399),"00000")="89142", TEXT(TRIM(S399),"00000")="89156"), "East Valley",
  OR(TEXT(TRIM(S399),"00000")="89030", TEXT(TRIM(S399),"00000")="89031", TEXT(TRIM(S399),"00000")="89032", TEXT(TRIM(S399),"00000")="89086", TEXT(TRIM(S399),"00000")="89084", TEXT(TRIM(S399),"00000")="89081"), "North LV",
  OR(TEXT(TRIM(S399),"00000")="89109", TEXT(TRIM(S399),"00000")="89103", TEXT(TRIM(S399),"00000")="89119", TEXT(TRIM(S399),"00000")="89123", TEXT(TRIM(S399),"00000")="89169", TEXT(TRIM(S399),"00000")="89118"), "South/Strip",
  OR(TEXT(TRIM(S399),"00000")="89074", TEXT(TRIM(S399),"00000")="89014", TEXT(TRIM(S399),"00000")="89015", TEXT(TRIM(S399),"00000")="89011", TEXT(TRIM(S399),"00000")="89012"), "Suburban SE",
  OR(TEXT(TRIM(S399),"00000")="89117", TEXT(TRIM(S399),"00000")="89128", TEXT(TRIM(S399),"00000")="89135", TEXT(TRIM(S399),"00000")="89144", TEXT(TRIM(S399),"00000")="89145", TEXT(TRIM(S399),"00000")="89147"), "West Valley",
  TRUE, "Other"
)</f>
        <v>East Valley</v>
      </c>
      <c r="U399" t="s">
        <v>24</v>
      </c>
      <c r="V399" t="str">
        <f t="shared" si="27"/>
        <v>Outdoors/Public</v>
      </c>
    </row>
    <row r="400" spans="1:22">
      <c r="A400" t="s">
        <v>3570</v>
      </c>
      <c r="B400" t="s">
        <v>3571</v>
      </c>
      <c r="C400" s="1">
        <v>45467</v>
      </c>
      <c r="D400" s="4">
        <v>111.92</v>
      </c>
      <c r="E400">
        <v>57</v>
      </c>
      <c r="F400" t="str">
        <f t="shared" si="24"/>
        <v>50's</v>
      </c>
      <c r="G400" t="str" cm="1">
        <f t="array" ref="G400">_xlfn.IFS(
  F400="10's", "Child (5–12)",
  OR(F400="20's", F400="30's"), "Young Adult (20–39)",
  OR(F400="40's", F400="50's"), "Adult (40–59)",
  OR(F400="60's", F400="70's", F400="80's", F400="90's"), "Senior (60+)",
  TRUE, "Unknown"
)</f>
        <v>Adult (40–59)</v>
      </c>
      <c r="H400" t="s">
        <v>841</v>
      </c>
      <c r="I400" t="s">
        <v>97</v>
      </c>
      <c r="J400" t="str">
        <f t="shared" si="25"/>
        <v>Environmental Heat</v>
      </c>
      <c r="K400" t="s">
        <v>4191</v>
      </c>
      <c r="L400" t="s">
        <v>250</v>
      </c>
      <c r="N400" t="s">
        <v>5095</v>
      </c>
      <c r="O400" t="str" cm="1">
        <f t="array" ref="O400">_xlfn.IFS(
  TEXT(TRIM(N400),"00000")="NULL", "Missing/Unknown",
  OR(TEXT(TRIM(N400),"00000")="89101", TEXT(TRIM(N400),"00000")="89104", TEXT(TRIM(N400),"00000")="89106", TEXT(TRIM(N400),"00000")="89102", TEXT(TRIM(N400),"00000")="89107", TEXT(TRIM(N400),"00000")="89108"), "Urban Core",
  OR(TEXT(TRIM(N400),"00000")="89110", TEXT(TRIM(N400),"00000")="89115", TEXT(TRIM(N400),"00000")="89121", TEXT(TRIM(N400),"00000")="89122", TEXT(TRIM(N400),"00000")="89142", TEXT(TRIM(N400),"00000")="89156"), "East Valley",
  OR(TEXT(TRIM(N400),"00000")="89030", TEXT(TRIM(N400),"00000")="89031", TEXT(TRIM(N400),"00000")="89032", TEXT(TRIM(N400),"00000")="89086", TEXT(TRIM(N400),"00000")="89084", TEXT(TRIM(N400),"00000")="89081"), "North LV",
  OR(TEXT(TRIM(N400),"00000")="89109", TEXT(TRIM(N400),"00000")="89103", TEXT(TRIM(N400),"00000")="89119", TEXT(TRIM(N400),"00000")="89123", TEXT(TRIM(N400),"00000")="89169", TEXT(TRIM(N400),"00000")="89118"), "South/Strip",
  OR(TEXT(TRIM(N400),"00000")="89074", TEXT(TRIM(N400),"00000")="89014", TEXT(TRIM(N400),"00000")="89015", TEXT(TRIM(N400),"00000")="89011", TEXT(TRIM(N400),"00000")="89012"), "Suburban SE",
  OR(TEXT(TRIM(N400),"00000")="89117", TEXT(TRIM(N400),"00000")="89128", TEXT(TRIM(N400),"00000")="89135", TEXT(TRIM(N400),"00000")="89144", TEXT(TRIM(N400),"00000")="89145", TEXT(TRIM(N400),"00000")="89147"), "West Valley",
  TRUE, "Other"
)</f>
        <v>Missing/Unknown</v>
      </c>
      <c r="P400" t="s">
        <v>38</v>
      </c>
      <c r="Q400" t="str">
        <f t="shared" si="26"/>
        <v>Home/Residence</v>
      </c>
      <c r="R400" t="s">
        <v>5067</v>
      </c>
      <c r="S400" t="s">
        <v>5103</v>
      </c>
      <c r="T400" t="str" cm="1">
        <f t="array" ref="T400">_xlfn.IFS(
  TEXT(TRIM(S400),"00000")="NULL", "Missing/Unknown",
  OR(TEXT(TRIM(S400),"00000")="89101", TEXT(TRIM(S400),"00000")="89104", TEXT(TRIM(S400),"00000")="89106", TEXT(TRIM(S400),"00000")="89102", TEXT(TRIM(S400),"00000")="89107", TEXT(TRIM(S400),"00000")="89108"), "Urban Core",
  OR(TEXT(TRIM(S400),"00000")="89110", TEXT(TRIM(S400),"00000")="89115", TEXT(TRIM(S400),"00000")="89121", TEXT(TRIM(S400),"00000")="89122", TEXT(TRIM(S400),"00000")="89142", TEXT(TRIM(S400),"00000")="89156"), "East Valley",
  OR(TEXT(TRIM(S400),"00000")="89030", TEXT(TRIM(S400),"00000")="89031", TEXT(TRIM(S400),"00000")="89032", TEXT(TRIM(S400),"00000")="89086", TEXT(TRIM(S400),"00000")="89084", TEXT(TRIM(S400),"00000")="89081"), "North LV",
  OR(TEXT(TRIM(S400),"00000")="89109", TEXT(TRIM(S400),"00000")="89103", TEXT(TRIM(S400),"00000")="89119", TEXT(TRIM(S400),"00000")="89123", TEXT(TRIM(S400),"00000")="89169", TEXT(TRIM(S400),"00000")="89118"), "South/Strip",
  OR(TEXT(TRIM(S400),"00000")="89074", TEXT(TRIM(S400),"00000")="89014", TEXT(TRIM(S400),"00000")="89015", TEXT(TRIM(S400),"00000")="89011", TEXT(TRIM(S400),"00000")="89012"), "Suburban SE",
  OR(TEXT(TRIM(S400),"00000")="89117", TEXT(TRIM(S400),"00000")="89128", TEXT(TRIM(S400),"00000")="89135", TEXT(TRIM(S400),"00000")="89144", TEXT(TRIM(S400),"00000")="89145", TEXT(TRIM(S400),"00000")="89147"), "West Valley",
  TRUE, "Other"
)</f>
        <v>Other</v>
      </c>
      <c r="U400" t="s">
        <v>2413</v>
      </c>
      <c r="V400" t="str">
        <f t="shared" si="27"/>
        <v>Medical Facility</v>
      </c>
    </row>
    <row r="401" spans="1:22">
      <c r="A401" t="s">
        <v>2964</v>
      </c>
      <c r="B401" t="s">
        <v>2965</v>
      </c>
      <c r="C401" s="1">
        <v>45466</v>
      </c>
      <c r="D401" s="4">
        <v>109.94</v>
      </c>
      <c r="E401">
        <v>68</v>
      </c>
      <c r="F401" t="str">
        <f t="shared" si="24"/>
        <v>60's</v>
      </c>
      <c r="G401" t="str" cm="1">
        <f t="array" ref="G401">_xlfn.IFS(
  F401="10's", "Child (5–12)",
  OR(F401="20's", F401="30's"), "Young Adult (20–39)",
  OR(F401="40's", F401="50's"), "Adult (40–59)",
  OR(F401="60's", F401="70's", F401="80's", F401="90's"), "Senior (60+)",
  TRUE, "Unknown"
)</f>
        <v>Senior (60+)</v>
      </c>
      <c r="H401" t="s">
        <v>841</v>
      </c>
      <c r="I401" t="s">
        <v>54</v>
      </c>
      <c r="J401" t="str">
        <f t="shared" si="25"/>
        <v>Environmental Heat</v>
      </c>
      <c r="K401" t="s">
        <v>63</v>
      </c>
      <c r="L401" t="s">
        <v>1071</v>
      </c>
      <c r="M401" t="s">
        <v>4944</v>
      </c>
      <c r="N401" t="s">
        <v>5107</v>
      </c>
      <c r="O401" t="str" cm="1">
        <f t="array" ref="O401">_xlfn.IFS(
  TEXT(TRIM(N401),"00000")="NULL", "Missing/Unknown",
  OR(TEXT(TRIM(N401),"00000")="89101", TEXT(TRIM(N401),"00000")="89104", TEXT(TRIM(N401),"00000")="89106", TEXT(TRIM(N401),"00000")="89102", TEXT(TRIM(N401),"00000")="89107", TEXT(TRIM(N401),"00000")="89108"), "Urban Core",
  OR(TEXT(TRIM(N401),"00000")="89110", TEXT(TRIM(N401),"00000")="89115", TEXT(TRIM(N401),"00000")="89121", TEXT(TRIM(N401),"00000")="89122", TEXT(TRIM(N401),"00000")="89142", TEXT(TRIM(N401),"00000")="89156"), "East Valley",
  OR(TEXT(TRIM(N401),"00000")="89030", TEXT(TRIM(N401),"00000")="89031", TEXT(TRIM(N401),"00000")="89032", TEXT(TRIM(N401),"00000")="89086", TEXT(TRIM(N401),"00000")="89084", TEXT(TRIM(N401),"00000")="89081"), "North LV",
  OR(TEXT(TRIM(N401),"00000")="89109", TEXT(TRIM(N401),"00000")="89103", TEXT(TRIM(N401),"00000")="89119", TEXT(TRIM(N401),"00000")="89123", TEXT(TRIM(N401),"00000")="89169", TEXT(TRIM(N401),"00000")="89118"), "South/Strip",
  OR(TEXT(TRIM(N401),"00000")="89074", TEXT(TRIM(N401),"00000")="89014", TEXT(TRIM(N401),"00000")="89015", TEXT(TRIM(N401),"00000")="89011", TEXT(TRIM(N401),"00000")="89012"), "Suburban SE",
  OR(TEXT(TRIM(N401),"00000")="89117", TEXT(TRIM(N401),"00000")="89128", TEXT(TRIM(N401),"00000")="89135", TEXT(TRIM(N401),"00000")="89144", TEXT(TRIM(N401),"00000")="89145", TEXT(TRIM(N401),"00000")="89147"), "West Valley",
  TRUE, "Other"
)</f>
        <v>South/Strip</v>
      </c>
      <c r="P401" t="s">
        <v>1073</v>
      </c>
      <c r="Q401" t="str">
        <f t="shared" si="26"/>
        <v>Home/Residence</v>
      </c>
      <c r="R401" t="s">
        <v>4944</v>
      </c>
      <c r="S401" t="s">
        <v>5107</v>
      </c>
      <c r="T401" t="str" cm="1">
        <f t="array" ref="T401">_xlfn.IFS(
  TEXT(TRIM(S401),"00000")="NULL", "Missing/Unknown",
  OR(TEXT(TRIM(S401),"00000")="89101", TEXT(TRIM(S401),"00000")="89104", TEXT(TRIM(S401),"00000")="89106", TEXT(TRIM(S401),"00000")="89102", TEXT(TRIM(S401),"00000")="89107", TEXT(TRIM(S401),"00000")="89108"), "Urban Core",
  OR(TEXT(TRIM(S401),"00000")="89110", TEXT(TRIM(S401),"00000")="89115", TEXT(TRIM(S401),"00000")="89121", TEXT(TRIM(S401),"00000")="89122", TEXT(TRIM(S401),"00000")="89142", TEXT(TRIM(S401),"00000")="89156"), "East Valley",
  OR(TEXT(TRIM(S401),"00000")="89030", TEXT(TRIM(S401),"00000")="89031", TEXT(TRIM(S401),"00000")="89032", TEXT(TRIM(S401),"00000")="89086", TEXT(TRIM(S401),"00000")="89084", TEXT(TRIM(S401),"00000")="89081"), "North LV",
  OR(TEXT(TRIM(S401),"00000")="89109", TEXT(TRIM(S401),"00000")="89103", TEXT(TRIM(S401),"00000")="89119", TEXT(TRIM(S401),"00000")="89123", TEXT(TRIM(S401),"00000")="89169", TEXT(TRIM(S401),"00000")="89118"), "South/Strip",
  OR(TEXT(TRIM(S401),"00000")="89074", TEXT(TRIM(S401),"00000")="89014", TEXT(TRIM(S401),"00000")="89015", TEXT(TRIM(S401),"00000")="89011", TEXT(TRIM(S401),"00000")="89012"), "Suburban SE",
  OR(TEXT(TRIM(S401),"00000")="89117", TEXT(TRIM(S401),"00000")="89128", TEXT(TRIM(S401),"00000")="89135", TEXT(TRIM(S401),"00000")="89144", TEXT(TRIM(S401),"00000")="89145", TEXT(TRIM(S401),"00000")="89147"), "West Valley",
  TRUE, "Other"
)</f>
        <v>South/Strip</v>
      </c>
      <c r="U401" t="s">
        <v>1073</v>
      </c>
      <c r="V401" t="str">
        <f t="shared" si="27"/>
        <v>Home/Residence</v>
      </c>
    </row>
    <row r="402" spans="1:22">
      <c r="A402" t="s">
        <v>3693</v>
      </c>
      <c r="B402" t="s">
        <v>3694</v>
      </c>
      <c r="C402" s="1">
        <v>45466</v>
      </c>
      <c r="D402" s="4">
        <v>109.94</v>
      </c>
      <c r="E402">
        <v>67</v>
      </c>
      <c r="F402" t="str">
        <f t="shared" si="24"/>
        <v>60's</v>
      </c>
      <c r="G402" t="str" cm="1">
        <f t="array" ref="G402">_xlfn.IFS(
  F402="10's", "Child (5–12)",
  OR(F402="20's", F402="30's"), "Young Adult (20–39)",
  OR(F402="40's", F402="50's"), "Adult (40–59)",
  OR(F402="60's", F402="70's", F402="80's", F402="90's"), "Senior (60+)",
  TRUE, "Unknown"
)</f>
        <v>Senior (60+)</v>
      </c>
      <c r="H402" t="s">
        <v>841</v>
      </c>
      <c r="I402" t="s">
        <v>135</v>
      </c>
      <c r="J402" t="str">
        <f t="shared" si="25"/>
        <v>Methamphetamine-related</v>
      </c>
      <c r="K402" t="s">
        <v>416</v>
      </c>
      <c r="L402" t="s">
        <v>250</v>
      </c>
      <c r="M402" t="s">
        <v>4705</v>
      </c>
      <c r="N402" t="s">
        <v>5142</v>
      </c>
      <c r="O402" t="str" cm="1">
        <f t="array" ref="O402">_xlfn.IFS(
  TEXT(TRIM(N402),"00000")="NULL", "Missing/Unknown",
  OR(TEXT(TRIM(N402),"00000")="89101", TEXT(TRIM(N402),"00000")="89104", TEXT(TRIM(N402),"00000")="89106", TEXT(TRIM(N402),"00000")="89102", TEXT(TRIM(N402),"00000")="89107", TEXT(TRIM(N402),"00000")="89108"), "Urban Core",
  OR(TEXT(TRIM(N402),"00000")="89110", TEXT(TRIM(N402),"00000")="89115", TEXT(TRIM(N402),"00000")="89121", TEXT(TRIM(N402),"00000")="89122", TEXT(TRIM(N402),"00000")="89142", TEXT(TRIM(N402),"00000")="89156"), "East Valley",
  OR(TEXT(TRIM(N402),"00000")="89030", TEXT(TRIM(N402),"00000")="89031", TEXT(TRIM(N402),"00000")="89032", TEXT(TRIM(N402),"00000")="89086", TEXT(TRIM(N402),"00000")="89084", TEXT(TRIM(N402),"00000")="89081"), "North LV",
  OR(TEXT(TRIM(N402),"00000")="89109", TEXT(TRIM(N402),"00000")="89103", TEXT(TRIM(N402),"00000")="89119", TEXT(TRIM(N402),"00000")="89123", TEXT(TRIM(N402),"00000")="89169", TEXT(TRIM(N402),"00000")="89118"), "South/Strip",
  OR(TEXT(TRIM(N402),"00000")="89074", TEXT(TRIM(N402),"00000")="89014", TEXT(TRIM(N402),"00000")="89015", TEXT(TRIM(N402),"00000")="89011", TEXT(TRIM(N402),"00000")="89012"), "Suburban SE",
  OR(TEXT(TRIM(N402),"00000")="89117", TEXT(TRIM(N402),"00000")="89128", TEXT(TRIM(N402),"00000")="89135", TEXT(TRIM(N402),"00000")="89144", TEXT(TRIM(N402),"00000")="89145", TEXT(TRIM(N402),"00000")="89147"), "West Valley",
  TRUE, "Other"
)</f>
        <v>Suburban SE</v>
      </c>
      <c r="P402" t="s">
        <v>3298</v>
      </c>
      <c r="Q402" t="str">
        <f t="shared" si="26"/>
        <v>Outdoors/Public</v>
      </c>
      <c r="R402" t="s">
        <v>4705</v>
      </c>
      <c r="S402" t="s">
        <v>5142</v>
      </c>
      <c r="T402" t="str" cm="1">
        <f t="array" ref="T402">_xlfn.IFS(
  TEXT(TRIM(S402),"00000")="NULL", "Missing/Unknown",
  OR(TEXT(TRIM(S402),"00000")="89101", TEXT(TRIM(S402),"00000")="89104", TEXT(TRIM(S402),"00000")="89106", TEXT(TRIM(S402),"00000")="89102", TEXT(TRIM(S402),"00000")="89107", TEXT(TRIM(S402),"00000")="89108"), "Urban Core",
  OR(TEXT(TRIM(S402),"00000")="89110", TEXT(TRIM(S402),"00000")="89115", TEXT(TRIM(S402),"00000")="89121", TEXT(TRIM(S402),"00000")="89122", TEXT(TRIM(S402),"00000")="89142", TEXT(TRIM(S402),"00000")="89156"), "East Valley",
  OR(TEXT(TRIM(S402),"00000")="89030", TEXT(TRIM(S402),"00000")="89031", TEXT(TRIM(S402),"00000")="89032", TEXT(TRIM(S402),"00000")="89086", TEXT(TRIM(S402),"00000")="89084", TEXT(TRIM(S402),"00000")="89081"), "North LV",
  OR(TEXT(TRIM(S402),"00000")="89109", TEXT(TRIM(S402),"00000")="89103", TEXT(TRIM(S402),"00000")="89119", TEXT(TRIM(S402),"00000")="89123", TEXT(TRIM(S402),"00000")="89169", TEXT(TRIM(S402),"00000")="89118"), "South/Strip",
  OR(TEXT(TRIM(S402),"00000")="89074", TEXT(TRIM(S402),"00000")="89014", TEXT(TRIM(S402),"00000")="89015", TEXT(TRIM(S402),"00000")="89011", TEXT(TRIM(S402),"00000")="89012"), "Suburban SE",
  OR(TEXT(TRIM(S402),"00000")="89117", TEXT(TRIM(S402),"00000")="89128", TEXT(TRIM(S402),"00000")="89135", TEXT(TRIM(S402),"00000")="89144", TEXT(TRIM(S402),"00000")="89145", TEXT(TRIM(S402),"00000")="89147"), "West Valley",
  TRUE, "Other"
)</f>
        <v>Suburban SE</v>
      </c>
      <c r="U402" t="s">
        <v>3298</v>
      </c>
      <c r="V402" t="str">
        <f t="shared" si="27"/>
        <v>Outdoors/Public</v>
      </c>
    </row>
    <row r="403" spans="1:22">
      <c r="A403" t="s">
        <v>2604</v>
      </c>
      <c r="B403" t="s">
        <v>2605</v>
      </c>
      <c r="C403" s="1">
        <v>45465</v>
      </c>
      <c r="D403" s="4">
        <v>109.04</v>
      </c>
      <c r="E403">
        <v>77</v>
      </c>
      <c r="F403" t="str">
        <f t="shared" si="24"/>
        <v>70's</v>
      </c>
      <c r="G403" t="str" cm="1">
        <f t="array" ref="G403">_xlfn.IFS(
  F403="10's", "Child (5–12)",
  OR(F403="20's", F403="30's"), "Young Adult (20–39)",
  OR(F403="40's", F403="50's"), "Adult (40–59)",
  OR(F403="60's", F403="70's", F403="80's", F403="90's"), "Senior (60+)",
  TRUE, "Unknown"
)</f>
        <v>Senior (60+)</v>
      </c>
      <c r="H403" t="s">
        <v>841</v>
      </c>
      <c r="I403" t="s">
        <v>63</v>
      </c>
      <c r="J403" t="str">
        <f t="shared" si="25"/>
        <v>Cardiovascular Disease</v>
      </c>
      <c r="K403" t="s">
        <v>2606</v>
      </c>
      <c r="L403" t="s">
        <v>250</v>
      </c>
      <c r="M403" t="s">
        <v>4584</v>
      </c>
      <c r="N403" t="s">
        <v>5134</v>
      </c>
      <c r="O403" t="str" cm="1">
        <f t="array" ref="O403">_xlfn.IFS(
  TEXT(TRIM(N403),"00000")="NULL", "Missing/Unknown",
  OR(TEXT(TRIM(N403),"00000")="89101", TEXT(TRIM(N403),"00000")="89104", TEXT(TRIM(N403),"00000")="89106", TEXT(TRIM(N403),"00000")="89102", TEXT(TRIM(N403),"00000")="89107", TEXT(TRIM(N403),"00000")="89108"), "Urban Core",
  OR(TEXT(TRIM(N403),"00000")="89110", TEXT(TRIM(N403),"00000")="89115", TEXT(TRIM(N403),"00000")="89121", TEXT(TRIM(N403),"00000")="89122", TEXT(TRIM(N403),"00000")="89142", TEXT(TRIM(N403),"00000")="89156"), "East Valley",
  OR(TEXT(TRIM(N403),"00000")="89030", TEXT(TRIM(N403),"00000")="89031", TEXT(TRIM(N403),"00000")="89032", TEXT(TRIM(N403),"00000")="89086", TEXT(TRIM(N403),"00000")="89084", TEXT(TRIM(N403),"00000")="89081"), "North LV",
  OR(TEXT(TRIM(N403),"00000")="89109", TEXT(TRIM(N403),"00000")="89103", TEXT(TRIM(N403),"00000")="89119", TEXT(TRIM(N403),"00000")="89123", TEXT(TRIM(N403),"00000")="89169", TEXT(TRIM(N403),"00000")="89118"), "South/Strip",
  OR(TEXT(TRIM(N403),"00000")="89074", TEXT(TRIM(N403),"00000")="89014", TEXT(TRIM(N403),"00000")="89015", TEXT(TRIM(N403),"00000")="89011", TEXT(TRIM(N403),"00000")="89012"), "Suburban SE",
  OR(TEXT(TRIM(N403),"00000")="89117", TEXT(TRIM(N403),"00000")="89128", TEXT(TRIM(N403),"00000")="89135", TEXT(TRIM(N403),"00000")="89144", TEXT(TRIM(N403),"00000")="89145", TEXT(TRIM(N403),"00000")="89147"), "West Valley",
  TRUE, "Other"
)</f>
        <v>Other</v>
      </c>
      <c r="P403" t="s">
        <v>65</v>
      </c>
      <c r="Q403" t="str">
        <f t="shared" si="26"/>
        <v>Vehicle-related</v>
      </c>
      <c r="R403" t="s">
        <v>4584</v>
      </c>
      <c r="S403" t="s">
        <v>5134</v>
      </c>
      <c r="T403" t="str" cm="1">
        <f t="array" ref="T403">_xlfn.IFS(
  TEXT(TRIM(S403),"00000")="NULL", "Missing/Unknown",
  OR(TEXT(TRIM(S403),"00000")="89101", TEXT(TRIM(S403),"00000")="89104", TEXT(TRIM(S403),"00000")="89106", TEXT(TRIM(S403),"00000")="89102", TEXT(TRIM(S403),"00000")="89107", TEXT(TRIM(S403),"00000")="89108"), "Urban Core",
  OR(TEXT(TRIM(S403),"00000")="89110", TEXT(TRIM(S403),"00000")="89115", TEXT(TRIM(S403),"00000")="89121", TEXT(TRIM(S403),"00000")="89122", TEXT(TRIM(S403),"00000")="89142", TEXT(TRIM(S403),"00000")="89156"), "East Valley",
  OR(TEXT(TRIM(S403),"00000")="89030", TEXT(TRIM(S403),"00000")="89031", TEXT(TRIM(S403),"00000")="89032", TEXT(TRIM(S403),"00000")="89086", TEXT(TRIM(S403),"00000")="89084", TEXT(TRIM(S403),"00000")="89081"), "North LV",
  OR(TEXT(TRIM(S403),"00000")="89109", TEXT(TRIM(S403),"00000")="89103", TEXT(TRIM(S403),"00000")="89119", TEXT(TRIM(S403),"00000")="89123", TEXT(TRIM(S403),"00000")="89169", TEXT(TRIM(S403),"00000")="89118"), "South/Strip",
  OR(TEXT(TRIM(S403),"00000")="89074", TEXT(TRIM(S403),"00000")="89014", TEXT(TRIM(S403),"00000")="89015", TEXT(TRIM(S403),"00000")="89011", TEXT(TRIM(S403),"00000")="89012"), "Suburban SE",
  OR(TEXT(TRIM(S403),"00000")="89117", TEXT(TRIM(S403),"00000")="89128", TEXT(TRIM(S403),"00000")="89135", TEXT(TRIM(S403),"00000")="89144", TEXT(TRIM(S403),"00000")="89145", TEXT(TRIM(S403),"00000")="89147"), "West Valley",
  TRUE, "Other"
)</f>
        <v>Other</v>
      </c>
      <c r="U403" t="s">
        <v>65</v>
      </c>
      <c r="V403" t="str">
        <f t="shared" si="27"/>
        <v>Vehicle-related</v>
      </c>
    </row>
    <row r="404" spans="1:22">
      <c r="A404" t="s">
        <v>2718</v>
      </c>
      <c r="B404" t="s">
        <v>2719</v>
      </c>
      <c r="C404" s="1">
        <v>45465</v>
      </c>
      <c r="D404" s="4">
        <v>109.04</v>
      </c>
      <c r="E404">
        <v>76</v>
      </c>
      <c r="F404" t="str">
        <f t="shared" si="24"/>
        <v>70's</v>
      </c>
      <c r="G404" t="str" cm="1">
        <f t="array" ref="G404">_xlfn.IFS(
  F404="10's", "Child (5–12)",
  OR(F404="20's", F404="30's"), "Young Adult (20–39)",
  OR(F404="40's", F404="50's"), "Adult (40–59)",
  OR(F404="60's", F404="70's", F404="80's", F404="90's"), "Senior (60+)",
  TRUE, "Unknown"
)</f>
        <v>Senior (60+)</v>
      </c>
      <c r="H404" t="s">
        <v>841</v>
      </c>
      <c r="I404" t="s">
        <v>181</v>
      </c>
      <c r="J404" t="str">
        <f t="shared" si="25"/>
        <v>Other / Unknown</v>
      </c>
      <c r="K404" t="s">
        <v>1362</v>
      </c>
      <c r="L404" t="s">
        <v>250</v>
      </c>
      <c r="M404" t="s">
        <v>4584</v>
      </c>
      <c r="N404" t="s">
        <v>5134</v>
      </c>
      <c r="O404" t="str" cm="1">
        <f t="array" ref="O404">_xlfn.IFS(
  TEXT(TRIM(N404),"00000")="NULL", "Missing/Unknown",
  OR(TEXT(TRIM(N404),"00000")="89101", TEXT(TRIM(N404),"00000")="89104", TEXT(TRIM(N404),"00000")="89106", TEXT(TRIM(N404),"00000")="89102", TEXT(TRIM(N404),"00000")="89107", TEXT(TRIM(N404),"00000")="89108"), "Urban Core",
  OR(TEXT(TRIM(N404),"00000")="89110", TEXT(TRIM(N404),"00000")="89115", TEXT(TRIM(N404),"00000")="89121", TEXT(TRIM(N404),"00000")="89122", TEXT(TRIM(N404),"00000")="89142", TEXT(TRIM(N404),"00000")="89156"), "East Valley",
  OR(TEXT(TRIM(N404),"00000")="89030", TEXT(TRIM(N404),"00000")="89031", TEXT(TRIM(N404),"00000")="89032", TEXT(TRIM(N404),"00000")="89086", TEXT(TRIM(N404),"00000")="89084", TEXT(TRIM(N404),"00000")="89081"), "North LV",
  OR(TEXT(TRIM(N404),"00000")="89109", TEXT(TRIM(N404),"00000")="89103", TEXT(TRIM(N404),"00000")="89119", TEXT(TRIM(N404),"00000")="89123", TEXT(TRIM(N404),"00000")="89169", TEXT(TRIM(N404),"00000")="89118"), "South/Strip",
  OR(TEXT(TRIM(N404),"00000")="89074", TEXT(TRIM(N404),"00000")="89014", TEXT(TRIM(N404),"00000")="89015", TEXT(TRIM(N404),"00000")="89011", TEXT(TRIM(N404),"00000")="89012"), "Suburban SE",
  OR(TEXT(TRIM(N404),"00000")="89117", TEXT(TRIM(N404),"00000")="89128", TEXT(TRIM(N404),"00000")="89135", TEXT(TRIM(N404),"00000")="89144", TEXT(TRIM(N404),"00000")="89145", TEXT(TRIM(N404),"00000")="89147"), "West Valley",
  TRUE, "Other"
)</f>
        <v>Other</v>
      </c>
      <c r="P404" t="s">
        <v>65</v>
      </c>
      <c r="Q404" t="str">
        <f t="shared" si="26"/>
        <v>Vehicle-related</v>
      </c>
      <c r="R404" t="s">
        <v>4584</v>
      </c>
      <c r="S404" t="s">
        <v>5134</v>
      </c>
      <c r="T404" t="str" cm="1">
        <f t="array" ref="T404">_xlfn.IFS(
  TEXT(TRIM(S404),"00000")="NULL", "Missing/Unknown",
  OR(TEXT(TRIM(S404),"00000")="89101", TEXT(TRIM(S404),"00000")="89104", TEXT(TRIM(S404),"00000")="89106", TEXT(TRIM(S404),"00000")="89102", TEXT(TRIM(S404),"00000")="89107", TEXT(TRIM(S404),"00000")="89108"), "Urban Core",
  OR(TEXT(TRIM(S404),"00000")="89110", TEXT(TRIM(S404),"00000")="89115", TEXT(TRIM(S404),"00000")="89121", TEXT(TRIM(S404),"00000")="89122", TEXT(TRIM(S404),"00000")="89142", TEXT(TRIM(S404),"00000")="89156"), "East Valley",
  OR(TEXT(TRIM(S404),"00000")="89030", TEXT(TRIM(S404),"00000")="89031", TEXT(TRIM(S404),"00000")="89032", TEXT(TRIM(S404),"00000")="89086", TEXT(TRIM(S404),"00000")="89084", TEXT(TRIM(S404),"00000")="89081"), "North LV",
  OR(TEXT(TRIM(S404),"00000")="89109", TEXT(TRIM(S404),"00000")="89103", TEXT(TRIM(S404),"00000")="89119", TEXT(TRIM(S404),"00000")="89123", TEXT(TRIM(S404),"00000")="89169", TEXT(TRIM(S404),"00000")="89118"), "South/Strip",
  OR(TEXT(TRIM(S404),"00000")="89074", TEXT(TRIM(S404),"00000")="89014", TEXT(TRIM(S404),"00000")="89015", TEXT(TRIM(S404),"00000")="89011", TEXT(TRIM(S404),"00000")="89012"), "Suburban SE",
  OR(TEXT(TRIM(S404),"00000")="89117", TEXT(TRIM(S404),"00000")="89128", TEXT(TRIM(S404),"00000")="89135", TEXT(TRIM(S404),"00000")="89144", TEXT(TRIM(S404),"00000")="89145", TEXT(TRIM(S404),"00000")="89147"), "West Valley",
  TRUE, "Other"
)</f>
        <v>Other</v>
      </c>
      <c r="U404" t="s">
        <v>65</v>
      </c>
      <c r="V404" t="str">
        <f t="shared" si="27"/>
        <v>Vehicle-related</v>
      </c>
    </row>
    <row r="405" spans="1:22">
      <c r="A405" t="s">
        <v>3334</v>
      </c>
      <c r="B405" t="s">
        <v>3335</v>
      </c>
      <c r="C405" s="1">
        <v>45465</v>
      </c>
      <c r="D405" s="4">
        <v>109.04</v>
      </c>
      <c r="E405">
        <v>58</v>
      </c>
      <c r="F405" t="str">
        <f t="shared" si="24"/>
        <v>50's</v>
      </c>
      <c r="G405" t="str" cm="1">
        <f t="array" ref="G405">_xlfn.IFS(
  F405="10's", "Child (5–12)",
  OR(F405="20's", F405="30's"), "Young Adult (20–39)",
  OR(F405="40's", F405="50's"), "Adult (40–59)",
  OR(F405="60's", F405="70's", F405="80's", F405="90's"), "Senior (60+)",
  TRUE, "Unknown"
)</f>
        <v>Adult (40–59)</v>
      </c>
      <c r="H405" t="s">
        <v>841</v>
      </c>
      <c r="I405" t="s">
        <v>4057</v>
      </c>
      <c r="J405" t="str">
        <f t="shared" si="25"/>
        <v>Methamphetamine-related</v>
      </c>
      <c r="K405" t="s">
        <v>3337</v>
      </c>
      <c r="L405" t="s">
        <v>250</v>
      </c>
      <c r="M405" t="s">
        <v>4706</v>
      </c>
      <c r="N405" t="s">
        <v>5105</v>
      </c>
      <c r="O405" t="str" cm="1">
        <f t="array" ref="O405">_xlfn.IFS(
  TEXT(TRIM(N405),"00000")="NULL", "Missing/Unknown",
  OR(TEXT(TRIM(N405),"00000")="89101", TEXT(TRIM(N405),"00000")="89104", TEXT(TRIM(N405),"00000")="89106", TEXT(TRIM(N405),"00000")="89102", TEXT(TRIM(N405),"00000")="89107", TEXT(TRIM(N405),"00000")="89108"), "Urban Core",
  OR(TEXT(TRIM(N405),"00000")="89110", TEXT(TRIM(N405),"00000")="89115", TEXT(TRIM(N405),"00000")="89121", TEXT(TRIM(N405),"00000")="89122", TEXT(TRIM(N405),"00000")="89142", TEXT(TRIM(N405),"00000")="89156"), "East Valley",
  OR(TEXT(TRIM(N405),"00000")="89030", TEXT(TRIM(N405),"00000")="89031", TEXT(TRIM(N405),"00000")="89032", TEXT(TRIM(N405),"00000")="89086", TEXT(TRIM(N405),"00000")="89084", TEXT(TRIM(N405),"00000")="89081"), "North LV",
  OR(TEXT(TRIM(N405),"00000")="89109", TEXT(TRIM(N405),"00000")="89103", TEXT(TRIM(N405),"00000")="89119", TEXT(TRIM(N405),"00000")="89123", TEXT(TRIM(N405),"00000")="89169", TEXT(TRIM(N405),"00000")="89118"), "South/Strip",
  OR(TEXT(TRIM(N405),"00000")="89074", TEXT(TRIM(N405),"00000")="89014", TEXT(TRIM(N405),"00000")="89015", TEXT(TRIM(N405),"00000")="89011", TEXT(TRIM(N405),"00000")="89012"), "Suburban SE",
  OR(TEXT(TRIM(N405),"00000")="89117", TEXT(TRIM(N405),"00000")="89128", TEXT(TRIM(N405),"00000")="89135", TEXT(TRIM(N405),"00000")="89144", TEXT(TRIM(N405),"00000")="89145", TEXT(TRIM(N405),"00000")="89147"), "West Valley",
  TRUE, "Other"
)</f>
        <v>East Valley</v>
      </c>
      <c r="P405" t="s">
        <v>3298</v>
      </c>
      <c r="Q405" t="str">
        <f t="shared" si="26"/>
        <v>Outdoors/Public</v>
      </c>
      <c r="R405" t="s">
        <v>4706</v>
      </c>
      <c r="S405" t="s">
        <v>5105</v>
      </c>
      <c r="T405" t="str" cm="1">
        <f t="array" ref="T405">_xlfn.IFS(
  TEXT(TRIM(S405),"00000")="NULL", "Missing/Unknown",
  OR(TEXT(TRIM(S405),"00000")="89101", TEXT(TRIM(S405),"00000")="89104", TEXT(TRIM(S405),"00000")="89106", TEXT(TRIM(S405),"00000")="89102", TEXT(TRIM(S405),"00000")="89107", TEXT(TRIM(S405),"00000")="89108"), "Urban Core",
  OR(TEXT(TRIM(S405),"00000")="89110", TEXT(TRIM(S405),"00000")="89115", TEXT(TRIM(S405),"00000")="89121", TEXT(TRIM(S405),"00000")="89122", TEXT(TRIM(S405),"00000")="89142", TEXT(TRIM(S405),"00000")="89156"), "East Valley",
  OR(TEXT(TRIM(S405),"00000")="89030", TEXT(TRIM(S405),"00000")="89031", TEXT(TRIM(S405),"00000")="89032", TEXT(TRIM(S405),"00000")="89086", TEXT(TRIM(S405),"00000")="89084", TEXT(TRIM(S405),"00000")="89081"), "North LV",
  OR(TEXT(TRIM(S405),"00000")="89109", TEXT(TRIM(S405),"00000")="89103", TEXT(TRIM(S405),"00000")="89119", TEXT(TRIM(S405),"00000")="89123", TEXT(TRIM(S405),"00000")="89169", TEXT(TRIM(S405),"00000")="89118"), "South/Strip",
  OR(TEXT(TRIM(S405),"00000")="89074", TEXT(TRIM(S405),"00000")="89014", TEXT(TRIM(S405),"00000")="89015", TEXT(TRIM(S405),"00000")="89011", TEXT(TRIM(S405),"00000")="89012"), "Suburban SE",
  OR(TEXT(TRIM(S405),"00000")="89117", TEXT(TRIM(S405),"00000")="89128", TEXT(TRIM(S405),"00000")="89135", TEXT(TRIM(S405),"00000")="89144", TEXT(TRIM(S405),"00000")="89145", TEXT(TRIM(S405),"00000")="89147"), "West Valley",
  TRUE, "Other"
)</f>
        <v>East Valley</v>
      </c>
      <c r="U405" t="s">
        <v>3298</v>
      </c>
      <c r="V405" t="str">
        <f t="shared" si="27"/>
        <v>Outdoors/Public</v>
      </c>
    </row>
    <row r="406" spans="1:22">
      <c r="A406" t="s">
        <v>2428</v>
      </c>
      <c r="B406" t="s">
        <v>2429</v>
      </c>
      <c r="C406" s="1">
        <v>45465</v>
      </c>
      <c r="D406" s="4">
        <v>109.04</v>
      </c>
      <c r="E406">
        <v>68</v>
      </c>
      <c r="F406" t="str">
        <f t="shared" si="24"/>
        <v>60's</v>
      </c>
      <c r="G406" t="str" cm="1">
        <f t="array" ref="G406">_xlfn.IFS(
  F406="10's", "Child (5–12)",
  OR(F406="20's", F406="30's"), "Young Adult (20–39)",
  OR(F406="40's", F406="50's"), "Adult (40–59)",
  OR(F406="60's", F406="70's", F406="80's", F406="90's"), "Senior (60+)",
  TRUE, "Unknown"
)</f>
        <v>Senior (60+)</v>
      </c>
      <c r="H406" t="s">
        <v>841</v>
      </c>
      <c r="I406" t="s">
        <v>4073</v>
      </c>
      <c r="J406" t="str">
        <f t="shared" si="25"/>
        <v>Methamphetamine-related</v>
      </c>
      <c r="K406" t="s">
        <v>54</v>
      </c>
      <c r="L406" t="s">
        <v>250</v>
      </c>
      <c r="M406" t="s">
        <v>4505</v>
      </c>
      <c r="N406" t="s">
        <v>5100</v>
      </c>
      <c r="O406" t="str" cm="1">
        <f t="array" ref="O406">_xlfn.IFS(
  TEXT(TRIM(N406),"00000")="NULL", "Missing/Unknown",
  OR(TEXT(TRIM(N406),"00000")="89101", TEXT(TRIM(N406),"00000")="89104", TEXT(TRIM(N406),"00000")="89106", TEXT(TRIM(N406),"00000")="89102", TEXT(TRIM(N406),"00000")="89107", TEXT(TRIM(N406),"00000")="89108"), "Urban Core",
  OR(TEXT(TRIM(N406),"00000")="89110", TEXT(TRIM(N406),"00000")="89115", TEXT(TRIM(N406),"00000")="89121", TEXT(TRIM(N406),"00000")="89122", TEXT(TRIM(N406),"00000")="89142", TEXT(TRIM(N406),"00000")="89156"), "East Valley",
  OR(TEXT(TRIM(N406),"00000")="89030", TEXT(TRIM(N406),"00000")="89031", TEXT(TRIM(N406),"00000")="89032", TEXT(TRIM(N406),"00000")="89086", TEXT(TRIM(N406),"00000")="89084", TEXT(TRIM(N406),"00000")="89081"), "North LV",
  OR(TEXT(TRIM(N406),"00000")="89109", TEXT(TRIM(N406),"00000")="89103", TEXT(TRIM(N406),"00000")="89119", TEXT(TRIM(N406),"00000")="89123", TEXT(TRIM(N406),"00000")="89169", TEXT(TRIM(N406),"00000")="89118"), "South/Strip",
  OR(TEXT(TRIM(N406),"00000")="89074", TEXT(TRIM(N406),"00000")="89014", TEXT(TRIM(N406),"00000")="89015", TEXT(TRIM(N406),"00000")="89011", TEXT(TRIM(N406),"00000")="89012"), "Suburban SE",
  OR(TEXT(TRIM(N406),"00000")="89117", TEXT(TRIM(N406),"00000")="89128", TEXT(TRIM(N406),"00000")="89135", TEXT(TRIM(N406),"00000")="89144", TEXT(TRIM(N406),"00000")="89145", TEXT(TRIM(N406),"00000")="89147"), "West Valley",
  TRUE, "Other"
)</f>
        <v>North LV</v>
      </c>
      <c r="P406" t="s">
        <v>4300</v>
      </c>
      <c r="Q406" t="str">
        <f t="shared" si="26"/>
        <v>Home/Residence</v>
      </c>
      <c r="R406" t="s">
        <v>5054</v>
      </c>
      <c r="S406" t="s">
        <v>5097</v>
      </c>
      <c r="T406" t="str" cm="1">
        <f t="array" ref="T406">_xlfn.IFS(
  TEXT(TRIM(S406),"00000")="NULL", "Missing/Unknown",
  OR(TEXT(TRIM(S406),"00000")="89101", TEXT(TRIM(S406),"00000")="89104", TEXT(TRIM(S406),"00000")="89106", TEXT(TRIM(S406),"00000")="89102", TEXT(TRIM(S406),"00000")="89107", TEXT(TRIM(S406),"00000")="89108"), "Urban Core",
  OR(TEXT(TRIM(S406),"00000")="89110", TEXT(TRIM(S406),"00000")="89115", TEXT(TRIM(S406),"00000")="89121", TEXT(TRIM(S406),"00000")="89122", TEXT(TRIM(S406),"00000")="89142", TEXT(TRIM(S406),"00000")="89156"), "East Valley",
  OR(TEXT(TRIM(S406),"00000")="89030", TEXT(TRIM(S406),"00000")="89031", TEXT(TRIM(S406),"00000")="89032", TEXT(TRIM(S406),"00000")="89086", TEXT(TRIM(S406),"00000")="89084", TEXT(TRIM(S406),"00000")="89081"), "North LV",
  OR(TEXT(TRIM(S406),"00000")="89109", TEXT(TRIM(S406),"00000")="89103", TEXT(TRIM(S406),"00000")="89119", TEXT(TRIM(S406),"00000")="89123", TEXT(TRIM(S406),"00000")="89169", TEXT(TRIM(S406),"00000")="89118"), "South/Strip",
  OR(TEXT(TRIM(S406),"00000")="89074", TEXT(TRIM(S406),"00000")="89014", TEXT(TRIM(S406),"00000")="89015", TEXT(TRIM(S406),"00000")="89011", TEXT(TRIM(S406),"00000")="89012"), "Suburban SE",
  OR(TEXT(TRIM(S406),"00000")="89117", TEXT(TRIM(S406),"00000")="89128", TEXT(TRIM(S406),"00000")="89135", TEXT(TRIM(S406),"00000")="89144", TEXT(TRIM(S406),"00000")="89145", TEXT(TRIM(S406),"00000")="89147"), "West Valley",
  TRUE, "Other"
)</f>
        <v>Urban Core</v>
      </c>
      <c r="U406" t="s">
        <v>2433</v>
      </c>
      <c r="V406" t="str">
        <f t="shared" si="27"/>
        <v>Medical Facility</v>
      </c>
    </row>
    <row r="407" spans="1:22">
      <c r="A407" t="s">
        <v>2961</v>
      </c>
      <c r="B407" t="s">
        <v>2962</v>
      </c>
      <c r="C407" s="1">
        <v>45465</v>
      </c>
      <c r="D407" s="4">
        <v>109.04</v>
      </c>
      <c r="E407">
        <v>55</v>
      </c>
      <c r="F407" t="str">
        <f t="shared" si="24"/>
        <v>50's</v>
      </c>
      <c r="G407" t="str" cm="1">
        <f t="array" ref="G407">_xlfn.IFS(
  F407="10's", "Child (5–12)",
  OR(F407="20's", F407="30's"), "Young Adult (20–39)",
  OR(F407="40's", F407="50's"), "Adult (40–59)",
  OR(F407="60's", F407="70's", F407="80's", F407="90's"), "Senior (60+)",
  TRUE, "Unknown"
)</f>
        <v>Adult (40–59)</v>
      </c>
      <c r="H407" t="s">
        <v>778</v>
      </c>
      <c r="I407" t="s">
        <v>54</v>
      </c>
      <c r="J407" t="str">
        <f t="shared" si="25"/>
        <v>Environmental Heat</v>
      </c>
      <c r="K407" t="s">
        <v>98</v>
      </c>
      <c r="L407" t="s">
        <v>250</v>
      </c>
      <c r="M407" t="s">
        <v>4616</v>
      </c>
      <c r="N407" t="s">
        <v>5128</v>
      </c>
      <c r="O407" t="str" cm="1">
        <f t="array" ref="O407">_xlfn.IFS(
  TEXT(TRIM(N407),"00000")="NULL", "Missing/Unknown",
  OR(TEXT(TRIM(N407),"00000")="89101", TEXT(TRIM(N407),"00000")="89104", TEXT(TRIM(N407),"00000")="89106", TEXT(TRIM(N407),"00000")="89102", TEXT(TRIM(N407),"00000")="89107", TEXT(TRIM(N407),"00000")="89108"), "Urban Core",
  OR(TEXT(TRIM(N407),"00000")="89110", TEXT(TRIM(N407),"00000")="89115", TEXT(TRIM(N407),"00000")="89121", TEXT(TRIM(N407),"00000")="89122", TEXT(TRIM(N407),"00000")="89142", TEXT(TRIM(N407),"00000")="89156"), "East Valley",
  OR(TEXT(TRIM(N407),"00000")="89030", TEXT(TRIM(N407),"00000")="89031", TEXT(TRIM(N407),"00000")="89032", TEXT(TRIM(N407),"00000")="89086", TEXT(TRIM(N407),"00000")="89084", TEXT(TRIM(N407),"00000")="89081"), "North LV",
  OR(TEXT(TRIM(N407),"00000")="89109", TEXT(TRIM(N407),"00000")="89103", TEXT(TRIM(N407),"00000")="89119", TEXT(TRIM(N407),"00000")="89123", TEXT(TRIM(N407),"00000")="89169", TEXT(TRIM(N407),"00000")="89118"), "South/Strip",
  OR(TEXT(TRIM(N407),"00000")="89074", TEXT(TRIM(N407),"00000")="89014", TEXT(TRIM(N407),"00000")="89015", TEXT(TRIM(N407),"00000")="89011", TEXT(TRIM(N407),"00000")="89012"), "Suburban SE",
  OR(TEXT(TRIM(N407),"00000")="89117", TEXT(TRIM(N407),"00000")="89128", TEXT(TRIM(N407),"00000")="89135", TEXT(TRIM(N407),"00000")="89144", TEXT(TRIM(N407),"00000")="89145", TEXT(TRIM(N407),"00000")="89147"), "West Valley",
  TRUE, "Other"
)</f>
        <v>East Valley</v>
      </c>
      <c r="P407" t="s">
        <v>271</v>
      </c>
      <c r="Q407" t="str">
        <f t="shared" si="26"/>
        <v>Home/Residence</v>
      </c>
      <c r="R407" t="s">
        <v>4616</v>
      </c>
      <c r="S407" t="s">
        <v>5128</v>
      </c>
      <c r="T407" t="str" cm="1">
        <f t="array" ref="T407">_xlfn.IFS(
  TEXT(TRIM(S407),"00000")="NULL", "Missing/Unknown",
  OR(TEXT(TRIM(S407),"00000")="89101", TEXT(TRIM(S407),"00000")="89104", TEXT(TRIM(S407),"00000")="89106", TEXT(TRIM(S407),"00000")="89102", TEXT(TRIM(S407),"00000")="89107", TEXT(TRIM(S407),"00000")="89108"), "Urban Core",
  OR(TEXT(TRIM(S407),"00000")="89110", TEXT(TRIM(S407),"00000")="89115", TEXT(TRIM(S407),"00000")="89121", TEXT(TRIM(S407),"00000")="89122", TEXT(TRIM(S407),"00000")="89142", TEXT(TRIM(S407),"00000")="89156"), "East Valley",
  OR(TEXT(TRIM(S407),"00000")="89030", TEXT(TRIM(S407),"00000")="89031", TEXT(TRIM(S407),"00000")="89032", TEXT(TRIM(S407),"00000")="89086", TEXT(TRIM(S407),"00000")="89084", TEXT(TRIM(S407),"00000")="89081"), "North LV",
  OR(TEXT(TRIM(S407),"00000")="89109", TEXT(TRIM(S407),"00000")="89103", TEXT(TRIM(S407),"00000")="89119", TEXT(TRIM(S407),"00000")="89123", TEXT(TRIM(S407),"00000")="89169", TEXT(TRIM(S407),"00000")="89118"), "South/Strip",
  OR(TEXT(TRIM(S407),"00000")="89074", TEXT(TRIM(S407),"00000")="89014", TEXT(TRIM(S407),"00000")="89015", TEXT(TRIM(S407),"00000")="89011", TEXT(TRIM(S407),"00000")="89012"), "Suburban SE",
  OR(TEXT(TRIM(S407),"00000")="89117", TEXT(TRIM(S407),"00000")="89128", TEXT(TRIM(S407),"00000")="89135", TEXT(TRIM(S407),"00000")="89144", TEXT(TRIM(S407),"00000")="89145", TEXT(TRIM(S407),"00000")="89147"), "West Valley",
  TRUE, "Other"
)</f>
        <v>East Valley</v>
      </c>
      <c r="U407" t="s">
        <v>271</v>
      </c>
      <c r="V407" t="str">
        <f t="shared" si="27"/>
        <v>Home/Residence</v>
      </c>
    </row>
    <row r="408" spans="1:22">
      <c r="A408" t="s">
        <v>2921</v>
      </c>
      <c r="B408" t="s">
        <v>2922</v>
      </c>
      <c r="C408" s="1">
        <v>45465</v>
      </c>
      <c r="D408" s="4">
        <v>109.04</v>
      </c>
      <c r="E408">
        <v>46</v>
      </c>
      <c r="F408" t="str">
        <f t="shared" si="24"/>
        <v>40's</v>
      </c>
      <c r="G408" t="str" cm="1">
        <f t="array" ref="G408">_xlfn.IFS(
  F408="10's", "Child (5–12)",
  OR(F408="20's", F408="30's"), "Young Adult (20–39)",
  OR(F408="40's", F408="50's"), "Adult (40–59)",
  OR(F408="60's", F408="70's", F408="80's", F408="90's"), "Senior (60+)",
  TRUE, "Unknown"
)</f>
        <v>Adult (40–59)</v>
      </c>
      <c r="H408" t="s">
        <v>778</v>
      </c>
      <c r="I408" t="s">
        <v>4074</v>
      </c>
      <c r="J408" t="str">
        <f t="shared" si="25"/>
        <v>Environmental Heat</v>
      </c>
      <c r="K408" t="s">
        <v>172</v>
      </c>
      <c r="L408" t="s">
        <v>250</v>
      </c>
      <c r="M408" t="s">
        <v>4998</v>
      </c>
      <c r="N408" t="s">
        <v>5101</v>
      </c>
      <c r="O408" t="str" cm="1">
        <f t="array" ref="O408">_xlfn.IFS(
  TEXT(TRIM(N408),"00000")="NULL", "Missing/Unknown",
  OR(TEXT(TRIM(N408),"00000")="89101", TEXT(TRIM(N408),"00000")="89104", TEXT(TRIM(N408),"00000")="89106", TEXT(TRIM(N408),"00000")="89102", TEXT(TRIM(N408),"00000")="89107", TEXT(TRIM(N408),"00000")="89108"), "Urban Core",
  OR(TEXT(TRIM(N408),"00000")="89110", TEXT(TRIM(N408),"00000")="89115", TEXT(TRIM(N408),"00000")="89121", TEXT(TRIM(N408),"00000")="89122", TEXT(TRIM(N408),"00000")="89142", TEXT(TRIM(N408),"00000")="89156"), "East Valley",
  OR(TEXT(TRIM(N408),"00000")="89030", TEXT(TRIM(N408),"00000")="89031", TEXT(TRIM(N408),"00000")="89032", TEXT(TRIM(N408),"00000")="89086", TEXT(TRIM(N408),"00000")="89084", TEXT(TRIM(N408),"00000")="89081"), "North LV",
  OR(TEXT(TRIM(N408),"00000")="89109", TEXT(TRIM(N408),"00000")="89103", TEXT(TRIM(N408),"00000")="89119", TEXT(TRIM(N408),"00000")="89123", TEXT(TRIM(N408),"00000")="89169", TEXT(TRIM(N408),"00000")="89118"), "South/Strip",
  OR(TEXT(TRIM(N408),"00000")="89074", TEXT(TRIM(N408),"00000")="89014", TEXT(TRIM(N408),"00000")="89015", TEXT(TRIM(N408),"00000")="89011", TEXT(TRIM(N408),"00000")="89012"), "Suburban SE",
  OR(TEXT(TRIM(N408),"00000")="89117", TEXT(TRIM(N408),"00000")="89128", TEXT(TRIM(N408),"00000")="89135", TEXT(TRIM(N408),"00000")="89144", TEXT(TRIM(N408),"00000")="89145", TEXT(TRIM(N408),"00000")="89147"), "West Valley",
  TRUE, "Other"
)</f>
        <v>Urban Core</v>
      </c>
      <c r="P408" t="s">
        <v>24</v>
      </c>
      <c r="Q408" t="str">
        <f t="shared" si="26"/>
        <v>Outdoors/Public</v>
      </c>
      <c r="R408" t="s">
        <v>5054</v>
      </c>
      <c r="S408" t="s">
        <v>5097</v>
      </c>
      <c r="T408" t="str" cm="1">
        <f t="array" ref="T408">_xlfn.IFS(
  TEXT(TRIM(S408),"00000")="NULL", "Missing/Unknown",
  OR(TEXT(TRIM(S408),"00000")="89101", TEXT(TRIM(S408),"00000")="89104", TEXT(TRIM(S408),"00000")="89106", TEXT(TRIM(S408),"00000")="89102", TEXT(TRIM(S408),"00000")="89107", TEXT(TRIM(S408),"00000")="89108"), "Urban Core",
  OR(TEXT(TRIM(S408),"00000")="89110", TEXT(TRIM(S408),"00000")="89115", TEXT(TRIM(S408),"00000")="89121", TEXT(TRIM(S408),"00000")="89122", TEXT(TRIM(S408),"00000")="89142", TEXT(TRIM(S408),"00000")="89156"), "East Valley",
  OR(TEXT(TRIM(S408),"00000")="89030", TEXT(TRIM(S408),"00000")="89031", TEXT(TRIM(S408),"00000")="89032", TEXT(TRIM(S408),"00000")="89086", TEXT(TRIM(S408),"00000")="89084", TEXT(TRIM(S408),"00000")="89081"), "North LV",
  OR(TEXT(TRIM(S408),"00000")="89109", TEXT(TRIM(S408),"00000")="89103", TEXT(TRIM(S408),"00000")="89119", TEXT(TRIM(S408),"00000")="89123", TEXT(TRIM(S408),"00000")="89169", TEXT(TRIM(S408),"00000")="89118"), "South/Strip",
  OR(TEXT(TRIM(S408),"00000")="89074", TEXT(TRIM(S408),"00000")="89014", TEXT(TRIM(S408),"00000")="89015", TEXT(TRIM(S408),"00000")="89011", TEXT(TRIM(S408),"00000")="89012"), "Suburban SE",
  OR(TEXT(TRIM(S408),"00000")="89117", TEXT(TRIM(S408),"00000")="89128", TEXT(TRIM(S408),"00000")="89135", TEXT(TRIM(S408),"00000")="89144", TEXT(TRIM(S408),"00000")="89145", TEXT(TRIM(S408),"00000")="89147"), "West Valley",
  TRUE, "Other"
)</f>
        <v>Urban Core</v>
      </c>
      <c r="U408" t="s">
        <v>24</v>
      </c>
      <c r="V408" t="str">
        <f t="shared" si="27"/>
        <v>Outdoors/Public</v>
      </c>
    </row>
    <row r="409" spans="1:22">
      <c r="A409" t="s">
        <v>3690</v>
      </c>
      <c r="B409" t="s">
        <v>3691</v>
      </c>
      <c r="C409" s="1">
        <v>45464</v>
      </c>
      <c r="D409" s="4">
        <v>107.06</v>
      </c>
      <c r="E409">
        <v>71</v>
      </c>
      <c r="F409" t="str">
        <f t="shared" si="24"/>
        <v>70's</v>
      </c>
      <c r="G409" t="str" cm="1">
        <f t="array" ref="G409">_xlfn.IFS(
  F409="10's", "Child (5–12)",
  OR(F409="20's", F409="30's"), "Young Adult (20–39)",
  OR(F409="40's", F409="50's"), "Adult (40–59)",
  OR(F409="60's", F409="70's", F409="80's", F409="90's"), "Senior (60+)",
  TRUE, "Unknown"
)</f>
        <v>Senior (60+)</v>
      </c>
      <c r="H409" t="s">
        <v>841</v>
      </c>
      <c r="I409" t="s">
        <v>135</v>
      </c>
      <c r="J409" t="str">
        <f t="shared" si="25"/>
        <v>Methamphetamine-related</v>
      </c>
      <c r="K409" t="s">
        <v>35</v>
      </c>
      <c r="L409" t="s">
        <v>250</v>
      </c>
      <c r="M409" t="s">
        <v>4707</v>
      </c>
      <c r="N409" t="s">
        <v>5101</v>
      </c>
      <c r="O409" t="str" cm="1">
        <f t="array" ref="O409">_xlfn.IFS(
  TEXT(TRIM(N409),"00000")="NULL", "Missing/Unknown",
  OR(TEXT(TRIM(N409),"00000")="89101", TEXT(TRIM(N409),"00000")="89104", TEXT(TRIM(N409),"00000")="89106", TEXT(TRIM(N409),"00000")="89102", TEXT(TRIM(N409),"00000")="89107", TEXT(TRIM(N409),"00000")="89108"), "Urban Core",
  OR(TEXT(TRIM(N409),"00000")="89110", TEXT(TRIM(N409),"00000")="89115", TEXT(TRIM(N409),"00000")="89121", TEXT(TRIM(N409),"00000")="89122", TEXT(TRIM(N409),"00000")="89142", TEXT(TRIM(N409),"00000")="89156"), "East Valley",
  OR(TEXT(TRIM(N409),"00000")="89030", TEXT(TRIM(N409),"00000")="89031", TEXT(TRIM(N409),"00000")="89032", TEXT(TRIM(N409),"00000")="89086", TEXT(TRIM(N409),"00000")="89084", TEXT(TRIM(N409),"00000")="89081"), "North LV",
  OR(TEXT(TRIM(N409),"00000")="89109", TEXT(TRIM(N409),"00000")="89103", TEXT(TRIM(N409),"00000")="89119", TEXT(TRIM(N409),"00000")="89123", TEXT(TRIM(N409),"00000")="89169", TEXT(TRIM(N409),"00000")="89118"), "South/Strip",
  OR(TEXT(TRIM(N409),"00000")="89074", TEXT(TRIM(N409),"00000")="89014", TEXT(TRIM(N409),"00000")="89015", TEXT(TRIM(N409),"00000")="89011", TEXT(TRIM(N409),"00000")="89012"), "Suburban SE",
  OR(TEXT(TRIM(N409),"00000")="89117", TEXT(TRIM(N409),"00000")="89128", TEXT(TRIM(N409),"00000")="89135", TEXT(TRIM(N409),"00000")="89144", TEXT(TRIM(N409),"00000")="89145", TEXT(TRIM(N409),"00000")="89147"), "West Valley",
  TRUE, "Other"
)</f>
        <v>Urban Core</v>
      </c>
      <c r="P409" t="s">
        <v>3298</v>
      </c>
      <c r="Q409" t="str">
        <f t="shared" si="26"/>
        <v>Outdoors/Public</v>
      </c>
      <c r="R409" t="s">
        <v>4707</v>
      </c>
      <c r="S409" t="s">
        <v>5101</v>
      </c>
      <c r="T409" t="str" cm="1">
        <f t="array" ref="T409">_xlfn.IFS(
  TEXT(TRIM(S409),"00000")="NULL", "Missing/Unknown",
  OR(TEXT(TRIM(S409),"00000")="89101", TEXT(TRIM(S409),"00000")="89104", TEXT(TRIM(S409),"00000")="89106", TEXT(TRIM(S409),"00000")="89102", TEXT(TRIM(S409),"00000")="89107", TEXT(TRIM(S409),"00000")="89108"), "Urban Core",
  OR(TEXT(TRIM(S409),"00000")="89110", TEXT(TRIM(S409),"00000")="89115", TEXT(TRIM(S409),"00000")="89121", TEXT(TRIM(S409),"00000")="89122", TEXT(TRIM(S409),"00000")="89142", TEXT(TRIM(S409),"00000")="89156"), "East Valley",
  OR(TEXT(TRIM(S409),"00000")="89030", TEXT(TRIM(S409),"00000")="89031", TEXT(TRIM(S409),"00000")="89032", TEXT(TRIM(S409),"00000")="89086", TEXT(TRIM(S409),"00000")="89084", TEXT(TRIM(S409),"00000")="89081"), "North LV",
  OR(TEXT(TRIM(S409),"00000")="89109", TEXT(TRIM(S409),"00000")="89103", TEXT(TRIM(S409),"00000")="89119", TEXT(TRIM(S409),"00000")="89123", TEXT(TRIM(S409),"00000")="89169", TEXT(TRIM(S409),"00000")="89118"), "South/Strip",
  OR(TEXT(TRIM(S409),"00000")="89074", TEXT(TRIM(S409),"00000")="89014", TEXT(TRIM(S409),"00000")="89015", TEXT(TRIM(S409),"00000")="89011", TEXT(TRIM(S409),"00000")="89012"), "Suburban SE",
  OR(TEXT(TRIM(S409),"00000")="89117", TEXT(TRIM(S409),"00000")="89128", TEXT(TRIM(S409),"00000")="89135", TEXT(TRIM(S409),"00000")="89144", TEXT(TRIM(S409),"00000")="89145", TEXT(TRIM(S409),"00000")="89147"), "West Valley",
  TRUE, "Other"
)</f>
        <v>Urban Core</v>
      </c>
      <c r="U409" t="s">
        <v>3298</v>
      </c>
      <c r="V409" t="str">
        <f t="shared" si="27"/>
        <v>Outdoors/Public</v>
      </c>
    </row>
    <row r="410" spans="1:22">
      <c r="A410" t="s">
        <v>3688</v>
      </c>
      <c r="B410" t="s">
        <v>3689</v>
      </c>
      <c r="C410" s="1">
        <v>45464</v>
      </c>
      <c r="D410" s="4">
        <v>107.06</v>
      </c>
      <c r="E410">
        <v>64</v>
      </c>
      <c r="F410" t="str">
        <f t="shared" si="24"/>
        <v>60's</v>
      </c>
      <c r="G410" t="str" cm="1">
        <f t="array" ref="G410">_xlfn.IFS(
  F410="10's", "Child (5–12)",
  OR(F410="20's", F410="30's"), "Young Adult (20–39)",
  OR(F410="40's", F410="50's"), "Adult (40–59)",
  OR(F410="60's", F410="70's", F410="80's", F410="90's"), "Senior (60+)",
  TRUE, "Unknown"
)</f>
        <v>Senior (60+)</v>
      </c>
      <c r="H410" t="s">
        <v>841</v>
      </c>
      <c r="I410" t="s">
        <v>135</v>
      </c>
      <c r="J410" t="str">
        <f t="shared" si="25"/>
        <v>Methamphetamine-related</v>
      </c>
      <c r="K410" t="s">
        <v>35</v>
      </c>
      <c r="L410" t="s">
        <v>250</v>
      </c>
      <c r="N410" t="s">
        <v>5095</v>
      </c>
      <c r="O410" t="str" cm="1">
        <f t="array" ref="O410">_xlfn.IFS(
  TEXT(TRIM(N410),"00000")="NULL", "Missing/Unknown",
  OR(TEXT(TRIM(N410),"00000")="89101", TEXT(TRIM(N410),"00000")="89104", TEXT(TRIM(N410),"00000")="89106", TEXT(TRIM(N410),"00000")="89102", TEXT(TRIM(N410),"00000")="89107", TEXT(TRIM(N410),"00000")="89108"), "Urban Core",
  OR(TEXT(TRIM(N410),"00000")="89110", TEXT(TRIM(N410),"00000")="89115", TEXT(TRIM(N410),"00000")="89121", TEXT(TRIM(N410),"00000")="89122", TEXT(TRIM(N410),"00000")="89142", TEXT(TRIM(N410),"00000")="89156"), "East Valley",
  OR(TEXT(TRIM(N410),"00000")="89030", TEXT(TRIM(N410),"00000")="89031", TEXT(TRIM(N410),"00000")="89032", TEXT(TRIM(N410),"00000")="89086", TEXT(TRIM(N410),"00000")="89084", TEXT(TRIM(N410),"00000")="89081"), "North LV",
  OR(TEXT(TRIM(N410),"00000")="89109", TEXT(TRIM(N410),"00000")="89103", TEXT(TRIM(N410),"00000")="89119", TEXT(TRIM(N410),"00000")="89123", TEXT(TRIM(N410),"00000")="89169", TEXT(TRIM(N410),"00000")="89118"), "South/Strip",
  OR(TEXT(TRIM(N410),"00000")="89074", TEXT(TRIM(N410),"00000")="89014", TEXT(TRIM(N410),"00000")="89015", TEXT(TRIM(N410),"00000")="89011", TEXT(TRIM(N410),"00000")="89012"), "Suburban SE",
  OR(TEXT(TRIM(N410),"00000")="89117", TEXT(TRIM(N410),"00000")="89128", TEXT(TRIM(N410),"00000")="89135", TEXT(TRIM(N410),"00000")="89144", TEXT(TRIM(N410),"00000")="89145", TEXT(TRIM(N410),"00000")="89147"), "West Valley",
  TRUE, "Other"
)</f>
        <v>Missing/Unknown</v>
      </c>
      <c r="P410" t="s">
        <v>38</v>
      </c>
      <c r="Q410" t="str">
        <f t="shared" si="26"/>
        <v>Home/Residence</v>
      </c>
      <c r="R410" t="s">
        <v>4713</v>
      </c>
      <c r="S410" t="s">
        <v>5125</v>
      </c>
      <c r="T410" t="str" cm="1">
        <f t="array" ref="T410">_xlfn.IFS(
  TEXT(TRIM(S410),"00000")="NULL", "Missing/Unknown",
  OR(TEXT(TRIM(S410),"00000")="89101", TEXT(TRIM(S410),"00000")="89104", TEXT(TRIM(S410),"00000")="89106", TEXT(TRIM(S410),"00000")="89102", TEXT(TRIM(S410),"00000")="89107", TEXT(TRIM(S410),"00000")="89108"), "Urban Core",
  OR(TEXT(TRIM(S410),"00000")="89110", TEXT(TRIM(S410),"00000")="89115", TEXT(TRIM(S410),"00000")="89121", TEXT(TRIM(S410),"00000")="89122", TEXT(TRIM(S410),"00000")="89142", TEXT(TRIM(S410),"00000")="89156"), "East Valley",
  OR(TEXT(TRIM(S410),"00000")="89030", TEXT(TRIM(S410),"00000")="89031", TEXT(TRIM(S410),"00000")="89032", TEXT(TRIM(S410),"00000")="89086", TEXT(TRIM(S410),"00000")="89084", TEXT(TRIM(S410),"00000")="89081"), "North LV",
  OR(TEXT(TRIM(S410),"00000")="89109", TEXT(TRIM(S410),"00000")="89103", TEXT(TRIM(S410),"00000")="89119", TEXT(TRIM(S410),"00000")="89123", TEXT(TRIM(S410),"00000")="89169", TEXT(TRIM(S410),"00000")="89118"), "South/Strip",
  OR(TEXT(TRIM(S410),"00000")="89074", TEXT(TRIM(S410),"00000")="89014", TEXT(TRIM(S410),"00000")="89015", TEXT(TRIM(S410),"00000")="89011", TEXT(TRIM(S410),"00000")="89012"), "Suburban SE",
  OR(TEXT(TRIM(S410),"00000")="89117", TEXT(TRIM(S410),"00000")="89128", TEXT(TRIM(S410),"00000")="89135", TEXT(TRIM(S410),"00000")="89144", TEXT(TRIM(S410),"00000")="89145", TEXT(TRIM(S410),"00000")="89147"), "West Valley",
  TRUE, "Other"
)</f>
        <v>South/Strip</v>
      </c>
      <c r="U410" t="s">
        <v>2413</v>
      </c>
      <c r="V410" t="str">
        <f t="shared" si="27"/>
        <v>Medical Facility</v>
      </c>
    </row>
    <row r="411" spans="1:22">
      <c r="A411" t="s">
        <v>3776</v>
      </c>
      <c r="B411" t="s">
        <v>3777</v>
      </c>
      <c r="C411" s="1">
        <v>45464</v>
      </c>
      <c r="D411" s="4">
        <v>107.06</v>
      </c>
      <c r="E411">
        <v>43</v>
      </c>
      <c r="F411" t="str">
        <f t="shared" si="24"/>
        <v>40's</v>
      </c>
      <c r="G411" t="str" cm="1">
        <f t="array" ref="G411">_xlfn.IFS(
  F411="10's", "Child (5–12)",
  OR(F411="20's", F411="30's"), "Young Adult (20–39)",
  OR(F411="40's", F411="50's"), "Adult (40–59)",
  OR(F411="60's", F411="70's", F411="80's", F411="90's"), "Senior (60+)",
  TRUE, "Unknown"
)</f>
        <v>Adult (40–59)</v>
      </c>
      <c r="H411" t="s">
        <v>27</v>
      </c>
      <c r="I411" t="s">
        <v>172</v>
      </c>
      <c r="J411" t="str">
        <f t="shared" si="25"/>
        <v>Methamphetamine-related</v>
      </c>
      <c r="K411" t="s">
        <v>35</v>
      </c>
      <c r="L411" t="s">
        <v>250</v>
      </c>
      <c r="N411" t="s">
        <v>5095</v>
      </c>
      <c r="O411" t="str" cm="1">
        <f t="array" ref="O411">_xlfn.IFS(
  TEXT(TRIM(N411),"00000")="NULL", "Missing/Unknown",
  OR(TEXT(TRIM(N411),"00000")="89101", TEXT(TRIM(N411),"00000")="89104", TEXT(TRIM(N411),"00000")="89106", TEXT(TRIM(N411),"00000")="89102", TEXT(TRIM(N411),"00000")="89107", TEXT(TRIM(N411),"00000")="89108"), "Urban Core",
  OR(TEXT(TRIM(N411),"00000")="89110", TEXT(TRIM(N411),"00000")="89115", TEXT(TRIM(N411),"00000")="89121", TEXT(TRIM(N411),"00000")="89122", TEXT(TRIM(N411),"00000")="89142", TEXT(TRIM(N411),"00000")="89156"), "East Valley",
  OR(TEXT(TRIM(N411),"00000")="89030", TEXT(TRIM(N411),"00000")="89031", TEXT(TRIM(N411),"00000")="89032", TEXT(TRIM(N411),"00000")="89086", TEXT(TRIM(N411),"00000")="89084", TEXT(TRIM(N411),"00000")="89081"), "North LV",
  OR(TEXT(TRIM(N411),"00000")="89109", TEXT(TRIM(N411),"00000")="89103", TEXT(TRIM(N411),"00000")="89119", TEXT(TRIM(N411),"00000")="89123", TEXT(TRIM(N411),"00000")="89169", TEXT(TRIM(N411),"00000")="89118"), "South/Strip",
  OR(TEXT(TRIM(N411),"00000")="89074", TEXT(TRIM(N411),"00000")="89014", TEXT(TRIM(N411),"00000")="89015", TEXT(TRIM(N411),"00000")="89011", TEXT(TRIM(N411),"00000")="89012"), "Suburban SE",
  OR(TEXT(TRIM(N411),"00000")="89117", TEXT(TRIM(N411),"00000")="89128", TEXT(TRIM(N411),"00000")="89135", TEXT(TRIM(N411),"00000")="89144", TEXT(TRIM(N411),"00000")="89145", TEXT(TRIM(N411),"00000")="89147"), "West Valley",
  TRUE, "Other"
)</f>
        <v>Missing/Unknown</v>
      </c>
      <c r="P411" t="s">
        <v>38</v>
      </c>
      <c r="Q411" t="str">
        <f t="shared" si="26"/>
        <v>Home/Residence</v>
      </c>
      <c r="S411" t="s">
        <v>5095</v>
      </c>
      <c r="T411" t="str" cm="1">
        <f t="array" ref="T411">_xlfn.IFS(
  TEXT(TRIM(S411),"00000")="NULL", "Missing/Unknown",
  OR(TEXT(TRIM(S411),"00000")="89101", TEXT(TRIM(S411),"00000")="89104", TEXT(TRIM(S411),"00000")="89106", TEXT(TRIM(S411),"00000")="89102", TEXT(TRIM(S411),"00000")="89107", TEXT(TRIM(S411),"00000")="89108"), "Urban Core",
  OR(TEXT(TRIM(S411),"00000")="89110", TEXT(TRIM(S411),"00000")="89115", TEXT(TRIM(S411),"00000")="89121", TEXT(TRIM(S411),"00000")="89122", TEXT(TRIM(S411),"00000")="89142", TEXT(TRIM(S411),"00000")="89156"), "East Valley",
  OR(TEXT(TRIM(S411),"00000")="89030", TEXT(TRIM(S411),"00000")="89031", TEXT(TRIM(S411),"00000")="89032", TEXT(TRIM(S411),"00000")="89086", TEXT(TRIM(S411),"00000")="89084", TEXT(TRIM(S411),"00000")="89081"), "North LV",
  OR(TEXT(TRIM(S411),"00000")="89109", TEXT(TRIM(S411),"00000")="89103", TEXT(TRIM(S411),"00000")="89119", TEXT(TRIM(S411),"00000")="89123", TEXT(TRIM(S411),"00000")="89169", TEXT(TRIM(S411),"00000")="89118"), "South/Strip",
  OR(TEXT(TRIM(S411),"00000")="89074", TEXT(TRIM(S411),"00000")="89014", TEXT(TRIM(S411),"00000")="89015", TEXT(TRIM(S411),"00000")="89011", TEXT(TRIM(S411),"00000")="89012"), "Suburban SE",
  OR(TEXT(TRIM(S411),"00000")="89117", TEXT(TRIM(S411),"00000")="89128", TEXT(TRIM(S411),"00000")="89135", TEXT(TRIM(S411),"00000")="89144", TEXT(TRIM(S411),"00000")="89145", TEXT(TRIM(S411),"00000")="89147"), "West Valley",
  TRUE, "Other"
)</f>
        <v>Missing/Unknown</v>
      </c>
      <c r="U411" t="s">
        <v>38</v>
      </c>
      <c r="V411" t="str">
        <f t="shared" si="27"/>
        <v>Home/Residence</v>
      </c>
    </row>
    <row r="412" spans="1:22">
      <c r="A412" t="s">
        <v>3566</v>
      </c>
      <c r="B412" t="s">
        <v>3567</v>
      </c>
      <c r="C412" s="1">
        <v>45461</v>
      </c>
      <c r="D412" s="4">
        <v>89.960000000000008</v>
      </c>
      <c r="E412">
        <v>64</v>
      </c>
      <c r="F412" t="str">
        <f t="shared" si="24"/>
        <v>60's</v>
      </c>
      <c r="G412" t="str" cm="1">
        <f t="array" ref="G412">_xlfn.IFS(
  F412="10's", "Child (5–12)",
  OR(F412="20's", F412="30's"), "Young Adult (20–39)",
  OR(F412="40's", F412="50's"), "Adult (40–59)",
  OR(F412="60's", F412="70's", F412="80's", F412="90's"), "Senior (60+)",
  TRUE, "Unknown"
)</f>
        <v>Senior (60+)</v>
      </c>
      <c r="H412" t="s">
        <v>841</v>
      </c>
      <c r="I412" t="s">
        <v>97</v>
      </c>
      <c r="J412" t="str">
        <f t="shared" si="25"/>
        <v>Environmental Heat</v>
      </c>
      <c r="K412" t="s">
        <v>3568</v>
      </c>
      <c r="L412" t="s">
        <v>250</v>
      </c>
      <c r="M412" t="s">
        <v>4343</v>
      </c>
      <c r="N412" t="s">
        <v>5100</v>
      </c>
      <c r="O412" t="str" cm="1">
        <f t="array" ref="O412">_xlfn.IFS(
  TEXT(TRIM(N412),"00000")="NULL", "Missing/Unknown",
  OR(TEXT(TRIM(N412),"00000")="89101", TEXT(TRIM(N412),"00000")="89104", TEXT(TRIM(N412),"00000")="89106", TEXT(TRIM(N412),"00000")="89102", TEXT(TRIM(N412),"00000")="89107", TEXT(TRIM(N412),"00000")="89108"), "Urban Core",
  OR(TEXT(TRIM(N412),"00000")="89110", TEXT(TRIM(N412),"00000")="89115", TEXT(TRIM(N412),"00000")="89121", TEXT(TRIM(N412),"00000")="89122", TEXT(TRIM(N412),"00000")="89142", TEXT(TRIM(N412),"00000")="89156"), "East Valley",
  OR(TEXT(TRIM(N412),"00000")="89030", TEXT(TRIM(N412),"00000")="89031", TEXT(TRIM(N412),"00000")="89032", TEXT(TRIM(N412),"00000")="89086", TEXT(TRIM(N412),"00000")="89084", TEXT(TRIM(N412),"00000")="89081"), "North LV",
  OR(TEXT(TRIM(N412),"00000")="89109", TEXT(TRIM(N412),"00000")="89103", TEXT(TRIM(N412),"00000")="89119", TEXT(TRIM(N412),"00000")="89123", TEXT(TRIM(N412),"00000")="89169", TEXT(TRIM(N412),"00000")="89118"), "South/Strip",
  OR(TEXT(TRIM(N412),"00000")="89074", TEXT(TRIM(N412),"00000")="89014", TEXT(TRIM(N412),"00000")="89015", TEXT(TRIM(N412),"00000")="89011", TEXT(TRIM(N412),"00000")="89012"), "Suburban SE",
  OR(TEXT(TRIM(N412),"00000")="89117", TEXT(TRIM(N412),"00000")="89128", TEXT(TRIM(N412),"00000")="89135", TEXT(TRIM(N412),"00000")="89144", TEXT(TRIM(N412),"00000")="89145", TEXT(TRIM(N412),"00000")="89147"), "West Valley",
  TRUE, "Other"
)</f>
        <v>North LV</v>
      </c>
      <c r="P412" t="s">
        <v>38</v>
      </c>
      <c r="Q412" t="str">
        <f t="shared" si="26"/>
        <v>Home/Residence</v>
      </c>
      <c r="R412" t="s">
        <v>4341</v>
      </c>
      <c r="S412" t="s">
        <v>5100</v>
      </c>
      <c r="T412" t="str" cm="1">
        <f t="array" ref="T412">_xlfn.IFS(
  TEXT(TRIM(S412),"00000")="NULL", "Missing/Unknown",
  OR(TEXT(TRIM(S412),"00000")="89101", TEXT(TRIM(S412),"00000")="89104", TEXT(TRIM(S412),"00000")="89106", TEXT(TRIM(S412),"00000")="89102", TEXT(TRIM(S412),"00000")="89107", TEXT(TRIM(S412),"00000")="89108"), "Urban Core",
  OR(TEXT(TRIM(S412),"00000")="89110", TEXT(TRIM(S412),"00000")="89115", TEXT(TRIM(S412),"00000")="89121", TEXT(TRIM(S412),"00000")="89122", TEXT(TRIM(S412),"00000")="89142", TEXT(TRIM(S412),"00000")="89156"), "East Valley",
  OR(TEXT(TRIM(S412),"00000")="89030", TEXT(TRIM(S412),"00000")="89031", TEXT(TRIM(S412),"00000")="89032", TEXT(TRIM(S412),"00000")="89086", TEXT(TRIM(S412),"00000")="89084", TEXT(TRIM(S412),"00000")="89081"), "North LV",
  OR(TEXT(TRIM(S412),"00000")="89109", TEXT(TRIM(S412),"00000")="89103", TEXT(TRIM(S412),"00000")="89119", TEXT(TRIM(S412),"00000")="89123", TEXT(TRIM(S412),"00000")="89169", TEXT(TRIM(S412),"00000")="89118"), "South/Strip",
  OR(TEXT(TRIM(S412),"00000")="89074", TEXT(TRIM(S412),"00000")="89014", TEXT(TRIM(S412),"00000")="89015", TEXT(TRIM(S412),"00000")="89011", TEXT(TRIM(S412),"00000")="89012"), "Suburban SE",
  OR(TEXT(TRIM(S412),"00000")="89117", TEXT(TRIM(S412),"00000")="89128", TEXT(TRIM(S412),"00000")="89135", TEXT(TRIM(S412),"00000")="89144", TEXT(TRIM(S412),"00000")="89145", TEXT(TRIM(S412),"00000")="89147"), "West Valley",
  TRUE, "Other"
)</f>
        <v>North LV</v>
      </c>
      <c r="U412" t="s">
        <v>4298</v>
      </c>
      <c r="V412" t="str">
        <f t="shared" si="27"/>
        <v>Other / Unknown</v>
      </c>
    </row>
    <row r="413" spans="1:22">
      <c r="A413" t="s">
        <v>2957</v>
      </c>
      <c r="B413" t="s">
        <v>2958</v>
      </c>
      <c r="C413" s="1">
        <v>45461</v>
      </c>
      <c r="D413" s="4">
        <v>89.960000000000008</v>
      </c>
      <c r="E413">
        <v>86</v>
      </c>
      <c r="F413" t="str">
        <f t="shared" si="24"/>
        <v>80's</v>
      </c>
      <c r="G413" t="str" cm="1">
        <f t="array" ref="G413">_xlfn.IFS(
  F413="10's", "Child (5–12)",
  OR(F413="20's", F413="30's"), "Young Adult (20–39)",
  OR(F413="40's", F413="50's"), "Adult (40–59)",
  OR(F413="60's", F413="70's", F413="80's", F413="90's"), "Senior (60+)",
  TRUE, "Unknown"
)</f>
        <v>Senior (60+)</v>
      </c>
      <c r="H413" t="s">
        <v>841</v>
      </c>
      <c r="I413" t="s">
        <v>54</v>
      </c>
      <c r="J413" t="str">
        <f t="shared" si="25"/>
        <v>Environmental Heat</v>
      </c>
      <c r="K413" t="s">
        <v>2959</v>
      </c>
      <c r="L413" t="s">
        <v>1071</v>
      </c>
      <c r="M413" t="s">
        <v>5037</v>
      </c>
      <c r="N413" t="s">
        <v>5123</v>
      </c>
      <c r="O413" t="str" cm="1">
        <f t="array" ref="O413">_xlfn.IFS(
  TEXT(TRIM(N413),"00000")="NULL", "Missing/Unknown",
  OR(TEXT(TRIM(N413),"00000")="89101", TEXT(TRIM(N413),"00000")="89104", TEXT(TRIM(N413),"00000")="89106", TEXT(TRIM(N413),"00000")="89102", TEXT(TRIM(N413),"00000")="89107", TEXT(TRIM(N413),"00000")="89108"), "Urban Core",
  OR(TEXT(TRIM(N413),"00000")="89110", TEXT(TRIM(N413),"00000")="89115", TEXT(TRIM(N413),"00000")="89121", TEXT(TRIM(N413),"00000")="89122", TEXT(TRIM(N413),"00000")="89142", TEXT(TRIM(N413),"00000")="89156"), "East Valley",
  OR(TEXT(TRIM(N413),"00000")="89030", TEXT(TRIM(N413),"00000")="89031", TEXT(TRIM(N413),"00000")="89032", TEXT(TRIM(N413),"00000")="89086", TEXT(TRIM(N413),"00000")="89084", TEXT(TRIM(N413),"00000")="89081"), "North LV",
  OR(TEXT(TRIM(N413),"00000")="89109", TEXT(TRIM(N413),"00000")="89103", TEXT(TRIM(N413),"00000")="89119", TEXT(TRIM(N413),"00000")="89123", TEXT(TRIM(N413),"00000")="89169", TEXT(TRIM(N413),"00000")="89118"), "South/Strip",
  OR(TEXT(TRIM(N413),"00000")="89074", TEXT(TRIM(N413),"00000")="89014", TEXT(TRIM(N413),"00000")="89015", TEXT(TRIM(N413),"00000")="89011", TEXT(TRIM(N413),"00000")="89012"), "Suburban SE",
  OR(TEXT(TRIM(N413),"00000")="89117", TEXT(TRIM(N413),"00000")="89128", TEXT(TRIM(N413),"00000")="89135", TEXT(TRIM(N413),"00000")="89144", TEXT(TRIM(N413),"00000")="89145", TEXT(TRIM(N413),"00000")="89147"), "West Valley",
  TRUE, "Other"
)</f>
        <v>South/Strip</v>
      </c>
      <c r="P413" t="s">
        <v>38</v>
      </c>
      <c r="Q413" t="str">
        <f t="shared" si="26"/>
        <v>Home/Residence</v>
      </c>
      <c r="R413" t="s">
        <v>5037</v>
      </c>
      <c r="S413" t="s">
        <v>5123</v>
      </c>
      <c r="T413" t="str" cm="1">
        <f t="array" ref="T413">_xlfn.IFS(
  TEXT(TRIM(S413),"00000")="NULL", "Missing/Unknown",
  OR(TEXT(TRIM(S413),"00000")="89101", TEXT(TRIM(S413),"00000")="89104", TEXT(TRIM(S413),"00000")="89106", TEXT(TRIM(S413),"00000")="89102", TEXT(TRIM(S413),"00000")="89107", TEXT(TRIM(S413),"00000")="89108"), "Urban Core",
  OR(TEXT(TRIM(S413),"00000")="89110", TEXT(TRIM(S413),"00000")="89115", TEXT(TRIM(S413),"00000")="89121", TEXT(TRIM(S413),"00000")="89122", TEXT(TRIM(S413),"00000")="89142", TEXT(TRIM(S413),"00000")="89156"), "East Valley",
  OR(TEXT(TRIM(S413),"00000")="89030", TEXT(TRIM(S413),"00000")="89031", TEXT(TRIM(S413),"00000")="89032", TEXT(TRIM(S413),"00000")="89086", TEXT(TRIM(S413),"00000")="89084", TEXT(TRIM(S413),"00000")="89081"), "North LV",
  OR(TEXT(TRIM(S413),"00000")="89109", TEXT(TRIM(S413),"00000")="89103", TEXT(TRIM(S413),"00000")="89119", TEXT(TRIM(S413),"00000")="89123", TEXT(TRIM(S413),"00000")="89169", TEXT(TRIM(S413),"00000")="89118"), "South/Strip",
  OR(TEXT(TRIM(S413),"00000")="89074", TEXT(TRIM(S413),"00000")="89014", TEXT(TRIM(S413),"00000")="89015", TEXT(TRIM(S413),"00000")="89011", TEXT(TRIM(S413),"00000")="89012"), "Suburban SE",
  OR(TEXT(TRIM(S413),"00000")="89117", TEXT(TRIM(S413),"00000")="89128", TEXT(TRIM(S413),"00000")="89135", TEXT(TRIM(S413),"00000")="89144", TEXT(TRIM(S413),"00000")="89145", TEXT(TRIM(S413),"00000")="89147"), "West Valley",
  TRUE, "Other"
)</f>
        <v>South/Strip</v>
      </c>
      <c r="U413" t="s">
        <v>38</v>
      </c>
      <c r="V413" t="str">
        <f t="shared" si="27"/>
        <v>Home/Residence</v>
      </c>
    </row>
    <row r="414" spans="1:22">
      <c r="A414" t="s">
        <v>2953</v>
      </c>
      <c r="B414" t="s">
        <v>2954</v>
      </c>
      <c r="C414" s="1">
        <v>45460</v>
      </c>
      <c r="D414" s="4">
        <v>102.02</v>
      </c>
      <c r="E414">
        <v>66</v>
      </c>
      <c r="F414" t="str">
        <f t="shared" si="24"/>
        <v>60's</v>
      </c>
      <c r="G414" t="str" cm="1">
        <f t="array" ref="G414">_xlfn.IFS(
  F414="10's", "Child (5–12)",
  OR(F414="20's", F414="30's"), "Young Adult (20–39)",
  OR(F414="40's", F414="50's"), "Adult (40–59)",
  OR(F414="60's", F414="70's", F414="80's", F414="90's"), "Senior (60+)",
  TRUE, "Unknown"
)</f>
        <v>Senior (60+)</v>
      </c>
      <c r="H414" t="s">
        <v>841</v>
      </c>
      <c r="I414" t="s">
        <v>54</v>
      </c>
      <c r="J414" t="str">
        <f t="shared" si="25"/>
        <v>Environmental Heat</v>
      </c>
      <c r="K414" t="s">
        <v>4193</v>
      </c>
      <c r="L414" t="s">
        <v>1071</v>
      </c>
      <c r="M414" t="s">
        <v>4635</v>
      </c>
      <c r="N414" t="s">
        <v>5100</v>
      </c>
      <c r="O414" t="str" cm="1">
        <f t="array" ref="O414">_xlfn.IFS(
  TEXT(TRIM(N414),"00000")="NULL", "Missing/Unknown",
  OR(TEXT(TRIM(N414),"00000")="89101", TEXT(TRIM(N414),"00000")="89104", TEXT(TRIM(N414),"00000")="89106", TEXT(TRIM(N414),"00000")="89102", TEXT(TRIM(N414),"00000")="89107", TEXT(TRIM(N414),"00000")="89108"), "Urban Core",
  OR(TEXT(TRIM(N414),"00000")="89110", TEXT(TRIM(N414),"00000")="89115", TEXT(TRIM(N414),"00000")="89121", TEXT(TRIM(N414),"00000")="89122", TEXT(TRIM(N414),"00000")="89142", TEXT(TRIM(N414),"00000")="89156"), "East Valley",
  OR(TEXT(TRIM(N414),"00000")="89030", TEXT(TRIM(N414),"00000")="89031", TEXT(TRIM(N414),"00000")="89032", TEXT(TRIM(N414),"00000")="89086", TEXT(TRIM(N414),"00000")="89084", TEXT(TRIM(N414),"00000")="89081"), "North LV",
  OR(TEXT(TRIM(N414),"00000")="89109", TEXT(TRIM(N414),"00000")="89103", TEXT(TRIM(N414),"00000")="89119", TEXT(TRIM(N414),"00000")="89123", TEXT(TRIM(N414),"00000")="89169", TEXT(TRIM(N414),"00000")="89118"), "South/Strip",
  OR(TEXT(TRIM(N414),"00000")="89074", TEXT(TRIM(N414),"00000")="89014", TEXT(TRIM(N414),"00000")="89015", TEXT(TRIM(N414),"00000")="89011", TEXT(TRIM(N414),"00000")="89012"), "Suburban SE",
  OR(TEXT(TRIM(N414),"00000")="89117", TEXT(TRIM(N414),"00000")="89128", TEXT(TRIM(N414),"00000")="89135", TEXT(TRIM(N414),"00000")="89144", TEXT(TRIM(N414),"00000")="89145", TEXT(TRIM(N414),"00000")="89147"), "West Valley",
  TRUE, "Other"
)</f>
        <v>North LV</v>
      </c>
      <c r="P414" t="s">
        <v>3298</v>
      </c>
      <c r="Q414" t="str">
        <f t="shared" si="26"/>
        <v>Outdoors/Public</v>
      </c>
      <c r="R414" t="s">
        <v>4635</v>
      </c>
      <c r="S414" t="s">
        <v>5100</v>
      </c>
      <c r="T414" t="str" cm="1">
        <f t="array" ref="T414">_xlfn.IFS(
  TEXT(TRIM(S414),"00000")="NULL", "Missing/Unknown",
  OR(TEXT(TRIM(S414),"00000")="89101", TEXT(TRIM(S414),"00000")="89104", TEXT(TRIM(S414),"00000")="89106", TEXT(TRIM(S414),"00000")="89102", TEXT(TRIM(S414),"00000")="89107", TEXT(TRIM(S414),"00000")="89108"), "Urban Core",
  OR(TEXT(TRIM(S414),"00000")="89110", TEXT(TRIM(S414),"00000")="89115", TEXT(TRIM(S414),"00000")="89121", TEXT(TRIM(S414),"00000")="89122", TEXT(TRIM(S414),"00000")="89142", TEXT(TRIM(S414),"00000")="89156"), "East Valley",
  OR(TEXT(TRIM(S414),"00000")="89030", TEXT(TRIM(S414),"00000")="89031", TEXT(TRIM(S414),"00000")="89032", TEXT(TRIM(S414),"00000")="89086", TEXT(TRIM(S414),"00000")="89084", TEXT(TRIM(S414),"00000")="89081"), "North LV",
  OR(TEXT(TRIM(S414),"00000")="89109", TEXT(TRIM(S414),"00000")="89103", TEXT(TRIM(S414),"00000")="89119", TEXT(TRIM(S414),"00000")="89123", TEXT(TRIM(S414),"00000")="89169", TEXT(TRIM(S414),"00000")="89118"), "South/Strip",
  OR(TEXT(TRIM(S414),"00000")="89074", TEXT(TRIM(S414),"00000")="89014", TEXT(TRIM(S414),"00000")="89015", TEXT(TRIM(S414),"00000")="89011", TEXT(TRIM(S414),"00000")="89012"), "Suburban SE",
  OR(TEXT(TRIM(S414),"00000")="89117", TEXT(TRIM(S414),"00000")="89128", TEXT(TRIM(S414),"00000")="89135", TEXT(TRIM(S414),"00000")="89144", TEXT(TRIM(S414),"00000")="89145", TEXT(TRIM(S414),"00000")="89147"), "West Valley",
  TRUE, "Other"
)</f>
        <v>North LV</v>
      </c>
      <c r="U414" t="s">
        <v>3298</v>
      </c>
      <c r="V414" t="str">
        <f t="shared" si="27"/>
        <v>Outdoors/Public</v>
      </c>
    </row>
    <row r="415" spans="1:22">
      <c r="A415" t="s">
        <v>3685</v>
      </c>
      <c r="B415" t="s">
        <v>3686</v>
      </c>
      <c r="C415" s="1">
        <v>45460</v>
      </c>
      <c r="D415" s="4">
        <v>102.02</v>
      </c>
      <c r="E415">
        <v>65</v>
      </c>
      <c r="F415" t="str">
        <f t="shared" si="24"/>
        <v>60's</v>
      </c>
      <c r="G415" t="str" cm="1">
        <f t="array" ref="G415">_xlfn.IFS(
  F415="10's", "Child (5–12)",
  OR(F415="20's", F415="30's"), "Young Adult (20–39)",
  OR(F415="40's", F415="50's"), "Adult (40–59)",
  OR(F415="60's", F415="70's", F415="80's", F415="90's"), "Senior (60+)",
  TRUE, "Unknown"
)</f>
        <v>Senior (60+)</v>
      </c>
      <c r="H415" t="s">
        <v>841</v>
      </c>
      <c r="I415" t="s">
        <v>135</v>
      </c>
      <c r="J415" t="str">
        <f t="shared" si="25"/>
        <v>Methamphetamine-related</v>
      </c>
      <c r="K415" t="s">
        <v>35</v>
      </c>
      <c r="L415" t="s">
        <v>1071</v>
      </c>
      <c r="N415" t="s">
        <v>5095</v>
      </c>
      <c r="O415" t="str" cm="1">
        <f t="array" ref="O415">_xlfn.IFS(
  TEXT(TRIM(N415),"00000")="NULL", "Missing/Unknown",
  OR(TEXT(TRIM(N415),"00000")="89101", TEXT(TRIM(N415),"00000")="89104", TEXT(TRIM(N415),"00000")="89106", TEXT(TRIM(N415),"00000")="89102", TEXT(TRIM(N415),"00000")="89107", TEXT(TRIM(N415),"00000")="89108"), "Urban Core",
  OR(TEXT(TRIM(N415),"00000")="89110", TEXT(TRIM(N415),"00000")="89115", TEXT(TRIM(N415),"00000")="89121", TEXT(TRIM(N415),"00000")="89122", TEXT(TRIM(N415),"00000")="89142", TEXT(TRIM(N415),"00000")="89156"), "East Valley",
  OR(TEXT(TRIM(N415),"00000")="89030", TEXT(TRIM(N415),"00000")="89031", TEXT(TRIM(N415),"00000")="89032", TEXT(TRIM(N415),"00000")="89086", TEXT(TRIM(N415),"00000")="89084", TEXT(TRIM(N415),"00000")="89081"), "North LV",
  OR(TEXT(TRIM(N415),"00000")="89109", TEXT(TRIM(N415),"00000")="89103", TEXT(TRIM(N415),"00000")="89119", TEXT(TRIM(N415),"00000")="89123", TEXT(TRIM(N415),"00000")="89169", TEXT(TRIM(N415),"00000")="89118"), "South/Strip",
  OR(TEXT(TRIM(N415),"00000")="89074", TEXT(TRIM(N415),"00000")="89014", TEXT(TRIM(N415),"00000")="89015", TEXT(TRIM(N415),"00000")="89011", TEXT(TRIM(N415),"00000")="89012"), "Suburban SE",
  OR(TEXT(TRIM(N415),"00000")="89117", TEXT(TRIM(N415),"00000")="89128", TEXT(TRIM(N415),"00000")="89135", TEXT(TRIM(N415),"00000")="89144", TEXT(TRIM(N415),"00000")="89145", TEXT(TRIM(N415),"00000")="89147"), "West Valley",
  TRUE, "Other"
)</f>
        <v>Missing/Unknown</v>
      </c>
      <c r="P415" t="s">
        <v>38</v>
      </c>
      <c r="Q415" t="str">
        <f t="shared" si="26"/>
        <v>Home/Residence</v>
      </c>
      <c r="R415" t="s">
        <v>5080</v>
      </c>
      <c r="S415" t="s">
        <v>5142</v>
      </c>
      <c r="T415" t="str" cm="1">
        <f t="array" ref="T415">_xlfn.IFS(
  TEXT(TRIM(S415),"00000")="NULL", "Missing/Unknown",
  OR(TEXT(TRIM(S415),"00000")="89101", TEXT(TRIM(S415),"00000")="89104", TEXT(TRIM(S415),"00000")="89106", TEXT(TRIM(S415),"00000")="89102", TEXT(TRIM(S415),"00000")="89107", TEXT(TRIM(S415),"00000")="89108"), "Urban Core",
  OR(TEXT(TRIM(S415),"00000")="89110", TEXT(TRIM(S415),"00000")="89115", TEXT(TRIM(S415),"00000")="89121", TEXT(TRIM(S415),"00000")="89122", TEXT(TRIM(S415),"00000")="89142", TEXT(TRIM(S415),"00000")="89156"), "East Valley",
  OR(TEXT(TRIM(S415),"00000")="89030", TEXT(TRIM(S415),"00000")="89031", TEXT(TRIM(S415),"00000")="89032", TEXT(TRIM(S415),"00000")="89086", TEXT(TRIM(S415),"00000")="89084", TEXT(TRIM(S415),"00000")="89081"), "North LV",
  OR(TEXT(TRIM(S415),"00000")="89109", TEXT(TRIM(S415),"00000")="89103", TEXT(TRIM(S415),"00000")="89119", TEXT(TRIM(S415),"00000")="89123", TEXT(TRIM(S415),"00000")="89169", TEXT(TRIM(S415),"00000")="89118"), "South/Strip",
  OR(TEXT(TRIM(S415),"00000")="89074", TEXT(TRIM(S415),"00000")="89014", TEXT(TRIM(S415),"00000")="89015", TEXT(TRIM(S415),"00000")="89011", TEXT(TRIM(S415),"00000")="89012"), "Suburban SE",
  OR(TEXT(TRIM(S415),"00000")="89117", TEXT(TRIM(S415),"00000")="89128", TEXT(TRIM(S415),"00000")="89135", TEXT(TRIM(S415),"00000")="89144", TEXT(TRIM(S415),"00000")="89145", TEXT(TRIM(S415),"00000")="89147"), "West Valley",
  TRUE, "Other"
)</f>
        <v>Suburban SE</v>
      </c>
      <c r="U415" t="s">
        <v>1073</v>
      </c>
      <c r="V415" t="str">
        <f t="shared" si="27"/>
        <v>Home/Residence</v>
      </c>
    </row>
    <row r="416" spans="1:22">
      <c r="A416" t="s">
        <v>2710</v>
      </c>
      <c r="B416" t="s">
        <v>2711</v>
      </c>
      <c r="C416" s="1">
        <v>45459</v>
      </c>
      <c r="D416" s="4">
        <v>102.92</v>
      </c>
      <c r="E416">
        <v>48</v>
      </c>
      <c r="F416" t="str">
        <f t="shared" si="24"/>
        <v>40's</v>
      </c>
      <c r="G416" t="str" cm="1">
        <f t="array" ref="G416">_xlfn.IFS(
  F416="10's", "Child (5–12)",
  OR(F416="20's", F416="30's"), "Young Adult (20–39)",
  OR(F416="40's", F416="50's"), "Adult (40–59)",
  OR(F416="60's", F416="70's", F416="80's", F416="90's"), "Senior (60+)",
  TRUE, "Unknown"
)</f>
        <v>Adult (40–59)</v>
      </c>
      <c r="H416" t="s">
        <v>841</v>
      </c>
      <c r="I416" t="s">
        <v>199</v>
      </c>
      <c r="J416" t="str">
        <f t="shared" si="25"/>
        <v>Ethanol-related</v>
      </c>
      <c r="K416" t="s">
        <v>4194</v>
      </c>
      <c r="L416" t="s">
        <v>1071</v>
      </c>
      <c r="M416" t="s">
        <v>4945</v>
      </c>
      <c r="N416" t="s">
        <v>5142</v>
      </c>
      <c r="O416" t="str" cm="1">
        <f t="array" ref="O416">_xlfn.IFS(
  TEXT(TRIM(N416),"00000")="NULL", "Missing/Unknown",
  OR(TEXT(TRIM(N416),"00000")="89101", TEXT(TRIM(N416),"00000")="89104", TEXT(TRIM(N416),"00000")="89106", TEXT(TRIM(N416),"00000")="89102", TEXT(TRIM(N416),"00000")="89107", TEXT(TRIM(N416),"00000")="89108"), "Urban Core",
  OR(TEXT(TRIM(N416),"00000")="89110", TEXT(TRIM(N416),"00000")="89115", TEXT(TRIM(N416),"00000")="89121", TEXT(TRIM(N416),"00000")="89122", TEXT(TRIM(N416),"00000")="89142", TEXT(TRIM(N416),"00000")="89156"), "East Valley",
  OR(TEXT(TRIM(N416),"00000")="89030", TEXT(TRIM(N416),"00000")="89031", TEXT(TRIM(N416),"00000")="89032", TEXT(TRIM(N416),"00000")="89086", TEXT(TRIM(N416),"00000")="89084", TEXT(TRIM(N416),"00000")="89081"), "North LV",
  OR(TEXT(TRIM(N416),"00000")="89109", TEXT(TRIM(N416),"00000")="89103", TEXT(TRIM(N416),"00000")="89119", TEXT(TRIM(N416),"00000")="89123", TEXT(TRIM(N416),"00000")="89169", TEXT(TRIM(N416),"00000")="89118"), "South/Strip",
  OR(TEXT(TRIM(N416),"00000")="89074", TEXT(TRIM(N416),"00000")="89014", TEXT(TRIM(N416),"00000")="89015", TEXT(TRIM(N416),"00000")="89011", TEXT(TRIM(N416),"00000")="89012"), "Suburban SE",
  OR(TEXT(TRIM(N416),"00000")="89117", TEXT(TRIM(N416),"00000")="89128", TEXT(TRIM(N416),"00000")="89135", TEXT(TRIM(N416),"00000")="89144", TEXT(TRIM(N416),"00000")="89145", TEXT(TRIM(N416),"00000")="89147"), "West Valley",
  TRUE, "Other"
)</f>
        <v>Suburban SE</v>
      </c>
      <c r="P416" t="s">
        <v>1073</v>
      </c>
      <c r="Q416" t="str">
        <f t="shared" si="26"/>
        <v>Home/Residence</v>
      </c>
      <c r="R416" t="s">
        <v>4945</v>
      </c>
      <c r="S416" t="s">
        <v>5142</v>
      </c>
      <c r="T416" t="str" cm="1">
        <f t="array" ref="T416">_xlfn.IFS(
  TEXT(TRIM(S416),"00000")="NULL", "Missing/Unknown",
  OR(TEXT(TRIM(S416),"00000")="89101", TEXT(TRIM(S416),"00000")="89104", TEXT(TRIM(S416),"00000")="89106", TEXT(TRIM(S416),"00000")="89102", TEXT(TRIM(S416),"00000")="89107", TEXT(TRIM(S416),"00000")="89108"), "Urban Core",
  OR(TEXT(TRIM(S416),"00000")="89110", TEXT(TRIM(S416),"00000")="89115", TEXT(TRIM(S416),"00000")="89121", TEXT(TRIM(S416),"00000")="89122", TEXT(TRIM(S416),"00000")="89142", TEXT(TRIM(S416),"00000")="89156"), "East Valley",
  OR(TEXT(TRIM(S416),"00000")="89030", TEXT(TRIM(S416),"00000")="89031", TEXT(TRIM(S416),"00000")="89032", TEXT(TRIM(S416),"00000")="89086", TEXT(TRIM(S416),"00000")="89084", TEXT(TRIM(S416),"00000")="89081"), "North LV",
  OR(TEXT(TRIM(S416),"00000")="89109", TEXT(TRIM(S416),"00000")="89103", TEXT(TRIM(S416),"00000")="89119", TEXT(TRIM(S416),"00000")="89123", TEXT(TRIM(S416),"00000")="89169", TEXT(TRIM(S416),"00000")="89118"), "South/Strip",
  OR(TEXT(TRIM(S416),"00000")="89074", TEXT(TRIM(S416),"00000")="89014", TEXT(TRIM(S416),"00000")="89015", TEXT(TRIM(S416),"00000")="89011", TEXT(TRIM(S416),"00000")="89012"), "Suburban SE",
  OR(TEXT(TRIM(S416),"00000")="89117", TEXT(TRIM(S416),"00000")="89128", TEXT(TRIM(S416),"00000")="89135", TEXT(TRIM(S416),"00000")="89144", TEXT(TRIM(S416),"00000")="89145", TEXT(TRIM(S416),"00000")="89147"), "West Valley",
  TRUE, "Other"
)</f>
        <v>Suburban SE</v>
      </c>
      <c r="U416" t="s">
        <v>1073</v>
      </c>
      <c r="V416" t="str">
        <f t="shared" si="27"/>
        <v>Home/Residence</v>
      </c>
    </row>
    <row r="417" spans="1:22">
      <c r="A417" t="s">
        <v>2458</v>
      </c>
      <c r="B417" t="s">
        <v>2459</v>
      </c>
      <c r="C417" s="1">
        <v>45459</v>
      </c>
      <c r="D417" s="4">
        <v>102.92</v>
      </c>
      <c r="E417">
        <v>35</v>
      </c>
      <c r="F417" t="str">
        <f t="shared" si="24"/>
        <v>30's</v>
      </c>
      <c r="G417" t="str" cm="1">
        <f t="array" ref="G417">_xlfn.IFS(
  F417="10's", "Child (5–12)",
  OR(F417="20's", F417="30's"), "Young Adult (20–39)",
  OR(F417="40's", F417="50's"), "Adult (40–59)",
  OR(F417="60's", F417="70's", F417="80's", F417="90's"), "Senior (60+)",
  TRUE, "Unknown"
)</f>
        <v>Young Adult (20–39)</v>
      </c>
      <c r="H417" t="s">
        <v>841</v>
      </c>
      <c r="I417" t="s">
        <v>4040</v>
      </c>
      <c r="J417" t="str">
        <f t="shared" si="25"/>
        <v>Methamphetamine-related</v>
      </c>
      <c r="K417" t="s">
        <v>54</v>
      </c>
      <c r="L417" t="s">
        <v>250</v>
      </c>
      <c r="N417" t="s">
        <v>5095</v>
      </c>
      <c r="O417" t="str" cm="1">
        <f t="array" ref="O417">_xlfn.IFS(
  TEXT(TRIM(N417),"00000")="NULL", "Missing/Unknown",
  OR(TEXT(TRIM(N417),"00000")="89101", TEXT(TRIM(N417),"00000")="89104", TEXT(TRIM(N417),"00000")="89106", TEXT(TRIM(N417),"00000")="89102", TEXT(TRIM(N417),"00000")="89107", TEXT(TRIM(N417),"00000")="89108"), "Urban Core",
  OR(TEXT(TRIM(N417),"00000")="89110", TEXT(TRIM(N417),"00000")="89115", TEXT(TRIM(N417),"00000")="89121", TEXT(TRIM(N417),"00000")="89122", TEXT(TRIM(N417),"00000")="89142", TEXT(TRIM(N417),"00000")="89156"), "East Valley",
  OR(TEXT(TRIM(N417),"00000")="89030", TEXT(TRIM(N417),"00000")="89031", TEXT(TRIM(N417),"00000")="89032", TEXT(TRIM(N417),"00000")="89086", TEXT(TRIM(N417),"00000")="89084", TEXT(TRIM(N417),"00000")="89081"), "North LV",
  OR(TEXT(TRIM(N417),"00000")="89109", TEXT(TRIM(N417),"00000")="89103", TEXT(TRIM(N417),"00000")="89119", TEXT(TRIM(N417),"00000")="89123", TEXT(TRIM(N417),"00000")="89169", TEXT(TRIM(N417),"00000")="89118"), "South/Strip",
  OR(TEXT(TRIM(N417),"00000")="89074", TEXT(TRIM(N417),"00000")="89014", TEXT(TRIM(N417),"00000")="89015", TEXT(TRIM(N417),"00000")="89011", TEXT(TRIM(N417),"00000")="89012"), "Suburban SE",
  OR(TEXT(TRIM(N417),"00000")="89117", TEXT(TRIM(N417),"00000")="89128", TEXT(TRIM(N417),"00000")="89135", TEXT(TRIM(N417),"00000")="89144", TEXT(TRIM(N417),"00000")="89145", TEXT(TRIM(N417),"00000")="89147"), "West Valley",
  TRUE, "Other"
)</f>
        <v>Missing/Unknown</v>
      </c>
      <c r="P417" t="s">
        <v>3298</v>
      </c>
      <c r="Q417" t="str">
        <f t="shared" si="26"/>
        <v>Outdoors/Public</v>
      </c>
      <c r="R417" t="s">
        <v>4713</v>
      </c>
      <c r="S417" t="s">
        <v>5125</v>
      </c>
      <c r="T417" t="str" cm="1">
        <f t="array" ref="T417">_xlfn.IFS(
  TEXT(TRIM(S417),"00000")="NULL", "Missing/Unknown",
  OR(TEXT(TRIM(S417),"00000")="89101", TEXT(TRIM(S417),"00000")="89104", TEXT(TRIM(S417),"00000")="89106", TEXT(TRIM(S417),"00000")="89102", TEXT(TRIM(S417),"00000")="89107", TEXT(TRIM(S417),"00000")="89108"), "Urban Core",
  OR(TEXT(TRIM(S417),"00000")="89110", TEXT(TRIM(S417),"00000")="89115", TEXT(TRIM(S417),"00000")="89121", TEXT(TRIM(S417),"00000")="89122", TEXT(TRIM(S417),"00000")="89142", TEXT(TRIM(S417),"00000")="89156"), "East Valley",
  OR(TEXT(TRIM(S417),"00000")="89030", TEXT(TRIM(S417),"00000")="89031", TEXT(TRIM(S417),"00000")="89032", TEXT(TRIM(S417),"00000")="89086", TEXT(TRIM(S417),"00000")="89084", TEXT(TRIM(S417),"00000")="89081"), "North LV",
  OR(TEXT(TRIM(S417),"00000")="89109", TEXT(TRIM(S417),"00000")="89103", TEXT(TRIM(S417),"00000")="89119", TEXT(TRIM(S417),"00000")="89123", TEXT(TRIM(S417),"00000")="89169", TEXT(TRIM(S417),"00000")="89118"), "South/Strip",
  OR(TEXT(TRIM(S417),"00000")="89074", TEXT(TRIM(S417),"00000")="89014", TEXT(TRIM(S417),"00000")="89015", TEXT(TRIM(S417),"00000")="89011", TEXT(TRIM(S417),"00000")="89012"), "Suburban SE",
  OR(TEXT(TRIM(S417),"00000")="89117", TEXT(TRIM(S417),"00000")="89128", TEXT(TRIM(S417),"00000")="89135", TEXT(TRIM(S417),"00000")="89144", TEXT(TRIM(S417),"00000")="89145", TEXT(TRIM(S417),"00000")="89147"), "West Valley",
  TRUE, "Other"
)</f>
        <v>South/Strip</v>
      </c>
      <c r="U417" t="s">
        <v>2413</v>
      </c>
      <c r="V417" t="str">
        <f t="shared" si="27"/>
        <v>Medical Facility</v>
      </c>
    </row>
    <row r="418" spans="1:22">
      <c r="A418" t="s">
        <v>2862</v>
      </c>
      <c r="B418" t="s">
        <v>2863</v>
      </c>
      <c r="C418" s="1">
        <v>45459</v>
      </c>
      <c r="D418" s="4">
        <v>102.92</v>
      </c>
      <c r="E418">
        <v>61</v>
      </c>
      <c r="F418" t="str">
        <f t="shared" si="24"/>
        <v>60's</v>
      </c>
      <c r="G418" t="str" cm="1">
        <f t="array" ref="G418">_xlfn.IFS(
  F418="10's", "Child (5–12)",
  OR(F418="20's", F418="30's"), "Young Adult (20–39)",
  OR(F418="40's", F418="50's"), "Adult (40–59)",
  OR(F418="60's", F418="70's", F418="80's", F418="90's"), "Senior (60+)",
  TRUE, "Unknown"
)</f>
        <v>Senior (60+)</v>
      </c>
      <c r="H418" t="s">
        <v>841</v>
      </c>
      <c r="I418" t="s">
        <v>35</v>
      </c>
      <c r="J418" t="str">
        <f t="shared" si="25"/>
        <v>Environmental Heat</v>
      </c>
      <c r="K418" t="s">
        <v>2864</v>
      </c>
      <c r="L418" t="s">
        <v>250</v>
      </c>
      <c r="N418" t="s">
        <v>5095</v>
      </c>
      <c r="O418" t="str" cm="1">
        <f t="array" ref="O418">_xlfn.IFS(
  TEXT(TRIM(N418),"00000")="NULL", "Missing/Unknown",
  OR(TEXT(TRIM(N418),"00000")="89101", TEXT(TRIM(N418),"00000")="89104", TEXT(TRIM(N418),"00000")="89106", TEXT(TRIM(N418),"00000")="89102", TEXT(TRIM(N418),"00000")="89107", TEXT(TRIM(N418),"00000")="89108"), "Urban Core",
  OR(TEXT(TRIM(N418),"00000")="89110", TEXT(TRIM(N418),"00000")="89115", TEXT(TRIM(N418),"00000")="89121", TEXT(TRIM(N418),"00000")="89122", TEXT(TRIM(N418),"00000")="89142", TEXT(TRIM(N418),"00000")="89156"), "East Valley",
  OR(TEXT(TRIM(N418),"00000")="89030", TEXT(TRIM(N418),"00000")="89031", TEXT(TRIM(N418),"00000")="89032", TEXT(TRIM(N418),"00000")="89086", TEXT(TRIM(N418),"00000")="89084", TEXT(TRIM(N418),"00000")="89081"), "North LV",
  OR(TEXT(TRIM(N418),"00000")="89109", TEXT(TRIM(N418),"00000")="89103", TEXT(TRIM(N418),"00000")="89119", TEXT(TRIM(N418),"00000")="89123", TEXT(TRIM(N418),"00000")="89169", TEXT(TRIM(N418),"00000")="89118"), "South/Strip",
  OR(TEXT(TRIM(N418),"00000")="89074", TEXT(TRIM(N418),"00000")="89014", TEXT(TRIM(N418),"00000")="89015", TEXT(TRIM(N418),"00000")="89011", TEXT(TRIM(N418),"00000")="89012"), "Suburban SE",
  OR(TEXT(TRIM(N418),"00000")="89117", TEXT(TRIM(N418),"00000")="89128", TEXT(TRIM(N418),"00000")="89135", TEXT(TRIM(N418),"00000")="89144", TEXT(TRIM(N418),"00000")="89145", TEXT(TRIM(N418),"00000")="89147"), "West Valley",
  TRUE, "Other"
)</f>
        <v>Missing/Unknown</v>
      </c>
      <c r="P418" t="s">
        <v>38</v>
      </c>
      <c r="Q418" t="str">
        <f t="shared" si="26"/>
        <v>Home/Residence</v>
      </c>
      <c r="S418" t="s">
        <v>5095</v>
      </c>
      <c r="T418" t="str" cm="1">
        <f t="array" ref="T418">_xlfn.IFS(
  TEXT(TRIM(S418),"00000")="NULL", "Missing/Unknown",
  OR(TEXT(TRIM(S418),"00000")="89101", TEXT(TRIM(S418),"00000")="89104", TEXT(TRIM(S418),"00000")="89106", TEXT(TRIM(S418),"00000")="89102", TEXT(TRIM(S418),"00000")="89107", TEXT(TRIM(S418),"00000")="89108"), "Urban Core",
  OR(TEXT(TRIM(S418),"00000")="89110", TEXT(TRIM(S418),"00000")="89115", TEXT(TRIM(S418),"00000")="89121", TEXT(TRIM(S418),"00000")="89122", TEXT(TRIM(S418),"00000")="89142", TEXT(TRIM(S418),"00000")="89156"), "East Valley",
  OR(TEXT(TRIM(S418),"00000")="89030", TEXT(TRIM(S418),"00000")="89031", TEXT(TRIM(S418),"00000")="89032", TEXT(TRIM(S418),"00000")="89086", TEXT(TRIM(S418),"00000")="89084", TEXT(TRIM(S418),"00000")="89081"), "North LV",
  OR(TEXT(TRIM(S418),"00000")="89109", TEXT(TRIM(S418),"00000")="89103", TEXT(TRIM(S418),"00000")="89119", TEXT(TRIM(S418),"00000")="89123", TEXT(TRIM(S418),"00000")="89169", TEXT(TRIM(S418),"00000")="89118"), "South/Strip",
  OR(TEXT(TRIM(S418),"00000")="89074", TEXT(TRIM(S418),"00000")="89014", TEXT(TRIM(S418),"00000")="89015", TEXT(TRIM(S418),"00000")="89011", TEXT(TRIM(S418),"00000")="89012"), "Suburban SE",
  OR(TEXT(TRIM(S418),"00000")="89117", TEXT(TRIM(S418),"00000")="89128", TEXT(TRIM(S418),"00000")="89135", TEXT(TRIM(S418),"00000")="89144", TEXT(TRIM(S418),"00000")="89145", TEXT(TRIM(S418),"00000")="89147"), "West Valley",
  TRUE, "Other"
)</f>
        <v>Missing/Unknown</v>
      </c>
      <c r="U418" t="s">
        <v>38</v>
      </c>
      <c r="V418" t="str">
        <f t="shared" si="27"/>
        <v>Home/Residence</v>
      </c>
    </row>
    <row r="419" spans="1:22">
      <c r="A419" t="s">
        <v>2753</v>
      </c>
      <c r="B419" t="s">
        <v>2754</v>
      </c>
      <c r="C419" s="1">
        <v>45458</v>
      </c>
      <c r="D419" s="4">
        <v>107.06</v>
      </c>
      <c r="E419">
        <v>38</v>
      </c>
      <c r="F419" t="str">
        <f t="shared" si="24"/>
        <v>30's</v>
      </c>
      <c r="G419" t="str" cm="1">
        <f t="array" ref="G419">_xlfn.IFS(
  F419="10's", "Child (5–12)",
  OR(F419="20's", F419="30's"), "Young Adult (20–39)",
  OR(F419="40's", F419="50's"), "Adult (40–59)",
  OR(F419="60's", F419="70's", F419="80's", F419="90's"), "Senior (60+)",
  TRUE, "Unknown"
)</f>
        <v>Young Adult (20–39)</v>
      </c>
      <c r="H419" t="s">
        <v>841</v>
      </c>
      <c r="I419" t="s">
        <v>4036</v>
      </c>
      <c r="J419" t="str">
        <f t="shared" si="25"/>
        <v>Methamphetamine-related</v>
      </c>
      <c r="K419" t="s">
        <v>54</v>
      </c>
      <c r="L419" t="s">
        <v>250</v>
      </c>
      <c r="M419" t="s">
        <v>4708</v>
      </c>
      <c r="N419" t="s">
        <v>5143</v>
      </c>
      <c r="O419" t="str" cm="1">
        <f t="array" ref="O419">_xlfn.IFS(
  TEXT(TRIM(N419),"00000")="NULL", "Missing/Unknown",
  OR(TEXT(TRIM(N419),"00000")="89101", TEXT(TRIM(N419),"00000")="89104", TEXT(TRIM(N419),"00000")="89106", TEXT(TRIM(N419),"00000")="89102", TEXT(TRIM(N419),"00000")="89107", TEXT(TRIM(N419),"00000")="89108"), "Urban Core",
  OR(TEXT(TRIM(N419),"00000")="89110", TEXT(TRIM(N419),"00000")="89115", TEXT(TRIM(N419),"00000")="89121", TEXT(TRIM(N419),"00000")="89122", TEXT(TRIM(N419),"00000")="89142", TEXT(TRIM(N419),"00000")="89156"), "East Valley",
  OR(TEXT(TRIM(N419),"00000")="89030", TEXT(TRIM(N419),"00000")="89031", TEXT(TRIM(N419),"00000")="89032", TEXT(TRIM(N419),"00000")="89086", TEXT(TRIM(N419),"00000")="89084", TEXT(TRIM(N419),"00000")="89081"), "North LV",
  OR(TEXT(TRIM(N419),"00000")="89109", TEXT(TRIM(N419),"00000")="89103", TEXT(TRIM(N419),"00000")="89119", TEXT(TRIM(N419),"00000")="89123", TEXT(TRIM(N419),"00000")="89169", TEXT(TRIM(N419),"00000")="89118"), "South/Strip",
  OR(TEXT(TRIM(N419),"00000")="89074", TEXT(TRIM(N419),"00000")="89014", TEXT(TRIM(N419),"00000")="89015", TEXT(TRIM(N419),"00000")="89011", TEXT(TRIM(N419),"00000")="89012"), "Suburban SE",
  OR(TEXT(TRIM(N419),"00000")="89117", TEXT(TRIM(N419),"00000")="89128", TEXT(TRIM(N419),"00000")="89135", TEXT(TRIM(N419),"00000")="89144", TEXT(TRIM(N419),"00000")="89145", TEXT(TRIM(N419),"00000")="89147"), "West Valley",
  TRUE, "Other"
)</f>
        <v>West Valley</v>
      </c>
      <c r="P419" t="s">
        <v>3298</v>
      </c>
      <c r="Q419" t="str">
        <f t="shared" si="26"/>
        <v>Outdoors/Public</v>
      </c>
      <c r="R419" t="s">
        <v>4708</v>
      </c>
      <c r="S419" t="s">
        <v>5143</v>
      </c>
      <c r="T419" t="str" cm="1">
        <f t="array" ref="T419">_xlfn.IFS(
  TEXT(TRIM(S419),"00000")="NULL", "Missing/Unknown",
  OR(TEXT(TRIM(S419),"00000")="89101", TEXT(TRIM(S419),"00000")="89104", TEXT(TRIM(S419),"00000")="89106", TEXT(TRIM(S419),"00000")="89102", TEXT(TRIM(S419),"00000")="89107", TEXT(TRIM(S419),"00000")="89108"), "Urban Core",
  OR(TEXT(TRIM(S419),"00000")="89110", TEXT(TRIM(S419),"00000")="89115", TEXT(TRIM(S419),"00000")="89121", TEXT(TRIM(S419),"00000")="89122", TEXT(TRIM(S419),"00000")="89142", TEXT(TRIM(S419),"00000")="89156"), "East Valley",
  OR(TEXT(TRIM(S419),"00000")="89030", TEXT(TRIM(S419),"00000")="89031", TEXT(TRIM(S419),"00000")="89032", TEXT(TRIM(S419),"00000")="89086", TEXT(TRIM(S419),"00000")="89084", TEXT(TRIM(S419),"00000")="89081"), "North LV",
  OR(TEXT(TRIM(S419),"00000")="89109", TEXT(TRIM(S419),"00000")="89103", TEXT(TRIM(S419),"00000")="89119", TEXT(TRIM(S419),"00000")="89123", TEXT(TRIM(S419),"00000")="89169", TEXT(TRIM(S419),"00000")="89118"), "South/Strip",
  OR(TEXT(TRIM(S419),"00000")="89074", TEXT(TRIM(S419),"00000")="89014", TEXT(TRIM(S419),"00000")="89015", TEXT(TRIM(S419),"00000")="89011", TEXT(TRIM(S419),"00000")="89012"), "Suburban SE",
  OR(TEXT(TRIM(S419),"00000")="89117", TEXT(TRIM(S419),"00000")="89128", TEXT(TRIM(S419),"00000")="89135", TEXT(TRIM(S419),"00000")="89144", TEXT(TRIM(S419),"00000")="89145", TEXT(TRIM(S419),"00000")="89147"), "West Valley",
  TRUE, "Other"
)</f>
        <v>West Valley</v>
      </c>
      <c r="U419" t="s">
        <v>3298</v>
      </c>
      <c r="V419" t="str">
        <f t="shared" si="27"/>
        <v>Outdoors/Public</v>
      </c>
    </row>
    <row r="420" spans="1:22">
      <c r="A420" t="s">
        <v>2950</v>
      </c>
      <c r="B420" t="s">
        <v>2951</v>
      </c>
      <c r="C420" s="1">
        <v>45458</v>
      </c>
      <c r="D420" s="4">
        <v>107.06</v>
      </c>
      <c r="E420">
        <v>46</v>
      </c>
      <c r="F420" t="str">
        <f t="shared" si="24"/>
        <v>40's</v>
      </c>
      <c r="G420" t="str" cm="1">
        <f t="array" ref="G420">_xlfn.IFS(
  F420="10's", "Child (5–12)",
  OR(F420="20's", F420="30's"), "Young Adult (20–39)",
  OR(F420="40's", F420="50's"), "Adult (40–59)",
  OR(F420="60's", F420="70's", F420="80's", F420="90's"), "Senior (60+)",
  TRUE, "Unknown"
)</f>
        <v>Adult (40–59)</v>
      </c>
      <c r="H420" t="s">
        <v>27</v>
      </c>
      <c r="I420" t="s">
        <v>54</v>
      </c>
      <c r="J420" t="str">
        <f t="shared" si="25"/>
        <v>Environmental Heat</v>
      </c>
      <c r="K420" t="s">
        <v>34</v>
      </c>
      <c r="L420" t="s">
        <v>250</v>
      </c>
      <c r="M420" t="s">
        <v>4709</v>
      </c>
      <c r="N420" t="s">
        <v>5105</v>
      </c>
      <c r="O420" t="str" cm="1">
        <f t="array" ref="O420">_xlfn.IFS(
  TEXT(TRIM(N420),"00000")="NULL", "Missing/Unknown",
  OR(TEXT(TRIM(N420),"00000")="89101", TEXT(TRIM(N420),"00000")="89104", TEXT(TRIM(N420),"00000")="89106", TEXT(TRIM(N420),"00000")="89102", TEXT(TRIM(N420),"00000")="89107", TEXT(TRIM(N420),"00000")="89108"), "Urban Core",
  OR(TEXT(TRIM(N420),"00000")="89110", TEXT(TRIM(N420),"00000")="89115", TEXT(TRIM(N420),"00000")="89121", TEXT(TRIM(N420),"00000")="89122", TEXT(TRIM(N420),"00000")="89142", TEXT(TRIM(N420),"00000")="89156"), "East Valley",
  OR(TEXT(TRIM(N420),"00000")="89030", TEXT(TRIM(N420),"00000")="89031", TEXT(TRIM(N420),"00000")="89032", TEXT(TRIM(N420),"00000")="89086", TEXT(TRIM(N420),"00000")="89084", TEXT(TRIM(N420),"00000")="89081"), "North LV",
  OR(TEXT(TRIM(N420),"00000")="89109", TEXT(TRIM(N420),"00000")="89103", TEXT(TRIM(N420),"00000")="89119", TEXT(TRIM(N420),"00000")="89123", TEXT(TRIM(N420),"00000")="89169", TEXT(TRIM(N420),"00000")="89118"), "South/Strip",
  OR(TEXT(TRIM(N420),"00000")="89074", TEXT(TRIM(N420),"00000")="89014", TEXT(TRIM(N420),"00000")="89015", TEXT(TRIM(N420),"00000")="89011", TEXT(TRIM(N420),"00000")="89012"), "Suburban SE",
  OR(TEXT(TRIM(N420),"00000")="89117", TEXT(TRIM(N420),"00000")="89128", TEXT(TRIM(N420),"00000")="89135", TEXT(TRIM(N420),"00000")="89144", TEXT(TRIM(N420),"00000")="89145", TEXT(TRIM(N420),"00000")="89147"), "West Valley",
  TRUE, "Other"
)</f>
        <v>East Valley</v>
      </c>
      <c r="P420" t="s">
        <v>3298</v>
      </c>
      <c r="Q420" t="str">
        <f t="shared" si="26"/>
        <v>Outdoors/Public</v>
      </c>
      <c r="R420" t="s">
        <v>4709</v>
      </c>
      <c r="S420" t="s">
        <v>5105</v>
      </c>
      <c r="T420" t="str" cm="1">
        <f t="array" ref="T420">_xlfn.IFS(
  TEXT(TRIM(S420),"00000")="NULL", "Missing/Unknown",
  OR(TEXT(TRIM(S420),"00000")="89101", TEXT(TRIM(S420),"00000")="89104", TEXT(TRIM(S420),"00000")="89106", TEXT(TRIM(S420),"00000")="89102", TEXT(TRIM(S420),"00000")="89107", TEXT(TRIM(S420),"00000")="89108"), "Urban Core",
  OR(TEXT(TRIM(S420),"00000")="89110", TEXT(TRIM(S420),"00000")="89115", TEXT(TRIM(S420),"00000")="89121", TEXT(TRIM(S420),"00000")="89122", TEXT(TRIM(S420),"00000")="89142", TEXT(TRIM(S420),"00000")="89156"), "East Valley",
  OR(TEXT(TRIM(S420),"00000")="89030", TEXT(TRIM(S420),"00000")="89031", TEXT(TRIM(S420),"00000")="89032", TEXT(TRIM(S420),"00000")="89086", TEXT(TRIM(S420),"00000")="89084", TEXT(TRIM(S420),"00000")="89081"), "North LV",
  OR(TEXT(TRIM(S420),"00000")="89109", TEXT(TRIM(S420),"00000")="89103", TEXT(TRIM(S420),"00000")="89119", TEXT(TRIM(S420),"00000")="89123", TEXT(TRIM(S420),"00000")="89169", TEXT(TRIM(S420),"00000")="89118"), "South/Strip",
  OR(TEXT(TRIM(S420),"00000")="89074", TEXT(TRIM(S420),"00000")="89014", TEXT(TRIM(S420),"00000")="89015", TEXT(TRIM(S420),"00000")="89011", TEXT(TRIM(S420),"00000")="89012"), "Suburban SE",
  OR(TEXT(TRIM(S420),"00000")="89117", TEXT(TRIM(S420),"00000")="89128", TEXT(TRIM(S420),"00000")="89135", TEXT(TRIM(S420),"00000")="89144", TEXT(TRIM(S420),"00000")="89145", TEXT(TRIM(S420),"00000")="89147"), "West Valley",
  TRUE, "Other"
)</f>
        <v>East Valley</v>
      </c>
      <c r="U420" t="s">
        <v>3298</v>
      </c>
      <c r="V420" t="str">
        <f t="shared" si="27"/>
        <v>Outdoors/Public</v>
      </c>
    </row>
    <row r="421" spans="1:22">
      <c r="A421" t="s">
        <v>2948</v>
      </c>
      <c r="B421" t="s">
        <v>2949</v>
      </c>
      <c r="C421" s="1">
        <v>45458</v>
      </c>
      <c r="D421" s="4">
        <v>107.06</v>
      </c>
      <c r="E421">
        <v>64</v>
      </c>
      <c r="F421" t="str">
        <f t="shared" si="24"/>
        <v>60's</v>
      </c>
      <c r="G421" t="str" cm="1">
        <f t="array" ref="G421">_xlfn.IFS(
  F421="10's", "Child (5–12)",
  OR(F421="20's", F421="30's"), "Young Adult (20–39)",
  OR(F421="40's", F421="50's"), "Adult (40–59)",
  OR(F421="60's", F421="70's", F421="80's", F421="90's"), "Senior (60+)",
  TRUE, "Unknown"
)</f>
        <v>Senior (60+)</v>
      </c>
      <c r="H421" t="s">
        <v>841</v>
      </c>
      <c r="I421" t="s">
        <v>54</v>
      </c>
      <c r="J421" t="str">
        <f t="shared" si="25"/>
        <v>Environmental Heat</v>
      </c>
      <c r="K421" t="s">
        <v>98</v>
      </c>
      <c r="L421" t="s">
        <v>250</v>
      </c>
      <c r="N421" t="s">
        <v>5095</v>
      </c>
      <c r="O421" t="str" cm="1">
        <f t="array" ref="O421">_xlfn.IFS(
  TEXT(TRIM(N421),"00000")="NULL", "Missing/Unknown",
  OR(TEXT(TRIM(N421),"00000")="89101", TEXT(TRIM(N421),"00000")="89104", TEXT(TRIM(N421),"00000")="89106", TEXT(TRIM(N421),"00000")="89102", TEXT(TRIM(N421),"00000")="89107", TEXT(TRIM(N421),"00000")="89108"), "Urban Core",
  OR(TEXT(TRIM(N421),"00000")="89110", TEXT(TRIM(N421),"00000")="89115", TEXT(TRIM(N421),"00000")="89121", TEXT(TRIM(N421),"00000")="89122", TEXT(TRIM(N421),"00000")="89142", TEXT(TRIM(N421),"00000")="89156"), "East Valley",
  OR(TEXT(TRIM(N421),"00000")="89030", TEXT(TRIM(N421),"00000")="89031", TEXT(TRIM(N421),"00000")="89032", TEXT(TRIM(N421),"00000")="89086", TEXT(TRIM(N421),"00000")="89084", TEXT(TRIM(N421),"00000")="89081"), "North LV",
  OR(TEXT(TRIM(N421),"00000")="89109", TEXT(TRIM(N421),"00000")="89103", TEXT(TRIM(N421),"00000")="89119", TEXT(TRIM(N421),"00000")="89123", TEXT(TRIM(N421),"00000")="89169", TEXT(TRIM(N421),"00000")="89118"), "South/Strip",
  OR(TEXT(TRIM(N421),"00000")="89074", TEXT(TRIM(N421),"00000")="89014", TEXT(TRIM(N421),"00000")="89015", TEXT(TRIM(N421),"00000")="89011", TEXT(TRIM(N421),"00000")="89012"), "Suburban SE",
  OR(TEXT(TRIM(N421),"00000")="89117", TEXT(TRIM(N421),"00000")="89128", TEXT(TRIM(N421),"00000")="89135", TEXT(TRIM(N421),"00000")="89144", TEXT(TRIM(N421),"00000")="89145", TEXT(TRIM(N421),"00000")="89147"), "West Valley",
  TRUE, "Other"
)</f>
        <v>Missing/Unknown</v>
      </c>
      <c r="P421" t="s">
        <v>38</v>
      </c>
      <c r="Q421" t="str">
        <f t="shared" si="26"/>
        <v>Home/Residence</v>
      </c>
      <c r="S421" t="s">
        <v>5095</v>
      </c>
      <c r="T421" t="str" cm="1">
        <f t="array" ref="T421">_xlfn.IFS(
  TEXT(TRIM(S421),"00000")="NULL", "Missing/Unknown",
  OR(TEXT(TRIM(S421),"00000")="89101", TEXT(TRIM(S421),"00000")="89104", TEXT(TRIM(S421),"00000")="89106", TEXT(TRIM(S421),"00000")="89102", TEXT(TRIM(S421),"00000")="89107", TEXT(TRIM(S421),"00000")="89108"), "Urban Core",
  OR(TEXT(TRIM(S421),"00000")="89110", TEXT(TRIM(S421),"00000")="89115", TEXT(TRIM(S421),"00000")="89121", TEXT(TRIM(S421),"00000")="89122", TEXT(TRIM(S421),"00000")="89142", TEXT(TRIM(S421),"00000")="89156"), "East Valley",
  OR(TEXT(TRIM(S421),"00000")="89030", TEXT(TRIM(S421),"00000")="89031", TEXT(TRIM(S421),"00000")="89032", TEXT(TRIM(S421),"00000")="89086", TEXT(TRIM(S421),"00000")="89084", TEXT(TRIM(S421),"00000")="89081"), "North LV",
  OR(TEXT(TRIM(S421),"00000")="89109", TEXT(TRIM(S421),"00000")="89103", TEXT(TRIM(S421),"00000")="89119", TEXT(TRIM(S421),"00000")="89123", TEXT(TRIM(S421),"00000")="89169", TEXT(TRIM(S421),"00000")="89118"), "South/Strip",
  OR(TEXT(TRIM(S421),"00000")="89074", TEXT(TRIM(S421),"00000")="89014", TEXT(TRIM(S421),"00000")="89015", TEXT(TRIM(S421),"00000")="89011", TEXT(TRIM(S421),"00000")="89012"), "Suburban SE",
  OR(TEXT(TRIM(S421),"00000")="89117", TEXT(TRIM(S421),"00000")="89128", TEXT(TRIM(S421),"00000")="89135", TEXT(TRIM(S421),"00000")="89144", TEXT(TRIM(S421),"00000")="89145", TEXT(TRIM(S421),"00000")="89147"), "West Valley",
  TRUE, "Other"
)</f>
        <v>Missing/Unknown</v>
      </c>
      <c r="U421" t="s">
        <v>38</v>
      </c>
      <c r="V421" t="str">
        <f t="shared" si="27"/>
        <v>Home/Residence</v>
      </c>
    </row>
    <row r="422" spans="1:22">
      <c r="A422" t="s">
        <v>3682</v>
      </c>
      <c r="B422" t="s">
        <v>3683</v>
      </c>
      <c r="C422" s="1">
        <v>45458</v>
      </c>
      <c r="D422" s="4">
        <v>107.06</v>
      </c>
      <c r="E422">
        <v>48</v>
      </c>
      <c r="F422" t="str">
        <f t="shared" si="24"/>
        <v>40's</v>
      </c>
      <c r="G422" t="str" cm="1">
        <f t="array" ref="G422">_xlfn.IFS(
  F422="10's", "Child (5–12)",
  OR(F422="20's", F422="30's"), "Young Adult (20–39)",
  OR(F422="40's", F422="50's"), "Adult (40–59)",
  OR(F422="60's", F422="70's", F422="80's", F422="90's"), "Senior (60+)",
  TRUE, "Unknown"
)</f>
        <v>Adult (40–59)</v>
      </c>
      <c r="H422" t="s">
        <v>4310</v>
      </c>
      <c r="I422" t="s">
        <v>135</v>
      </c>
      <c r="J422" t="str">
        <f t="shared" si="25"/>
        <v>Methamphetamine-related</v>
      </c>
      <c r="K422" t="s">
        <v>3684</v>
      </c>
      <c r="L422" t="s">
        <v>250</v>
      </c>
      <c r="N422" t="s">
        <v>5095</v>
      </c>
      <c r="O422" t="str" cm="1">
        <f t="array" ref="O422">_xlfn.IFS(
  TEXT(TRIM(N422),"00000")="NULL", "Missing/Unknown",
  OR(TEXT(TRIM(N422),"00000")="89101", TEXT(TRIM(N422),"00000")="89104", TEXT(TRIM(N422),"00000")="89106", TEXT(TRIM(N422),"00000")="89102", TEXT(TRIM(N422),"00000")="89107", TEXT(TRIM(N422),"00000")="89108"), "Urban Core",
  OR(TEXT(TRIM(N422),"00000")="89110", TEXT(TRIM(N422),"00000")="89115", TEXT(TRIM(N422),"00000")="89121", TEXT(TRIM(N422),"00000")="89122", TEXT(TRIM(N422),"00000")="89142", TEXT(TRIM(N422),"00000")="89156"), "East Valley",
  OR(TEXT(TRIM(N422),"00000")="89030", TEXT(TRIM(N422),"00000")="89031", TEXT(TRIM(N422),"00000")="89032", TEXT(TRIM(N422),"00000")="89086", TEXT(TRIM(N422),"00000")="89084", TEXT(TRIM(N422),"00000")="89081"), "North LV",
  OR(TEXT(TRIM(N422),"00000")="89109", TEXT(TRIM(N422),"00000")="89103", TEXT(TRIM(N422),"00000")="89119", TEXT(TRIM(N422),"00000")="89123", TEXT(TRIM(N422),"00000")="89169", TEXT(TRIM(N422),"00000")="89118"), "South/Strip",
  OR(TEXT(TRIM(N422),"00000")="89074", TEXT(TRIM(N422),"00000")="89014", TEXT(TRIM(N422),"00000")="89015", TEXT(TRIM(N422),"00000")="89011", TEXT(TRIM(N422),"00000")="89012"), "Suburban SE",
  OR(TEXT(TRIM(N422),"00000")="89117", TEXT(TRIM(N422),"00000")="89128", TEXT(TRIM(N422),"00000")="89135", TEXT(TRIM(N422),"00000")="89144", TEXT(TRIM(N422),"00000")="89145", TEXT(TRIM(N422),"00000")="89147"), "West Valley",
  TRUE, "Other"
)</f>
        <v>Missing/Unknown</v>
      </c>
      <c r="P422" t="s">
        <v>38</v>
      </c>
      <c r="Q422" t="str">
        <f t="shared" si="26"/>
        <v>Home/Residence</v>
      </c>
      <c r="R422" t="s">
        <v>5054</v>
      </c>
      <c r="S422" t="s">
        <v>5097</v>
      </c>
      <c r="T422" t="str" cm="1">
        <f t="array" ref="T422">_xlfn.IFS(
  TEXT(TRIM(S422),"00000")="NULL", "Missing/Unknown",
  OR(TEXT(TRIM(S422),"00000")="89101", TEXT(TRIM(S422),"00000")="89104", TEXT(TRIM(S422),"00000")="89106", TEXT(TRIM(S422),"00000")="89102", TEXT(TRIM(S422),"00000")="89107", TEXT(TRIM(S422),"00000")="89108"), "Urban Core",
  OR(TEXT(TRIM(S422),"00000")="89110", TEXT(TRIM(S422),"00000")="89115", TEXT(TRIM(S422),"00000")="89121", TEXT(TRIM(S422),"00000")="89122", TEXT(TRIM(S422),"00000")="89142", TEXT(TRIM(S422),"00000")="89156"), "East Valley",
  OR(TEXT(TRIM(S422),"00000")="89030", TEXT(TRIM(S422),"00000")="89031", TEXT(TRIM(S422),"00000")="89032", TEXT(TRIM(S422),"00000")="89086", TEXT(TRIM(S422),"00000")="89084", TEXT(TRIM(S422),"00000")="89081"), "North LV",
  OR(TEXT(TRIM(S422),"00000")="89109", TEXT(TRIM(S422),"00000")="89103", TEXT(TRIM(S422),"00000")="89119", TEXT(TRIM(S422),"00000")="89123", TEXT(TRIM(S422),"00000")="89169", TEXT(TRIM(S422),"00000")="89118"), "South/Strip",
  OR(TEXT(TRIM(S422),"00000")="89074", TEXT(TRIM(S422),"00000")="89014", TEXT(TRIM(S422),"00000")="89015", TEXT(TRIM(S422),"00000")="89011", TEXT(TRIM(S422),"00000")="89012"), "Suburban SE",
  OR(TEXT(TRIM(S422),"00000")="89117", TEXT(TRIM(S422),"00000")="89128", TEXT(TRIM(S422),"00000")="89135", TEXT(TRIM(S422),"00000")="89144", TEXT(TRIM(S422),"00000")="89145", TEXT(TRIM(S422),"00000")="89147"), "West Valley",
  TRUE, "Other"
)</f>
        <v>Urban Core</v>
      </c>
      <c r="U422" t="s">
        <v>38</v>
      </c>
      <c r="V422" t="str">
        <f t="shared" si="27"/>
        <v>Home/Residence</v>
      </c>
    </row>
    <row r="423" spans="1:22">
      <c r="A423" t="s">
        <v>2478</v>
      </c>
      <c r="B423" t="s">
        <v>2479</v>
      </c>
      <c r="C423" s="1">
        <v>45457</v>
      </c>
      <c r="D423" s="4">
        <v>105.98</v>
      </c>
      <c r="E423">
        <v>25</v>
      </c>
      <c r="F423" t="str">
        <f t="shared" si="24"/>
        <v>20's</v>
      </c>
      <c r="G423" t="str" cm="1">
        <f t="array" ref="G423">_xlfn.IFS(
  F423="10's", "Child (5–12)",
  OR(F423="20's", F423="30's"), "Young Adult (20–39)",
  OR(F423="40's", F423="50's"), "Adult (40–59)",
  OR(F423="60's", F423="70's", F423="80's", F423="90's"), "Senior (60+)",
  TRUE, "Unknown"
)</f>
        <v>Young Adult (20–39)</v>
      </c>
      <c r="H423" t="s">
        <v>841</v>
      </c>
      <c r="I423" t="s">
        <v>34</v>
      </c>
      <c r="J423" t="str">
        <f t="shared" si="25"/>
        <v>Methamphetamine-related</v>
      </c>
      <c r="K423" t="s">
        <v>4195</v>
      </c>
      <c r="L423" t="s">
        <v>1071</v>
      </c>
      <c r="M423" t="s">
        <v>4960</v>
      </c>
      <c r="N423" t="s">
        <v>5119</v>
      </c>
      <c r="O423" t="str" cm="1">
        <f t="array" ref="O423">_xlfn.IFS(
  TEXT(TRIM(N423),"00000")="NULL", "Missing/Unknown",
  OR(TEXT(TRIM(N423),"00000")="89101", TEXT(TRIM(N423),"00000")="89104", TEXT(TRIM(N423),"00000")="89106", TEXT(TRIM(N423),"00000")="89102", TEXT(TRIM(N423),"00000")="89107", TEXT(TRIM(N423),"00000")="89108"), "Urban Core",
  OR(TEXT(TRIM(N423),"00000")="89110", TEXT(TRIM(N423),"00000")="89115", TEXT(TRIM(N423),"00000")="89121", TEXT(TRIM(N423),"00000")="89122", TEXT(TRIM(N423),"00000")="89142", TEXT(TRIM(N423),"00000")="89156"), "East Valley",
  OR(TEXT(TRIM(N423),"00000")="89030", TEXT(TRIM(N423),"00000")="89031", TEXT(TRIM(N423),"00000")="89032", TEXT(TRIM(N423),"00000")="89086", TEXT(TRIM(N423),"00000")="89084", TEXT(TRIM(N423),"00000")="89081"), "North LV",
  OR(TEXT(TRIM(N423),"00000")="89109", TEXT(TRIM(N423),"00000")="89103", TEXT(TRIM(N423),"00000")="89119", TEXT(TRIM(N423),"00000")="89123", TEXT(TRIM(N423),"00000")="89169", TEXT(TRIM(N423),"00000")="89118"), "South/Strip",
  OR(TEXT(TRIM(N423),"00000")="89074", TEXT(TRIM(N423),"00000")="89014", TEXT(TRIM(N423),"00000")="89015", TEXT(TRIM(N423),"00000")="89011", TEXT(TRIM(N423),"00000")="89012"), "Suburban SE",
  OR(TEXT(TRIM(N423),"00000")="89117", TEXT(TRIM(N423),"00000")="89128", TEXT(TRIM(N423),"00000")="89135", TEXT(TRIM(N423),"00000")="89144", TEXT(TRIM(N423),"00000")="89145", TEXT(TRIM(N423),"00000")="89147"), "West Valley",
  TRUE, "Other"
)</f>
        <v>Urban Core</v>
      </c>
      <c r="P423" t="s">
        <v>2482</v>
      </c>
      <c r="Q423" t="str">
        <f t="shared" si="26"/>
        <v>Outdoors/Public</v>
      </c>
      <c r="R423" t="s">
        <v>4960</v>
      </c>
      <c r="S423" t="s">
        <v>5119</v>
      </c>
      <c r="T423" t="str" cm="1">
        <f t="array" ref="T423">_xlfn.IFS(
  TEXT(TRIM(S423),"00000")="NULL", "Missing/Unknown",
  OR(TEXT(TRIM(S423),"00000")="89101", TEXT(TRIM(S423),"00000")="89104", TEXT(TRIM(S423),"00000")="89106", TEXT(TRIM(S423),"00000")="89102", TEXT(TRIM(S423),"00000")="89107", TEXT(TRIM(S423),"00000")="89108"), "Urban Core",
  OR(TEXT(TRIM(S423),"00000")="89110", TEXT(TRIM(S423),"00000")="89115", TEXT(TRIM(S423),"00000")="89121", TEXT(TRIM(S423),"00000")="89122", TEXT(TRIM(S423),"00000")="89142", TEXT(TRIM(S423),"00000")="89156"), "East Valley",
  OR(TEXT(TRIM(S423),"00000")="89030", TEXT(TRIM(S423),"00000")="89031", TEXT(TRIM(S423),"00000")="89032", TEXT(TRIM(S423),"00000")="89086", TEXT(TRIM(S423),"00000")="89084", TEXT(TRIM(S423),"00000")="89081"), "North LV",
  OR(TEXT(TRIM(S423),"00000")="89109", TEXT(TRIM(S423),"00000")="89103", TEXT(TRIM(S423),"00000")="89119", TEXT(TRIM(S423),"00000")="89123", TEXT(TRIM(S423),"00000")="89169", TEXT(TRIM(S423),"00000")="89118"), "South/Strip",
  OR(TEXT(TRIM(S423),"00000")="89074", TEXT(TRIM(S423),"00000")="89014", TEXT(TRIM(S423),"00000")="89015", TEXT(TRIM(S423),"00000")="89011", TEXT(TRIM(S423),"00000")="89012"), "Suburban SE",
  OR(TEXT(TRIM(S423),"00000")="89117", TEXT(TRIM(S423),"00000")="89128", TEXT(TRIM(S423),"00000")="89135", TEXT(TRIM(S423),"00000")="89144", TEXT(TRIM(S423),"00000")="89145", TEXT(TRIM(S423),"00000")="89147"), "West Valley",
  TRUE, "Other"
)</f>
        <v>Urban Core</v>
      </c>
      <c r="U423" t="s">
        <v>2482</v>
      </c>
      <c r="V423" t="str">
        <f t="shared" si="27"/>
        <v>Outdoors/Public</v>
      </c>
    </row>
    <row r="424" spans="1:22">
      <c r="A424" t="s">
        <v>3430</v>
      </c>
      <c r="B424" t="s">
        <v>3431</v>
      </c>
      <c r="C424" s="1">
        <v>45457</v>
      </c>
      <c r="D424" s="4">
        <v>105.98</v>
      </c>
      <c r="E424">
        <v>84</v>
      </c>
      <c r="F424" t="str">
        <f t="shared" si="24"/>
        <v>80's</v>
      </c>
      <c r="G424" t="str" cm="1">
        <f t="array" ref="G424">_xlfn.IFS(
  F424="10's", "Child (5–12)",
  OR(F424="20's", F424="30's"), "Young Adult (20–39)",
  OR(F424="40's", F424="50's"), "Adult (40–59)",
  OR(F424="60's", F424="70's", F424="80's", F424="90's"), "Senior (60+)",
  TRUE, "Unknown"
)</f>
        <v>Senior (60+)</v>
      </c>
      <c r="H424" t="s">
        <v>841</v>
      </c>
      <c r="I424" t="s">
        <v>4012</v>
      </c>
      <c r="J424" t="str">
        <f t="shared" si="25"/>
        <v>Cardiovascular Disease</v>
      </c>
      <c r="K424" t="s">
        <v>35</v>
      </c>
      <c r="L424" t="s">
        <v>1071</v>
      </c>
      <c r="N424" t="s">
        <v>5095</v>
      </c>
      <c r="O424" t="str" cm="1">
        <f t="array" ref="O424">_xlfn.IFS(
  TEXT(TRIM(N424),"00000")="NULL", "Missing/Unknown",
  OR(TEXT(TRIM(N424),"00000")="89101", TEXT(TRIM(N424),"00000")="89104", TEXT(TRIM(N424),"00000")="89106", TEXT(TRIM(N424),"00000")="89102", TEXT(TRIM(N424),"00000")="89107", TEXT(TRIM(N424),"00000")="89108"), "Urban Core",
  OR(TEXT(TRIM(N424),"00000")="89110", TEXT(TRIM(N424),"00000")="89115", TEXT(TRIM(N424),"00000")="89121", TEXT(TRIM(N424),"00000")="89122", TEXT(TRIM(N424),"00000")="89142", TEXT(TRIM(N424),"00000")="89156"), "East Valley",
  OR(TEXT(TRIM(N424),"00000")="89030", TEXT(TRIM(N424),"00000")="89031", TEXT(TRIM(N424),"00000")="89032", TEXT(TRIM(N424),"00000")="89086", TEXT(TRIM(N424),"00000")="89084", TEXT(TRIM(N424),"00000")="89081"), "North LV",
  OR(TEXT(TRIM(N424),"00000")="89109", TEXT(TRIM(N424),"00000")="89103", TEXT(TRIM(N424),"00000")="89119", TEXT(TRIM(N424),"00000")="89123", TEXT(TRIM(N424),"00000")="89169", TEXT(TRIM(N424),"00000")="89118"), "South/Strip",
  OR(TEXT(TRIM(N424),"00000")="89074", TEXT(TRIM(N424),"00000")="89014", TEXT(TRIM(N424),"00000")="89015", TEXT(TRIM(N424),"00000")="89011", TEXT(TRIM(N424),"00000")="89012"), "Suburban SE",
  OR(TEXT(TRIM(N424),"00000")="89117", TEXT(TRIM(N424),"00000")="89128", TEXT(TRIM(N424),"00000")="89135", TEXT(TRIM(N424),"00000")="89144", TEXT(TRIM(N424),"00000")="89145", TEXT(TRIM(N424),"00000")="89147"), "West Valley",
  TRUE, "Other"
)</f>
        <v>Missing/Unknown</v>
      </c>
      <c r="P424" t="s">
        <v>38</v>
      </c>
      <c r="Q424" t="str">
        <f t="shared" si="26"/>
        <v>Home/Residence</v>
      </c>
      <c r="R424" t="s">
        <v>5091</v>
      </c>
      <c r="S424" t="s">
        <v>5108</v>
      </c>
      <c r="T424" t="str" cm="1">
        <f t="array" ref="T424">_xlfn.IFS(
  TEXT(TRIM(S424),"00000")="NULL", "Missing/Unknown",
  OR(TEXT(TRIM(S424),"00000")="89101", TEXT(TRIM(S424),"00000")="89104", TEXT(TRIM(S424),"00000")="89106", TEXT(TRIM(S424),"00000")="89102", TEXT(TRIM(S424),"00000")="89107", TEXT(TRIM(S424),"00000")="89108"), "Urban Core",
  OR(TEXT(TRIM(S424),"00000")="89110", TEXT(TRIM(S424),"00000")="89115", TEXT(TRIM(S424),"00000")="89121", TEXT(TRIM(S424),"00000")="89122", TEXT(TRIM(S424),"00000")="89142", TEXT(TRIM(S424),"00000")="89156"), "East Valley",
  OR(TEXT(TRIM(S424),"00000")="89030", TEXT(TRIM(S424),"00000")="89031", TEXT(TRIM(S424),"00000")="89032", TEXT(TRIM(S424),"00000")="89086", TEXT(TRIM(S424),"00000")="89084", TEXT(TRIM(S424),"00000")="89081"), "North LV",
  OR(TEXT(TRIM(S424),"00000")="89109", TEXT(TRIM(S424),"00000")="89103", TEXT(TRIM(S424),"00000")="89119", TEXT(TRIM(S424),"00000")="89123", TEXT(TRIM(S424),"00000")="89169", TEXT(TRIM(S424),"00000")="89118"), "South/Strip",
  OR(TEXT(TRIM(S424),"00000")="89074", TEXT(TRIM(S424),"00000")="89014", TEXT(TRIM(S424),"00000")="89015", TEXT(TRIM(S424),"00000")="89011", TEXT(TRIM(S424),"00000")="89012"), "Suburban SE",
  OR(TEXT(TRIM(S424),"00000")="89117", TEXT(TRIM(S424),"00000")="89128", TEXT(TRIM(S424),"00000")="89135", TEXT(TRIM(S424),"00000")="89144", TEXT(TRIM(S424),"00000")="89145", TEXT(TRIM(S424),"00000")="89147"), "West Valley",
  TRUE, "Other"
)</f>
        <v>East Valley</v>
      </c>
      <c r="U424" t="s">
        <v>38</v>
      </c>
      <c r="V424" t="str">
        <f t="shared" si="27"/>
        <v>Home/Residence</v>
      </c>
    </row>
    <row r="425" spans="1:22">
      <c r="A425" t="s">
        <v>3572</v>
      </c>
      <c r="B425" t="s">
        <v>3573</v>
      </c>
      <c r="C425" s="1">
        <v>45456</v>
      </c>
      <c r="D425" s="4">
        <v>102.92</v>
      </c>
      <c r="E425">
        <v>54</v>
      </c>
      <c r="F425" t="str">
        <f t="shared" si="24"/>
        <v>50's</v>
      </c>
      <c r="G425" t="str" cm="1">
        <f t="array" ref="G425">_xlfn.IFS(
  F425="10's", "Child (5–12)",
  OR(F425="20's", F425="30's"), "Young Adult (20–39)",
  OR(F425="40's", F425="50's"), "Adult (40–59)",
  OR(F425="60's", F425="70's", F425="80's", F425="90's"), "Senior (60+)",
  TRUE, "Unknown"
)</f>
        <v>Adult (40–59)</v>
      </c>
      <c r="H425" t="s">
        <v>778</v>
      </c>
      <c r="I425" t="s">
        <v>97</v>
      </c>
      <c r="J425" t="str">
        <f t="shared" si="25"/>
        <v>Environmental Heat</v>
      </c>
      <c r="K425" t="s">
        <v>2739</v>
      </c>
      <c r="L425" t="s">
        <v>250</v>
      </c>
      <c r="N425" t="s">
        <v>5095</v>
      </c>
      <c r="O425" t="str" cm="1">
        <f t="array" ref="O425">_xlfn.IFS(
  TEXT(TRIM(N425),"00000")="NULL", "Missing/Unknown",
  OR(TEXT(TRIM(N425),"00000")="89101", TEXT(TRIM(N425),"00000")="89104", TEXT(TRIM(N425),"00000")="89106", TEXT(TRIM(N425),"00000")="89102", TEXT(TRIM(N425),"00000")="89107", TEXT(TRIM(N425),"00000")="89108"), "Urban Core",
  OR(TEXT(TRIM(N425),"00000")="89110", TEXT(TRIM(N425),"00000")="89115", TEXT(TRIM(N425),"00000")="89121", TEXT(TRIM(N425),"00000")="89122", TEXT(TRIM(N425),"00000")="89142", TEXT(TRIM(N425),"00000")="89156"), "East Valley",
  OR(TEXT(TRIM(N425),"00000")="89030", TEXT(TRIM(N425),"00000")="89031", TEXT(TRIM(N425),"00000")="89032", TEXT(TRIM(N425),"00000")="89086", TEXT(TRIM(N425),"00000")="89084", TEXT(TRIM(N425),"00000")="89081"), "North LV",
  OR(TEXT(TRIM(N425),"00000")="89109", TEXT(TRIM(N425),"00000")="89103", TEXT(TRIM(N425),"00000")="89119", TEXT(TRIM(N425),"00000")="89123", TEXT(TRIM(N425),"00000")="89169", TEXT(TRIM(N425),"00000")="89118"), "South/Strip",
  OR(TEXT(TRIM(N425),"00000")="89074", TEXT(TRIM(N425),"00000")="89014", TEXT(TRIM(N425),"00000")="89015", TEXT(TRIM(N425),"00000")="89011", TEXT(TRIM(N425),"00000")="89012"), "Suburban SE",
  OR(TEXT(TRIM(N425),"00000")="89117", TEXT(TRIM(N425),"00000")="89128", TEXT(TRIM(N425),"00000")="89135", TEXT(TRIM(N425),"00000")="89144", TEXT(TRIM(N425),"00000")="89145", TEXT(TRIM(N425),"00000")="89147"), "West Valley",
  TRUE, "Other"
)</f>
        <v>Missing/Unknown</v>
      </c>
      <c r="P425" t="s">
        <v>38</v>
      </c>
      <c r="Q425" t="str">
        <f t="shared" si="26"/>
        <v>Home/Residence</v>
      </c>
      <c r="R425" t="s">
        <v>5054</v>
      </c>
      <c r="S425" t="s">
        <v>5097</v>
      </c>
      <c r="T425" t="str" cm="1">
        <f t="array" ref="T425">_xlfn.IFS(
  TEXT(TRIM(S425),"00000")="NULL", "Missing/Unknown",
  OR(TEXT(TRIM(S425),"00000")="89101", TEXT(TRIM(S425),"00000")="89104", TEXT(TRIM(S425),"00000")="89106", TEXT(TRIM(S425),"00000")="89102", TEXT(TRIM(S425),"00000")="89107", TEXT(TRIM(S425),"00000")="89108"), "Urban Core",
  OR(TEXT(TRIM(S425),"00000")="89110", TEXT(TRIM(S425),"00000")="89115", TEXT(TRIM(S425),"00000")="89121", TEXT(TRIM(S425),"00000")="89122", TEXT(TRIM(S425),"00000")="89142", TEXT(TRIM(S425),"00000")="89156"), "East Valley",
  OR(TEXT(TRIM(S425),"00000")="89030", TEXT(TRIM(S425),"00000")="89031", TEXT(TRIM(S425),"00000")="89032", TEXT(TRIM(S425),"00000")="89086", TEXT(TRIM(S425),"00000")="89084", TEXT(TRIM(S425),"00000")="89081"), "North LV",
  OR(TEXT(TRIM(S425),"00000")="89109", TEXT(TRIM(S425),"00000")="89103", TEXT(TRIM(S425),"00000")="89119", TEXT(TRIM(S425),"00000")="89123", TEXT(TRIM(S425),"00000")="89169", TEXT(TRIM(S425),"00000")="89118"), "South/Strip",
  OR(TEXT(TRIM(S425),"00000")="89074", TEXT(TRIM(S425),"00000")="89014", TEXT(TRIM(S425),"00000")="89015", TEXT(TRIM(S425),"00000")="89011", TEXT(TRIM(S425),"00000")="89012"), "Suburban SE",
  OR(TEXT(TRIM(S425),"00000")="89117", TEXT(TRIM(S425),"00000")="89128", TEXT(TRIM(S425),"00000")="89135", TEXT(TRIM(S425),"00000")="89144", TEXT(TRIM(S425),"00000")="89145", TEXT(TRIM(S425),"00000")="89147"), "West Valley",
  TRUE, "Other"
)</f>
        <v>Urban Core</v>
      </c>
      <c r="U425" t="s">
        <v>2433</v>
      </c>
      <c r="V425" t="str">
        <f t="shared" si="27"/>
        <v>Medical Facility</v>
      </c>
    </row>
    <row r="426" spans="1:22">
      <c r="A426" t="s">
        <v>2944</v>
      </c>
      <c r="B426" t="s">
        <v>2945</v>
      </c>
      <c r="C426" s="1">
        <v>45455</v>
      </c>
      <c r="D426" s="4">
        <v>109.04</v>
      </c>
      <c r="E426">
        <v>55</v>
      </c>
      <c r="F426" t="str">
        <f t="shared" si="24"/>
        <v>50's</v>
      </c>
      <c r="G426" t="str" cm="1">
        <f t="array" ref="G426">_xlfn.IFS(
  F426="10's", "Child (5–12)",
  OR(F426="20's", F426="30's"), "Young Adult (20–39)",
  OR(F426="40's", F426="50's"), "Adult (40–59)",
  OR(F426="60's", F426="70's", F426="80's", F426="90's"), "Senior (60+)",
  TRUE, "Unknown"
)</f>
        <v>Adult (40–59)</v>
      </c>
      <c r="H426" t="s">
        <v>841</v>
      </c>
      <c r="I426" t="s">
        <v>54</v>
      </c>
      <c r="J426" t="str">
        <f t="shared" si="25"/>
        <v>Environmental Heat</v>
      </c>
      <c r="K426" t="s">
        <v>172</v>
      </c>
      <c r="L426" t="s">
        <v>1071</v>
      </c>
      <c r="M426" t="s">
        <v>4345</v>
      </c>
      <c r="N426" t="s">
        <v>5101</v>
      </c>
      <c r="O426" t="str" cm="1">
        <f t="array" ref="O426">_xlfn.IFS(
  TEXT(TRIM(N426),"00000")="NULL", "Missing/Unknown",
  OR(TEXT(TRIM(N426),"00000")="89101", TEXT(TRIM(N426),"00000")="89104", TEXT(TRIM(N426),"00000")="89106", TEXT(TRIM(N426),"00000")="89102", TEXT(TRIM(N426),"00000")="89107", TEXT(TRIM(N426),"00000")="89108"), "Urban Core",
  OR(TEXT(TRIM(N426),"00000")="89110", TEXT(TRIM(N426),"00000")="89115", TEXT(TRIM(N426),"00000")="89121", TEXT(TRIM(N426),"00000")="89122", TEXT(TRIM(N426),"00000")="89142", TEXT(TRIM(N426),"00000")="89156"), "East Valley",
  OR(TEXT(TRIM(N426),"00000")="89030", TEXT(TRIM(N426),"00000")="89031", TEXT(TRIM(N426),"00000")="89032", TEXT(TRIM(N426),"00000")="89086", TEXT(TRIM(N426),"00000")="89084", TEXT(TRIM(N426),"00000")="89081"), "North LV",
  OR(TEXT(TRIM(N426),"00000")="89109", TEXT(TRIM(N426),"00000")="89103", TEXT(TRIM(N426),"00000")="89119", TEXT(TRIM(N426),"00000")="89123", TEXT(TRIM(N426),"00000")="89169", TEXT(TRIM(N426),"00000")="89118"), "South/Strip",
  OR(TEXT(TRIM(N426),"00000")="89074", TEXT(TRIM(N426),"00000")="89014", TEXT(TRIM(N426),"00000")="89015", TEXT(TRIM(N426),"00000")="89011", TEXT(TRIM(N426),"00000")="89012"), "Suburban SE",
  OR(TEXT(TRIM(N426),"00000")="89117", TEXT(TRIM(N426),"00000")="89128", TEXT(TRIM(N426),"00000")="89135", TEXT(TRIM(N426),"00000")="89144", TEXT(TRIM(N426),"00000")="89145", TEXT(TRIM(N426),"00000")="89147"), "West Valley",
  TRUE, "Other"
)</f>
        <v>Urban Core</v>
      </c>
      <c r="P426" t="s">
        <v>4299</v>
      </c>
      <c r="Q426" t="str">
        <f t="shared" si="26"/>
        <v>Home/Residence</v>
      </c>
      <c r="R426" t="s">
        <v>4345</v>
      </c>
      <c r="S426" t="s">
        <v>5101</v>
      </c>
      <c r="T426" t="str" cm="1">
        <f t="array" ref="T426">_xlfn.IFS(
  TEXT(TRIM(S426),"00000")="NULL", "Missing/Unknown",
  OR(TEXT(TRIM(S426),"00000")="89101", TEXT(TRIM(S426),"00000")="89104", TEXT(TRIM(S426),"00000")="89106", TEXT(TRIM(S426),"00000")="89102", TEXT(TRIM(S426),"00000")="89107", TEXT(TRIM(S426),"00000")="89108"), "Urban Core",
  OR(TEXT(TRIM(S426),"00000")="89110", TEXT(TRIM(S426),"00000")="89115", TEXT(TRIM(S426),"00000")="89121", TEXT(TRIM(S426),"00000")="89122", TEXT(TRIM(S426),"00000")="89142", TEXT(TRIM(S426),"00000")="89156"), "East Valley",
  OR(TEXT(TRIM(S426),"00000")="89030", TEXT(TRIM(S426),"00000")="89031", TEXT(TRIM(S426),"00000")="89032", TEXT(TRIM(S426),"00000")="89086", TEXT(TRIM(S426),"00000")="89084", TEXT(TRIM(S426),"00000")="89081"), "North LV",
  OR(TEXT(TRIM(S426),"00000")="89109", TEXT(TRIM(S426),"00000")="89103", TEXT(TRIM(S426),"00000")="89119", TEXT(TRIM(S426),"00000")="89123", TEXT(TRIM(S426),"00000")="89169", TEXT(TRIM(S426),"00000")="89118"), "South/Strip",
  OR(TEXT(TRIM(S426),"00000")="89074", TEXT(TRIM(S426),"00000")="89014", TEXT(TRIM(S426),"00000")="89015", TEXT(TRIM(S426),"00000")="89011", TEXT(TRIM(S426),"00000")="89012"), "Suburban SE",
  OR(TEXT(TRIM(S426),"00000")="89117", TEXT(TRIM(S426),"00000")="89128", TEXT(TRIM(S426),"00000")="89135", TEXT(TRIM(S426),"00000")="89144", TEXT(TRIM(S426),"00000")="89145", TEXT(TRIM(S426),"00000")="89147"), "West Valley",
  TRUE, "Other"
)</f>
        <v>Urban Core</v>
      </c>
      <c r="U426" t="s">
        <v>4299</v>
      </c>
      <c r="V426" t="str">
        <f t="shared" si="27"/>
        <v>Home/Residence</v>
      </c>
    </row>
    <row r="427" spans="1:22">
      <c r="A427" t="s">
        <v>3644</v>
      </c>
      <c r="B427" t="s">
        <v>3645</v>
      </c>
      <c r="C427" s="1">
        <v>45455</v>
      </c>
      <c r="D427" s="4">
        <v>109.04</v>
      </c>
      <c r="E427">
        <v>44</v>
      </c>
      <c r="F427" t="str">
        <f t="shared" si="24"/>
        <v>40's</v>
      </c>
      <c r="G427" t="str" cm="1">
        <f t="array" ref="G427">_xlfn.IFS(
  F427="10's", "Child (5–12)",
  OR(F427="20's", F427="30's"), "Young Adult (20–39)",
  OR(F427="40's", F427="50's"), "Adult (40–59)",
  OR(F427="60's", F427="70's", F427="80's", F427="90's"), "Senior (60+)",
  TRUE, "Unknown"
)</f>
        <v>Adult (40–59)</v>
      </c>
      <c r="H427" t="s">
        <v>778</v>
      </c>
      <c r="I427" t="s">
        <v>3646</v>
      </c>
      <c r="J427" t="str">
        <f t="shared" si="25"/>
        <v>Other / Unknown</v>
      </c>
      <c r="K427" t="s">
        <v>4106</v>
      </c>
      <c r="L427" t="s">
        <v>250</v>
      </c>
      <c r="N427" t="s">
        <v>5095</v>
      </c>
      <c r="O427" t="str" cm="1">
        <f t="array" ref="O427">_xlfn.IFS(
  TEXT(TRIM(N427),"00000")="NULL", "Missing/Unknown",
  OR(TEXT(TRIM(N427),"00000")="89101", TEXT(TRIM(N427),"00000")="89104", TEXT(TRIM(N427),"00000")="89106", TEXT(TRIM(N427),"00000")="89102", TEXT(TRIM(N427),"00000")="89107", TEXT(TRIM(N427),"00000")="89108"), "Urban Core",
  OR(TEXT(TRIM(N427),"00000")="89110", TEXT(TRIM(N427),"00000")="89115", TEXT(TRIM(N427),"00000")="89121", TEXT(TRIM(N427),"00000")="89122", TEXT(TRIM(N427),"00000")="89142", TEXT(TRIM(N427),"00000")="89156"), "East Valley",
  OR(TEXT(TRIM(N427),"00000")="89030", TEXT(TRIM(N427),"00000")="89031", TEXT(TRIM(N427),"00000")="89032", TEXT(TRIM(N427),"00000")="89086", TEXT(TRIM(N427),"00000")="89084", TEXT(TRIM(N427),"00000")="89081"), "North LV",
  OR(TEXT(TRIM(N427),"00000")="89109", TEXT(TRIM(N427),"00000")="89103", TEXT(TRIM(N427),"00000")="89119", TEXT(TRIM(N427),"00000")="89123", TEXT(TRIM(N427),"00000")="89169", TEXT(TRIM(N427),"00000")="89118"), "South/Strip",
  OR(TEXT(TRIM(N427),"00000")="89074", TEXT(TRIM(N427),"00000")="89014", TEXT(TRIM(N427),"00000")="89015", TEXT(TRIM(N427),"00000")="89011", TEXT(TRIM(N427),"00000")="89012"), "Suburban SE",
  OR(TEXT(TRIM(N427),"00000")="89117", TEXT(TRIM(N427),"00000")="89128", TEXT(TRIM(N427),"00000")="89135", TEXT(TRIM(N427),"00000")="89144", TEXT(TRIM(N427),"00000")="89145", TEXT(TRIM(N427),"00000")="89147"), "West Valley",
  TRUE, "Other"
)</f>
        <v>Missing/Unknown</v>
      </c>
      <c r="P427" t="s">
        <v>3298</v>
      </c>
      <c r="Q427" t="str">
        <f t="shared" si="26"/>
        <v>Outdoors/Public</v>
      </c>
      <c r="R427" t="s">
        <v>5065</v>
      </c>
      <c r="S427" t="s">
        <v>5144</v>
      </c>
      <c r="T427" t="str" cm="1">
        <f t="array" ref="T427">_xlfn.IFS(
  TEXT(TRIM(S427),"00000")="NULL", "Missing/Unknown",
  OR(TEXT(TRIM(S427),"00000")="89101", TEXT(TRIM(S427),"00000")="89104", TEXT(TRIM(S427),"00000")="89106", TEXT(TRIM(S427),"00000")="89102", TEXT(TRIM(S427),"00000")="89107", TEXT(TRIM(S427),"00000")="89108"), "Urban Core",
  OR(TEXT(TRIM(S427),"00000")="89110", TEXT(TRIM(S427),"00000")="89115", TEXT(TRIM(S427),"00000")="89121", TEXT(TRIM(S427),"00000")="89122", TEXT(TRIM(S427),"00000")="89142", TEXT(TRIM(S427),"00000")="89156"), "East Valley",
  OR(TEXT(TRIM(S427),"00000")="89030", TEXT(TRIM(S427),"00000")="89031", TEXT(TRIM(S427),"00000")="89032", TEXT(TRIM(S427),"00000")="89086", TEXT(TRIM(S427),"00000")="89084", TEXT(TRIM(S427),"00000")="89081"), "North LV",
  OR(TEXT(TRIM(S427),"00000")="89109", TEXT(TRIM(S427),"00000")="89103", TEXT(TRIM(S427),"00000")="89119", TEXT(TRIM(S427),"00000")="89123", TEXT(TRIM(S427),"00000")="89169", TEXT(TRIM(S427),"00000")="89118"), "South/Strip",
  OR(TEXT(TRIM(S427),"00000")="89074", TEXT(TRIM(S427),"00000")="89014", TEXT(TRIM(S427),"00000")="89015", TEXT(TRIM(S427),"00000")="89011", TEXT(TRIM(S427),"00000")="89012"), "Suburban SE",
  OR(TEXT(TRIM(S427),"00000")="89117", TEXT(TRIM(S427),"00000")="89128", TEXT(TRIM(S427),"00000")="89135", TEXT(TRIM(S427),"00000")="89144", TEXT(TRIM(S427),"00000")="89145", TEXT(TRIM(S427),"00000")="89147"), "West Valley",
  TRUE, "Other"
)</f>
        <v>Other</v>
      </c>
      <c r="U427" t="s">
        <v>2413</v>
      </c>
      <c r="V427" t="str">
        <f t="shared" si="27"/>
        <v>Medical Facility</v>
      </c>
    </row>
    <row r="428" spans="1:22">
      <c r="A428" t="s">
        <v>2660</v>
      </c>
      <c r="B428" t="s">
        <v>2661</v>
      </c>
      <c r="C428" s="1">
        <v>45455</v>
      </c>
      <c r="D428" s="4">
        <v>109.04</v>
      </c>
      <c r="E428">
        <v>52</v>
      </c>
      <c r="F428" t="str">
        <f t="shared" si="24"/>
        <v>50's</v>
      </c>
      <c r="G428" t="str" cm="1">
        <f t="array" ref="G428">_xlfn.IFS(
  F428="10's", "Child (5–12)",
  OR(F428="20's", F428="30's"), "Young Adult (20–39)",
  OR(F428="40's", F428="50's"), "Adult (40–59)",
  OR(F428="60's", F428="70's", F428="80's", F428="90's"), "Senior (60+)",
  TRUE, "Unknown"
)</f>
        <v>Adult (40–59)</v>
      </c>
      <c r="H428" t="s">
        <v>841</v>
      </c>
      <c r="I428" t="s">
        <v>1233</v>
      </c>
      <c r="J428" t="str">
        <f t="shared" si="25"/>
        <v>Cardiovascular Disease</v>
      </c>
      <c r="K428" t="s">
        <v>4196</v>
      </c>
      <c r="L428" t="s">
        <v>250</v>
      </c>
      <c r="N428" t="s">
        <v>5095</v>
      </c>
      <c r="O428" t="str" cm="1">
        <f t="array" ref="O428">_xlfn.IFS(
  TEXT(TRIM(N428),"00000")="NULL", "Missing/Unknown",
  OR(TEXT(TRIM(N428),"00000")="89101", TEXT(TRIM(N428),"00000")="89104", TEXT(TRIM(N428),"00000")="89106", TEXT(TRIM(N428),"00000")="89102", TEXT(TRIM(N428),"00000")="89107", TEXT(TRIM(N428),"00000")="89108"), "Urban Core",
  OR(TEXT(TRIM(N428),"00000")="89110", TEXT(TRIM(N428),"00000")="89115", TEXT(TRIM(N428),"00000")="89121", TEXT(TRIM(N428),"00000")="89122", TEXT(TRIM(N428),"00000")="89142", TEXT(TRIM(N428),"00000")="89156"), "East Valley",
  OR(TEXT(TRIM(N428),"00000")="89030", TEXT(TRIM(N428),"00000")="89031", TEXT(TRIM(N428),"00000")="89032", TEXT(TRIM(N428),"00000")="89086", TEXT(TRIM(N428),"00000")="89084", TEXT(TRIM(N428),"00000")="89081"), "North LV",
  OR(TEXT(TRIM(N428),"00000")="89109", TEXT(TRIM(N428),"00000")="89103", TEXT(TRIM(N428),"00000")="89119", TEXT(TRIM(N428),"00000")="89123", TEXT(TRIM(N428),"00000")="89169", TEXT(TRIM(N428),"00000")="89118"), "South/Strip",
  OR(TEXT(TRIM(N428),"00000")="89074", TEXT(TRIM(N428),"00000")="89014", TEXT(TRIM(N428),"00000")="89015", TEXT(TRIM(N428),"00000")="89011", TEXT(TRIM(N428),"00000")="89012"), "Suburban SE",
  OR(TEXT(TRIM(N428),"00000")="89117", TEXT(TRIM(N428),"00000")="89128", TEXT(TRIM(N428),"00000")="89135", TEXT(TRIM(N428),"00000")="89144", TEXT(TRIM(N428),"00000")="89145", TEXT(TRIM(N428),"00000")="89147"), "West Valley",
  TRUE, "Other"
)</f>
        <v>Missing/Unknown</v>
      </c>
      <c r="P428" t="s">
        <v>3298</v>
      </c>
      <c r="Q428" t="str">
        <f t="shared" si="26"/>
        <v>Outdoors/Public</v>
      </c>
      <c r="S428" t="s">
        <v>5095</v>
      </c>
      <c r="T428" t="str" cm="1">
        <f t="array" ref="T428">_xlfn.IFS(
  TEXT(TRIM(S428),"00000")="NULL", "Missing/Unknown",
  OR(TEXT(TRIM(S428),"00000")="89101", TEXT(TRIM(S428),"00000")="89104", TEXT(TRIM(S428),"00000")="89106", TEXT(TRIM(S428),"00000")="89102", TEXT(TRIM(S428),"00000")="89107", TEXT(TRIM(S428),"00000")="89108"), "Urban Core",
  OR(TEXT(TRIM(S428),"00000")="89110", TEXT(TRIM(S428),"00000")="89115", TEXT(TRIM(S428),"00000")="89121", TEXT(TRIM(S428),"00000")="89122", TEXT(TRIM(S428),"00000")="89142", TEXT(TRIM(S428),"00000")="89156"), "East Valley",
  OR(TEXT(TRIM(S428),"00000")="89030", TEXT(TRIM(S428),"00000")="89031", TEXT(TRIM(S428),"00000")="89032", TEXT(TRIM(S428),"00000")="89086", TEXT(TRIM(S428),"00000")="89084", TEXT(TRIM(S428),"00000")="89081"), "North LV",
  OR(TEXT(TRIM(S428),"00000")="89109", TEXT(TRIM(S428),"00000")="89103", TEXT(TRIM(S428),"00000")="89119", TEXT(TRIM(S428),"00000")="89123", TEXT(TRIM(S428),"00000")="89169", TEXT(TRIM(S428),"00000")="89118"), "South/Strip",
  OR(TEXT(TRIM(S428),"00000")="89074", TEXT(TRIM(S428),"00000")="89014", TEXT(TRIM(S428),"00000")="89015", TEXT(TRIM(S428),"00000")="89011", TEXT(TRIM(S428),"00000")="89012"), "Suburban SE",
  OR(TEXT(TRIM(S428),"00000")="89117", TEXT(TRIM(S428),"00000")="89128", TEXT(TRIM(S428),"00000")="89135", TEXT(TRIM(S428),"00000")="89144", TEXT(TRIM(S428),"00000")="89145", TEXT(TRIM(S428),"00000")="89147"), "West Valley",
  TRUE, "Other"
)</f>
        <v>Missing/Unknown</v>
      </c>
      <c r="U428" t="s">
        <v>3298</v>
      </c>
      <c r="V428" t="str">
        <f t="shared" si="27"/>
        <v>Outdoors/Public</v>
      </c>
    </row>
    <row r="429" spans="1:22">
      <c r="A429" t="s">
        <v>3355</v>
      </c>
      <c r="B429" t="s">
        <v>3356</v>
      </c>
      <c r="C429" s="1">
        <v>45455</v>
      </c>
      <c r="D429" s="4">
        <v>109.04</v>
      </c>
      <c r="E429">
        <v>57</v>
      </c>
      <c r="F429" t="str">
        <f t="shared" si="24"/>
        <v>50's</v>
      </c>
      <c r="G429" t="str" cm="1">
        <f t="array" ref="G429">_xlfn.IFS(
  F429="10's", "Child (5–12)",
  OR(F429="20's", F429="30's"), "Young Adult (20–39)",
  OR(F429="40's", F429="50's"), "Adult (40–59)",
  OR(F429="60's", F429="70's", F429="80's", F429="90's"), "Senior (60+)",
  TRUE, "Unknown"
)</f>
        <v>Adult (40–59)</v>
      </c>
      <c r="H429" t="s">
        <v>841</v>
      </c>
      <c r="I429" t="s">
        <v>4311</v>
      </c>
      <c r="J429" t="str">
        <f t="shared" si="25"/>
        <v>Fentanyl-related</v>
      </c>
      <c r="K429" t="s">
        <v>54</v>
      </c>
      <c r="L429" t="s">
        <v>250</v>
      </c>
      <c r="N429" t="s">
        <v>5095</v>
      </c>
      <c r="O429" t="str" cm="1">
        <f t="array" ref="O429">_xlfn.IFS(
  TEXT(TRIM(N429),"00000")="NULL", "Missing/Unknown",
  OR(TEXT(TRIM(N429),"00000")="89101", TEXT(TRIM(N429),"00000")="89104", TEXT(TRIM(N429),"00000")="89106", TEXT(TRIM(N429),"00000")="89102", TEXT(TRIM(N429),"00000")="89107", TEXT(TRIM(N429),"00000")="89108"), "Urban Core",
  OR(TEXT(TRIM(N429),"00000")="89110", TEXT(TRIM(N429),"00000")="89115", TEXT(TRIM(N429),"00000")="89121", TEXT(TRIM(N429),"00000")="89122", TEXT(TRIM(N429),"00000")="89142", TEXT(TRIM(N429),"00000")="89156"), "East Valley",
  OR(TEXT(TRIM(N429),"00000")="89030", TEXT(TRIM(N429),"00000")="89031", TEXT(TRIM(N429),"00000")="89032", TEXT(TRIM(N429),"00000")="89086", TEXT(TRIM(N429),"00000")="89084", TEXT(TRIM(N429),"00000")="89081"), "North LV",
  OR(TEXT(TRIM(N429),"00000")="89109", TEXT(TRIM(N429),"00000")="89103", TEXT(TRIM(N429),"00000")="89119", TEXT(TRIM(N429),"00000")="89123", TEXT(TRIM(N429),"00000")="89169", TEXT(TRIM(N429),"00000")="89118"), "South/Strip",
  OR(TEXT(TRIM(N429),"00000")="89074", TEXT(TRIM(N429),"00000")="89014", TEXT(TRIM(N429),"00000")="89015", TEXT(TRIM(N429),"00000")="89011", TEXT(TRIM(N429),"00000")="89012"), "Suburban SE",
  OR(TEXT(TRIM(N429),"00000")="89117", TEXT(TRIM(N429),"00000")="89128", TEXT(TRIM(N429),"00000")="89135", TEXT(TRIM(N429),"00000")="89144", TEXT(TRIM(N429),"00000")="89145", TEXT(TRIM(N429),"00000")="89147"), "West Valley",
  TRUE, "Other"
)</f>
        <v>Missing/Unknown</v>
      </c>
      <c r="P429" t="s">
        <v>38</v>
      </c>
      <c r="Q429" t="str">
        <f t="shared" si="26"/>
        <v>Home/Residence</v>
      </c>
      <c r="R429" t="s">
        <v>5092</v>
      </c>
      <c r="S429" t="s">
        <v>5125</v>
      </c>
      <c r="T429" t="str" cm="1">
        <f t="array" ref="T429">_xlfn.IFS(
  TEXT(TRIM(S429),"00000")="NULL", "Missing/Unknown",
  OR(TEXT(TRIM(S429),"00000")="89101", TEXT(TRIM(S429),"00000")="89104", TEXT(TRIM(S429),"00000")="89106", TEXT(TRIM(S429),"00000")="89102", TEXT(TRIM(S429),"00000")="89107", TEXT(TRIM(S429),"00000")="89108"), "Urban Core",
  OR(TEXT(TRIM(S429),"00000")="89110", TEXT(TRIM(S429),"00000")="89115", TEXT(TRIM(S429),"00000")="89121", TEXT(TRIM(S429),"00000")="89122", TEXT(TRIM(S429),"00000")="89142", TEXT(TRIM(S429),"00000")="89156"), "East Valley",
  OR(TEXT(TRIM(S429),"00000")="89030", TEXT(TRIM(S429),"00000")="89031", TEXT(TRIM(S429),"00000")="89032", TEXT(TRIM(S429),"00000")="89086", TEXT(TRIM(S429),"00000")="89084", TEXT(TRIM(S429),"00000")="89081"), "North LV",
  OR(TEXT(TRIM(S429),"00000")="89109", TEXT(TRIM(S429),"00000")="89103", TEXT(TRIM(S429),"00000")="89119", TEXT(TRIM(S429),"00000")="89123", TEXT(TRIM(S429),"00000")="89169", TEXT(TRIM(S429),"00000")="89118"), "South/Strip",
  OR(TEXT(TRIM(S429),"00000")="89074", TEXT(TRIM(S429),"00000")="89014", TEXT(TRIM(S429),"00000")="89015", TEXT(TRIM(S429),"00000")="89011", TEXT(TRIM(S429),"00000")="89012"), "Suburban SE",
  OR(TEXT(TRIM(S429),"00000")="89117", TEXT(TRIM(S429),"00000")="89128", TEXT(TRIM(S429),"00000")="89135", TEXT(TRIM(S429),"00000")="89144", TEXT(TRIM(S429),"00000")="89145", TEXT(TRIM(S429),"00000")="89147"), "West Valley",
  TRUE, "Other"
)</f>
        <v>South/Strip</v>
      </c>
      <c r="U429" t="s">
        <v>38</v>
      </c>
      <c r="V429" t="str">
        <f t="shared" si="27"/>
        <v>Home/Residence</v>
      </c>
    </row>
    <row r="430" spans="1:22">
      <c r="A430" t="s">
        <v>2456</v>
      </c>
      <c r="B430" t="s">
        <v>2457</v>
      </c>
      <c r="C430" s="1">
        <v>45454</v>
      </c>
      <c r="D430" s="4">
        <v>105.98</v>
      </c>
      <c r="E430">
        <v>46</v>
      </c>
      <c r="F430" t="str">
        <f t="shared" si="24"/>
        <v>40's</v>
      </c>
      <c r="G430" t="str" cm="1">
        <f t="array" ref="G430">_xlfn.IFS(
  F430="10's", "Child (5–12)",
  OR(F430="20's", F430="30's"), "Young Adult (20–39)",
  OR(F430="40's", F430="50's"), "Adult (40–59)",
  OR(F430="60's", F430="70's", F430="80's", F430="90's"), "Senior (60+)",
  TRUE, "Unknown"
)</f>
        <v>Adult (40–59)</v>
      </c>
      <c r="H430" t="s">
        <v>841</v>
      </c>
      <c r="I430" t="s">
        <v>4040</v>
      </c>
      <c r="J430" t="str">
        <f t="shared" si="25"/>
        <v>Methamphetamine-related</v>
      </c>
      <c r="K430" t="s">
        <v>54</v>
      </c>
      <c r="L430" t="s">
        <v>250</v>
      </c>
      <c r="M430" t="s">
        <v>4342</v>
      </c>
      <c r="N430" t="s">
        <v>5101</v>
      </c>
      <c r="O430" t="str" cm="1">
        <f t="array" ref="O430">_xlfn.IFS(
  TEXT(TRIM(N430),"00000")="NULL", "Missing/Unknown",
  OR(TEXT(TRIM(N430),"00000")="89101", TEXT(TRIM(N430),"00000")="89104", TEXT(TRIM(N430),"00000")="89106", TEXT(TRIM(N430),"00000")="89102", TEXT(TRIM(N430),"00000")="89107", TEXT(TRIM(N430),"00000")="89108"), "Urban Core",
  OR(TEXT(TRIM(N430),"00000")="89110", TEXT(TRIM(N430),"00000")="89115", TEXT(TRIM(N430),"00000")="89121", TEXT(TRIM(N430),"00000")="89122", TEXT(TRIM(N430),"00000")="89142", TEXT(TRIM(N430),"00000")="89156"), "East Valley",
  OR(TEXT(TRIM(N430),"00000")="89030", TEXT(TRIM(N430),"00000")="89031", TEXT(TRIM(N430),"00000")="89032", TEXT(TRIM(N430),"00000")="89086", TEXT(TRIM(N430),"00000")="89084", TEXT(TRIM(N430),"00000")="89081"), "North LV",
  OR(TEXT(TRIM(N430),"00000")="89109", TEXT(TRIM(N430),"00000")="89103", TEXT(TRIM(N430),"00000")="89119", TEXT(TRIM(N430),"00000")="89123", TEXT(TRIM(N430),"00000")="89169", TEXT(TRIM(N430),"00000")="89118"), "South/Strip",
  OR(TEXT(TRIM(N430),"00000")="89074", TEXT(TRIM(N430),"00000")="89014", TEXT(TRIM(N430),"00000")="89015", TEXT(TRIM(N430),"00000")="89011", TEXT(TRIM(N430),"00000")="89012"), "Suburban SE",
  OR(TEXT(TRIM(N430),"00000")="89117", TEXT(TRIM(N430),"00000")="89128", TEXT(TRIM(N430),"00000")="89135", TEXT(TRIM(N430),"00000")="89144", TEXT(TRIM(N430),"00000")="89145", TEXT(TRIM(N430),"00000")="89147"), "West Valley",
  TRUE, "Other"
)</f>
        <v>Urban Core</v>
      </c>
      <c r="P430" t="s">
        <v>3298</v>
      </c>
      <c r="Q430" t="str">
        <f t="shared" si="26"/>
        <v>Outdoors/Public</v>
      </c>
      <c r="R430" t="s">
        <v>4342</v>
      </c>
      <c r="S430" t="s">
        <v>5101</v>
      </c>
      <c r="T430" t="str" cm="1">
        <f t="array" ref="T430">_xlfn.IFS(
  TEXT(TRIM(S430),"00000")="NULL", "Missing/Unknown",
  OR(TEXT(TRIM(S430),"00000")="89101", TEXT(TRIM(S430),"00000")="89104", TEXT(TRIM(S430),"00000")="89106", TEXT(TRIM(S430),"00000")="89102", TEXT(TRIM(S430),"00000")="89107", TEXT(TRIM(S430),"00000")="89108"), "Urban Core",
  OR(TEXT(TRIM(S430),"00000")="89110", TEXT(TRIM(S430),"00000")="89115", TEXT(TRIM(S430),"00000")="89121", TEXT(TRIM(S430),"00000")="89122", TEXT(TRIM(S430),"00000")="89142", TEXT(TRIM(S430),"00000")="89156"), "East Valley",
  OR(TEXT(TRIM(S430),"00000")="89030", TEXT(TRIM(S430),"00000")="89031", TEXT(TRIM(S430),"00000")="89032", TEXT(TRIM(S430),"00000")="89086", TEXT(TRIM(S430),"00000")="89084", TEXT(TRIM(S430),"00000")="89081"), "North LV",
  OR(TEXT(TRIM(S430),"00000")="89109", TEXT(TRIM(S430),"00000")="89103", TEXT(TRIM(S430),"00000")="89119", TEXT(TRIM(S430),"00000")="89123", TEXT(TRIM(S430),"00000")="89169", TEXT(TRIM(S430),"00000")="89118"), "South/Strip",
  OR(TEXT(TRIM(S430),"00000")="89074", TEXT(TRIM(S430),"00000")="89014", TEXT(TRIM(S430),"00000")="89015", TEXT(TRIM(S430),"00000")="89011", TEXT(TRIM(S430),"00000")="89012"), "Suburban SE",
  OR(TEXT(TRIM(S430),"00000")="89117", TEXT(TRIM(S430),"00000")="89128", TEXT(TRIM(S430),"00000")="89135", TEXT(TRIM(S430),"00000")="89144", TEXT(TRIM(S430),"00000")="89145", TEXT(TRIM(S430),"00000")="89147"), "West Valley",
  TRUE, "Other"
)</f>
        <v>Urban Core</v>
      </c>
      <c r="U430" t="s">
        <v>3298</v>
      </c>
      <c r="V430" t="str">
        <f t="shared" si="27"/>
        <v>Outdoors/Public</v>
      </c>
    </row>
    <row r="431" spans="1:22">
      <c r="A431" t="s">
        <v>3634</v>
      </c>
      <c r="B431" t="s">
        <v>3635</v>
      </c>
      <c r="C431" s="1">
        <v>45453</v>
      </c>
      <c r="D431" s="4">
        <v>100.94</v>
      </c>
      <c r="E431">
        <v>74</v>
      </c>
      <c r="F431" t="str">
        <f t="shared" si="24"/>
        <v>70's</v>
      </c>
      <c r="G431" t="str" cm="1">
        <f t="array" ref="G431">_xlfn.IFS(
  F431="10's", "Child (5–12)",
  OR(F431="20's", F431="30's"), "Young Adult (20–39)",
  OR(F431="40's", F431="50's"), "Adult (40–59)",
  OR(F431="60's", F431="70's", F431="80's", F431="90's"), "Senior (60+)",
  TRUE, "Unknown"
)</f>
        <v>Senior (60+)</v>
      </c>
      <c r="H431" t="s">
        <v>841</v>
      </c>
      <c r="I431" t="s">
        <v>4075</v>
      </c>
      <c r="J431" t="str">
        <f t="shared" si="25"/>
        <v>Cardiovascular Disease</v>
      </c>
      <c r="K431" t="s">
        <v>4197</v>
      </c>
      <c r="L431" t="s">
        <v>1071</v>
      </c>
      <c r="M431" t="s">
        <v>4353</v>
      </c>
      <c r="N431" t="s">
        <v>5122</v>
      </c>
      <c r="O431" t="str" cm="1">
        <f t="array" ref="O431">_xlfn.IFS(
  TEXT(TRIM(N431),"00000")="NULL", "Missing/Unknown",
  OR(TEXT(TRIM(N431),"00000")="89101", TEXT(TRIM(N431),"00000")="89104", TEXT(TRIM(N431),"00000")="89106", TEXT(TRIM(N431),"00000")="89102", TEXT(TRIM(N431),"00000")="89107", TEXT(TRIM(N431),"00000")="89108"), "Urban Core",
  OR(TEXT(TRIM(N431),"00000")="89110", TEXT(TRIM(N431),"00000")="89115", TEXT(TRIM(N431),"00000")="89121", TEXT(TRIM(N431),"00000")="89122", TEXT(TRIM(N431),"00000")="89142", TEXT(TRIM(N431),"00000")="89156"), "East Valley",
  OR(TEXT(TRIM(N431),"00000")="89030", TEXT(TRIM(N431),"00000")="89031", TEXT(TRIM(N431),"00000")="89032", TEXT(TRIM(N431),"00000")="89086", TEXT(TRIM(N431),"00000")="89084", TEXT(TRIM(N431),"00000")="89081"), "North LV",
  OR(TEXT(TRIM(N431),"00000")="89109", TEXT(TRIM(N431),"00000")="89103", TEXT(TRIM(N431),"00000")="89119", TEXT(TRIM(N431),"00000")="89123", TEXT(TRIM(N431),"00000")="89169", TEXT(TRIM(N431),"00000")="89118"), "South/Strip",
  OR(TEXT(TRIM(N431),"00000")="89074", TEXT(TRIM(N431),"00000")="89014", TEXT(TRIM(N431),"00000")="89015", TEXT(TRIM(N431),"00000")="89011", TEXT(TRIM(N431),"00000")="89012"), "Suburban SE",
  OR(TEXT(TRIM(N431),"00000")="89117", TEXT(TRIM(N431),"00000")="89128", TEXT(TRIM(N431),"00000")="89135", TEXT(TRIM(N431),"00000")="89144", TEXT(TRIM(N431),"00000")="89145", TEXT(TRIM(N431),"00000")="89147"), "West Valley",
  TRUE, "Other"
)</f>
        <v>East Valley</v>
      </c>
      <c r="P431" t="s">
        <v>38</v>
      </c>
      <c r="Q431" t="str">
        <f t="shared" si="26"/>
        <v>Home/Residence</v>
      </c>
      <c r="R431" t="s">
        <v>4353</v>
      </c>
      <c r="S431" t="s">
        <v>5122</v>
      </c>
      <c r="T431" t="str" cm="1">
        <f t="array" ref="T431">_xlfn.IFS(
  TEXT(TRIM(S431),"00000")="NULL", "Missing/Unknown",
  OR(TEXT(TRIM(S431),"00000")="89101", TEXT(TRIM(S431),"00000")="89104", TEXT(TRIM(S431),"00000")="89106", TEXT(TRIM(S431),"00000")="89102", TEXT(TRIM(S431),"00000")="89107", TEXT(TRIM(S431),"00000")="89108"), "Urban Core",
  OR(TEXT(TRIM(S431),"00000")="89110", TEXT(TRIM(S431),"00000")="89115", TEXT(TRIM(S431),"00000")="89121", TEXT(TRIM(S431),"00000")="89122", TEXT(TRIM(S431),"00000")="89142", TEXT(TRIM(S431),"00000")="89156"), "East Valley",
  OR(TEXT(TRIM(S431),"00000")="89030", TEXT(TRIM(S431),"00000")="89031", TEXT(TRIM(S431),"00000")="89032", TEXT(TRIM(S431),"00000")="89086", TEXT(TRIM(S431),"00000")="89084", TEXT(TRIM(S431),"00000")="89081"), "North LV",
  OR(TEXT(TRIM(S431),"00000")="89109", TEXT(TRIM(S431),"00000")="89103", TEXT(TRIM(S431),"00000")="89119", TEXT(TRIM(S431),"00000")="89123", TEXT(TRIM(S431),"00000")="89169", TEXT(TRIM(S431),"00000")="89118"), "South/Strip",
  OR(TEXT(TRIM(S431),"00000")="89074", TEXT(TRIM(S431),"00000")="89014", TEXT(TRIM(S431),"00000")="89015", TEXT(TRIM(S431),"00000")="89011", TEXT(TRIM(S431),"00000")="89012"), "Suburban SE",
  OR(TEXT(TRIM(S431),"00000")="89117", TEXT(TRIM(S431),"00000")="89128", TEXT(TRIM(S431),"00000")="89135", TEXT(TRIM(S431),"00000")="89144", TEXT(TRIM(S431),"00000")="89145", TEXT(TRIM(S431),"00000")="89147"), "West Valley",
  TRUE, "Other"
)</f>
        <v>East Valley</v>
      </c>
      <c r="U431" t="s">
        <v>38</v>
      </c>
      <c r="V431" t="str">
        <f t="shared" si="27"/>
        <v>Home/Residence</v>
      </c>
    </row>
    <row r="432" spans="1:22">
      <c r="A432" t="s">
        <v>3963</v>
      </c>
      <c r="B432" t="s">
        <v>3964</v>
      </c>
      <c r="C432" s="1">
        <v>45452</v>
      </c>
      <c r="D432" s="4">
        <v>102.02</v>
      </c>
      <c r="E432">
        <v>40</v>
      </c>
      <c r="F432" t="str">
        <f t="shared" si="24"/>
        <v>40's</v>
      </c>
      <c r="G432" t="str" cm="1">
        <f t="array" ref="G432">_xlfn.IFS(
  F432="10's", "Child (5–12)",
  OR(F432="20's", F432="30's"), "Young Adult (20–39)",
  OR(F432="40's", F432="50's"), "Adult (40–59)",
  OR(F432="60's", F432="70's", F432="80's", F432="90's"), "Senior (60+)",
  TRUE, "Unknown"
)</f>
        <v>Adult (40–59)</v>
      </c>
      <c r="H432" t="s">
        <v>841</v>
      </c>
      <c r="I432" t="s">
        <v>4025</v>
      </c>
      <c r="J432" t="str">
        <f t="shared" si="25"/>
        <v>Methamphetamine-related</v>
      </c>
      <c r="K432" t="s">
        <v>4158</v>
      </c>
      <c r="L432" t="s">
        <v>250</v>
      </c>
      <c r="N432" t="s">
        <v>5095</v>
      </c>
      <c r="O432" t="str" cm="1">
        <f t="array" ref="O432">_xlfn.IFS(
  TEXT(TRIM(N432),"00000")="NULL", "Missing/Unknown",
  OR(TEXT(TRIM(N432),"00000")="89101", TEXT(TRIM(N432),"00000")="89104", TEXT(TRIM(N432),"00000")="89106", TEXT(TRIM(N432),"00000")="89102", TEXT(TRIM(N432),"00000")="89107", TEXT(TRIM(N432),"00000")="89108"), "Urban Core",
  OR(TEXT(TRIM(N432),"00000")="89110", TEXT(TRIM(N432),"00000")="89115", TEXT(TRIM(N432),"00000")="89121", TEXT(TRIM(N432),"00000")="89122", TEXT(TRIM(N432),"00000")="89142", TEXT(TRIM(N432),"00000")="89156"), "East Valley",
  OR(TEXT(TRIM(N432),"00000")="89030", TEXT(TRIM(N432),"00000")="89031", TEXT(TRIM(N432),"00000")="89032", TEXT(TRIM(N432),"00000")="89086", TEXT(TRIM(N432),"00000")="89084", TEXT(TRIM(N432),"00000")="89081"), "North LV",
  OR(TEXT(TRIM(N432),"00000")="89109", TEXT(TRIM(N432),"00000")="89103", TEXT(TRIM(N432),"00000")="89119", TEXT(TRIM(N432),"00000")="89123", TEXT(TRIM(N432),"00000")="89169", TEXT(TRIM(N432),"00000")="89118"), "South/Strip",
  OR(TEXT(TRIM(N432),"00000")="89074", TEXT(TRIM(N432),"00000")="89014", TEXT(TRIM(N432),"00000")="89015", TEXT(TRIM(N432),"00000")="89011", TEXT(TRIM(N432),"00000")="89012"), "Suburban SE",
  OR(TEXT(TRIM(N432),"00000")="89117", TEXT(TRIM(N432),"00000")="89128", TEXT(TRIM(N432),"00000")="89135", TEXT(TRIM(N432),"00000")="89144", TEXT(TRIM(N432),"00000")="89145", TEXT(TRIM(N432),"00000")="89147"), "West Valley",
  TRUE, "Other"
)</f>
        <v>Missing/Unknown</v>
      </c>
      <c r="P432" t="s">
        <v>38</v>
      </c>
      <c r="Q432" t="str">
        <f t="shared" si="26"/>
        <v>Home/Residence</v>
      </c>
      <c r="S432" t="s">
        <v>5095</v>
      </c>
      <c r="T432" t="str" cm="1">
        <f t="array" ref="T432">_xlfn.IFS(
  TEXT(TRIM(S432),"00000")="NULL", "Missing/Unknown",
  OR(TEXT(TRIM(S432),"00000")="89101", TEXT(TRIM(S432),"00000")="89104", TEXT(TRIM(S432),"00000")="89106", TEXT(TRIM(S432),"00000")="89102", TEXT(TRIM(S432),"00000")="89107", TEXT(TRIM(S432),"00000")="89108"), "Urban Core",
  OR(TEXT(TRIM(S432),"00000")="89110", TEXT(TRIM(S432),"00000")="89115", TEXT(TRIM(S432),"00000")="89121", TEXT(TRIM(S432),"00000")="89122", TEXT(TRIM(S432),"00000")="89142", TEXT(TRIM(S432),"00000")="89156"), "East Valley",
  OR(TEXT(TRIM(S432),"00000")="89030", TEXT(TRIM(S432),"00000")="89031", TEXT(TRIM(S432),"00000")="89032", TEXT(TRIM(S432),"00000")="89086", TEXT(TRIM(S432),"00000")="89084", TEXT(TRIM(S432),"00000")="89081"), "North LV",
  OR(TEXT(TRIM(S432),"00000")="89109", TEXT(TRIM(S432),"00000")="89103", TEXT(TRIM(S432),"00000")="89119", TEXT(TRIM(S432),"00000")="89123", TEXT(TRIM(S432),"00000")="89169", TEXT(TRIM(S432),"00000")="89118"), "South/Strip",
  OR(TEXT(TRIM(S432),"00000")="89074", TEXT(TRIM(S432),"00000")="89014", TEXT(TRIM(S432),"00000")="89015", TEXT(TRIM(S432),"00000")="89011", TEXT(TRIM(S432),"00000")="89012"), "Suburban SE",
  OR(TEXT(TRIM(S432),"00000")="89117", TEXT(TRIM(S432),"00000")="89128", TEXT(TRIM(S432),"00000")="89135", TEXT(TRIM(S432),"00000")="89144", TEXT(TRIM(S432),"00000")="89145", TEXT(TRIM(S432),"00000")="89147"), "West Valley",
  TRUE, "Other"
)</f>
        <v>Missing/Unknown</v>
      </c>
      <c r="U432" t="s">
        <v>38</v>
      </c>
      <c r="V432" t="str">
        <f t="shared" si="27"/>
        <v>Home/Residence</v>
      </c>
    </row>
    <row r="433" spans="1:22">
      <c r="A433" t="s">
        <v>3680</v>
      </c>
      <c r="B433" t="s">
        <v>3681</v>
      </c>
      <c r="C433" s="1">
        <v>45451</v>
      </c>
      <c r="D433" s="4">
        <v>105.98</v>
      </c>
      <c r="E433">
        <v>65</v>
      </c>
      <c r="F433" t="str">
        <f t="shared" si="24"/>
        <v>60's</v>
      </c>
      <c r="G433" t="str" cm="1">
        <f t="array" ref="G433">_xlfn.IFS(
  F433="10's", "Child (5–12)",
  OR(F433="20's", F433="30's"), "Young Adult (20–39)",
  OR(F433="40's", F433="50's"), "Adult (40–59)",
  OR(F433="60's", F433="70's", F433="80's", F433="90's"), "Senior (60+)",
  TRUE, "Unknown"
)</f>
        <v>Senior (60+)</v>
      </c>
      <c r="H433" t="s">
        <v>841</v>
      </c>
      <c r="I433" t="s">
        <v>135</v>
      </c>
      <c r="J433" t="str">
        <f t="shared" si="25"/>
        <v>Methamphetamine-related</v>
      </c>
      <c r="K433" t="s">
        <v>35</v>
      </c>
      <c r="L433" t="s">
        <v>250</v>
      </c>
      <c r="N433" t="s">
        <v>5095</v>
      </c>
      <c r="O433" t="str" cm="1">
        <f t="array" ref="O433">_xlfn.IFS(
  TEXT(TRIM(N433),"00000")="NULL", "Missing/Unknown",
  OR(TEXT(TRIM(N433),"00000")="89101", TEXT(TRIM(N433),"00000")="89104", TEXT(TRIM(N433),"00000")="89106", TEXT(TRIM(N433),"00000")="89102", TEXT(TRIM(N433),"00000")="89107", TEXT(TRIM(N433),"00000")="89108"), "Urban Core",
  OR(TEXT(TRIM(N433),"00000")="89110", TEXT(TRIM(N433),"00000")="89115", TEXT(TRIM(N433),"00000")="89121", TEXT(TRIM(N433),"00000")="89122", TEXT(TRIM(N433),"00000")="89142", TEXT(TRIM(N433),"00000")="89156"), "East Valley",
  OR(TEXT(TRIM(N433),"00000")="89030", TEXT(TRIM(N433),"00000")="89031", TEXT(TRIM(N433),"00000")="89032", TEXT(TRIM(N433),"00000")="89086", TEXT(TRIM(N433),"00000")="89084", TEXT(TRIM(N433),"00000")="89081"), "North LV",
  OR(TEXT(TRIM(N433),"00000")="89109", TEXT(TRIM(N433),"00000")="89103", TEXT(TRIM(N433),"00000")="89119", TEXT(TRIM(N433),"00000")="89123", TEXT(TRIM(N433),"00000")="89169", TEXT(TRIM(N433),"00000")="89118"), "South/Strip",
  OR(TEXT(TRIM(N433),"00000")="89074", TEXT(TRIM(N433),"00000")="89014", TEXT(TRIM(N433),"00000")="89015", TEXT(TRIM(N433),"00000")="89011", TEXT(TRIM(N433),"00000")="89012"), "Suburban SE",
  OR(TEXT(TRIM(N433),"00000")="89117", TEXT(TRIM(N433),"00000")="89128", TEXT(TRIM(N433),"00000")="89135", TEXT(TRIM(N433),"00000")="89144", TEXT(TRIM(N433),"00000")="89145", TEXT(TRIM(N433),"00000")="89147"), "West Valley",
  TRUE, "Other"
)</f>
        <v>Missing/Unknown</v>
      </c>
      <c r="P433" t="s">
        <v>38</v>
      </c>
      <c r="Q433" t="str">
        <f t="shared" si="26"/>
        <v>Home/Residence</v>
      </c>
      <c r="R433" t="s">
        <v>4341</v>
      </c>
      <c r="S433" t="s">
        <v>5100</v>
      </c>
      <c r="T433" t="str" cm="1">
        <f t="array" ref="T433">_xlfn.IFS(
  TEXT(TRIM(S433),"00000")="NULL", "Missing/Unknown",
  OR(TEXT(TRIM(S433),"00000")="89101", TEXT(TRIM(S433),"00000")="89104", TEXT(TRIM(S433),"00000")="89106", TEXT(TRIM(S433),"00000")="89102", TEXT(TRIM(S433),"00000")="89107", TEXT(TRIM(S433),"00000")="89108"), "Urban Core",
  OR(TEXT(TRIM(S433),"00000")="89110", TEXT(TRIM(S433),"00000")="89115", TEXT(TRIM(S433),"00000")="89121", TEXT(TRIM(S433),"00000")="89122", TEXT(TRIM(S433),"00000")="89142", TEXT(TRIM(S433),"00000")="89156"), "East Valley",
  OR(TEXT(TRIM(S433),"00000")="89030", TEXT(TRIM(S433),"00000")="89031", TEXT(TRIM(S433),"00000")="89032", TEXT(TRIM(S433),"00000")="89086", TEXT(TRIM(S433),"00000")="89084", TEXT(TRIM(S433),"00000")="89081"), "North LV",
  OR(TEXT(TRIM(S433),"00000")="89109", TEXT(TRIM(S433),"00000")="89103", TEXT(TRIM(S433),"00000")="89119", TEXT(TRIM(S433),"00000")="89123", TEXT(TRIM(S433),"00000")="89169", TEXT(TRIM(S433),"00000")="89118"), "South/Strip",
  OR(TEXT(TRIM(S433),"00000")="89074", TEXT(TRIM(S433),"00000")="89014", TEXT(TRIM(S433),"00000")="89015", TEXT(TRIM(S433),"00000")="89011", TEXT(TRIM(S433),"00000")="89012"), "Suburban SE",
  OR(TEXT(TRIM(S433),"00000")="89117", TEXT(TRIM(S433),"00000")="89128", TEXT(TRIM(S433),"00000")="89135", TEXT(TRIM(S433),"00000")="89144", TEXT(TRIM(S433),"00000")="89145", TEXT(TRIM(S433),"00000")="89147"), "West Valley",
  TRUE, "Other"
)</f>
        <v>North LV</v>
      </c>
      <c r="U433" t="s">
        <v>2413</v>
      </c>
      <c r="V433" t="str">
        <f t="shared" si="27"/>
        <v>Medical Facility</v>
      </c>
    </row>
    <row r="434" spans="1:22">
      <c r="A434" t="s">
        <v>2844</v>
      </c>
      <c r="B434" t="s">
        <v>2845</v>
      </c>
      <c r="C434" s="1">
        <v>45451</v>
      </c>
      <c r="D434" s="4">
        <v>105.98</v>
      </c>
      <c r="E434">
        <v>56</v>
      </c>
      <c r="F434" t="str">
        <f t="shared" si="24"/>
        <v>50's</v>
      </c>
      <c r="G434" t="str" cm="1">
        <f t="array" ref="G434">_xlfn.IFS(
  F434="10's", "Child (5–12)",
  OR(F434="20's", F434="30's"), "Young Adult (20–39)",
  OR(F434="40's", F434="50's"), "Adult (40–59)",
  OR(F434="60's", F434="70's", F434="80's", F434="90's"), "Senior (60+)",
  TRUE, "Unknown"
)</f>
        <v>Adult (40–59)</v>
      </c>
      <c r="H434" t="s">
        <v>841</v>
      </c>
      <c r="I434" t="s">
        <v>1124</v>
      </c>
      <c r="J434" t="str">
        <f t="shared" si="25"/>
        <v>Cardiovascular Disease</v>
      </c>
      <c r="K434" t="s">
        <v>54</v>
      </c>
      <c r="L434" t="s">
        <v>250</v>
      </c>
      <c r="M434" t="s">
        <v>4344</v>
      </c>
      <c r="N434" t="s">
        <v>5119</v>
      </c>
      <c r="O434" t="str" cm="1">
        <f t="array" ref="O434">_xlfn.IFS(
  TEXT(TRIM(N434),"00000")="NULL", "Missing/Unknown",
  OR(TEXT(TRIM(N434),"00000")="89101", TEXT(TRIM(N434),"00000")="89104", TEXT(TRIM(N434),"00000")="89106", TEXT(TRIM(N434),"00000")="89102", TEXT(TRIM(N434),"00000")="89107", TEXT(TRIM(N434),"00000")="89108"), "Urban Core",
  OR(TEXT(TRIM(N434),"00000")="89110", TEXT(TRIM(N434),"00000")="89115", TEXT(TRIM(N434),"00000")="89121", TEXT(TRIM(N434),"00000")="89122", TEXT(TRIM(N434),"00000")="89142", TEXT(TRIM(N434),"00000")="89156"), "East Valley",
  OR(TEXT(TRIM(N434),"00000")="89030", TEXT(TRIM(N434),"00000")="89031", TEXT(TRIM(N434),"00000")="89032", TEXT(TRIM(N434),"00000")="89086", TEXT(TRIM(N434),"00000")="89084", TEXT(TRIM(N434),"00000")="89081"), "North LV",
  OR(TEXT(TRIM(N434),"00000")="89109", TEXT(TRIM(N434),"00000")="89103", TEXT(TRIM(N434),"00000")="89119", TEXT(TRIM(N434),"00000")="89123", TEXT(TRIM(N434),"00000")="89169", TEXT(TRIM(N434),"00000")="89118"), "South/Strip",
  OR(TEXT(TRIM(N434),"00000")="89074", TEXT(TRIM(N434),"00000")="89014", TEXT(TRIM(N434),"00000")="89015", TEXT(TRIM(N434),"00000")="89011", TEXT(TRIM(N434),"00000")="89012"), "Suburban SE",
  OR(TEXT(TRIM(N434),"00000")="89117", TEXT(TRIM(N434),"00000")="89128", TEXT(TRIM(N434),"00000")="89135", TEXT(TRIM(N434),"00000")="89144", TEXT(TRIM(N434),"00000")="89145", TEXT(TRIM(N434),"00000")="89147"), "West Valley",
  TRUE, "Other"
)</f>
        <v>Urban Core</v>
      </c>
      <c r="P434" t="s">
        <v>38</v>
      </c>
      <c r="Q434" t="str">
        <f t="shared" si="26"/>
        <v>Home/Residence</v>
      </c>
      <c r="R434" t="s">
        <v>5055</v>
      </c>
      <c r="S434" t="s">
        <v>5119</v>
      </c>
      <c r="T434" t="str" cm="1">
        <f t="array" ref="T434">_xlfn.IFS(
  TEXT(TRIM(S434),"00000")="NULL", "Missing/Unknown",
  OR(TEXT(TRIM(S434),"00000")="89101", TEXT(TRIM(S434),"00000")="89104", TEXT(TRIM(S434),"00000")="89106", TEXT(TRIM(S434),"00000")="89102", TEXT(TRIM(S434),"00000")="89107", TEXT(TRIM(S434),"00000")="89108"), "Urban Core",
  OR(TEXT(TRIM(S434),"00000")="89110", TEXT(TRIM(S434),"00000")="89115", TEXT(TRIM(S434),"00000")="89121", TEXT(TRIM(S434),"00000")="89122", TEXT(TRIM(S434),"00000")="89142", TEXT(TRIM(S434),"00000")="89156"), "East Valley",
  OR(TEXT(TRIM(S434),"00000")="89030", TEXT(TRIM(S434),"00000")="89031", TEXT(TRIM(S434),"00000")="89032", TEXT(TRIM(S434),"00000")="89086", TEXT(TRIM(S434),"00000")="89084", TEXT(TRIM(S434),"00000")="89081"), "North LV",
  OR(TEXT(TRIM(S434),"00000")="89109", TEXT(TRIM(S434),"00000")="89103", TEXT(TRIM(S434),"00000")="89119", TEXT(TRIM(S434),"00000")="89123", TEXT(TRIM(S434),"00000")="89169", TEXT(TRIM(S434),"00000")="89118"), "South/Strip",
  OR(TEXT(TRIM(S434),"00000")="89074", TEXT(TRIM(S434),"00000")="89014", TEXT(TRIM(S434),"00000")="89015", TEXT(TRIM(S434),"00000")="89011", TEXT(TRIM(S434),"00000")="89012"), "Suburban SE",
  OR(TEXT(TRIM(S434),"00000")="89117", TEXT(TRIM(S434),"00000")="89128", TEXT(TRIM(S434),"00000")="89135", TEXT(TRIM(S434),"00000")="89144", TEXT(TRIM(S434),"00000")="89145", TEXT(TRIM(S434),"00000")="89147"), "West Valley",
  TRUE, "Other"
)</f>
        <v>Urban Core</v>
      </c>
      <c r="U434" t="s">
        <v>4298</v>
      </c>
      <c r="V434" t="str">
        <f t="shared" si="27"/>
        <v>Other / Unknown</v>
      </c>
    </row>
    <row r="435" spans="1:22">
      <c r="A435" t="s">
        <v>3426</v>
      </c>
      <c r="B435" t="s">
        <v>3427</v>
      </c>
      <c r="C435" s="1">
        <v>45451</v>
      </c>
      <c r="D435" s="4">
        <v>105.98</v>
      </c>
      <c r="E435">
        <v>75</v>
      </c>
      <c r="F435" t="str">
        <f t="shared" si="24"/>
        <v>70's</v>
      </c>
      <c r="G435" t="str" cm="1">
        <f t="array" ref="G435">_xlfn.IFS(
  F435="10's", "Child (5–12)",
  OR(F435="20's", F435="30's"), "Young Adult (20–39)",
  OR(F435="40's", F435="50's"), "Adult (40–59)",
  OR(F435="60's", F435="70's", F435="80's", F435="90's"), "Senior (60+)",
  TRUE, "Unknown"
)</f>
        <v>Senior (60+)</v>
      </c>
      <c r="H435" t="s">
        <v>841</v>
      </c>
      <c r="I435" t="s">
        <v>4012</v>
      </c>
      <c r="J435" t="str">
        <f t="shared" si="25"/>
        <v>Cardiovascular Disease</v>
      </c>
      <c r="K435" t="s">
        <v>3428</v>
      </c>
      <c r="L435" t="s">
        <v>1071</v>
      </c>
      <c r="M435" t="s">
        <v>5038</v>
      </c>
      <c r="N435" t="s">
        <v>5098</v>
      </c>
      <c r="O435" t="str" cm="1">
        <f t="array" ref="O435">_xlfn.IFS(
  TEXT(TRIM(N435),"00000")="NULL", "Missing/Unknown",
  OR(TEXT(TRIM(N435),"00000")="89101", TEXT(TRIM(N435),"00000")="89104", TEXT(TRIM(N435),"00000")="89106", TEXT(TRIM(N435),"00000")="89102", TEXT(TRIM(N435),"00000")="89107", TEXT(TRIM(N435),"00000")="89108"), "Urban Core",
  OR(TEXT(TRIM(N435),"00000")="89110", TEXT(TRIM(N435),"00000")="89115", TEXT(TRIM(N435),"00000")="89121", TEXT(TRIM(N435),"00000")="89122", TEXT(TRIM(N435),"00000")="89142", TEXT(TRIM(N435),"00000")="89156"), "East Valley",
  OR(TEXT(TRIM(N435),"00000")="89030", TEXT(TRIM(N435),"00000")="89031", TEXT(TRIM(N435),"00000")="89032", TEXT(TRIM(N435),"00000")="89086", TEXT(TRIM(N435),"00000")="89084", TEXT(TRIM(N435),"00000")="89081"), "North LV",
  OR(TEXT(TRIM(N435),"00000")="89109", TEXT(TRIM(N435),"00000")="89103", TEXT(TRIM(N435),"00000")="89119", TEXT(TRIM(N435),"00000")="89123", TEXT(TRIM(N435),"00000")="89169", TEXT(TRIM(N435),"00000")="89118"), "South/Strip",
  OR(TEXT(TRIM(N435),"00000")="89074", TEXT(TRIM(N435),"00000")="89014", TEXT(TRIM(N435),"00000")="89015", TEXT(TRIM(N435),"00000")="89011", TEXT(TRIM(N435),"00000")="89012"), "Suburban SE",
  OR(TEXT(TRIM(N435),"00000")="89117", TEXT(TRIM(N435),"00000")="89128", TEXT(TRIM(N435),"00000")="89135", TEXT(TRIM(N435),"00000")="89144", TEXT(TRIM(N435),"00000")="89145", TEXT(TRIM(N435),"00000")="89147"), "West Valley",
  TRUE, "Other"
)</f>
        <v>Urban Core</v>
      </c>
      <c r="P435" t="s">
        <v>38</v>
      </c>
      <c r="Q435" t="str">
        <f t="shared" si="26"/>
        <v>Home/Residence</v>
      </c>
      <c r="R435" t="s">
        <v>5038</v>
      </c>
      <c r="S435" t="s">
        <v>5098</v>
      </c>
      <c r="T435" t="str" cm="1">
        <f t="array" ref="T435">_xlfn.IFS(
  TEXT(TRIM(S435),"00000")="NULL", "Missing/Unknown",
  OR(TEXT(TRIM(S435),"00000")="89101", TEXT(TRIM(S435),"00000")="89104", TEXT(TRIM(S435),"00000")="89106", TEXT(TRIM(S435),"00000")="89102", TEXT(TRIM(S435),"00000")="89107", TEXT(TRIM(S435),"00000")="89108"), "Urban Core",
  OR(TEXT(TRIM(S435),"00000")="89110", TEXT(TRIM(S435),"00000")="89115", TEXT(TRIM(S435),"00000")="89121", TEXT(TRIM(S435),"00000")="89122", TEXT(TRIM(S435),"00000")="89142", TEXT(TRIM(S435),"00000")="89156"), "East Valley",
  OR(TEXT(TRIM(S435),"00000")="89030", TEXT(TRIM(S435),"00000")="89031", TEXT(TRIM(S435),"00000")="89032", TEXT(TRIM(S435),"00000")="89086", TEXT(TRIM(S435),"00000")="89084", TEXT(TRIM(S435),"00000")="89081"), "North LV",
  OR(TEXT(TRIM(S435),"00000")="89109", TEXT(TRIM(S435),"00000")="89103", TEXT(TRIM(S435),"00000")="89119", TEXT(TRIM(S435),"00000")="89123", TEXT(TRIM(S435),"00000")="89169", TEXT(TRIM(S435),"00000")="89118"), "South/Strip",
  OR(TEXT(TRIM(S435),"00000")="89074", TEXT(TRIM(S435),"00000")="89014", TEXT(TRIM(S435),"00000")="89015", TEXT(TRIM(S435),"00000")="89011", TEXT(TRIM(S435),"00000")="89012"), "Suburban SE",
  OR(TEXT(TRIM(S435),"00000")="89117", TEXT(TRIM(S435),"00000")="89128", TEXT(TRIM(S435),"00000")="89135", TEXT(TRIM(S435),"00000")="89144", TEXT(TRIM(S435),"00000")="89145", TEXT(TRIM(S435),"00000")="89147"), "West Valley",
  TRUE, "Other"
)</f>
        <v>Urban Core</v>
      </c>
      <c r="U435" t="s">
        <v>38</v>
      </c>
      <c r="V435" t="str">
        <f t="shared" si="27"/>
        <v>Home/Residence</v>
      </c>
    </row>
    <row r="436" spans="1:22">
      <c r="A436" t="s">
        <v>2600</v>
      </c>
      <c r="B436" t="s">
        <v>2601</v>
      </c>
      <c r="C436" s="1">
        <v>45451</v>
      </c>
      <c r="D436" s="4">
        <v>105.98</v>
      </c>
      <c r="E436">
        <v>76</v>
      </c>
      <c r="F436" t="str">
        <f t="shared" si="24"/>
        <v>70's</v>
      </c>
      <c r="G436" t="str" cm="1">
        <f t="array" ref="G436">_xlfn.IFS(
  F436="10's", "Child (5–12)",
  OR(F436="20's", F436="30's"), "Young Adult (20–39)",
  OR(F436="40's", F436="50's"), "Adult (40–59)",
  OR(F436="60's", F436="70's", F436="80's", F436="90's"), "Senior (60+)",
  TRUE, "Unknown"
)</f>
        <v>Senior (60+)</v>
      </c>
      <c r="H436" t="s">
        <v>841</v>
      </c>
      <c r="I436" t="s">
        <v>63</v>
      </c>
      <c r="J436" t="str">
        <f t="shared" si="25"/>
        <v>Cardiovascular Disease</v>
      </c>
      <c r="K436" t="s">
        <v>2602</v>
      </c>
      <c r="L436" t="s">
        <v>1071</v>
      </c>
      <c r="M436" t="s">
        <v>4946</v>
      </c>
      <c r="N436" t="s">
        <v>5144</v>
      </c>
      <c r="O436" t="str" cm="1">
        <f t="array" ref="O436">_xlfn.IFS(
  TEXT(TRIM(N436),"00000")="NULL", "Missing/Unknown",
  OR(TEXT(TRIM(N436),"00000")="89101", TEXT(TRIM(N436),"00000")="89104", TEXT(TRIM(N436),"00000")="89106", TEXT(TRIM(N436),"00000")="89102", TEXT(TRIM(N436),"00000")="89107", TEXT(TRIM(N436),"00000")="89108"), "Urban Core",
  OR(TEXT(TRIM(N436),"00000")="89110", TEXT(TRIM(N436),"00000")="89115", TEXT(TRIM(N436),"00000")="89121", TEXT(TRIM(N436),"00000")="89122", TEXT(TRIM(N436),"00000")="89142", TEXT(TRIM(N436),"00000")="89156"), "East Valley",
  OR(TEXT(TRIM(N436),"00000")="89030", TEXT(TRIM(N436),"00000")="89031", TEXT(TRIM(N436),"00000")="89032", TEXT(TRIM(N436),"00000")="89086", TEXT(TRIM(N436),"00000")="89084", TEXT(TRIM(N436),"00000")="89081"), "North LV",
  OR(TEXT(TRIM(N436),"00000")="89109", TEXT(TRIM(N436),"00000")="89103", TEXT(TRIM(N436),"00000")="89119", TEXT(TRIM(N436),"00000")="89123", TEXT(TRIM(N436),"00000")="89169", TEXT(TRIM(N436),"00000")="89118"), "South/Strip",
  OR(TEXT(TRIM(N436),"00000")="89074", TEXT(TRIM(N436),"00000")="89014", TEXT(TRIM(N436),"00000")="89015", TEXT(TRIM(N436),"00000")="89011", TEXT(TRIM(N436),"00000")="89012"), "Suburban SE",
  OR(TEXT(TRIM(N436),"00000")="89117", TEXT(TRIM(N436),"00000")="89128", TEXT(TRIM(N436),"00000")="89135", TEXT(TRIM(N436),"00000")="89144", TEXT(TRIM(N436),"00000")="89145", TEXT(TRIM(N436),"00000")="89147"), "West Valley",
  TRUE, "Other"
)</f>
        <v>Other</v>
      </c>
      <c r="P436" t="s">
        <v>1073</v>
      </c>
      <c r="Q436" t="str">
        <f t="shared" si="26"/>
        <v>Home/Residence</v>
      </c>
      <c r="R436" t="s">
        <v>4946</v>
      </c>
      <c r="S436" t="s">
        <v>5144</v>
      </c>
      <c r="T436" t="str" cm="1">
        <f t="array" ref="T436">_xlfn.IFS(
  TEXT(TRIM(S436),"00000")="NULL", "Missing/Unknown",
  OR(TEXT(TRIM(S436),"00000")="89101", TEXT(TRIM(S436),"00000")="89104", TEXT(TRIM(S436),"00000")="89106", TEXT(TRIM(S436),"00000")="89102", TEXT(TRIM(S436),"00000")="89107", TEXT(TRIM(S436),"00000")="89108"), "Urban Core",
  OR(TEXT(TRIM(S436),"00000")="89110", TEXT(TRIM(S436),"00000")="89115", TEXT(TRIM(S436),"00000")="89121", TEXT(TRIM(S436),"00000")="89122", TEXT(TRIM(S436),"00000")="89142", TEXT(TRIM(S436),"00000")="89156"), "East Valley",
  OR(TEXT(TRIM(S436),"00000")="89030", TEXT(TRIM(S436),"00000")="89031", TEXT(TRIM(S436),"00000")="89032", TEXT(TRIM(S436),"00000")="89086", TEXT(TRIM(S436),"00000")="89084", TEXT(TRIM(S436),"00000")="89081"), "North LV",
  OR(TEXT(TRIM(S436),"00000")="89109", TEXT(TRIM(S436),"00000")="89103", TEXT(TRIM(S436),"00000")="89119", TEXT(TRIM(S436),"00000")="89123", TEXT(TRIM(S436),"00000")="89169", TEXT(TRIM(S436),"00000")="89118"), "South/Strip",
  OR(TEXT(TRIM(S436),"00000")="89074", TEXT(TRIM(S436),"00000")="89014", TEXT(TRIM(S436),"00000")="89015", TEXT(TRIM(S436),"00000")="89011", TEXT(TRIM(S436),"00000")="89012"), "Suburban SE",
  OR(TEXT(TRIM(S436),"00000")="89117", TEXT(TRIM(S436),"00000")="89128", TEXT(TRIM(S436),"00000")="89135", TEXT(TRIM(S436),"00000")="89144", TEXT(TRIM(S436),"00000")="89145", TEXT(TRIM(S436),"00000")="89147"), "West Valley",
  TRUE, "Other"
)</f>
        <v>Other</v>
      </c>
      <c r="U436" t="s">
        <v>1073</v>
      </c>
      <c r="V436" t="str">
        <f t="shared" si="27"/>
        <v>Home/Residence</v>
      </c>
    </row>
    <row r="437" spans="1:22">
      <c r="A437" t="s">
        <v>3669</v>
      </c>
      <c r="B437" t="s">
        <v>3670</v>
      </c>
      <c r="C437" s="1">
        <v>45451</v>
      </c>
      <c r="D437" s="4">
        <v>105.98</v>
      </c>
      <c r="E437">
        <v>52</v>
      </c>
      <c r="F437" t="str">
        <f t="shared" si="24"/>
        <v>50's</v>
      </c>
      <c r="G437" t="str" cm="1">
        <f t="array" ref="G437">_xlfn.IFS(
  F437="10's", "Child (5–12)",
  OR(F437="20's", F437="30's"), "Young Adult (20–39)",
  OR(F437="40's", F437="50's"), "Adult (40–59)",
  OR(F437="60's", F437="70's", F437="80's", F437="90's"), "Senior (60+)",
  TRUE, "Unknown"
)</f>
        <v>Adult (40–59)</v>
      </c>
      <c r="H437" t="s">
        <v>841</v>
      </c>
      <c r="I437" t="s">
        <v>4053</v>
      </c>
      <c r="J437" t="str">
        <f t="shared" si="25"/>
        <v>Methamphetamine-related</v>
      </c>
      <c r="K437" t="s">
        <v>54</v>
      </c>
      <c r="L437" t="s">
        <v>250</v>
      </c>
      <c r="N437" t="s">
        <v>5095</v>
      </c>
      <c r="O437" t="str" cm="1">
        <f t="array" ref="O437">_xlfn.IFS(
  TEXT(TRIM(N437),"00000")="NULL", "Missing/Unknown",
  OR(TEXT(TRIM(N437),"00000")="89101", TEXT(TRIM(N437),"00000")="89104", TEXT(TRIM(N437),"00000")="89106", TEXT(TRIM(N437),"00000")="89102", TEXT(TRIM(N437),"00000")="89107", TEXT(TRIM(N437),"00000")="89108"), "Urban Core",
  OR(TEXT(TRIM(N437),"00000")="89110", TEXT(TRIM(N437),"00000")="89115", TEXT(TRIM(N437),"00000")="89121", TEXT(TRIM(N437),"00000")="89122", TEXT(TRIM(N437),"00000")="89142", TEXT(TRIM(N437),"00000")="89156"), "East Valley",
  OR(TEXT(TRIM(N437),"00000")="89030", TEXT(TRIM(N437),"00000")="89031", TEXT(TRIM(N437),"00000")="89032", TEXT(TRIM(N437),"00000")="89086", TEXT(TRIM(N437),"00000")="89084", TEXT(TRIM(N437),"00000")="89081"), "North LV",
  OR(TEXT(TRIM(N437),"00000")="89109", TEXT(TRIM(N437),"00000")="89103", TEXT(TRIM(N437),"00000")="89119", TEXT(TRIM(N437),"00000")="89123", TEXT(TRIM(N437),"00000")="89169", TEXT(TRIM(N437),"00000")="89118"), "South/Strip",
  OR(TEXT(TRIM(N437),"00000")="89074", TEXT(TRIM(N437),"00000")="89014", TEXT(TRIM(N437),"00000")="89015", TEXT(TRIM(N437),"00000")="89011", TEXT(TRIM(N437),"00000")="89012"), "Suburban SE",
  OR(TEXT(TRIM(N437),"00000")="89117", TEXT(TRIM(N437),"00000")="89128", TEXT(TRIM(N437),"00000")="89135", TEXT(TRIM(N437),"00000")="89144", TEXT(TRIM(N437),"00000")="89145", TEXT(TRIM(N437),"00000")="89147"), "West Valley",
  TRUE, "Other"
)</f>
        <v>Missing/Unknown</v>
      </c>
      <c r="P437" t="s">
        <v>38</v>
      </c>
      <c r="Q437" t="str">
        <f t="shared" si="26"/>
        <v>Home/Residence</v>
      </c>
      <c r="S437" t="s">
        <v>5095</v>
      </c>
      <c r="T437" t="str" cm="1">
        <f t="array" ref="T437">_xlfn.IFS(
  TEXT(TRIM(S437),"00000")="NULL", "Missing/Unknown",
  OR(TEXT(TRIM(S437),"00000")="89101", TEXT(TRIM(S437),"00000")="89104", TEXT(TRIM(S437),"00000")="89106", TEXT(TRIM(S437),"00000")="89102", TEXT(TRIM(S437),"00000")="89107", TEXT(TRIM(S437),"00000")="89108"), "Urban Core",
  OR(TEXT(TRIM(S437),"00000")="89110", TEXT(TRIM(S437),"00000")="89115", TEXT(TRIM(S437),"00000")="89121", TEXT(TRIM(S437),"00000")="89122", TEXT(TRIM(S437),"00000")="89142", TEXT(TRIM(S437),"00000")="89156"), "East Valley",
  OR(TEXT(TRIM(S437),"00000")="89030", TEXT(TRIM(S437),"00000")="89031", TEXT(TRIM(S437),"00000")="89032", TEXT(TRIM(S437),"00000")="89086", TEXT(TRIM(S437),"00000")="89084", TEXT(TRIM(S437),"00000")="89081"), "North LV",
  OR(TEXT(TRIM(S437),"00000")="89109", TEXT(TRIM(S437),"00000")="89103", TEXT(TRIM(S437),"00000")="89119", TEXT(TRIM(S437),"00000")="89123", TEXT(TRIM(S437),"00000")="89169", TEXT(TRIM(S437),"00000")="89118"), "South/Strip",
  OR(TEXT(TRIM(S437),"00000")="89074", TEXT(TRIM(S437),"00000")="89014", TEXT(TRIM(S437),"00000")="89015", TEXT(TRIM(S437),"00000")="89011", TEXT(TRIM(S437),"00000")="89012"), "Suburban SE",
  OR(TEXT(TRIM(S437),"00000")="89117", TEXT(TRIM(S437),"00000")="89128", TEXT(TRIM(S437),"00000")="89135", TEXT(TRIM(S437),"00000")="89144", TEXT(TRIM(S437),"00000")="89145", TEXT(TRIM(S437),"00000")="89147"), "West Valley",
  TRUE, "Other"
)</f>
        <v>Missing/Unknown</v>
      </c>
      <c r="U437" t="s">
        <v>38</v>
      </c>
      <c r="V437" t="str">
        <f t="shared" si="27"/>
        <v>Home/Residence</v>
      </c>
    </row>
    <row r="438" spans="1:22">
      <c r="A438" t="s">
        <v>3772</v>
      </c>
      <c r="B438" t="s">
        <v>3773</v>
      </c>
      <c r="C438" s="1">
        <v>45450</v>
      </c>
      <c r="D438" s="4">
        <v>109.04</v>
      </c>
      <c r="E438">
        <v>60</v>
      </c>
      <c r="F438" t="str">
        <f t="shared" si="24"/>
        <v>60's</v>
      </c>
      <c r="G438" t="str" cm="1">
        <f t="array" ref="G438">_xlfn.IFS(
  F438="10's", "Child (5–12)",
  OR(F438="20's", F438="30's"), "Young Adult (20–39)",
  OR(F438="40's", F438="50's"), "Adult (40–59)",
  OR(F438="60's", F438="70's", F438="80's", F438="90's"), "Senior (60+)",
  TRUE, "Unknown"
)</f>
        <v>Senior (60+)</v>
      </c>
      <c r="H438" t="s">
        <v>841</v>
      </c>
      <c r="I438" t="s">
        <v>172</v>
      </c>
      <c r="J438" t="str">
        <f t="shared" si="25"/>
        <v>Methamphetamine-related</v>
      </c>
      <c r="K438" t="s">
        <v>54</v>
      </c>
      <c r="L438" t="s">
        <v>1071</v>
      </c>
      <c r="M438" t="s">
        <v>4955</v>
      </c>
      <c r="N438" t="s">
        <v>5098</v>
      </c>
      <c r="O438" t="str" cm="1">
        <f t="array" ref="O438">_xlfn.IFS(
  TEXT(TRIM(N438),"00000")="NULL", "Missing/Unknown",
  OR(TEXT(TRIM(N438),"00000")="89101", TEXT(TRIM(N438),"00000")="89104", TEXT(TRIM(N438),"00000")="89106", TEXT(TRIM(N438),"00000")="89102", TEXT(TRIM(N438),"00000")="89107", TEXT(TRIM(N438),"00000")="89108"), "Urban Core",
  OR(TEXT(TRIM(N438),"00000")="89110", TEXT(TRIM(N438),"00000")="89115", TEXT(TRIM(N438),"00000")="89121", TEXT(TRIM(N438),"00000")="89122", TEXT(TRIM(N438),"00000")="89142", TEXT(TRIM(N438),"00000")="89156"), "East Valley",
  OR(TEXT(TRIM(N438),"00000")="89030", TEXT(TRIM(N438),"00000")="89031", TEXT(TRIM(N438),"00000")="89032", TEXT(TRIM(N438),"00000")="89086", TEXT(TRIM(N438),"00000")="89084", TEXT(TRIM(N438),"00000")="89081"), "North LV",
  OR(TEXT(TRIM(N438),"00000")="89109", TEXT(TRIM(N438),"00000")="89103", TEXT(TRIM(N438),"00000")="89119", TEXT(TRIM(N438),"00000")="89123", TEXT(TRIM(N438),"00000")="89169", TEXT(TRIM(N438),"00000")="89118"), "South/Strip",
  OR(TEXT(TRIM(N438),"00000")="89074", TEXT(TRIM(N438),"00000")="89014", TEXT(TRIM(N438),"00000")="89015", TEXT(TRIM(N438),"00000")="89011", TEXT(TRIM(N438),"00000")="89012"), "Suburban SE",
  OR(TEXT(TRIM(N438),"00000")="89117", TEXT(TRIM(N438),"00000")="89128", TEXT(TRIM(N438),"00000")="89135", TEXT(TRIM(N438),"00000")="89144", TEXT(TRIM(N438),"00000")="89145", TEXT(TRIM(N438),"00000")="89147"), "West Valley",
  TRUE, "Other"
)</f>
        <v>Urban Core</v>
      </c>
      <c r="P438" t="s">
        <v>3775</v>
      </c>
      <c r="Q438" t="str">
        <f t="shared" si="26"/>
        <v>Home/Residence</v>
      </c>
      <c r="R438" t="s">
        <v>4955</v>
      </c>
      <c r="S438" t="s">
        <v>5098</v>
      </c>
      <c r="T438" t="str" cm="1">
        <f t="array" ref="T438">_xlfn.IFS(
  TEXT(TRIM(S438),"00000")="NULL", "Missing/Unknown",
  OR(TEXT(TRIM(S438),"00000")="89101", TEXT(TRIM(S438),"00000")="89104", TEXT(TRIM(S438),"00000")="89106", TEXT(TRIM(S438),"00000")="89102", TEXT(TRIM(S438),"00000")="89107", TEXT(TRIM(S438),"00000")="89108"), "Urban Core",
  OR(TEXT(TRIM(S438),"00000")="89110", TEXT(TRIM(S438),"00000")="89115", TEXT(TRIM(S438),"00000")="89121", TEXT(TRIM(S438),"00000")="89122", TEXT(TRIM(S438),"00000")="89142", TEXT(TRIM(S438),"00000")="89156"), "East Valley",
  OR(TEXT(TRIM(S438),"00000")="89030", TEXT(TRIM(S438),"00000")="89031", TEXT(TRIM(S438),"00000")="89032", TEXT(TRIM(S438),"00000")="89086", TEXT(TRIM(S438),"00000")="89084", TEXT(TRIM(S438),"00000")="89081"), "North LV",
  OR(TEXT(TRIM(S438),"00000")="89109", TEXT(TRIM(S438),"00000")="89103", TEXT(TRIM(S438),"00000")="89119", TEXT(TRIM(S438),"00000")="89123", TEXT(TRIM(S438),"00000")="89169", TEXT(TRIM(S438),"00000")="89118"), "South/Strip",
  OR(TEXT(TRIM(S438),"00000")="89074", TEXT(TRIM(S438),"00000")="89014", TEXT(TRIM(S438),"00000")="89015", TEXT(TRIM(S438),"00000")="89011", TEXT(TRIM(S438),"00000")="89012"), "Suburban SE",
  OR(TEXT(TRIM(S438),"00000")="89117", TEXT(TRIM(S438),"00000")="89128", TEXT(TRIM(S438),"00000")="89135", TEXT(TRIM(S438),"00000")="89144", TEXT(TRIM(S438),"00000")="89145", TEXT(TRIM(S438),"00000")="89147"), "West Valley",
  TRUE, "Other"
)</f>
        <v>Urban Core</v>
      </c>
      <c r="U438" t="s">
        <v>3775</v>
      </c>
      <c r="V438" t="str">
        <f t="shared" si="27"/>
        <v>Home/Residence</v>
      </c>
    </row>
    <row r="439" spans="1:22">
      <c r="A439" t="s">
        <v>3513</v>
      </c>
      <c r="B439" t="s">
        <v>3514</v>
      </c>
      <c r="C439" s="1">
        <v>45450</v>
      </c>
      <c r="D439" s="4">
        <v>109.04</v>
      </c>
      <c r="E439">
        <v>84</v>
      </c>
      <c r="F439" t="str">
        <f t="shared" si="24"/>
        <v>80's</v>
      </c>
      <c r="G439" t="str" cm="1">
        <f t="array" ref="G439">_xlfn.IFS(
  F439="10's", "Child (5–12)",
  OR(F439="20's", F439="30's"), "Young Adult (20–39)",
  OR(F439="40's", F439="50's"), "Adult (40–59)",
  OR(F439="60's", F439="70's", F439="80's", F439="90's"), "Senior (60+)",
  TRUE, "Unknown"
)</f>
        <v>Senior (60+)</v>
      </c>
      <c r="H439" t="s">
        <v>27</v>
      </c>
      <c r="I439" t="s">
        <v>28</v>
      </c>
      <c r="J439" t="str">
        <f t="shared" si="25"/>
        <v>Cardiovascular Disease</v>
      </c>
      <c r="K439" t="s">
        <v>54</v>
      </c>
      <c r="L439" t="s">
        <v>1071</v>
      </c>
      <c r="M439" t="s">
        <v>5038</v>
      </c>
      <c r="N439" t="s">
        <v>5098</v>
      </c>
      <c r="O439" t="str" cm="1">
        <f t="array" ref="O439">_xlfn.IFS(
  TEXT(TRIM(N439),"00000")="NULL", "Missing/Unknown",
  OR(TEXT(TRIM(N439),"00000")="89101", TEXT(TRIM(N439),"00000")="89104", TEXT(TRIM(N439),"00000")="89106", TEXT(TRIM(N439),"00000")="89102", TEXT(TRIM(N439),"00000")="89107", TEXT(TRIM(N439),"00000")="89108"), "Urban Core",
  OR(TEXT(TRIM(N439),"00000")="89110", TEXT(TRIM(N439),"00000")="89115", TEXT(TRIM(N439),"00000")="89121", TEXT(TRIM(N439),"00000")="89122", TEXT(TRIM(N439),"00000")="89142", TEXT(TRIM(N439),"00000")="89156"), "East Valley",
  OR(TEXT(TRIM(N439),"00000")="89030", TEXT(TRIM(N439),"00000")="89031", TEXT(TRIM(N439),"00000")="89032", TEXT(TRIM(N439),"00000")="89086", TEXT(TRIM(N439),"00000")="89084", TEXT(TRIM(N439),"00000")="89081"), "North LV",
  OR(TEXT(TRIM(N439),"00000")="89109", TEXT(TRIM(N439),"00000")="89103", TEXT(TRIM(N439),"00000")="89119", TEXT(TRIM(N439),"00000")="89123", TEXT(TRIM(N439),"00000")="89169", TEXT(TRIM(N439),"00000")="89118"), "South/Strip",
  OR(TEXT(TRIM(N439),"00000")="89074", TEXT(TRIM(N439),"00000")="89014", TEXT(TRIM(N439),"00000")="89015", TEXT(TRIM(N439),"00000")="89011", TEXT(TRIM(N439),"00000")="89012"), "Suburban SE",
  OR(TEXT(TRIM(N439),"00000")="89117", TEXT(TRIM(N439),"00000")="89128", TEXT(TRIM(N439),"00000")="89135", TEXT(TRIM(N439),"00000")="89144", TEXT(TRIM(N439),"00000")="89145", TEXT(TRIM(N439),"00000")="89147"), "West Valley",
  TRUE, "Other"
)</f>
        <v>Urban Core</v>
      </c>
      <c r="P439" t="s">
        <v>38</v>
      </c>
      <c r="Q439" t="str">
        <f t="shared" si="26"/>
        <v>Home/Residence</v>
      </c>
      <c r="R439" t="s">
        <v>5038</v>
      </c>
      <c r="S439" t="s">
        <v>5098</v>
      </c>
      <c r="T439" t="str" cm="1">
        <f t="array" ref="T439">_xlfn.IFS(
  TEXT(TRIM(S439),"00000")="NULL", "Missing/Unknown",
  OR(TEXT(TRIM(S439),"00000")="89101", TEXT(TRIM(S439),"00000")="89104", TEXT(TRIM(S439),"00000")="89106", TEXT(TRIM(S439),"00000")="89102", TEXT(TRIM(S439),"00000")="89107", TEXT(TRIM(S439),"00000")="89108"), "Urban Core",
  OR(TEXT(TRIM(S439),"00000")="89110", TEXT(TRIM(S439),"00000")="89115", TEXT(TRIM(S439),"00000")="89121", TEXT(TRIM(S439),"00000")="89122", TEXT(TRIM(S439),"00000")="89142", TEXT(TRIM(S439),"00000")="89156"), "East Valley",
  OR(TEXT(TRIM(S439),"00000")="89030", TEXT(TRIM(S439),"00000")="89031", TEXT(TRIM(S439),"00000")="89032", TEXT(TRIM(S439),"00000")="89086", TEXT(TRIM(S439),"00000")="89084", TEXT(TRIM(S439),"00000")="89081"), "North LV",
  OR(TEXT(TRIM(S439),"00000")="89109", TEXT(TRIM(S439),"00000")="89103", TEXT(TRIM(S439),"00000")="89119", TEXT(TRIM(S439),"00000")="89123", TEXT(TRIM(S439),"00000")="89169", TEXT(TRIM(S439),"00000")="89118"), "South/Strip",
  OR(TEXT(TRIM(S439),"00000")="89074", TEXT(TRIM(S439),"00000")="89014", TEXT(TRIM(S439),"00000")="89015", TEXT(TRIM(S439),"00000")="89011", TEXT(TRIM(S439),"00000")="89012"), "Suburban SE",
  OR(TEXT(TRIM(S439),"00000")="89117", TEXT(TRIM(S439),"00000")="89128", TEXT(TRIM(S439),"00000")="89135", TEXT(TRIM(S439),"00000")="89144", TEXT(TRIM(S439),"00000")="89145", TEXT(TRIM(S439),"00000")="89147"), "West Valley",
  TRUE, "Other"
)</f>
        <v>Urban Core</v>
      </c>
      <c r="U439" t="s">
        <v>38</v>
      </c>
      <c r="V439" t="str">
        <f t="shared" si="27"/>
        <v>Home/Residence</v>
      </c>
    </row>
    <row r="440" spans="1:22">
      <c r="A440" t="s">
        <v>3677</v>
      </c>
      <c r="B440" t="s">
        <v>3678</v>
      </c>
      <c r="C440" s="1">
        <v>45450</v>
      </c>
      <c r="D440" s="4">
        <v>109.04</v>
      </c>
      <c r="E440">
        <v>59</v>
      </c>
      <c r="F440" t="str">
        <f t="shared" si="24"/>
        <v>50's</v>
      </c>
      <c r="G440" t="str" cm="1">
        <f t="array" ref="G440">_xlfn.IFS(
  F440="10's", "Child (5–12)",
  OR(F440="20's", F440="30's"), "Young Adult (20–39)",
  OR(F440="40's", F440="50's"), "Adult (40–59)",
  OR(F440="60's", F440="70's", F440="80's", F440="90's"), "Senior (60+)",
  TRUE, "Unknown"
)</f>
        <v>Adult (40–59)</v>
      </c>
      <c r="H440" t="s">
        <v>778</v>
      </c>
      <c r="I440" t="s">
        <v>135</v>
      </c>
      <c r="J440" t="str">
        <f t="shared" si="25"/>
        <v>Methamphetamine-related</v>
      </c>
      <c r="K440" t="s">
        <v>35</v>
      </c>
      <c r="L440" t="s">
        <v>250</v>
      </c>
      <c r="M440" t="s">
        <v>4711</v>
      </c>
      <c r="N440" t="s">
        <v>5096</v>
      </c>
      <c r="O440" t="str" cm="1">
        <f t="array" ref="O440">_xlfn.IFS(
  TEXT(TRIM(N440),"00000")="NULL", "Missing/Unknown",
  OR(TEXT(TRIM(N440),"00000")="89101", TEXT(TRIM(N440),"00000")="89104", TEXT(TRIM(N440),"00000")="89106", TEXT(TRIM(N440),"00000")="89102", TEXT(TRIM(N440),"00000")="89107", TEXT(TRIM(N440),"00000")="89108"), "Urban Core",
  OR(TEXT(TRIM(N440),"00000")="89110", TEXT(TRIM(N440),"00000")="89115", TEXT(TRIM(N440),"00000")="89121", TEXT(TRIM(N440),"00000")="89122", TEXT(TRIM(N440),"00000")="89142", TEXT(TRIM(N440),"00000")="89156"), "East Valley",
  OR(TEXT(TRIM(N440),"00000")="89030", TEXT(TRIM(N440),"00000")="89031", TEXT(TRIM(N440),"00000")="89032", TEXT(TRIM(N440),"00000")="89086", TEXT(TRIM(N440),"00000")="89084", TEXT(TRIM(N440),"00000")="89081"), "North LV",
  OR(TEXT(TRIM(N440),"00000")="89109", TEXT(TRIM(N440),"00000")="89103", TEXT(TRIM(N440),"00000")="89119", TEXT(TRIM(N440),"00000")="89123", TEXT(TRIM(N440),"00000")="89169", TEXT(TRIM(N440),"00000")="89118"), "South/Strip",
  OR(TEXT(TRIM(N440),"00000")="89074", TEXT(TRIM(N440),"00000")="89014", TEXT(TRIM(N440),"00000")="89015", TEXT(TRIM(N440),"00000")="89011", TEXT(TRIM(N440),"00000")="89012"), "Suburban SE",
  OR(TEXT(TRIM(N440),"00000")="89117", TEXT(TRIM(N440),"00000")="89128", TEXT(TRIM(N440),"00000")="89135", TEXT(TRIM(N440),"00000")="89144", TEXT(TRIM(N440),"00000")="89145", TEXT(TRIM(N440),"00000")="89147"), "West Valley",
  TRUE, "Other"
)</f>
        <v>South/Strip</v>
      </c>
      <c r="P440" t="s">
        <v>3298</v>
      </c>
      <c r="Q440" t="str">
        <f t="shared" si="26"/>
        <v>Outdoors/Public</v>
      </c>
      <c r="R440" t="s">
        <v>4711</v>
      </c>
      <c r="S440" t="s">
        <v>5096</v>
      </c>
      <c r="T440" t="str" cm="1">
        <f t="array" ref="T440">_xlfn.IFS(
  TEXT(TRIM(S440),"00000")="NULL", "Missing/Unknown",
  OR(TEXT(TRIM(S440),"00000")="89101", TEXT(TRIM(S440),"00000")="89104", TEXT(TRIM(S440),"00000")="89106", TEXT(TRIM(S440),"00000")="89102", TEXT(TRIM(S440),"00000")="89107", TEXT(TRIM(S440),"00000")="89108"), "Urban Core",
  OR(TEXT(TRIM(S440),"00000")="89110", TEXT(TRIM(S440),"00000")="89115", TEXT(TRIM(S440),"00000")="89121", TEXT(TRIM(S440),"00000")="89122", TEXT(TRIM(S440),"00000")="89142", TEXT(TRIM(S440),"00000")="89156"), "East Valley",
  OR(TEXT(TRIM(S440),"00000")="89030", TEXT(TRIM(S440),"00000")="89031", TEXT(TRIM(S440),"00000")="89032", TEXT(TRIM(S440),"00000")="89086", TEXT(TRIM(S440),"00000")="89084", TEXT(TRIM(S440),"00000")="89081"), "North LV",
  OR(TEXT(TRIM(S440),"00000")="89109", TEXT(TRIM(S440),"00000")="89103", TEXT(TRIM(S440),"00000")="89119", TEXT(TRIM(S440),"00000")="89123", TEXT(TRIM(S440),"00000")="89169", TEXT(TRIM(S440),"00000")="89118"), "South/Strip",
  OR(TEXT(TRIM(S440),"00000")="89074", TEXT(TRIM(S440),"00000")="89014", TEXT(TRIM(S440),"00000")="89015", TEXT(TRIM(S440),"00000")="89011", TEXT(TRIM(S440),"00000")="89012"), "Suburban SE",
  OR(TEXT(TRIM(S440),"00000")="89117", TEXT(TRIM(S440),"00000")="89128", TEXT(TRIM(S440),"00000")="89135", TEXT(TRIM(S440),"00000")="89144", TEXT(TRIM(S440),"00000")="89145", TEXT(TRIM(S440),"00000")="89147"), "West Valley",
  TRUE, "Other"
)</f>
        <v>South/Strip</v>
      </c>
      <c r="U440" t="s">
        <v>3298</v>
      </c>
      <c r="V440" t="str">
        <f t="shared" si="27"/>
        <v>Outdoors/Public</v>
      </c>
    </row>
    <row r="441" spans="1:22">
      <c r="A441" t="s">
        <v>2729</v>
      </c>
      <c r="B441" t="s">
        <v>2730</v>
      </c>
      <c r="C441" s="1">
        <v>45450</v>
      </c>
      <c r="D441" s="4">
        <v>109.04</v>
      </c>
      <c r="E441">
        <v>42</v>
      </c>
      <c r="F441" t="str">
        <f t="shared" si="24"/>
        <v>40's</v>
      </c>
      <c r="G441" t="str" cm="1">
        <f t="array" ref="G441">_xlfn.IFS(
  F441="10's", "Child (5–12)",
  OR(F441="20's", F441="30's"), "Young Adult (20–39)",
  OR(F441="40's", F441="50's"), "Adult (40–59)",
  OR(F441="60's", F441="70's", F441="80's", F441="90's"), "Senior (60+)",
  TRUE, "Unknown"
)</f>
        <v>Adult (40–59)</v>
      </c>
      <c r="H441" t="s">
        <v>841</v>
      </c>
      <c r="I441" t="s">
        <v>4076</v>
      </c>
      <c r="J441" t="str">
        <f t="shared" si="25"/>
        <v>Methamphetamine-related</v>
      </c>
      <c r="K441" t="s">
        <v>54</v>
      </c>
      <c r="L441" t="s">
        <v>2732</v>
      </c>
      <c r="M441" t="s">
        <v>4710</v>
      </c>
      <c r="N441" t="s">
        <v>5118</v>
      </c>
      <c r="O441" t="str" cm="1">
        <f t="array" ref="O441">_xlfn.IFS(
  TEXT(TRIM(N441),"00000")="NULL", "Missing/Unknown",
  OR(TEXT(TRIM(N441),"00000")="89101", TEXT(TRIM(N441),"00000")="89104", TEXT(TRIM(N441),"00000")="89106", TEXT(TRIM(N441),"00000")="89102", TEXT(TRIM(N441),"00000")="89107", TEXT(TRIM(N441),"00000")="89108"), "Urban Core",
  OR(TEXT(TRIM(N441),"00000")="89110", TEXT(TRIM(N441),"00000")="89115", TEXT(TRIM(N441),"00000")="89121", TEXT(TRIM(N441),"00000")="89122", TEXT(TRIM(N441),"00000")="89142", TEXT(TRIM(N441),"00000")="89156"), "East Valley",
  OR(TEXT(TRIM(N441),"00000")="89030", TEXT(TRIM(N441),"00000")="89031", TEXT(TRIM(N441),"00000")="89032", TEXT(TRIM(N441),"00000")="89086", TEXT(TRIM(N441),"00000")="89084", TEXT(TRIM(N441),"00000")="89081"), "North LV",
  OR(TEXT(TRIM(N441),"00000")="89109", TEXT(TRIM(N441),"00000")="89103", TEXT(TRIM(N441),"00000")="89119", TEXT(TRIM(N441),"00000")="89123", TEXT(TRIM(N441),"00000")="89169", TEXT(TRIM(N441),"00000")="89118"), "South/Strip",
  OR(TEXT(TRIM(N441),"00000")="89074", TEXT(TRIM(N441),"00000")="89014", TEXT(TRIM(N441),"00000")="89015", TEXT(TRIM(N441),"00000")="89011", TEXT(TRIM(N441),"00000")="89012"), "Suburban SE",
  OR(TEXT(TRIM(N441),"00000")="89117", TEXT(TRIM(N441),"00000")="89128", TEXT(TRIM(N441),"00000")="89135", TEXT(TRIM(N441),"00000")="89144", TEXT(TRIM(N441),"00000")="89145", TEXT(TRIM(N441),"00000")="89147"), "West Valley",
  TRUE, "Other"
)</f>
        <v>South/Strip</v>
      </c>
      <c r="P441" t="s">
        <v>3298</v>
      </c>
      <c r="Q441" t="str">
        <f t="shared" si="26"/>
        <v>Outdoors/Public</v>
      </c>
      <c r="R441" t="s">
        <v>4710</v>
      </c>
      <c r="S441" t="s">
        <v>5118</v>
      </c>
      <c r="T441" t="str" cm="1">
        <f t="array" ref="T441">_xlfn.IFS(
  TEXT(TRIM(S441),"00000")="NULL", "Missing/Unknown",
  OR(TEXT(TRIM(S441),"00000")="89101", TEXT(TRIM(S441),"00000")="89104", TEXT(TRIM(S441),"00000")="89106", TEXT(TRIM(S441),"00000")="89102", TEXT(TRIM(S441),"00000")="89107", TEXT(TRIM(S441),"00000")="89108"), "Urban Core",
  OR(TEXT(TRIM(S441),"00000")="89110", TEXT(TRIM(S441),"00000")="89115", TEXT(TRIM(S441),"00000")="89121", TEXT(TRIM(S441),"00000")="89122", TEXT(TRIM(S441),"00000")="89142", TEXT(TRIM(S441),"00000")="89156"), "East Valley",
  OR(TEXT(TRIM(S441),"00000")="89030", TEXT(TRIM(S441),"00000")="89031", TEXT(TRIM(S441),"00000")="89032", TEXT(TRIM(S441),"00000")="89086", TEXT(TRIM(S441),"00000")="89084", TEXT(TRIM(S441),"00000")="89081"), "North LV",
  OR(TEXT(TRIM(S441),"00000")="89109", TEXT(TRIM(S441),"00000")="89103", TEXT(TRIM(S441),"00000")="89119", TEXT(TRIM(S441),"00000")="89123", TEXT(TRIM(S441),"00000")="89169", TEXT(TRIM(S441),"00000")="89118"), "South/Strip",
  OR(TEXT(TRIM(S441),"00000")="89074", TEXT(TRIM(S441),"00000")="89014", TEXT(TRIM(S441),"00000")="89015", TEXT(TRIM(S441),"00000")="89011", TEXT(TRIM(S441),"00000")="89012"), "Suburban SE",
  OR(TEXT(TRIM(S441),"00000")="89117", TEXT(TRIM(S441),"00000")="89128", TEXT(TRIM(S441),"00000")="89135", TEXT(TRIM(S441),"00000")="89144", TEXT(TRIM(S441),"00000")="89145", TEXT(TRIM(S441),"00000")="89147"), "West Valley",
  TRUE, "Other"
)</f>
        <v>South/Strip</v>
      </c>
      <c r="U441" t="s">
        <v>3298</v>
      </c>
      <c r="V441" t="str">
        <f t="shared" si="27"/>
        <v>Outdoors/Public</v>
      </c>
    </row>
    <row r="442" spans="1:22">
      <c r="A442" t="s">
        <v>2942</v>
      </c>
      <c r="B442" t="s">
        <v>2943</v>
      </c>
      <c r="C442" s="1">
        <v>45450</v>
      </c>
      <c r="D442" s="4">
        <v>109.04</v>
      </c>
      <c r="E442">
        <v>72</v>
      </c>
      <c r="F442" t="str">
        <f t="shared" si="24"/>
        <v>70's</v>
      </c>
      <c r="G442" t="str" cm="1">
        <f t="array" ref="G442">_xlfn.IFS(
  F442="10's", "Child (5–12)",
  OR(F442="20's", F442="30's"), "Young Adult (20–39)",
  OR(F442="40's", F442="50's"), "Adult (40–59)",
  OR(F442="60's", F442="70's", F442="80's", F442="90's"), "Senior (60+)",
  TRUE, "Unknown"
)</f>
        <v>Senior (60+)</v>
      </c>
      <c r="H442" t="s">
        <v>4309</v>
      </c>
      <c r="I442" t="s">
        <v>54</v>
      </c>
      <c r="J442" t="str">
        <f t="shared" si="25"/>
        <v>Environmental Heat</v>
      </c>
      <c r="K442" t="s">
        <v>98</v>
      </c>
      <c r="L442" t="s">
        <v>250</v>
      </c>
      <c r="N442" t="s">
        <v>5095</v>
      </c>
      <c r="O442" t="str" cm="1">
        <f t="array" ref="O442">_xlfn.IFS(
  TEXT(TRIM(N442),"00000")="NULL", "Missing/Unknown",
  OR(TEXT(TRIM(N442),"00000")="89101", TEXT(TRIM(N442),"00000")="89104", TEXT(TRIM(N442),"00000")="89106", TEXT(TRIM(N442),"00000")="89102", TEXT(TRIM(N442),"00000")="89107", TEXT(TRIM(N442),"00000")="89108"), "Urban Core",
  OR(TEXT(TRIM(N442),"00000")="89110", TEXT(TRIM(N442),"00000")="89115", TEXT(TRIM(N442),"00000")="89121", TEXT(TRIM(N442),"00000")="89122", TEXT(TRIM(N442),"00000")="89142", TEXT(TRIM(N442),"00000")="89156"), "East Valley",
  OR(TEXT(TRIM(N442),"00000")="89030", TEXT(TRIM(N442),"00000")="89031", TEXT(TRIM(N442),"00000")="89032", TEXT(TRIM(N442),"00000")="89086", TEXT(TRIM(N442),"00000")="89084", TEXT(TRIM(N442),"00000")="89081"), "North LV",
  OR(TEXT(TRIM(N442),"00000")="89109", TEXT(TRIM(N442),"00000")="89103", TEXT(TRIM(N442),"00000")="89119", TEXT(TRIM(N442),"00000")="89123", TEXT(TRIM(N442),"00000")="89169", TEXT(TRIM(N442),"00000")="89118"), "South/Strip",
  OR(TEXT(TRIM(N442),"00000")="89074", TEXT(TRIM(N442),"00000")="89014", TEXT(TRIM(N442),"00000")="89015", TEXT(TRIM(N442),"00000")="89011", TEXT(TRIM(N442),"00000")="89012"), "Suburban SE",
  OR(TEXT(TRIM(N442),"00000")="89117", TEXT(TRIM(N442),"00000")="89128", TEXT(TRIM(N442),"00000")="89135", TEXT(TRIM(N442),"00000")="89144", TEXT(TRIM(N442),"00000")="89145", TEXT(TRIM(N442),"00000")="89147"), "West Valley",
  TRUE, "Other"
)</f>
        <v>Missing/Unknown</v>
      </c>
      <c r="P442" t="s">
        <v>2666</v>
      </c>
      <c r="Q442" t="str">
        <f t="shared" si="26"/>
        <v>Outdoors/Public</v>
      </c>
      <c r="S442" t="s">
        <v>5095</v>
      </c>
      <c r="T442" t="str" cm="1">
        <f t="array" ref="T442">_xlfn.IFS(
  TEXT(TRIM(S442),"00000")="NULL", "Missing/Unknown",
  OR(TEXT(TRIM(S442),"00000")="89101", TEXT(TRIM(S442),"00000")="89104", TEXT(TRIM(S442),"00000")="89106", TEXT(TRIM(S442),"00000")="89102", TEXT(TRIM(S442),"00000")="89107", TEXT(TRIM(S442),"00000")="89108"), "Urban Core",
  OR(TEXT(TRIM(S442),"00000")="89110", TEXT(TRIM(S442),"00000")="89115", TEXT(TRIM(S442),"00000")="89121", TEXT(TRIM(S442),"00000")="89122", TEXT(TRIM(S442),"00000")="89142", TEXT(TRIM(S442),"00000")="89156"), "East Valley",
  OR(TEXT(TRIM(S442),"00000")="89030", TEXT(TRIM(S442),"00000")="89031", TEXT(TRIM(S442),"00000")="89032", TEXT(TRIM(S442),"00000")="89086", TEXT(TRIM(S442),"00000")="89084", TEXT(TRIM(S442),"00000")="89081"), "North LV",
  OR(TEXT(TRIM(S442),"00000")="89109", TEXT(TRIM(S442),"00000")="89103", TEXT(TRIM(S442),"00000")="89119", TEXT(TRIM(S442),"00000")="89123", TEXT(TRIM(S442),"00000")="89169", TEXT(TRIM(S442),"00000")="89118"), "South/Strip",
  OR(TEXT(TRIM(S442),"00000")="89074", TEXT(TRIM(S442),"00000")="89014", TEXT(TRIM(S442),"00000")="89015", TEXT(TRIM(S442),"00000")="89011", TEXT(TRIM(S442),"00000")="89012"), "Suburban SE",
  OR(TEXT(TRIM(S442),"00000")="89117", TEXT(TRIM(S442),"00000")="89128", TEXT(TRIM(S442),"00000")="89135", TEXT(TRIM(S442),"00000")="89144", TEXT(TRIM(S442),"00000")="89145", TEXT(TRIM(S442),"00000")="89147"), "West Valley",
  TRUE, "Other"
)</f>
        <v>Missing/Unknown</v>
      </c>
      <c r="U442" t="s">
        <v>2666</v>
      </c>
      <c r="V442" t="str">
        <f t="shared" si="27"/>
        <v>Outdoors/Public</v>
      </c>
    </row>
    <row r="443" spans="1:22">
      <c r="A443" t="s">
        <v>3484</v>
      </c>
      <c r="B443" t="s">
        <v>3485</v>
      </c>
      <c r="C443" s="1">
        <v>45450</v>
      </c>
      <c r="D443" s="4">
        <v>109.04</v>
      </c>
      <c r="E443">
        <v>84</v>
      </c>
      <c r="F443" t="str">
        <f t="shared" si="24"/>
        <v>80's</v>
      </c>
      <c r="G443" t="str" cm="1">
        <f t="array" ref="G443">_xlfn.IFS(
  F443="10's", "Child (5–12)",
  OR(F443="20's", F443="30's"), "Young Adult (20–39)",
  OR(F443="40's", F443="50's"), "Adult (40–59)",
  OR(F443="60's", F443="70's", F443="80's", F443="90's"), "Senior (60+)",
  TRUE, "Unknown"
)</f>
        <v>Senior (60+)</v>
      </c>
      <c r="H443" t="s">
        <v>841</v>
      </c>
      <c r="I443" t="s">
        <v>68</v>
      </c>
      <c r="J443" t="str">
        <f t="shared" si="25"/>
        <v>Cardiovascular Disease</v>
      </c>
      <c r="K443" t="s">
        <v>54</v>
      </c>
      <c r="L443" t="s">
        <v>1071</v>
      </c>
      <c r="M443" t="s">
        <v>4602</v>
      </c>
      <c r="N443" t="s">
        <v>5142</v>
      </c>
      <c r="O443" t="str" cm="1">
        <f t="array" ref="O443">_xlfn.IFS(
  TEXT(TRIM(N443),"00000")="NULL", "Missing/Unknown",
  OR(TEXT(TRIM(N443),"00000")="89101", TEXT(TRIM(N443),"00000")="89104", TEXT(TRIM(N443),"00000")="89106", TEXT(TRIM(N443),"00000")="89102", TEXT(TRIM(N443),"00000")="89107", TEXT(TRIM(N443),"00000")="89108"), "Urban Core",
  OR(TEXT(TRIM(N443),"00000")="89110", TEXT(TRIM(N443),"00000")="89115", TEXT(TRIM(N443),"00000")="89121", TEXT(TRIM(N443),"00000")="89122", TEXT(TRIM(N443),"00000")="89142", TEXT(TRIM(N443),"00000")="89156"), "East Valley",
  OR(TEXT(TRIM(N443),"00000")="89030", TEXT(TRIM(N443),"00000")="89031", TEXT(TRIM(N443),"00000")="89032", TEXT(TRIM(N443),"00000")="89086", TEXT(TRIM(N443),"00000")="89084", TEXT(TRIM(N443),"00000")="89081"), "North LV",
  OR(TEXT(TRIM(N443),"00000")="89109", TEXT(TRIM(N443),"00000")="89103", TEXT(TRIM(N443),"00000")="89119", TEXT(TRIM(N443),"00000")="89123", TEXT(TRIM(N443),"00000")="89169", TEXT(TRIM(N443),"00000")="89118"), "South/Strip",
  OR(TEXT(TRIM(N443),"00000")="89074", TEXT(TRIM(N443),"00000")="89014", TEXT(TRIM(N443),"00000")="89015", TEXT(TRIM(N443),"00000")="89011", TEXT(TRIM(N443),"00000")="89012"), "Suburban SE",
  OR(TEXT(TRIM(N443),"00000")="89117", TEXT(TRIM(N443),"00000")="89128", TEXT(TRIM(N443),"00000")="89135", TEXT(TRIM(N443),"00000")="89144", TEXT(TRIM(N443),"00000")="89145", TEXT(TRIM(N443),"00000")="89147"), "West Valley",
  TRUE, "Other"
)</f>
        <v>Suburban SE</v>
      </c>
      <c r="P443" t="s">
        <v>38</v>
      </c>
      <c r="Q443" t="str">
        <f t="shared" si="26"/>
        <v>Home/Residence</v>
      </c>
      <c r="R443" t="s">
        <v>5053</v>
      </c>
      <c r="S443" t="s">
        <v>5110</v>
      </c>
      <c r="T443" t="str" cm="1">
        <f t="array" ref="T443">_xlfn.IFS(
  TEXT(TRIM(S443),"00000")="NULL", "Missing/Unknown",
  OR(TEXT(TRIM(S443),"00000")="89101", TEXT(TRIM(S443),"00000")="89104", TEXT(TRIM(S443),"00000")="89106", TEXT(TRIM(S443),"00000")="89102", TEXT(TRIM(S443),"00000")="89107", TEXT(TRIM(S443),"00000")="89108"), "Urban Core",
  OR(TEXT(TRIM(S443),"00000")="89110", TEXT(TRIM(S443),"00000")="89115", TEXT(TRIM(S443),"00000")="89121", TEXT(TRIM(S443),"00000")="89122", TEXT(TRIM(S443),"00000")="89142", TEXT(TRIM(S443),"00000")="89156"), "East Valley",
  OR(TEXT(TRIM(S443),"00000")="89030", TEXT(TRIM(S443),"00000")="89031", TEXT(TRIM(S443),"00000")="89032", TEXT(TRIM(S443),"00000")="89086", TEXT(TRIM(S443),"00000")="89084", TEXT(TRIM(S443),"00000")="89081"), "North LV",
  OR(TEXT(TRIM(S443),"00000")="89109", TEXT(TRIM(S443),"00000")="89103", TEXT(TRIM(S443),"00000")="89119", TEXT(TRIM(S443),"00000")="89123", TEXT(TRIM(S443),"00000")="89169", TEXT(TRIM(S443),"00000")="89118"), "South/Strip",
  OR(TEXT(TRIM(S443),"00000")="89074", TEXT(TRIM(S443),"00000")="89014", TEXT(TRIM(S443),"00000")="89015", TEXT(TRIM(S443),"00000")="89011", TEXT(TRIM(S443),"00000")="89012"), "Suburban SE",
  OR(TEXT(TRIM(S443),"00000")="89117", TEXT(TRIM(S443),"00000")="89128", TEXT(TRIM(S443),"00000")="89135", TEXT(TRIM(S443),"00000")="89144", TEXT(TRIM(S443),"00000")="89145", TEXT(TRIM(S443),"00000")="89147"), "West Valley",
  TRUE, "Other"
)</f>
        <v>Suburban SE</v>
      </c>
      <c r="U443" t="s">
        <v>2413</v>
      </c>
      <c r="V443" t="str">
        <f t="shared" si="27"/>
        <v>Medical Facility</v>
      </c>
    </row>
    <row r="444" spans="1:22">
      <c r="A444" t="s">
        <v>3877</v>
      </c>
      <c r="B444" t="s">
        <v>3878</v>
      </c>
      <c r="C444" s="1">
        <v>45450</v>
      </c>
      <c r="D444" s="4">
        <v>109.04</v>
      </c>
      <c r="E444">
        <v>36</v>
      </c>
      <c r="F444" t="str">
        <f t="shared" si="24"/>
        <v>30's</v>
      </c>
      <c r="G444" t="str" cm="1">
        <f t="array" ref="G444">_xlfn.IFS(
  F444="10's", "Child (5–12)",
  OR(F444="20's", F444="30's"), "Young Adult (20–39)",
  OR(F444="40's", F444="50's"), "Adult (40–59)",
  OR(F444="60's", F444="70's", F444="80's", F444="90's"), "Senior (60+)",
  TRUE, "Unknown"
)</f>
        <v>Young Adult (20–39)</v>
      </c>
      <c r="H444" t="s">
        <v>841</v>
      </c>
      <c r="I444" t="s">
        <v>3879</v>
      </c>
      <c r="J444" t="str">
        <f t="shared" si="25"/>
        <v>Fentanyl-related</v>
      </c>
      <c r="K444" t="s">
        <v>35</v>
      </c>
      <c r="L444" t="s">
        <v>250</v>
      </c>
      <c r="N444" t="s">
        <v>5095</v>
      </c>
      <c r="O444" t="str" cm="1">
        <f t="array" ref="O444">_xlfn.IFS(
  TEXT(TRIM(N444),"00000")="NULL", "Missing/Unknown",
  OR(TEXT(TRIM(N444),"00000")="89101", TEXT(TRIM(N444),"00000")="89104", TEXT(TRIM(N444),"00000")="89106", TEXT(TRIM(N444),"00000")="89102", TEXT(TRIM(N444),"00000")="89107", TEXT(TRIM(N444),"00000")="89108"), "Urban Core",
  OR(TEXT(TRIM(N444),"00000")="89110", TEXT(TRIM(N444),"00000")="89115", TEXT(TRIM(N444),"00000")="89121", TEXT(TRIM(N444),"00000")="89122", TEXT(TRIM(N444),"00000")="89142", TEXT(TRIM(N444),"00000")="89156"), "East Valley",
  OR(TEXT(TRIM(N444),"00000")="89030", TEXT(TRIM(N444),"00000")="89031", TEXT(TRIM(N444),"00000")="89032", TEXT(TRIM(N444),"00000")="89086", TEXT(TRIM(N444),"00000")="89084", TEXT(TRIM(N444),"00000")="89081"), "North LV",
  OR(TEXT(TRIM(N444),"00000")="89109", TEXT(TRIM(N444),"00000")="89103", TEXT(TRIM(N444),"00000")="89119", TEXT(TRIM(N444),"00000")="89123", TEXT(TRIM(N444),"00000")="89169", TEXT(TRIM(N444),"00000")="89118"), "South/Strip",
  OR(TEXT(TRIM(N444),"00000")="89074", TEXT(TRIM(N444),"00000")="89014", TEXT(TRIM(N444),"00000")="89015", TEXT(TRIM(N444),"00000")="89011", TEXT(TRIM(N444),"00000")="89012"), "Suburban SE",
  OR(TEXT(TRIM(N444),"00000")="89117", TEXT(TRIM(N444),"00000")="89128", TEXT(TRIM(N444),"00000")="89135", TEXT(TRIM(N444),"00000")="89144", TEXT(TRIM(N444),"00000")="89145", TEXT(TRIM(N444),"00000")="89147"), "West Valley",
  TRUE, "Other"
)</f>
        <v>Missing/Unknown</v>
      </c>
      <c r="P444" t="s">
        <v>3298</v>
      </c>
      <c r="Q444" t="str">
        <f t="shared" si="26"/>
        <v>Outdoors/Public</v>
      </c>
      <c r="S444" t="s">
        <v>5095</v>
      </c>
      <c r="T444" t="str" cm="1">
        <f t="array" ref="T444">_xlfn.IFS(
  TEXT(TRIM(S444),"00000")="NULL", "Missing/Unknown",
  OR(TEXT(TRIM(S444),"00000")="89101", TEXT(TRIM(S444),"00000")="89104", TEXT(TRIM(S444),"00000")="89106", TEXT(TRIM(S444),"00000")="89102", TEXT(TRIM(S444),"00000")="89107", TEXT(TRIM(S444),"00000")="89108"), "Urban Core",
  OR(TEXT(TRIM(S444),"00000")="89110", TEXT(TRIM(S444),"00000")="89115", TEXT(TRIM(S444),"00000")="89121", TEXT(TRIM(S444),"00000")="89122", TEXT(TRIM(S444),"00000")="89142", TEXT(TRIM(S444),"00000")="89156"), "East Valley",
  OR(TEXT(TRIM(S444),"00000")="89030", TEXT(TRIM(S444),"00000")="89031", TEXT(TRIM(S444),"00000")="89032", TEXT(TRIM(S444),"00000")="89086", TEXT(TRIM(S444),"00000")="89084", TEXT(TRIM(S444),"00000")="89081"), "North LV",
  OR(TEXT(TRIM(S444),"00000")="89109", TEXT(TRIM(S444),"00000")="89103", TEXT(TRIM(S444),"00000")="89119", TEXT(TRIM(S444),"00000")="89123", TEXT(TRIM(S444),"00000")="89169", TEXT(TRIM(S444),"00000")="89118"), "South/Strip",
  OR(TEXT(TRIM(S444),"00000")="89074", TEXT(TRIM(S444),"00000")="89014", TEXT(TRIM(S444),"00000")="89015", TEXT(TRIM(S444),"00000")="89011", TEXT(TRIM(S444),"00000")="89012"), "Suburban SE",
  OR(TEXT(TRIM(S444),"00000")="89117", TEXT(TRIM(S444),"00000")="89128", TEXT(TRIM(S444),"00000")="89135", TEXT(TRIM(S444),"00000")="89144", TEXT(TRIM(S444),"00000")="89145", TEXT(TRIM(S444),"00000")="89147"), "West Valley",
  TRUE, "Other"
)</f>
        <v>Missing/Unknown</v>
      </c>
      <c r="U444" t="s">
        <v>3298</v>
      </c>
      <c r="V444" t="str">
        <f t="shared" si="27"/>
        <v>Outdoors/Public</v>
      </c>
    </row>
    <row r="445" spans="1:22">
      <c r="A445" t="s">
        <v>2860</v>
      </c>
      <c r="B445" t="s">
        <v>2861</v>
      </c>
      <c r="C445" s="1">
        <v>45450</v>
      </c>
      <c r="D445" s="4">
        <v>109.04</v>
      </c>
      <c r="E445">
        <v>76</v>
      </c>
      <c r="F445" t="str">
        <f t="shared" si="24"/>
        <v>70's</v>
      </c>
      <c r="G445" t="str" cm="1">
        <f t="array" ref="G445">_xlfn.IFS(
  F445="10's", "Child (5–12)",
  OR(F445="20's", F445="30's"), "Young Adult (20–39)",
  OR(F445="40's", F445="50's"), "Adult (40–59)",
  OR(F445="60's", F445="70's", F445="80's", F445="90's"), "Senior (60+)",
  TRUE, "Unknown"
)</f>
        <v>Senior (60+)</v>
      </c>
      <c r="H445" t="s">
        <v>4309</v>
      </c>
      <c r="I445" t="s">
        <v>35</v>
      </c>
      <c r="J445" t="str">
        <f t="shared" si="25"/>
        <v>Environmental Heat</v>
      </c>
      <c r="K445" t="s">
        <v>28</v>
      </c>
      <c r="L445" t="s">
        <v>250</v>
      </c>
      <c r="N445" t="s">
        <v>5095</v>
      </c>
      <c r="O445" t="str" cm="1">
        <f t="array" ref="O445">_xlfn.IFS(
  TEXT(TRIM(N445),"00000")="NULL", "Missing/Unknown",
  OR(TEXT(TRIM(N445),"00000")="89101", TEXT(TRIM(N445),"00000")="89104", TEXT(TRIM(N445),"00000")="89106", TEXT(TRIM(N445),"00000")="89102", TEXT(TRIM(N445),"00000")="89107", TEXT(TRIM(N445),"00000")="89108"), "Urban Core",
  OR(TEXT(TRIM(N445),"00000")="89110", TEXT(TRIM(N445),"00000")="89115", TEXT(TRIM(N445),"00000")="89121", TEXT(TRIM(N445),"00000")="89122", TEXT(TRIM(N445),"00000")="89142", TEXT(TRIM(N445),"00000")="89156"), "East Valley",
  OR(TEXT(TRIM(N445),"00000")="89030", TEXT(TRIM(N445),"00000")="89031", TEXT(TRIM(N445),"00000")="89032", TEXT(TRIM(N445),"00000")="89086", TEXT(TRIM(N445),"00000")="89084", TEXT(TRIM(N445),"00000")="89081"), "North LV",
  OR(TEXT(TRIM(N445),"00000")="89109", TEXT(TRIM(N445),"00000")="89103", TEXT(TRIM(N445),"00000")="89119", TEXT(TRIM(N445),"00000")="89123", TEXT(TRIM(N445),"00000")="89169", TEXT(TRIM(N445),"00000")="89118"), "South/Strip",
  OR(TEXT(TRIM(N445),"00000")="89074", TEXT(TRIM(N445),"00000")="89014", TEXT(TRIM(N445),"00000")="89015", TEXT(TRIM(N445),"00000")="89011", TEXT(TRIM(N445),"00000")="89012"), "Suburban SE",
  OR(TEXT(TRIM(N445),"00000")="89117", TEXT(TRIM(N445),"00000")="89128", TEXT(TRIM(N445),"00000")="89135", TEXT(TRIM(N445),"00000")="89144", TEXT(TRIM(N445),"00000")="89145", TEXT(TRIM(N445),"00000")="89147"), "West Valley",
  TRUE, "Other"
)</f>
        <v>Missing/Unknown</v>
      </c>
      <c r="P445" t="s">
        <v>3298</v>
      </c>
      <c r="Q445" t="str">
        <f t="shared" si="26"/>
        <v>Outdoors/Public</v>
      </c>
      <c r="S445" t="s">
        <v>5095</v>
      </c>
      <c r="T445" t="str" cm="1">
        <f t="array" ref="T445">_xlfn.IFS(
  TEXT(TRIM(S445),"00000")="NULL", "Missing/Unknown",
  OR(TEXT(TRIM(S445),"00000")="89101", TEXT(TRIM(S445),"00000")="89104", TEXT(TRIM(S445),"00000")="89106", TEXT(TRIM(S445),"00000")="89102", TEXT(TRIM(S445),"00000")="89107", TEXT(TRIM(S445),"00000")="89108"), "Urban Core",
  OR(TEXT(TRIM(S445),"00000")="89110", TEXT(TRIM(S445),"00000")="89115", TEXT(TRIM(S445),"00000")="89121", TEXT(TRIM(S445),"00000")="89122", TEXT(TRIM(S445),"00000")="89142", TEXT(TRIM(S445),"00000")="89156"), "East Valley",
  OR(TEXT(TRIM(S445),"00000")="89030", TEXT(TRIM(S445),"00000")="89031", TEXT(TRIM(S445),"00000")="89032", TEXT(TRIM(S445),"00000")="89086", TEXT(TRIM(S445),"00000")="89084", TEXT(TRIM(S445),"00000")="89081"), "North LV",
  OR(TEXT(TRIM(S445),"00000")="89109", TEXT(TRIM(S445),"00000")="89103", TEXT(TRIM(S445),"00000")="89119", TEXT(TRIM(S445),"00000")="89123", TEXT(TRIM(S445),"00000")="89169", TEXT(TRIM(S445),"00000")="89118"), "South/Strip",
  OR(TEXT(TRIM(S445),"00000")="89074", TEXT(TRIM(S445),"00000")="89014", TEXT(TRIM(S445),"00000")="89015", TEXT(TRIM(S445),"00000")="89011", TEXT(TRIM(S445),"00000")="89012"), "Suburban SE",
  OR(TEXT(TRIM(S445),"00000")="89117", TEXT(TRIM(S445),"00000")="89128", TEXT(TRIM(S445),"00000")="89135", TEXT(TRIM(S445),"00000")="89144", TEXT(TRIM(S445),"00000")="89145", TEXT(TRIM(S445),"00000")="89147"), "West Valley",
  TRUE, "Other"
)</f>
        <v>Missing/Unknown</v>
      </c>
      <c r="U445" t="s">
        <v>3298</v>
      </c>
      <c r="V445" t="str">
        <f t="shared" si="27"/>
        <v>Outdoors/Public</v>
      </c>
    </row>
    <row r="446" spans="1:22">
      <c r="A446" t="s">
        <v>3480</v>
      </c>
      <c r="B446" t="s">
        <v>3481</v>
      </c>
      <c r="C446" s="1">
        <v>45449</v>
      </c>
      <c r="D446" s="4">
        <v>109.94</v>
      </c>
      <c r="E446">
        <v>79</v>
      </c>
      <c r="F446" t="str">
        <f t="shared" si="24"/>
        <v>70's</v>
      </c>
      <c r="G446" t="str" cm="1">
        <f t="array" ref="G446">_xlfn.IFS(
  F446="10's", "Child (5–12)",
  OR(F446="20's", F446="30's"), "Young Adult (20–39)",
  OR(F446="40's", F446="50's"), "Adult (40–59)",
  OR(F446="60's", F446="70's", F446="80's", F446="90's"), "Senior (60+)",
  TRUE, "Unknown"
)</f>
        <v>Senior (60+)</v>
      </c>
      <c r="H446" t="s">
        <v>841</v>
      </c>
      <c r="I446" t="s">
        <v>68</v>
      </c>
      <c r="J446" t="str">
        <f t="shared" si="25"/>
        <v>Cardiovascular Disease</v>
      </c>
      <c r="K446" t="s">
        <v>3482</v>
      </c>
      <c r="L446" t="s">
        <v>1071</v>
      </c>
      <c r="M446" t="s">
        <v>4712</v>
      </c>
      <c r="N446" t="s">
        <v>5117</v>
      </c>
      <c r="O446" t="str" cm="1">
        <f t="array" ref="O446">_xlfn.IFS(
  TEXT(TRIM(N446),"00000")="NULL", "Missing/Unknown",
  OR(TEXT(TRIM(N446),"00000")="89101", TEXT(TRIM(N446),"00000")="89104", TEXT(TRIM(N446),"00000")="89106", TEXT(TRIM(N446),"00000")="89102", TEXT(TRIM(N446),"00000")="89107", TEXT(TRIM(N446),"00000")="89108"), "Urban Core",
  OR(TEXT(TRIM(N446),"00000")="89110", TEXT(TRIM(N446),"00000")="89115", TEXT(TRIM(N446),"00000")="89121", TEXT(TRIM(N446),"00000")="89122", TEXT(TRIM(N446),"00000")="89142", TEXT(TRIM(N446),"00000")="89156"), "East Valley",
  OR(TEXT(TRIM(N446),"00000")="89030", TEXT(TRIM(N446),"00000")="89031", TEXT(TRIM(N446),"00000")="89032", TEXT(TRIM(N446),"00000")="89086", TEXT(TRIM(N446),"00000")="89084", TEXT(TRIM(N446),"00000")="89081"), "North LV",
  OR(TEXT(TRIM(N446),"00000")="89109", TEXT(TRIM(N446),"00000")="89103", TEXT(TRIM(N446),"00000")="89119", TEXT(TRIM(N446),"00000")="89123", TEXT(TRIM(N446),"00000")="89169", TEXT(TRIM(N446),"00000")="89118"), "South/Strip",
  OR(TEXT(TRIM(N446),"00000")="89074", TEXT(TRIM(N446),"00000")="89014", TEXT(TRIM(N446),"00000")="89015", TEXT(TRIM(N446),"00000")="89011", TEXT(TRIM(N446),"00000")="89012"), "Suburban SE",
  OR(TEXT(TRIM(N446),"00000")="89117", TEXT(TRIM(N446),"00000")="89128", TEXT(TRIM(N446),"00000")="89135", TEXT(TRIM(N446),"00000")="89144", TEXT(TRIM(N446),"00000")="89145", TEXT(TRIM(N446),"00000")="89147"), "West Valley",
  TRUE, "Other"
)</f>
        <v>North LV</v>
      </c>
      <c r="P446" t="s">
        <v>3298</v>
      </c>
      <c r="Q446" t="str">
        <f t="shared" si="26"/>
        <v>Outdoors/Public</v>
      </c>
      <c r="R446" t="s">
        <v>4712</v>
      </c>
      <c r="S446" t="s">
        <v>5117</v>
      </c>
      <c r="T446" t="str" cm="1">
        <f t="array" ref="T446">_xlfn.IFS(
  TEXT(TRIM(S446),"00000")="NULL", "Missing/Unknown",
  OR(TEXT(TRIM(S446),"00000")="89101", TEXT(TRIM(S446),"00000")="89104", TEXT(TRIM(S446),"00000")="89106", TEXT(TRIM(S446),"00000")="89102", TEXT(TRIM(S446),"00000")="89107", TEXT(TRIM(S446),"00000")="89108"), "Urban Core",
  OR(TEXT(TRIM(S446),"00000")="89110", TEXT(TRIM(S446),"00000")="89115", TEXT(TRIM(S446),"00000")="89121", TEXT(TRIM(S446),"00000")="89122", TEXT(TRIM(S446),"00000")="89142", TEXT(TRIM(S446),"00000")="89156"), "East Valley",
  OR(TEXT(TRIM(S446),"00000")="89030", TEXT(TRIM(S446),"00000")="89031", TEXT(TRIM(S446),"00000")="89032", TEXT(TRIM(S446),"00000")="89086", TEXT(TRIM(S446),"00000")="89084", TEXT(TRIM(S446),"00000")="89081"), "North LV",
  OR(TEXT(TRIM(S446),"00000")="89109", TEXT(TRIM(S446),"00000")="89103", TEXT(TRIM(S446),"00000")="89119", TEXT(TRIM(S446),"00000")="89123", TEXT(TRIM(S446),"00000")="89169", TEXT(TRIM(S446),"00000")="89118"), "South/Strip",
  OR(TEXT(TRIM(S446),"00000")="89074", TEXT(TRIM(S446),"00000")="89014", TEXT(TRIM(S446),"00000")="89015", TEXT(TRIM(S446),"00000")="89011", TEXT(TRIM(S446),"00000")="89012"), "Suburban SE",
  OR(TEXT(TRIM(S446),"00000")="89117", TEXT(TRIM(S446),"00000")="89128", TEXT(TRIM(S446),"00000")="89135", TEXT(TRIM(S446),"00000")="89144", TEXT(TRIM(S446),"00000")="89145", TEXT(TRIM(S446),"00000")="89147"), "West Valley",
  TRUE, "Other"
)</f>
        <v>North LV</v>
      </c>
      <c r="U446" t="s">
        <v>3298</v>
      </c>
      <c r="V446" t="str">
        <f t="shared" si="27"/>
        <v>Outdoors/Public</v>
      </c>
    </row>
    <row r="447" spans="1:22">
      <c r="A447" t="s">
        <v>2938</v>
      </c>
      <c r="B447" t="s">
        <v>2939</v>
      </c>
      <c r="C447" s="1">
        <v>45449</v>
      </c>
      <c r="D447" s="4">
        <v>109.94</v>
      </c>
      <c r="E447">
        <v>79</v>
      </c>
      <c r="F447" t="str">
        <f t="shared" si="24"/>
        <v>70's</v>
      </c>
      <c r="G447" t="str" cm="1">
        <f t="array" ref="G447">_xlfn.IFS(
  F447="10's", "Child (5–12)",
  OR(F447="20's", F447="30's"), "Young Adult (20–39)",
  OR(F447="40's", F447="50's"), "Adult (40–59)",
  OR(F447="60's", F447="70's", F447="80's", F447="90's"), "Senior (60+)",
  TRUE, "Unknown"
)</f>
        <v>Senior (60+)</v>
      </c>
      <c r="H447" t="s">
        <v>841</v>
      </c>
      <c r="I447" t="s">
        <v>54</v>
      </c>
      <c r="J447" t="str">
        <f t="shared" si="25"/>
        <v>Environmental Heat</v>
      </c>
      <c r="K447" t="s">
        <v>2940</v>
      </c>
      <c r="L447" t="s">
        <v>1071</v>
      </c>
      <c r="M447" t="s">
        <v>4948</v>
      </c>
      <c r="N447" t="s">
        <v>5142</v>
      </c>
      <c r="O447" t="str" cm="1">
        <f t="array" ref="O447">_xlfn.IFS(
  TEXT(TRIM(N447),"00000")="NULL", "Missing/Unknown",
  OR(TEXT(TRIM(N447),"00000")="89101", TEXT(TRIM(N447),"00000")="89104", TEXT(TRIM(N447),"00000")="89106", TEXT(TRIM(N447),"00000")="89102", TEXT(TRIM(N447),"00000")="89107", TEXT(TRIM(N447),"00000")="89108"), "Urban Core",
  OR(TEXT(TRIM(N447),"00000")="89110", TEXT(TRIM(N447),"00000")="89115", TEXT(TRIM(N447),"00000")="89121", TEXT(TRIM(N447),"00000")="89122", TEXT(TRIM(N447),"00000")="89142", TEXT(TRIM(N447),"00000")="89156"), "East Valley",
  OR(TEXT(TRIM(N447),"00000")="89030", TEXT(TRIM(N447),"00000")="89031", TEXT(TRIM(N447),"00000")="89032", TEXT(TRIM(N447),"00000")="89086", TEXT(TRIM(N447),"00000")="89084", TEXT(TRIM(N447),"00000")="89081"), "North LV",
  OR(TEXT(TRIM(N447),"00000")="89109", TEXT(TRIM(N447),"00000")="89103", TEXT(TRIM(N447),"00000")="89119", TEXT(TRIM(N447),"00000")="89123", TEXT(TRIM(N447),"00000")="89169", TEXT(TRIM(N447),"00000")="89118"), "South/Strip",
  OR(TEXT(TRIM(N447),"00000")="89074", TEXT(TRIM(N447),"00000")="89014", TEXT(TRIM(N447),"00000")="89015", TEXT(TRIM(N447),"00000")="89011", TEXT(TRIM(N447),"00000")="89012"), "Suburban SE",
  OR(TEXT(TRIM(N447),"00000")="89117", TEXT(TRIM(N447),"00000")="89128", TEXT(TRIM(N447),"00000")="89135", TEXT(TRIM(N447),"00000")="89144", TEXT(TRIM(N447),"00000")="89145", TEXT(TRIM(N447),"00000")="89147"), "West Valley",
  TRUE, "Other"
)</f>
        <v>Suburban SE</v>
      </c>
      <c r="P447" t="s">
        <v>1073</v>
      </c>
      <c r="Q447" t="str">
        <f t="shared" si="26"/>
        <v>Home/Residence</v>
      </c>
      <c r="R447" t="s">
        <v>4948</v>
      </c>
      <c r="S447" t="s">
        <v>5142</v>
      </c>
      <c r="T447" t="str" cm="1">
        <f t="array" ref="T447">_xlfn.IFS(
  TEXT(TRIM(S447),"00000")="NULL", "Missing/Unknown",
  OR(TEXT(TRIM(S447),"00000")="89101", TEXT(TRIM(S447),"00000")="89104", TEXT(TRIM(S447),"00000")="89106", TEXT(TRIM(S447),"00000")="89102", TEXT(TRIM(S447),"00000")="89107", TEXT(TRIM(S447),"00000")="89108"), "Urban Core",
  OR(TEXT(TRIM(S447),"00000")="89110", TEXT(TRIM(S447),"00000")="89115", TEXT(TRIM(S447),"00000")="89121", TEXT(TRIM(S447),"00000")="89122", TEXT(TRIM(S447),"00000")="89142", TEXT(TRIM(S447),"00000")="89156"), "East Valley",
  OR(TEXT(TRIM(S447),"00000")="89030", TEXT(TRIM(S447),"00000")="89031", TEXT(TRIM(S447),"00000")="89032", TEXT(TRIM(S447),"00000")="89086", TEXT(TRIM(S447),"00000")="89084", TEXT(TRIM(S447),"00000")="89081"), "North LV",
  OR(TEXT(TRIM(S447),"00000")="89109", TEXT(TRIM(S447),"00000")="89103", TEXT(TRIM(S447),"00000")="89119", TEXT(TRIM(S447),"00000")="89123", TEXT(TRIM(S447),"00000")="89169", TEXT(TRIM(S447),"00000")="89118"), "South/Strip",
  OR(TEXT(TRIM(S447),"00000")="89074", TEXT(TRIM(S447),"00000")="89014", TEXT(TRIM(S447),"00000")="89015", TEXT(TRIM(S447),"00000")="89011", TEXT(TRIM(S447),"00000")="89012"), "Suburban SE",
  OR(TEXT(TRIM(S447),"00000")="89117", TEXT(TRIM(S447),"00000")="89128", TEXT(TRIM(S447),"00000")="89135", TEXT(TRIM(S447),"00000")="89144", TEXT(TRIM(S447),"00000")="89145", TEXT(TRIM(S447),"00000")="89147"), "West Valley",
  TRUE, "Other"
)</f>
        <v>Suburban SE</v>
      </c>
      <c r="U447" t="s">
        <v>1073</v>
      </c>
      <c r="V447" t="str">
        <f t="shared" si="27"/>
        <v>Home/Residence</v>
      </c>
    </row>
    <row r="448" spans="1:22">
      <c r="A448" t="s">
        <v>3561</v>
      </c>
      <c r="B448" t="s">
        <v>3562</v>
      </c>
      <c r="C448" s="1">
        <v>45449</v>
      </c>
      <c r="D448" s="4">
        <v>109.94</v>
      </c>
      <c r="E448">
        <v>89</v>
      </c>
      <c r="F448" t="str">
        <f t="shared" si="24"/>
        <v>80's</v>
      </c>
      <c r="G448" t="str" cm="1">
        <f t="array" ref="G448">_xlfn.IFS(
  F448="10's", "Child (5–12)",
  OR(F448="20's", F448="30's"), "Young Adult (20–39)",
  OR(F448="40's", F448="50's"), "Adult (40–59)",
  OR(F448="60's", F448="70's", F448="80's", F448="90's"), "Senior (60+)",
  TRUE, "Unknown"
)</f>
        <v>Senior (60+)</v>
      </c>
      <c r="H448" t="s">
        <v>841</v>
      </c>
      <c r="I448" t="s">
        <v>97</v>
      </c>
      <c r="J448" t="str">
        <f t="shared" si="25"/>
        <v>Environmental Heat</v>
      </c>
      <c r="K448" t="s">
        <v>98</v>
      </c>
      <c r="L448" t="s">
        <v>250</v>
      </c>
      <c r="N448" t="s">
        <v>5095</v>
      </c>
      <c r="O448" t="str" cm="1">
        <f t="array" ref="O448">_xlfn.IFS(
  TEXT(TRIM(N448),"00000")="NULL", "Missing/Unknown",
  OR(TEXT(TRIM(N448),"00000")="89101", TEXT(TRIM(N448),"00000")="89104", TEXT(TRIM(N448),"00000")="89106", TEXT(TRIM(N448),"00000")="89102", TEXT(TRIM(N448),"00000")="89107", TEXT(TRIM(N448),"00000")="89108"), "Urban Core",
  OR(TEXT(TRIM(N448),"00000")="89110", TEXT(TRIM(N448),"00000")="89115", TEXT(TRIM(N448),"00000")="89121", TEXT(TRIM(N448),"00000")="89122", TEXT(TRIM(N448),"00000")="89142", TEXT(TRIM(N448),"00000")="89156"), "East Valley",
  OR(TEXT(TRIM(N448),"00000")="89030", TEXT(TRIM(N448),"00000")="89031", TEXT(TRIM(N448),"00000")="89032", TEXT(TRIM(N448),"00000")="89086", TEXT(TRIM(N448),"00000")="89084", TEXT(TRIM(N448),"00000")="89081"), "North LV",
  OR(TEXT(TRIM(N448),"00000")="89109", TEXT(TRIM(N448),"00000")="89103", TEXT(TRIM(N448),"00000")="89119", TEXT(TRIM(N448),"00000")="89123", TEXT(TRIM(N448),"00000")="89169", TEXT(TRIM(N448),"00000")="89118"), "South/Strip",
  OR(TEXT(TRIM(N448),"00000")="89074", TEXT(TRIM(N448),"00000")="89014", TEXT(TRIM(N448),"00000")="89015", TEXT(TRIM(N448),"00000")="89011", TEXT(TRIM(N448),"00000")="89012"), "Suburban SE",
  OR(TEXT(TRIM(N448),"00000")="89117", TEXT(TRIM(N448),"00000")="89128", TEXT(TRIM(N448),"00000")="89135", TEXT(TRIM(N448),"00000")="89144", TEXT(TRIM(N448),"00000")="89145", TEXT(TRIM(N448),"00000")="89147"), "West Valley",
  TRUE, "Other"
)</f>
        <v>Missing/Unknown</v>
      </c>
      <c r="P448" t="s">
        <v>38</v>
      </c>
      <c r="Q448" t="str">
        <f t="shared" si="26"/>
        <v>Home/Residence</v>
      </c>
      <c r="R448" t="s">
        <v>4500</v>
      </c>
      <c r="S448" t="s">
        <v>5116</v>
      </c>
      <c r="T448" t="str" cm="1">
        <f t="array" ref="T448">_xlfn.IFS(
  TEXT(TRIM(S448),"00000")="NULL", "Missing/Unknown",
  OR(TEXT(TRIM(S448),"00000")="89101", TEXT(TRIM(S448),"00000")="89104", TEXT(TRIM(S448),"00000")="89106", TEXT(TRIM(S448),"00000")="89102", TEXT(TRIM(S448),"00000")="89107", TEXT(TRIM(S448),"00000")="89108"), "Urban Core",
  OR(TEXT(TRIM(S448),"00000")="89110", TEXT(TRIM(S448),"00000")="89115", TEXT(TRIM(S448),"00000")="89121", TEXT(TRIM(S448),"00000")="89122", TEXT(TRIM(S448),"00000")="89142", TEXT(TRIM(S448),"00000")="89156"), "East Valley",
  OR(TEXT(TRIM(S448),"00000")="89030", TEXT(TRIM(S448),"00000")="89031", TEXT(TRIM(S448),"00000")="89032", TEXT(TRIM(S448),"00000")="89086", TEXT(TRIM(S448),"00000")="89084", TEXT(TRIM(S448),"00000")="89081"), "North LV",
  OR(TEXT(TRIM(S448),"00000")="89109", TEXT(TRIM(S448),"00000")="89103", TEXT(TRIM(S448),"00000")="89119", TEXT(TRIM(S448),"00000")="89123", TEXT(TRIM(S448),"00000")="89169", TEXT(TRIM(S448),"00000")="89118"), "South/Strip",
  OR(TEXT(TRIM(S448),"00000")="89074", TEXT(TRIM(S448),"00000")="89014", TEXT(TRIM(S448),"00000")="89015", TEXT(TRIM(S448),"00000")="89011", TEXT(TRIM(S448),"00000")="89012"), "Suburban SE",
  OR(TEXT(TRIM(S448),"00000")="89117", TEXT(TRIM(S448),"00000")="89128", TEXT(TRIM(S448),"00000")="89135", TEXT(TRIM(S448),"00000")="89144", TEXT(TRIM(S448),"00000")="89145", TEXT(TRIM(S448),"00000")="89147"), "West Valley",
  TRUE, "Other"
)</f>
        <v>West Valley</v>
      </c>
      <c r="U448" t="s">
        <v>2413</v>
      </c>
      <c r="V448" t="str">
        <f t="shared" si="27"/>
        <v>Medical Facility</v>
      </c>
    </row>
    <row r="449" spans="1:22">
      <c r="A449" t="s">
        <v>3760</v>
      </c>
      <c r="B449" t="s">
        <v>3761</v>
      </c>
      <c r="C449" s="1">
        <v>45449</v>
      </c>
      <c r="D449" s="4">
        <v>109.94</v>
      </c>
      <c r="E449">
        <v>44</v>
      </c>
      <c r="F449" t="str">
        <f t="shared" si="24"/>
        <v>40's</v>
      </c>
      <c r="G449" t="str" cm="1">
        <f t="array" ref="G449">_xlfn.IFS(
  F449="10's", "Child (5–12)",
  OR(F449="20's", F449="30's"), "Young Adult (20–39)",
  OR(F449="40's", F449="50's"), "Adult (40–59)",
  OR(F449="60's", F449="70's", F449="80's", F449="90's"), "Senior (60+)",
  TRUE, "Unknown"
)</f>
        <v>Adult (40–59)</v>
      </c>
      <c r="H449" t="s">
        <v>841</v>
      </c>
      <c r="I449" t="s">
        <v>172</v>
      </c>
      <c r="J449" t="str">
        <f t="shared" si="25"/>
        <v>Methamphetamine-related</v>
      </c>
      <c r="K449" t="s">
        <v>3762</v>
      </c>
      <c r="L449" t="s">
        <v>250</v>
      </c>
      <c r="M449" t="s">
        <v>4713</v>
      </c>
      <c r="N449" t="s">
        <v>5125</v>
      </c>
      <c r="O449" t="str" cm="1">
        <f t="array" ref="O449">_xlfn.IFS(
  TEXT(TRIM(N449),"00000")="NULL", "Missing/Unknown",
  OR(TEXT(TRIM(N449),"00000")="89101", TEXT(TRIM(N449),"00000")="89104", TEXT(TRIM(N449),"00000")="89106", TEXT(TRIM(N449),"00000")="89102", TEXT(TRIM(N449),"00000")="89107", TEXT(TRIM(N449),"00000")="89108"), "Urban Core",
  OR(TEXT(TRIM(N449),"00000")="89110", TEXT(TRIM(N449),"00000")="89115", TEXT(TRIM(N449),"00000")="89121", TEXT(TRIM(N449),"00000")="89122", TEXT(TRIM(N449),"00000")="89142", TEXT(TRIM(N449),"00000")="89156"), "East Valley",
  OR(TEXT(TRIM(N449),"00000")="89030", TEXT(TRIM(N449),"00000")="89031", TEXT(TRIM(N449),"00000")="89032", TEXT(TRIM(N449),"00000")="89086", TEXT(TRIM(N449),"00000")="89084", TEXT(TRIM(N449),"00000")="89081"), "North LV",
  OR(TEXT(TRIM(N449),"00000")="89109", TEXT(TRIM(N449),"00000")="89103", TEXT(TRIM(N449),"00000")="89119", TEXT(TRIM(N449),"00000")="89123", TEXT(TRIM(N449),"00000")="89169", TEXT(TRIM(N449),"00000")="89118"), "South/Strip",
  OR(TEXT(TRIM(N449),"00000")="89074", TEXT(TRIM(N449),"00000")="89014", TEXT(TRIM(N449),"00000")="89015", TEXT(TRIM(N449),"00000")="89011", TEXT(TRIM(N449),"00000")="89012"), "Suburban SE",
  OR(TEXT(TRIM(N449),"00000")="89117", TEXT(TRIM(N449),"00000")="89128", TEXT(TRIM(N449),"00000")="89135", TEXT(TRIM(N449),"00000")="89144", TEXT(TRIM(N449),"00000")="89145", TEXT(TRIM(N449),"00000")="89147"), "West Valley",
  TRUE, "Other"
)</f>
        <v>South/Strip</v>
      </c>
      <c r="P449" t="s">
        <v>3298</v>
      </c>
      <c r="Q449" t="str">
        <f t="shared" si="26"/>
        <v>Outdoors/Public</v>
      </c>
      <c r="R449" t="s">
        <v>4713</v>
      </c>
      <c r="S449" t="s">
        <v>5125</v>
      </c>
      <c r="T449" t="str" cm="1">
        <f t="array" ref="T449">_xlfn.IFS(
  TEXT(TRIM(S449),"00000")="NULL", "Missing/Unknown",
  OR(TEXT(TRIM(S449),"00000")="89101", TEXT(TRIM(S449),"00000")="89104", TEXT(TRIM(S449),"00000")="89106", TEXT(TRIM(S449),"00000")="89102", TEXT(TRIM(S449),"00000")="89107", TEXT(TRIM(S449),"00000")="89108"), "Urban Core",
  OR(TEXT(TRIM(S449),"00000")="89110", TEXT(TRIM(S449),"00000")="89115", TEXT(TRIM(S449),"00000")="89121", TEXT(TRIM(S449),"00000")="89122", TEXT(TRIM(S449),"00000")="89142", TEXT(TRIM(S449),"00000")="89156"), "East Valley",
  OR(TEXT(TRIM(S449),"00000")="89030", TEXT(TRIM(S449),"00000")="89031", TEXT(TRIM(S449),"00000")="89032", TEXT(TRIM(S449),"00000")="89086", TEXT(TRIM(S449),"00000")="89084", TEXT(TRIM(S449),"00000")="89081"), "North LV",
  OR(TEXT(TRIM(S449),"00000")="89109", TEXT(TRIM(S449),"00000")="89103", TEXT(TRIM(S449),"00000")="89119", TEXT(TRIM(S449),"00000")="89123", TEXT(TRIM(S449),"00000")="89169", TEXT(TRIM(S449),"00000")="89118"), "South/Strip",
  OR(TEXT(TRIM(S449),"00000")="89074", TEXT(TRIM(S449),"00000")="89014", TEXT(TRIM(S449),"00000")="89015", TEXT(TRIM(S449),"00000")="89011", TEXT(TRIM(S449),"00000")="89012"), "Suburban SE",
  OR(TEXT(TRIM(S449),"00000")="89117", TEXT(TRIM(S449),"00000")="89128", TEXT(TRIM(S449),"00000")="89135", TEXT(TRIM(S449),"00000")="89144", TEXT(TRIM(S449),"00000")="89145", TEXT(TRIM(S449),"00000")="89147"), "West Valley",
  TRUE, "Other"
)</f>
        <v>South/Strip</v>
      </c>
      <c r="U449" t="s">
        <v>3298</v>
      </c>
      <c r="V449" t="str">
        <f t="shared" si="27"/>
        <v>Outdoors/Public</v>
      </c>
    </row>
    <row r="450" spans="1:22">
      <c r="A450" t="s">
        <v>3563</v>
      </c>
      <c r="B450" t="s">
        <v>3564</v>
      </c>
      <c r="C450" s="1">
        <v>45449</v>
      </c>
      <c r="D450" s="4">
        <v>109.94</v>
      </c>
      <c r="E450">
        <v>47</v>
      </c>
      <c r="F450" t="str">
        <f t="shared" ref="F450:F513" si="28">_xlfn.CONCAT(INT(E450/10)*10, "'s")</f>
        <v>40's</v>
      </c>
      <c r="G450" t="str" cm="1">
        <f t="array" ref="G450">_xlfn.IFS(
  F450="10's", "Child (5–12)",
  OR(F450="20's", F450="30's"), "Young Adult (20–39)",
  OR(F450="40's", F450="50's"), "Adult (40–59)",
  OR(F450="60's", F450="70's", F450="80's", F450="90's"), "Senior (60+)",
  TRUE, "Unknown"
)</f>
        <v>Adult (40–59)</v>
      </c>
      <c r="H450" t="s">
        <v>27</v>
      </c>
      <c r="I450" t="s">
        <v>97</v>
      </c>
      <c r="J450" t="str">
        <f t="shared" ref="J450:J513" si="29">IF(ISNUMBER(SEARCH("heat", I450)) + ISNUMBER(SEARCH("hyperthermia", I450)) + ISNUMBER(SEARCH("heat stroke", I450)) + ISNUMBER(SEARCH("environmental", I450)), "Environmental Heat",
IF(ISNUMBER(SEARCH("meth", I450)), "Methamphetamine-related",
IF(ISNUMBER(SEARCH("fentanyl", I450)), "Fentanyl-related",
IF(ISNUMBER(SEARCH("cardio", I450)) + ISNUMBER(SEARCH("heart", I450)) + ISNUMBER(SEARCH("atherosclerotic", I450)) + ISNUMBER(SEARCH("hypertensive", I450)) + ISNUMBER(SEARCH("myocardial", I450)) + ISNUMBER(SEARCH("infarction", I450)), "Cardiovascular Disease",
IF(ISNUMBER(SEARCH("ethanol", I450)) + ISNUMBER(SEARCH("alcohol", I450)), "Ethanol-related",
IF(ISNUMBER(SEARCH("dehydration", I450)) + ISNUMBER(SEARCH("hypernatrem", I450)) + ISNUMBER(SEARCH("hyponatrem", I450)), "Dehydration / Electrolyte",
IF(ISNUMBER(SEARCH("intoxication", I450)) + ISNUMBER(SEARCH("toxicity", I450)) + ISNUMBER(SEARCH("overdose", I450)), "Mixed Drug Toxicity",
"Other / Unknown")))))))</f>
        <v>Environmental Heat</v>
      </c>
      <c r="K450" t="s">
        <v>98</v>
      </c>
      <c r="L450" t="s">
        <v>250</v>
      </c>
      <c r="M450" t="s">
        <v>4509</v>
      </c>
      <c r="N450" t="s">
        <v>5101</v>
      </c>
      <c r="O450" t="str" cm="1">
        <f t="array" ref="O450">_xlfn.IFS(
  TEXT(TRIM(N450),"00000")="NULL", "Missing/Unknown",
  OR(TEXT(TRIM(N450),"00000")="89101", TEXT(TRIM(N450),"00000")="89104", TEXT(TRIM(N450),"00000")="89106", TEXT(TRIM(N450),"00000")="89102", TEXT(TRIM(N450),"00000")="89107", TEXT(TRIM(N450),"00000")="89108"), "Urban Core",
  OR(TEXT(TRIM(N450),"00000")="89110", TEXT(TRIM(N450),"00000")="89115", TEXT(TRIM(N450),"00000")="89121", TEXT(TRIM(N450),"00000")="89122", TEXT(TRIM(N450),"00000")="89142", TEXT(TRIM(N450),"00000")="89156"), "East Valley",
  OR(TEXT(TRIM(N450),"00000")="89030", TEXT(TRIM(N450),"00000")="89031", TEXT(TRIM(N450),"00000")="89032", TEXT(TRIM(N450),"00000")="89086", TEXT(TRIM(N450),"00000")="89084", TEXT(TRIM(N450),"00000")="89081"), "North LV",
  OR(TEXT(TRIM(N450),"00000")="89109", TEXT(TRIM(N450),"00000")="89103", TEXT(TRIM(N450),"00000")="89119", TEXT(TRIM(N450),"00000")="89123", TEXT(TRIM(N450),"00000")="89169", TEXT(TRIM(N450),"00000")="89118"), "South/Strip",
  OR(TEXT(TRIM(N450),"00000")="89074", TEXT(TRIM(N450),"00000")="89014", TEXT(TRIM(N450),"00000")="89015", TEXT(TRIM(N450),"00000")="89011", TEXT(TRIM(N450),"00000")="89012"), "Suburban SE",
  OR(TEXT(TRIM(N450),"00000")="89117", TEXT(TRIM(N450),"00000")="89128", TEXT(TRIM(N450),"00000")="89135", TEXT(TRIM(N450),"00000")="89144", TEXT(TRIM(N450),"00000")="89145", TEXT(TRIM(N450),"00000")="89147"), "West Valley",
  TRUE, "Other"
)</f>
        <v>Urban Core</v>
      </c>
      <c r="P450" t="s">
        <v>3298</v>
      </c>
      <c r="Q450" t="str">
        <f t="shared" ref="Q450:Q513" si="30">IF(OR(ISNUMBER(SEARCH("outdoor", P450)), ISNUMBER(SEARCH("park", P450)), ISNUMBER(SEARCH("road", P450)), ISNUMBER(SEARCH("sidewalk", P450)), ISNUMBER(SEARCH("desert", P450)), ISNUMBER(SEARCH("tunnel", P450)), ISNUMBER(SEARCH("lot", P450)), ISNUMBER(SEARCH("lake", P450)), ISNUMBER(SEARCH("bus", P450)), ISNUMBER(SEARCH("shed", P450)), ISNUMBER(SEARCH("amusement", P450))), "Outdoors/Public",
IF(OR(ISNUMBER(SEARCH("home", P450)), ISNUMBER(SEARCH("residence", P450)), ISNUMBER(SEARCH("rv", P450)), ISNUMBER(SEARCH("tent", P450)), ISNUMBER(SEARCH("bedroom", P450)), ISNUMBER(SEARCH("garage", P450)), ISNUMBER(SEARCH("trailer", P450)), ISNUMBER(SEARCH("backyard", P450))), "Home/Residence",
IF(OR(ISNUMBER(SEARCH("vehicle", P450)), ISNUMBER(SEARCH("car", P450)), ISNUMBER(SEARCH("wash", P450))), "Vehicle-related",
IF(OR(ISNUMBER(SEARCH("business", P450)), ISNUMBER(SEARCH("school", P450)), ISNUMBER(SEARCH("hotel", P450)), ISNUMBER(SEARCH("construction", P450)), ISNUMBER(SEARCH("furniture", P450)), ISNUMBER(SEARCH("public", P450))), "Business/Commercial",
IF(OR(ISNUMBER(SEARCH("hospital", P450)), ISNUMBER(SEARCH("assisted", P450)), ISNUMBER(SEARCH("residential care", P450))), "Medical Facility",
IF(OR(ISNUMBER(SEARCH("shelter", P450)), ISNUMBER(SEARCH("jail", P450))), "Shelter/Temporary Housing",
"Other / Unknown"))))))</f>
        <v>Outdoors/Public</v>
      </c>
      <c r="R450" t="s">
        <v>5054</v>
      </c>
      <c r="S450" t="s">
        <v>5097</v>
      </c>
      <c r="T450" t="str" cm="1">
        <f t="array" ref="T450">_xlfn.IFS(
  TEXT(TRIM(S450),"00000")="NULL", "Missing/Unknown",
  OR(TEXT(TRIM(S450),"00000")="89101", TEXT(TRIM(S450),"00000")="89104", TEXT(TRIM(S450),"00000")="89106", TEXT(TRIM(S450),"00000")="89102", TEXT(TRIM(S450),"00000")="89107", TEXT(TRIM(S450),"00000")="89108"), "Urban Core",
  OR(TEXT(TRIM(S450),"00000")="89110", TEXT(TRIM(S450),"00000")="89115", TEXT(TRIM(S450),"00000")="89121", TEXT(TRIM(S450),"00000")="89122", TEXT(TRIM(S450),"00000")="89142", TEXT(TRIM(S450),"00000")="89156"), "East Valley",
  OR(TEXT(TRIM(S450),"00000")="89030", TEXT(TRIM(S450),"00000")="89031", TEXT(TRIM(S450),"00000")="89032", TEXT(TRIM(S450),"00000")="89086", TEXT(TRIM(S450),"00000")="89084", TEXT(TRIM(S450),"00000")="89081"), "North LV",
  OR(TEXT(TRIM(S450),"00000")="89109", TEXT(TRIM(S450),"00000")="89103", TEXT(TRIM(S450),"00000")="89119", TEXT(TRIM(S450),"00000")="89123", TEXT(TRIM(S450),"00000")="89169", TEXT(TRIM(S450),"00000")="89118"), "South/Strip",
  OR(TEXT(TRIM(S450),"00000")="89074", TEXT(TRIM(S450),"00000")="89014", TEXT(TRIM(S450),"00000")="89015", TEXT(TRIM(S450),"00000")="89011", TEXT(TRIM(S450),"00000")="89012"), "Suburban SE",
  OR(TEXT(TRIM(S450),"00000")="89117", TEXT(TRIM(S450),"00000")="89128", TEXT(TRIM(S450),"00000")="89135", TEXT(TRIM(S450),"00000")="89144", TEXT(TRIM(S450),"00000")="89145", TEXT(TRIM(S450),"00000")="89147"), "West Valley",
  TRUE, "Other"
)</f>
        <v>Urban Core</v>
      </c>
      <c r="U450" t="s">
        <v>2433</v>
      </c>
      <c r="V450" t="str">
        <f t="shared" ref="V450:V513" si="31">IF(OR(ISNUMBER(SEARCH("outdoor", U450)), ISNUMBER(SEARCH("park", U450)), ISNUMBER(SEARCH("road", U450)), ISNUMBER(SEARCH("sidewalk", U450)), ISNUMBER(SEARCH("desert", U450)), ISNUMBER(SEARCH("tunnel", U450)), ISNUMBER(SEARCH("lot", U450)), ISNUMBER(SEARCH("lake", U450)), ISNUMBER(SEARCH("bus", U450)), ISNUMBER(SEARCH("shed", U450)), ISNUMBER(SEARCH("amusement", U450))), "Outdoors/Public",
IF(OR(ISNUMBER(SEARCH("home", U450)), ISNUMBER(SEARCH("residence", U450)), ISNUMBER(SEARCH("rv", U450)), ISNUMBER(SEARCH("tent", U450)), ISNUMBER(SEARCH("bedroom", U450)), ISNUMBER(SEARCH("garage", U450)), ISNUMBER(SEARCH("trailer", U450)), ISNUMBER(SEARCH("backyard", U450))), "Home/Residence",
IF(OR(ISNUMBER(SEARCH("vehicle", U450)), ISNUMBER(SEARCH("wash", U450))), "Vehicle-related",
IF(OR(ISNUMBER(SEARCH("business", U450)), ISNUMBER(SEARCH("school", U450)), ISNUMBER(SEARCH("hotel", U450)), ISNUMBER(SEARCH("construction", U450)), ISNUMBER(SEARCH("furniture", U450)), ISNUMBER(SEARCH("public", U450))), "Business/Commercial",
IF(OR(ISNUMBER(SEARCH("hospital", U450)), ISNUMBER(SEARCH("assisted", U450)), ISNUMBER(SEARCH("residential care", U450)), ISNUMBER(SEARCH("emergency room", U450)), ISNUMBER(SEARCH("emergency", U450)), ISNUMBER(SEARCH("intensive care unit", U450)), ISNUMBER(SEARCH("icu", U450))), "Medical Facility",
IF(OR(ISNUMBER(SEARCH("shelter", U450)), ISNUMBER(SEARCH("jail", U450))), "Shelter/Temporary Housing",
"Other / Unknown"))))))</f>
        <v>Medical Facility</v>
      </c>
    </row>
    <row r="451" spans="1:22">
      <c r="A451" t="s">
        <v>3764</v>
      </c>
      <c r="B451" t="s">
        <v>3765</v>
      </c>
      <c r="C451" s="1">
        <v>45449</v>
      </c>
      <c r="D451" s="4">
        <v>109.94</v>
      </c>
      <c r="E451">
        <v>50</v>
      </c>
      <c r="F451" t="str">
        <f t="shared" si="28"/>
        <v>50's</v>
      </c>
      <c r="G451" t="str" cm="1">
        <f t="array" ref="G451">_xlfn.IFS(
  F451="10's", "Child (5–12)",
  OR(F451="20's", F451="30's"), "Young Adult (20–39)",
  OR(F451="40's", F451="50's"), "Adult (40–59)",
  OR(F451="60's", F451="70's", F451="80's", F451="90's"), "Senior (60+)",
  TRUE, "Unknown"
)</f>
        <v>Adult (40–59)</v>
      </c>
      <c r="H451" t="s">
        <v>4309</v>
      </c>
      <c r="I451" t="s">
        <v>172</v>
      </c>
      <c r="J451" t="str">
        <f t="shared" si="29"/>
        <v>Methamphetamine-related</v>
      </c>
      <c r="K451" t="s">
        <v>54</v>
      </c>
      <c r="L451" t="s">
        <v>250</v>
      </c>
      <c r="M451" t="s">
        <v>5040</v>
      </c>
      <c r="N451" t="s">
        <v>5123</v>
      </c>
      <c r="O451" t="str" cm="1">
        <f t="array" ref="O451">_xlfn.IFS(
  TEXT(TRIM(N451),"00000")="NULL", "Missing/Unknown",
  OR(TEXT(TRIM(N451),"00000")="89101", TEXT(TRIM(N451),"00000")="89104", TEXT(TRIM(N451),"00000")="89106", TEXT(TRIM(N451),"00000")="89102", TEXT(TRIM(N451),"00000")="89107", TEXT(TRIM(N451),"00000")="89108"), "Urban Core",
  OR(TEXT(TRIM(N451),"00000")="89110", TEXT(TRIM(N451),"00000")="89115", TEXT(TRIM(N451),"00000")="89121", TEXT(TRIM(N451),"00000")="89122", TEXT(TRIM(N451),"00000")="89142", TEXT(TRIM(N451),"00000")="89156"), "East Valley",
  OR(TEXT(TRIM(N451),"00000")="89030", TEXT(TRIM(N451),"00000")="89031", TEXT(TRIM(N451),"00000")="89032", TEXT(TRIM(N451),"00000")="89086", TEXT(TRIM(N451),"00000")="89084", TEXT(TRIM(N451),"00000")="89081"), "North LV",
  OR(TEXT(TRIM(N451),"00000")="89109", TEXT(TRIM(N451),"00000")="89103", TEXT(TRIM(N451),"00000")="89119", TEXT(TRIM(N451),"00000")="89123", TEXT(TRIM(N451),"00000")="89169", TEXT(TRIM(N451),"00000")="89118"), "South/Strip",
  OR(TEXT(TRIM(N451),"00000")="89074", TEXT(TRIM(N451),"00000")="89014", TEXT(TRIM(N451),"00000")="89015", TEXT(TRIM(N451),"00000")="89011", TEXT(TRIM(N451),"00000")="89012"), "Suburban SE",
  OR(TEXT(TRIM(N451),"00000")="89117", TEXT(TRIM(N451),"00000")="89128", TEXT(TRIM(N451),"00000")="89135", TEXT(TRIM(N451),"00000")="89144", TEXT(TRIM(N451),"00000")="89145", TEXT(TRIM(N451),"00000")="89147"), "West Valley",
  TRUE, "Other"
)</f>
        <v>South/Strip</v>
      </c>
      <c r="P451" t="s">
        <v>38</v>
      </c>
      <c r="Q451" t="str">
        <f t="shared" si="30"/>
        <v>Home/Residence</v>
      </c>
      <c r="R451" t="s">
        <v>5040</v>
      </c>
      <c r="S451" t="s">
        <v>5123</v>
      </c>
      <c r="T451" t="str" cm="1">
        <f t="array" ref="T451">_xlfn.IFS(
  TEXT(TRIM(S451),"00000")="NULL", "Missing/Unknown",
  OR(TEXT(TRIM(S451),"00000")="89101", TEXT(TRIM(S451),"00000")="89104", TEXT(TRIM(S451),"00000")="89106", TEXT(TRIM(S451),"00000")="89102", TEXT(TRIM(S451),"00000")="89107", TEXT(TRIM(S451),"00000")="89108"), "Urban Core",
  OR(TEXT(TRIM(S451),"00000")="89110", TEXT(TRIM(S451),"00000")="89115", TEXT(TRIM(S451),"00000")="89121", TEXT(TRIM(S451),"00000")="89122", TEXT(TRIM(S451),"00000")="89142", TEXT(TRIM(S451),"00000")="89156"), "East Valley",
  OR(TEXT(TRIM(S451),"00000")="89030", TEXT(TRIM(S451),"00000")="89031", TEXT(TRIM(S451),"00000")="89032", TEXT(TRIM(S451),"00000")="89086", TEXT(TRIM(S451),"00000")="89084", TEXT(TRIM(S451),"00000")="89081"), "North LV",
  OR(TEXT(TRIM(S451),"00000")="89109", TEXT(TRIM(S451),"00000")="89103", TEXT(TRIM(S451),"00000")="89119", TEXT(TRIM(S451),"00000")="89123", TEXT(TRIM(S451),"00000")="89169", TEXT(TRIM(S451),"00000")="89118"), "South/Strip",
  OR(TEXT(TRIM(S451),"00000")="89074", TEXT(TRIM(S451),"00000")="89014", TEXT(TRIM(S451),"00000")="89015", TEXT(TRIM(S451),"00000")="89011", TEXT(TRIM(S451),"00000")="89012"), "Suburban SE",
  OR(TEXT(TRIM(S451),"00000")="89117", TEXT(TRIM(S451),"00000")="89128", TEXT(TRIM(S451),"00000")="89135", TEXT(TRIM(S451),"00000")="89144", TEXT(TRIM(S451),"00000")="89145", TEXT(TRIM(S451),"00000")="89147"), "West Valley",
  TRUE, "Other"
)</f>
        <v>South/Strip</v>
      </c>
      <c r="U451" t="s">
        <v>38</v>
      </c>
      <c r="V451" t="str">
        <f t="shared" si="31"/>
        <v>Home/Residence</v>
      </c>
    </row>
    <row r="452" spans="1:22">
      <c r="A452" t="s">
        <v>3769</v>
      </c>
      <c r="B452" t="s">
        <v>3770</v>
      </c>
      <c r="C452" s="1">
        <v>45449</v>
      </c>
      <c r="D452" s="4">
        <v>109.94</v>
      </c>
      <c r="E452">
        <v>44</v>
      </c>
      <c r="F452" t="str">
        <f t="shared" si="28"/>
        <v>40's</v>
      </c>
      <c r="G452" t="str" cm="1">
        <f t="array" ref="G452">_xlfn.IFS(
  F452="10's", "Child (5–12)",
  OR(F452="20's", F452="30's"), "Young Adult (20–39)",
  OR(F452="40's", F452="50's"), "Adult (40–59)",
  OR(F452="60's", F452="70's", F452="80's", F452="90's"), "Senior (60+)",
  TRUE, "Unknown"
)</f>
        <v>Adult (40–59)</v>
      </c>
      <c r="H452" t="s">
        <v>778</v>
      </c>
      <c r="I452" t="s">
        <v>172</v>
      </c>
      <c r="J452" t="str">
        <f t="shared" si="29"/>
        <v>Methamphetamine-related</v>
      </c>
      <c r="K452" t="s">
        <v>54</v>
      </c>
      <c r="L452" t="s">
        <v>250</v>
      </c>
      <c r="M452" t="s">
        <v>4548</v>
      </c>
      <c r="N452" t="s">
        <v>5096</v>
      </c>
      <c r="O452" t="str" cm="1">
        <f t="array" ref="O452">_xlfn.IFS(
  TEXT(TRIM(N452),"00000")="NULL", "Missing/Unknown",
  OR(TEXT(TRIM(N452),"00000")="89101", TEXT(TRIM(N452),"00000")="89104", TEXT(TRIM(N452),"00000")="89106", TEXT(TRIM(N452),"00000")="89102", TEXT(TRIM(N452),"00000")="89107", TEXT(TRIM(N452),"00000")="89108"), "Urban Core",
  OR(TEXT(TRIM(N452),"00000")="89110", TEXT(TRIM(N452),"00000")="89115", TEXT(TRIM(N452),"00000")="89121", TEXT(TRIM(N452),"00000")="89122", TEXT(TRIM(N452),"00000")="89142", TEXT(TRIM(N452),"00000")="89156"), "East Valley",
  OR(TEXT(TRIM(N452),"00000")="89030", TEXT(TRIM(N452),"00000")="89031", TEXT(TRIM(N452),"00000")="89032", TEXT(TRIM(N452),"00000")="89086", TEXT(TRIM(N452),"00000")="89084", TEXT(TRIM(N452),"00000")="89081"), "North LV",
  OR(TEXT(TRIM(N452),"00000")="89109", TEXT(TRIM(N452),"00000")="89103", TEXT(TRIM(N452),"00000")="89119", TEXT(TRIM(N452),"00000")="89123", TEXT(TRIM(N452),"00000")="89169", TEXT(TRIM(N452),"00000")="89118"), "South/Strip",
  OR(TEXT(TRIM(N452),"00000")="89074", TEXT(TRIM(N452),"00000")="89014", TEXT(TRIM(N452),"00000")="89015", TEXT(TRIM(N452),"00000")="89011", TEXT(TRIM(N452),"00000")="89012"), "Suburban SE",
  OR(TEXT(TRIM(N452),"00000")="89117", TEXT(TRIM(N452),"00000")="89128", TEXT(TRIM(N452),"00000")="89135", TEXT(TRIM(N452),"00000")="89144", TEXT(TRIM(N452),"00000")="89145", TEXT(TRIM(N452),"00000")="89147"), "West Valley",
  TRUE, "Other"
)</f>
        <v>South/Strip</v>
      </c>
      <c r="P452" t="s">
        <v>3298</v>
      </c>
      <c r="Q452" t="str">
        <f t="shared" si="30"/>
        <v>Outdoors/Public</v>
      </c>
      <c r="R452" t="s">
        <v>4548</v>
      </c>
      <c r="S452" t="s">
        <v>5096</v>
      </c>
      <c r="T452" t="str" cm="1">
        <f t="array" ref="T452">_xlfn.IFS(
  TEXT(TRIM(S452),"00000")="NULL", "Missing/Unknown",
  OR(TEXT(TRIM(S452),"00000")="89101", TEXT(TRIM(S452),"00000")="89104", TEXT(TRIM(S452),"00000")="89106", TEXT(TRIM(S452),"00000")="89102", TEXT(TRIM(S452),"00000")="89107", TEXT(TRIM(S452),"00000")="89108"), "Urban Core",
  OR(TEXT(TRIM(S452),"00000")="89110", TEXT(TRIM(S452),"00000")="89115", TEXT(TRIM(S452),"00000")="89121", TEXT(TRIM(S452),"00000")="89122", TEXT(TRIM(S452),"00000")="89142", TEXT(TRIM(S452),"00000")="89156"), "East Valley",
  OR(TEXT(TRIM(S452),"00000")="89030", TEXT(TRIM(S452),"00000")="89031", TEXT(TRIM(S452),"00000")="89032", TEXT(TRIM(S452),"00000")="89086", TEXT(TRIM(S452),"00000")="89084", TEXT(TRIM(S452),"00000")="89081"), "North LV",
  OR(TEXT(TRIM(S452),"00000")="89109", TEXT(TRIM(S452),"00000")="89103", TEXT(TRIM(S452),"00000")="89119", TEXT(TRIM(S452),"00000")="89123", TEXT(TRIM(S452),"00000")="89169", TEXT(TRIM(S452),"00000")="89118"), "South/Strip",
  OR(TEXT(TRIM(S452),"00000")="89074", TEXT(TRIM(S452),"00000")="89014", TEXT(TRIM(S452),"00000")="89015", TEXT(TRIM(S452),"00000")="89011", TEXT(TRIM(S452),"00000")="89012"), "Suburban SE",
  OR(TEXT(TRIM(S452),"00000")="89117", TEXT(TRIM(S452),"00000")="89128", TEXT(TRIM(S452),"00000")="89135", TEXT(TRIM(S452),"00000")="89144", TEXT(TRIM(S452),"00000")="89145", TEXT(TRIM(S452),"00000")="89147"), "West Valley",
  TRUE, "Other"
)</f>
        <v>South/Strip</v>
      </c>
      <c r="U452" t="s">
        <v>3298</v>
      </c>
      <c r="V452" t="str">
        <f t="shared" si="31"/>
        <v>Outdoors/Public</v>
      </c>
    </row>
    <row r="453" spans="1:22">
      <c r="A453" t="s">
        <v>3767</v>
      </c>
      <c r="B453" t="s">
        <v>3768</v>
      </c>
      <c r="C453" s="1">
        <v>45449</v>
      </c>
      <c r="D453" s="4">
        <v>109.94</v>
      </c>
      <c r="E453">
        <v>45</v>
      </c>
      <c r="F453" t="str">
        <f t="shared" si="28"/>
        <v>40's</v>
      </c>
      <c r="G453" t="str" cm="1">
        <f t="array" ref="G453">_xlfn.IFS(
  F453="10's", "Child (5–12)",
  OR(F453="20's", F453="30's"), "Young Adult (20–39)",
  OR(F453="40's", F453="50's"), "Adult (40–59)",
  OR(F453="60's", F453="70's", F453="80's", F453="90's"), "Senior (60+)",
  TRUE, "Unknown"
)</f>
        <v>Adult (40–59)</v>
      </c>
      <c r="H453" t="s">
        <v>778</v>
      </c>
      <c r="I453" t="s">
        <v>172</v>
      </c>
      <c r="J453" t="str">
        <f t="shared" si="29"/>
        <v>Methamphetamine-related</v>
      </c>
      <c r="K453" t="s">
        <v>54</v>
      </c>
      <c r="L453" t="s">
        <v>250</v>
      </c>
      <c r="N453" t="s">
        <v>5095</v>
      </c>
      <c r="O453" t="str" cm="1">
        <f t="array" ref="O453">_xlfn.IFS(
  TEXT(TRIM(N453),"00000")="NULL", "Missing/Unknown",
  OR(TEXT(TRIM(N453),"00000")="89101", TEXT(TRIM(N453),"00000")="89104", TEXT(TRIM(N453),"00000")="89106", TEXT(TRIM(N453),"00000")="89102", TEXT(TRIM(N453),"00000")="89107", TEXT(TRIM(N453),"00000")="89108"), "Urban Core",
  OR(TEXT(TRIM(N453),"00000")="89110", TEXT(TRIM(N453),"00000")="89115", TEXT(TRIM(N453),"00000")="89121", TEXT(TRIM(N453),"00000")="89122", TEXT(TRIM(N453),"00000")="89142", TEXT(TRIM(N453),"00000")="89156"), "East Valley",
  OR(TEXT(TRIM(N453),"00000")="89030", TEXT(TRIM(N453),"00000")="89031", TEXT(TRIM(N453),"00000")="89032", TEXT(TRIM(N453),"00000")="89086", TEXT(TRIM(N453),"00000")="89084", TEXT(TRIM(N453),"00000")="89081"), "North LV",
  OR(TEXT(TRIM(N453),"00000")="89109", TEXT(TRIM(N453),"00000")="89103", TEXT(TRIM(N453),"00000")="89119", TEXT(TRIM(N453),"00000")="89123", TEXT(TRIM(N453),"00000")="89169", TEXT(TRIM(N453),"00000")="89118"), "South/Strip",
  OR(TEXT(TRIM(N453),"00000")="89074", TEXT(TRIM(N453),"00000")="89014", TEXT(TRIM(N453),"00000")="89015", TEXT(TRIM(N453),"00000")="89011", TEXT(TRIM(N453),"00000")="89012"), "Suburban SE",
  OR(TEXT(TRIM(N453),"00000")="89117", TEXT(TRIM(N453),"00000")="89128", TEXT(TRIM(N453),"00000")="89135", TEXT(TRIM(N453),"00000")="89144", TEXT(TRIM(N453),"00000")="89145", TEXT(TRIM(N453),"00000")="89147"), "West Valley",
  TRUE, "Other"
)</f>
        <v>Missing/Unknown</v>
      </c>
      <c r="P453" t="s">
        <v>3298</v>
      </c>
      <c r="Q453" t="str">
        <f t="shared" si="30"/>
        <v>Outdoors/Public</v>
      </c>
      <c r="S453" t="s">
        <v>5095</v>
      </c>
      <c r="T453" t="str" cm="1">
        <f t="array" ref="T453">_xlfn.IFS(
  TEXT(TRIM(S453),"00000")="NULL", "Missing/Unknown",
  OR(TEXT(TRIM(S453),"00000")="89101", TEXT(TRIM(S453),"00000")="89104", TEXT(TRIM(S453),"00000")="89106", TEXT(TRIM(S453),"00000")="89102", TEXT(TRIM(S453),"00000")="89107", TEXT(TRIM(S453),"00000")="89108"), "Urban Core",
  OR(TEXT(TRIM(S453),"00000")="89110", TEXT(TRIM(S453),"00000")="89115", TEXT(TRIM(S453),"00000")="89121", TEXT(TRIM(S453),"00000")="89122", TEXT(TRIM(S453),"00000")="89142", TEXT(TRIM(S453),"00000")="89156"), "East Valley",
  OR(TEXT(TRIM(S453),"00000")="89030", TEXT(TRIM(S453),"00000")="89031", TEXT(TRIM(S453),"00000")="89032", TEXT(TRIM(S453),"00000")="89086", TEXT(TRIM(S453),"00000")="89084", TEXT(TRIM(S453),"00000")="89081"), "North LV",
  OR(TEXT(TRIM(S453),"00000")="89109", TEXT(TRIM(S453),"00000")="89103", TEXT(TRIM(S453),"00000")="89119", TEXT(TRIM(S453),"00000")="89123", TEXT(TRIM(S453),"00000")="89169", TEXT(TRIM(S453),"00000")="89118"), "South/Strip",
  OR(TEXT(TRIM(S453),"00000")="89074", TEXT(TRIM(S453),"00000")="89014", TEXT(TRIM(S453),"00000")="89015", TEXT(TRIM(S453),"00000")="89011", TEXT(TRIM(S453),"00000")="89012"), "Suburban SE",
  OR(TEXT(TRIM(S453),"00000")="89117", TEXT(TRIM(S453),"00000")="89128", TEXT(TRIM(S453),"00000")="89135", TEXT(TRIM(S453),"00000")="89144", TEXT(TRIM(S453),"00000")="89145", TEXT(TRIM(S453),"00000")="89147"), "West Valley",
  TRUE, "Other"
)</f>
        <v>Missing/Unknown</v>
      </c>
      <c r="U453" t="s">
        <v>3298</v>
      </c>
      <c r="V453" t="str">
        <f t="shared" si="31"/>
        <v>Outdoors/Public</v>
      </c>
    </row>
    <row r="454" spans="1:22">
      <c r="A454" t="s">
        <v>3509</v>
      </c>
      <c r="B454" t="s">
        <v>3510</v>
      </c>
      <c r="C454" s="1">
        <v>45449</v>
      </c>
      <c r="D454" s="4">
        <v>109.94</v>
      </c>
      <c r="E454">
        <v>89</v>
      </c>
      <c r="F454" t="str">
        <f t="shared" si="28"/>
        <v>80's</v>
      </c>
      <c r="G454" t="str" cm="1">
        <f t="array" ref="G454">_xlfn.IFS(
  F454="10's", "Child (5–12)",
  OR(F454="20's", F454="30's"), "Young Adult (20–39)",
  OR(F454="40's", F454="50's"), "Adult (40–59)",
  OR(F454="60's", F454="70's", F454="80's", F454="90's"), "Senior (60+)",
  TRUE, "Unknown"
)</f>
        <v>Senior (60+)</v>
      </c>
      <c r="H454" t="s">
        <v>841</v>
      </c>
      <c r="I454" t="s">
        <v>28</v>
      </c>
      <c r="J454" t="str">
        <f t="shared" si="29"/>
        <v>Cardiovascular Disease</v>
      </c>
      <c r="K454" t="s">
        <v>3511</v>
      </c>
      <c r="L454" t="s">
        <v>1071</v>
      </c>
      <c r="N454" t="s">
        <v>5095</v>
      </c>
      <c r="O454" t="str" cm="1">
        <f t="array" ref="O454">_xlfn.IFS(
  TEXT(TRIM(N454),"00000")="NULL", "Missing/Unknown",
  OR(TEXT(TRIM(N454),"00000")="89101", TEXT(TRIM(N454),"00000")="89104", TEXT(TRIM(N454),"00000")="89106", TEXT(TRIM(N454),"00000")="89102", TEXT(TRIM(N454),"00000")="89107", TEXT(TRIM(N454),"00000")="89108"), "Urban Core",
  OR(TEXT(TRIM(N454),"00000")="89110", TEXT(TRIM(N454),"00000")="89115", TEXT(TRIM(N454),"00000")="89121", TEXT(TRIM(N454),"00000")="89122", TEXT(TRIM(N454),"00000")="89142", TEXT(TRIM(N454),"00000")="89156"), "East Valley",
  OR(TEXT(TRIM(N454),"00000")="89030", TEXT(TRIM(N454),"00000")="89031", TEXT(TRIM(N454),"00000")="89032", TEXT(TRIM(N454),"00000")="89086", TEXT(TRIM(N454),"00000")="89084", TEXT(TRIM(N454),"00000")="89081"), "North LV",
  OR(TEXT(TRIM(N454),"00000")="89109", TEXT(TRIM(N454),"00000")="89103", TEXT(TRIM(N454),"00000")="89119", TEXT(TRIM(N454),"00000")="89123", TEXT(TRIM(N454),"00000")="89169", TEXT(TRIM(N454),"00000")="89118"), "South/Strip",
  OR(TEXT(TRIM(N454),"00000")="89074", TEXT(TRIM(N454),"00000")="89014", TEXT(TRIM(N454),"00000")="89015", TEXT(TRIM(N454),"00000")="89011", TEXT(TRIM(N454),"00000")="89012"), "Suburban SE",
  OR(TEXT(TRIM(N454),"00000")="89117", TEXT(TRIM(N454),"00000")="89128", TEXT(TRIM(N454),"00000")="89135", TEXT(TRIM(N454),"00000")="89144", TEXT(TRIM(N454),"00000")="89145", TEXT(TRIM(N454),"00000")="89147"), "West Valley",
  TRUE, "Other"
)</f>
        <v>Missing/Unknown</v>
      </c>
      <c r="P454" t="s">
        <v>38</v>
      </c>
      <c r="Q454" t="str">
        <f t="shared" si="30"/>
        <v>Home/Residence</v>
      </c>
      <c r="R454" t="s">
        <v>4620</v>
      </c>
      <c r="S454" t="s">
        <v>5122</v>
      </c>
      <c r="T454" t="str" cm="1">
        <f t="array" ref="T454">_xlfn.IFS(
  TEXT(TRIM(S454),"00000")="NULL", "Missing/Unknown",
  OR(TEXT(TRIM(S454),"00000")="89101", TEXT(TRIM(S454),"00000")="89104", TEXT(TRIM(S454),"00000")="89106", TEXT(TRIM(S454),"00000")="89102", TEXT(TRIM(S454),"00000")="89107", TEXT(TRIM(S454),"00000")="89108"), "Urban Core",
  OR(TEXT(TRIM(S454),"00000")="89110", TEXT(TRIM(S454),"00000")="89115", TEXT(TRIM(S454),"00000")="89121", TEXT(TRIM(S454),"00000")="89122", TEXT(TRIM(S454),"00000")="89142", TEXT(TRIM(S454),"00000")="89156"), "East Valley",
  OR(TEXT(TRIM(S454),"00000")="89030", TEXT(TRIM(S454),"00000")="89031", TEXT(TRIM(S454),"00000")="89032", TEXT(TRIM(S454),"00000")="89086", TEXT(TRIM(S454),"00000")="89084", TEXT(TRIM(S454),"00000")="89081"), "North LV",
  OR(TEXT(TRIM(S454),"00000")="89109", TEXT(TRIM(S454),"00000")="89103", TEXT(TRIM(S454),"00000")="89119", TEXT(TRIM(S454),"00000")="89123", TEXT(TRIM(S454),"00000")="89169", TEXT(TRIM(S454),"00000")="89118"), "South/Strip",
  OR(TEXT(TRIM(S454),"00000")="89074", TEXT(TRIM(S454),"00000")="89014", TEXT(TRIM(S454),"00000")="89015", TEXT(TRIM(S454),"00000")="89011", TEXT(TRIM(S454),"00000")="89012"), "Suburban SE",
  OR(TEXT(TRIM(S454),"00000")="89117", TEXT(TRIM(S454),"00000")="89128", TEXT(TRIM(S454),"00000")="89135", TEXT(TRIM(S454),"00000")="89144", TEXT(TRIM(S454),"00000")="89145", TEXT(TRIM(S454),"00000")="89147"), "West Valley",
  TRUE, "Other"
)</f>
        <v>East Valley</v>
      </c>
      <c r="U454" t="s">
        <v>1073</v>
      </c>
      <c r="V454" t="str">
        <f t="shared" si="31"/>
        <v>Home/Residence</v>
      </c>
    </row>
    <row r="455" spans="1:22">
      <c r="A455" t="s">
        <v>2936</v>
      </c>
      <c r="B455" t="s">
        <v>2937</v>
      </c>
      <c r="C455" s="1">
        <v>45449</v>
      </c>
      <c r="D455" s="4">
        <v>109.94</v>
      </c>
      <c r="E455">
        <v>71</v>
      </c>
      <c r="F455" t="str">
        <f t="shared" si="28"/>
        <v>70's</v>
      </c>
      <c r="G455" t="str" cm="1">
        <f t="array" ref="G455">_xlfn.IFS(
  F455="10's", "Child (5–12)",
  OR(F455="20's", F455="30's"), "Young Adult (20–39)",
  OR(F455="40's", F455="50's"), "Adult (40–59)",
  OR(F455="60's", F455="70's", F455="80's", F455="90's"), "Senior (60+)",
  TRUE, "Unknown"
)</f>
        <v>Senior (60+)</v>
      </c>
      <c r="H455" t="s">
        <v>778</v>
      </c>
      <c r="I455" t="s">
        <v>54</v>
      </c>
      <c r="J455" t="str">
        <f t="shared" si="29"/>
        <v>Environmental Heat</v>
      </c>
      <c r="K455" t="s">
        <v>98</v>
      </c>
      <c r="L455" t="s">
        <v>250</v>
      </c>
      <c r="N455" t="s">
        <v>5095</v>
      </c>
      <c r="O455" t="str" cm="1">
        <f t="array" ref="O455">_xlfn.IFS(
  TEXT(TRIM(N455),"00000")="NULL", "Missing/Unknown",
  OR(TEXT(TRIM(N455),"00000")="89101", TEXT(TRIM(N455),"00000")="89104", TEXT(TRIM(N455),"00000")="89106", TEXT(TRIM(N455),"00000")="89102", TEXT(TRIM(N455),"00000")="89107", TEXT(TRIM(N455),"00000")="89108"), "Urban Core",
  OR(TEXT(TRIM(N455),"00000")="89110", TEXT(TRIM(N455),"00000")="89115", TEXT(TRIM(N455),"00000")="89121", TEXT(TRIM(N455),"00000")="89122", TEXT(TRIM(N455),"00000")="89142", TEXT(TRIM(N455),"00000")="89156"), "East Valley",
  OR(TEXT(TRIM(N455),"00000")="89030", TEXT(TRIM(N455),"00000")="89031", TEXT(TRIM(N455),"00000")="89032", TEXT(TRIM(N455),"00000")="89086", TEXT(TRIM(N455),"00000")="89084", TEXT(TRIM(N455),"00000")="89081"), "North LV",
  OR(TEXT(TRIM(N455),"00000")="89109", TEXT(TRIM(N455),"00000")="89103", TEXT(TRIM(N455),"00000")="89119", TEXT(TRIM(N455),"00000")="89123", TEXT(TRIM(N455),"00000")="89169", TEXT(TRIM(N455),"00000")="89118"), "South/Strip",
  OR(TEXT(TRIM(N455),"00000")="89074", TEXT(TRIM(N455),"00000")="89014", TEXT(TRIM(N455),"00000")="89015", TEXT(TRIM(N455),"00000")="89011", TEXT(TRIM(N455),"00000")="89012"), "Suburban SE",
  OR(TEXT(TRIM(N455),"00000")="89117", TEXT(TRIM(N455),"00000")="89128", TEXT(TRIM(N455),"00000")="89135", TEXT(TRIM(N455),"00000")="89144", TEXT(TRIM(N455),"00000")="89145", TEXT(TRIM(N455),"00000")="89147"), "West Valley",
  TRUE, "Other"
)</f>
        <v>Missing/Unknown</v>
      </c>
      <c r="P455" t="s">
        <v>38</v>
      </c>
      <c r="Q455" t="str">
        <f t="shared" si="30"/>
        <v>Home/Residence</v>
      </c>
      <c r="S455" t="s">
        <v>5095</v>
      </c>
      <c r="T455" t="str" cm="1">
        <f t="array" ref="T455">_xlfn.IFS(
  TEXT(TRIM(S455),"00000")="NULL", "Missing/Unknown",
  OR(TEXT(TRIM(S455),"00000")="89101", TEXT(TRIM(S455),"00000")="89104", TEXT(TRIM(S455),"00000")="89106", TEXT(TRIM(S455),"00000")="89102", TEXT(TRIM(S455),"00000")="89107", TEXT(TRIM(S455),"00000")="89108"), "Urban Core",
  OR(TEXT(TRIM(S455),"00000")="89110", TEXT(TRIM(S455),"00000")="89115", TEXT(TRIM(S455),"00000")="89121", TEXT(TRIM(S455),"00000")="89122", TEXT(TRIM(S455),"00000")="89142", TEXT(TRIM(S455),"00000")="89156"), "East Valley",
  OR(TEXT(TRIM(S455),"00000")="89030", TEXT(TRIM(S455),"00000")="89031", TEXT(TRIM(S455),"00000")="89032", TEXT(TRIM(S455),"00000")="89086", TEXT(TRIM(S455),"00000")="89084", TEXT(TRIM(S455),"00000")="89081"), "North LV",
  OR(TEXT(TRIM(S455),"00000")="89109", TEXT(TRIM(S455),"00000")="89103", TEXT(TRIM(S455),"00000")="89119", TEXT(TRIM(S455),"00000")="89123", TEXT(TRIM(S455),"00000")="89169", TEXT(TRIM(S455),"00000")="89118"), "South/Strip",
  OR(TEXT(TRIM(S455),"00000")="89074", TEXT(TRIM(S455),"00000")="89014", TEXT(TRIM(S455),"00000")="89015", TEXT(TRIM(S455),"00000")="89011", TEXT(TRIM(S455),"00000")="89012"), "Suburban SE",
  OR(TEXT(TRIM(S455),"00000")="89117", TEXT(TRIM(S455),"00000")="89128", TEXT(TRIM(S455),"00000")="89135", TEXT(TRIM(S455),"00000")="89144", TEXT(TRIM(S455),"00000")="89145", TEXT(TRIM(S455),"00000")="89147"), "West Valley",
  TRUE, "Other"
)</f>
        <v>Missing/Unknown</v>
      </c>
      <c r="U455" t="s">
        <v>38</v>
      </c>
      <c r="V455" t="str">
        <f t="shared" si="31"/>
        <v>Home/Residence</v>
      </c>
    </row>
    <row r="456" spans="1:22">
      <c r="A456" t="s">
        <v>3756</v>
      </c>
      <c r="B456" t="s">
        <v>3757</v>
      </c>
      <c r="C456" s="1">
        <v>45448</v>
      </c>
      <c r="D456" s="4">
        <v>107.06</v>
      </c>
      <c r="E456">
        <v>53</v>
      </c>
      <c r="F456" t="str">
        <f t="shared" si="28"/>
        <v>50's</v>
      </c>
      <c r="G456" t="str" cm="1">
        <f t="array" ref="G456">_xlfn.IFS(
  F456="10's", "Child (5–12)",
  OR(F456="20's", F456="30's"), "Young Adult (20–39)",
  OR(F456="40's", F456="50's"), "Adult (40–59)",
  OR(F456="60's", F456="70's", F456="80's", F456="90's"), "Senior (60+)",
  TRUE, "Unknown"
)</f>
        <v>Adult (40–59)</v>
      </c>
      <c r="H456" t="s">
        <v>841</v>
      </c>
      <c r="I456" t="s">
        <v>172</v>
      </c>
      <c r="J456" t="str">
        <f t="shared" si="29"/>
        <v>Methamphetamine-related</v>
      </c>
      <c r="K456" t="s">
        <v>3758</v>
      </c>
      <c r="L456" t="s">
        <v>250</v>
      </c>
      <c r="M456" t="s">
        <v>4531</v>
      </c>
      <c r="N456" t="s">
        <v>5128</v>
      </c>
      <c r="O456" t="str" cm="1">
        <f t="array" ref="O456">_xlfn.IFS(
  TEXT(TRIM(N456),"00000")="NULL", "Missing/Unknown",
  OR(TEXT(TRIM(N456),"00000")="89101", TEXT(TRIM(N456),"00000")="89104", TEXT(TRIM(N456),"00000")="89106", TEXT(TRIM(N456),"00000")="89102", TEXT(TRIM(N456),"00000")="89107", TEXT(TRIM(N456),"00000")="89108"), "Urban Core",
  OR(TEXT(TRIM(N456),"00000")="89110", TEXT(TRIM(N456),"00000")="89115", TEXT(TRIM(N456),"00000")="89121", TEXT(TRIM(N456),"00000")="89122", TEXT(TRIM(N456),"00000")="89142", TEXT(TRIM(N456),"00000")="89156"), "East Valley",
  OR(TEXT(TRIM(N456),"00000")="89030", TEXT(TRIM(N456),"00000")="89031", TEXT(TRIM(N456),"00000")="89032", TEXT(TRIM(N456),"00000")="89086", TEXT(TRIM(N456),"00000")="89084", TEXT(TRIM(N456),"00000")="89081"), "North LV",
  OR(TEXT(TRIM(N456),"00000")="89109", TEXT(TRIM(N456),"00000")="89103", TEXT(TRIM(N456),"00000")="89119", TEXT(TRIM(N456),"00000")="89123", TEXT(TRIM(N456),"00000")="89169", TEXT(TRIM(N456),"00000")="89118"), "South/Strip",
  OR(TEXT(TRIM(N456),"00000")="89074", TEXT(TRIM(N456),"00000")="89014", TEXT(TRIM(N456),"00000")="89015", TEXT(TRIM(N456),"00000")="89011", TEXT(TRIM(N456),"00000")="89012"), "Suburban SE",
  OR(TEXT(TRIM(N456),"00000")="89117", TEXT(TRIM(N456),"00000")="89128", TEXT(TRIM(N456),"00000")="89135", TEXT(TRIM(N456),"00000")="89144", TEXT(TRIM(N456),"00000")="89145", TEXT(TRIM(N456),"00000")="89147"), "West Valley",
  TRUE, "Other"
)</f>
        <v>East Valley</v>
      </c>
      <c r="P456" t="s">
        <v>3298</v>
      </c>
      <c r="Q456" t="str">
        <f t="shared" si="30"/>
        <v>Outdoors/Public</v>
      </c>
      <c r="R456" t="s">
        <v>4341</v>
      </c>
      <c r="S456" t="s">
        <v>5100</v>
      </c>
      <c r="T456" t="str" cm="1">
        <f t="array" ref="T456">_xlfn.IFS(
  TEXT(TRIM(S456),"00000")="NULL", "Missing/Unknown",
  OR(TEXT(TRIM(S456),"00000")="89101", TEXT(TRIM(S456),"00000")="89104", TEXT(TRIM(S456),"00000")="89106", TEXT(TRIM(S456),"00000")="89102", TEXT(TRIM(S456),"00000")="89107", TEXT(TRIM(S456),"00000")="89108"), "Urban Core",
  OR(TEXT(TRIM(S456),"00000")="89110", TEXT(TRIM(S456),"00000")="89115", TEXT(TRIM(S456),"00000")="89121", TEXT(TRIM(S456),"00000")="89122", TEXT(TRIM(S456),"00000")="89142", TEXT(TRIM(S456),"00000")="89156"), "East Valley",
  OR(TEXT(TRIM(S456),"00000")="89030", TEXT(TRIM(S456),"00000")="89031", TEXT(TRIM(S456),"00000")="89032", TEXT(TRIM(S456),"00000")="89086", TEXT(TRIM(S456),"00000")="89084", TEXT(TRIM(S456),"00000")="89081"), "North LV",
  OR(TEXT(TRIM(S456),"00000")="89109", TEXT(TRIM(S456),"00000")="89103", TEXT(TRIM(S456),"00000")="89119", TEXT(TRIM(S456),"00000")="89123", TEXT(TRIM(S456),"00000")="89169", TEXT(TRIM(S456),"00000")="89118"), "South/Strip",
  OR(TEXT(TRIM(S456),"00000")="89074", TEXT(TRIM(S456),"00000")="89014", TEXT(TRIM(S456),"00000")="89015", TEXT(TRIM(S456),"00000")="89011", TEXT(TRIM(S456),"00000")="89012"), "Suburban SE",
  OR(TEXT(TRIM(S456),"00000")="89117", TEXT(TRIM(S456),"00000")="89128", TEXT(TRIM(S456),"00000")="89135", TEXT(TRIM(S456),"00000")="89144", TEXT(TRIM(S456),"00000")="89145", TEXT(TRIM(S456),"00000")="89147"), "West Valley",
  TRUE, "Other"
)</f>
        <v>North LV</v>
      </c>
      <c r="U456" t="s">
        <v>4301</v>
      </c>
      <c r="V456" t="str">
        <f t="shared" si="31"/>
        <v>Medical Facility</v>
      </c>
    </row>
    <row r="457" spans="1:22">
      <c r="A457" t="s">
        <v>2596</v>
      </c>
      <c r="B457" t="s">
        <v>2597</v>
      </c>
      <c r="C457" s="1">
        <v>45448</v>
      </c>
      <c r="D457" s="4">
        <v>107.06</v>
      </c>
      <c r="E457">
        <v>63</v>
      </c>
      <c r="F457" t="str">
        <f t="shared" si="28"/>
        <v>60's</v>
      </c>
      <c r="G457" t="str" cm="1">
        <f t="array" ref="G457">_xlfn.IFS(
  F457="10's", "Child (5–12)",
  OR(F457="20's", F457="30's"), "Young Adult (20–39)",
  OR(F457="40's", F457="50's"), "Adult (40–59)",
  OR(F457="60's", F457="70's", F457="80's", F457="90's"), "Senior (60+)",
  TRUE, "Unknown"
)</f>
        <v>Senior (60+)</v>
      </c>
      <c r="H457" t="s">
        <v>841</v>
      </c>
      <c r="I457" t="s">
        <v>63</v>
      </c>
      <c r="J457" t="str">
        <f t="shared" si="29"/>
        <v>Cardiovascular Disease</v>
      </c>
      <c r="K457" t="s">
        <v>2598</v>
      </c>
      <c r="L457" t="s">
        <v>1071</v>
      </c>
      <c r="M457" t="s">
        <v>4949</v>
      </c>
      <c r="N457" t="s">
        <v>5108</v>
      </c>
      <c r="O457" t="str" cm="1">
        <f t="array" ref="O457">_xlfn.IFS(
  TEXT(TRIM(N457),"00000")="NULL", "Missing/Unknown",
  OR(TEXT(TRIM(N457),"00000")="89101", TEXT(TRIM(N457),"00000")="89104", TEXT(TRIM(N457),"00000")="89106", TEXT(TRIM(N457),"00000")="89102", TEXT(TRIM(N457),"00000")="89107", TEXT(TRIM(N457),"00000")="89108"), "Urban Core",
  OR(TEXT(TRIM(N457),"00000")="89110", TEXT(TRIM(N457),"00000")="89115", TEXT(TRIM(N457),"00000")="89121", TEXT(TRIM(N457),"00000")="89122", TEXT(TRIM(N457),"00000")="89142", TEXT(TRIM(N457),"00000")="89156"), "East Valley",
  OR(TEXT(TRIM(N457),"00000")="89030", TEXT(TRIM(N457),"00000")="89031", TEXT(TRIM(N457),"00000")="89032", TEXT(TRIM(N457),"00000")="89086", TEXT(TRIM(N457),"00000")="89084", TEXT(TRIM(N457),"00000")="89081"), "North LV",
  OR(TEXT(TRIM(N457),"00000")="89109", TEXT(TRIM(N457),"00000")="89103", TEXT(TRIM(N457),"00000")="89119", TEXT(TRIM(N457),"00000")="89123", TEXT(TRIM(N457),"00000")="89169", TEXT(TRIM(N457),"00000")="89118"), "South/Strip",
  OR(TEXT(TRIM(N457),"00000")="89074", TEXT(TRIM(N457),"00000")="89014", TEXT(TRIM(N457),"00000")="89015", TEXT(TRIM(N457),"00000")="89011", TEXT(TRIM(N457),"00000")="89012"), "Suburban SE",
  OR(TEXT(TRIM(N457),"00000")="89117", TEXT(TRIM(N457),"00000")="89128", TEXT(TRIM(N457),"00000")="89135", TEXT(TRIM(N457),"00000")="89144", TEXT(TRIM(N457),"00000")="89145", TEXT(TRIM(N457),"00000")="89147"), "West Valley",
  TRUE, "Other"
)</f>
        <v>East Valley</v>
      </c>
      <c r="P457" t="s">
        <v>1073</v>
      </c>
      <c r="Q457" t="str">
        <f t="shared" si="30"/>
        <v>Home/Residence</v>
      </c>
      <c r="R457" t="s">
        <v>4949</v>
      </c>
      <c r="S457" t="s">
        <v>5108</v>
      </c>
      <c r="T457" t="str" cm="1">
        <f t="array" ref="T457">_xlfn.IFS(
  TEXT(TRIM(S457),"00000")="NULL", "Missing/Unknown",
  OR(TEXT(TRIM(S457),"00000")="89101", TEXT(TRIM(S457),"00000")="89104", TEXT(TRIM(S457),"00000")="89106", TEXT(TRIM(S457),"00000")="89102", TEXT(TRIM(S457),"00000")="89107", TEXT(TRIM(S457),"00000")="89108"), "Urban Core",
  OR(TEXT(TRIM(S457),"00000")="89110", TEXT(TRIM(S457),"00000")="89115", TEXT(TRIM(S457),"00000")="89121", TEXT(TRIM(S457),"00000")="89122", TEXT(TRIM(S457),"00000")="89142", TEXT(TRIM(S457),"00000")="89156"), "East Valley",
  OR(TEXT(TRIM(S457),"00000")="89030", TEXT(TRIM(S457),"00000")="89031", TEXT(TRIM(S457),"00000")="89032", TEXT(TRIM(S457),"00000")="89086", TEXT(TRIM(S457),"00000")="89084", TEXT(TRIM(S457),"00000")="89081"), "North LV",
  OR(TEXT(TRIM(S457),"00000")="89109", TEXT(TRIM(S457),"00000")="89103", TEXT(TRIM(S457),"00000")="89119", TEXT(TRIM(S457),"00000")="89123", TEXT(TRIM(S457),"00000")="89169", TEXT(TRIM(S457),"00000")="89118"), "South/Strip",
  OR(TEXT(TRIM(S457),"00000")="89074", TEXT(TRIM(S457),"00000")="89014", TEXT(TRIM(S457),"00000")="89015", TEXT(TRIM(S457),"00000")="89011", TEXT(TRIM(S457),"00000")="89012"), "Suburban SE",
  OR(TEXT(TRIM(S457),"00000")="89117", TEXT(TRIM(S457),"00000")="89128", TEXT(TRIM(S457),"00000")="89135", TEXT(TRIM(S457),"00000")="89144", TEXT(TRIM(S457),"00000")="89145", TEXT(TRIM(S457),"00000")="89147"), "West Valley",
  TRUE, "Other"
)</f>
        <v>East Valley</v>
      </c>
      <c r="U457" t="s">
        <v>1073</v>
      </c>
      <c r="V457" t="str">
        <f t="shared" si="31"/>
        <v>Home/Residence</v>
      </c>
    </row>
    <row r="458" spans="1:22">
      <c r="A458" t="s">
        <v>2933</v>
      </c>
      <c r="B458" t="s">
        <v>2934</v>
      </c>
      <c r="C458" s="1">
        <v>45448</v>
      </c>
      <c r="D458" s="4">
        <v>107.06</v>
      </c>
      <c r="E458">
        <v>50</v>
      </c>
      <c r="F458" t="str">
        <f t="shared" si="28"/>
        <v>50's</v>
      </c>
      <c r="G458" t="str" cm="1">
        <f t="array" ref="G458">_xlfn.IFS(
  F458="10's", "Child (5–12)",
  OR(F458="20's", F458="30's"), "Young Adult (20–39)",
  OR(F458="40's", F458="50's"), "Adult (40–59)",
  OR(F458="60's", F458="70's", F458="80's", F458="90's"), "Senior (60+)",
  TRUE, "Unknown"
)</f>
        <v>Adult (40–59)</v>
      </c>
      <c r="H458" t="s">
        <v>841</v>
      </c>
      <c r="I458" t="s">
        <v>54</v>
      </c>
      <c r="J458" t="str">
        <f t="shared" si="29"/>
        <v>Environmental Heat</v>
      </c>
      <c r="K458" t="s">
        <v>28</v>
      </c>
      <c r="L458" t="s">
        <v>1071</v>
      </c>
      <c r="N458" t="s">
        <v>5095</v>
      </c>
      <c r="O458" t="str" cm="1">
        <f t="array" ref="O458">_xlfn.IFS(
  TEXT(TRIM(N458),"00000")="NULL", "Missing/Unknown",
  OR(TEXT(TRIM(N458),"00000")="89101", TEXT(TRIM(N458),"00000")="89104", TEXT(TRIM(N458),"00000")="89106", TEXT(TRIM(N458),"00000")="89102", TEXT(TRIM(N458),"00000")="89107", TEXT(TRIM(N458),"00000")="89108"), "Urban Core",
  OR(TEXT(TRIM(N458),"00000")="89110", TEXT(TRIM(N458),"00000")="89115", TEXT(TRIM(N458),"00000")="89121", TEXT(TRIM(N458),"00000")="89122", TEXT(TRIM(N458),"00000")="89142", TEXT(TRIM(N458),"00000")="89156"), "East Valley",
  OR(TEXT(TRIM(N458),"00000")="89030", TEXT(TRIM(N458),"00000")="89031", TEXT(TRIM(N458),"00000")="89032", TEXT(TRIM(N458),"00000")="89086", TEXT(TRIM(N458),"00000")="89084", TEXT(TRIM(N458),"00000")="89081"), "North LV",
  OR(TEXT(TRIM(N458),"00000")="89109", TEXT(TRIM(N458),"00000")="89103", TEXT(TRIM(N458),"00000")="89119", TEXT(TRIM(N458),"00000")="89123", TEXT(TRIM(N458),"00000")="89169", TEXT(TRIM(N458),"00000")="89118"), "South/Strip",
  OR(TEXT(TRIM(N458),"00000")="89074", TEXT(TRIM(N458),"00000")="89014", TEXT(TRIM(N458),"00000")="89015", TEXT(TRIM(N458),"00000")="89011", TEXT(TRIM(N458),"00000")="89012"), "Suburban SE",
  OR(TEXT(TRIM(N458),"00000")="89117", TEXT(TRIM(N458),"00000")="89128", TEXT(TRIM(N458),"00000")="89135", TEXT(TRIM(N458),"00000")="89144", TEXT(TRIM(N458),"00000")="89145", TEXT(TRIM(N458),"00000")="89147"), "West Valley",
  TRUE, "Other"
)</f>
        <v>Missing/Unknown</v>
      </c>
      <c r="P458" t="s">
        <v>38</v>
      </c>
      <c r="Q458" t="str">
        <f t="shared" si="30"/>
        <v>Home/Residence</v>
      </c>
      <c r="R458" t="s">
        <v>5081</v>
      </c>
      <c r="S458" t="s">
        <v>5101</v>
      </c>
      <c r="T458" t="str" cm="1">
        <f t="array" ref="T458">_xlfn.IFS(
  TEXT(TRIM(S458),"00000")="NULL", "Missing/Unknown",
  OR(TEXT(TRIM(S458),"00000")="89101", TEXT(TRIM(S458),"00000")="89104", TEXT(TRIM(S458),"00000")="89106", TEXT(TRIM(S458),"00000")="89102", TEXT(TRIM(S458),"00000")="89107", TEXT(TRIM(S458),"00000")="89108"), "Urban Core",
  OR(TEXT(TRIM(S458),"00000")="89110", TEXT(TRIM(S458),"00000")="89115", TEXT(TRIM(S458),"00000")="89121", TEXT(TRIM(S458),"00000")="89122", TEXT(TRIM(S458),"00000")="89142", TEXT(TRIM(S458),"00000")="89156"), "East Valley",
  OR(TEXT(TRIM(S458),"00000")="89030", TEXT(TRIM(S458),"00000")="89031", TEXT(TRIM(S458),"00000")="89032", TEXT(TRIM(S458),"00000")="89086", TEXT(TRIM(S458),"00000")="89084", TEXT(TRIM(S458),"00000")="89081"), "North LV",
  OR(TEXT(TRIM(S458),"00000")="89109", TEXT(TRIM(S458),"00000")="89103", TEXT(TRIM(S458),"00000")="89119", TEXT(TRIM(S458),"00000")="89123", TEXT(TRIM(S458),"00000")="89169", TEXT(TRIM(S458),"00000")="89118"), "South/Strip",
  OR(TEXT(TRIM(S458),"00000")="89074", TEXT(TRIM(S458),"00000")="89014", TEXT(TRIM(S458),"00000")="89015", TEXT(TRIM(S458),"00000")="89011", TEXT(TRIM(S458),"00000")="89012"), "Suburban SE",
  OR(TEXT(TRIM(S458),"00000")="89117", TEXT(TRIM(S458),"00000")="89128", TEXT(TRIM(S458),"00000")="89135", TEXT(TRIM(S458),"00000")="89144", TEXT(TRIM(S458),"00000")="89145", TEXT(TRIM(S458),"00000")="89147"), "West Valley",
  TRUE, "Other"
)</f>
        <v>Urban Core</v>
      </c>
      <c r="U458" t="s">
        <v>1073</v>
      </c>
      <c r="V458" t="str">
        <f t="shared" si="31"/>
        <v>Home/Residence</v>
      </c>
    </row>
    <row r="459" spans="1:22">
      <c r="A459" t="s">
        <v>2593</v>
      </c>
      <c r="B459" t="s">
        <v>2594</v>
      </c>
      <c r="C459" s="1">
        <v>45447</v>
      </c>
      <c r="D459" s="4">
        <v>102.02</v>
      </c>
      <c r="E459">
        <v>65</v>
      </c>
      <c r="F459" t="str">
        <f t="shared" si="28"/>
        <v>60's</v>
      </c>
      <c r="G459" t="str" cm="1">
        <f t="array" ref="G459">_xlfn.IFS(
  F459="10's", "Child (5–12)",
  OR(F459="20's", F459="30's"), "Young Adult (20–39)",
  OR(F459="40's", F459="50's"), "Adult (40–59)",
  OR(F459="60's", F459="70's", F459="80's", F459="90's"), "Senior (60+)",
  TRUE, "Unknown"
)</f>
        <v>Senior (60+)</v>
      </c>
      <c r="H459" t="s">
        <v>841</v>
      </c>
      <c r="I459" t="s">
        <v>63</v>
      </c>
      <c r="J459" t="str">
        <f t="shared" si="29"/>
        <v>Cardiovascular Disease</v>
      </c>
      <c r="K459" t="s">
        <v>54</v>
      </c>
      <c r="L459" t="s">
        <v>1071</v>
      </c>
      <c r="M459" t="s">
        <v>4949</v>
      </c>
      <c r="N459" t="s">
        <v>5108</v>
      </c>
      <c r="O459" t="str" cm="1">
        <f t="array" ref="O459">_xlfn.IFS(
  TEXT(TRIM(N459),"00000")="NULL", "Missing/Unknown",
  OR(TEXT(TRIM(N459),"00000")="89101", TEXT(TRIM(N459),"00000")="89104", TEXT(TRIM(N459),"00000")="89106", TEXT(TRIM(N459),"00000")="89102", TEXT(TRIM(N459),"00000")="89107", TEXT(TRIM(N459),"00000")="89108"), "Urban Core",
  OR(TEXT(TRIM(N459),"00000")="89110", TEXT(TRIM(N459),"00000")="89115", TEXT(TRIM(N459),"00000")="89121", TEXT(TRIM(N459),"00000")="89122", TEXT(TRIM(N459),"00000")="89142", TEXT(TRIM(N459),"00000")="89156"), "East Valley",
  OR(TEXT(TRIM(N459),"00000")="89030", TEXT(TRIM(N459),"00000")="89031", TEXT(TRIM(N459),"00000")="89032", TEXT(TRIM(N459),"00000")="89086", TEXT(TRIM(N459),"00000")="89084", TEXT(TRIM(N459),"00000")="89081"), "North LV",
  OR(TEXT(TRIM(N459),"00000")="89109", TEXT(TRIM(N459),"00000")="89103", TEXT(TRIM(N459),"00000")="89119", TEXT(TRIM(N459),"00000")="89123", TEXT(TRIM(N459),"00000")="89169", TEXT(TRIM(N459),"00000")="89118"), "South/Strip",
  OR(TEXT(TRIM(N459),"00000")="89074", TEXT(TRIM(N459),"00000")="89014", TEXT(TRIM(N459),"00000")="89015", TEXT(TRIM(N459),"00000")="89011", TEXT(TRIM(N459),"00000")="89012"), "Suburban SE",
  OR(TEXT(TRIM(N459),"00000")="89117", TEXT(TRIM(N459),"00000")="89128", TEXT(TRIM(N459),"00000")="89135", TEXT(TRIM(N459),"00000")="89144", TEXT(TRIM(N459),"00000")="89145", TEXT(TRIM(N459),"00000")="89147"), "West Valley",
  TRUE, "Other"
)</f>
        <v>East Valley</v>
      </c>
      <c r="P459" t="s">
        <v>1073</v>
      </c>
      <c r="Q459" t="str">
        <f t="shared" si="30"/>
        <v>Home/Residence</v>
      </c>
      <c r="R459" t="s">
        <v>4949</v>
      </c>
      <c r="S459" t="s">
        <v>5108</v>
      </c>
      <c r="T459" t="str" cm="1">
        <f t="array" ref="T459">_xlfn.IFS(
  TEXT(TRIM(S459),"00000")="NULL", "Missing/Unknown",
  OR(TEXT(TRIM(S459),"00000")="89101", TEXT(TRIM(S459),"00000")="89104", TEXT(TRIM(S459),"00000")="89106", TEXT(TRIM(S459),"00000")="89102", TEXT(TRIM(S459),"00000")="89107", TEXT(TRIM(S459),"00000")="89108"), "Urban Core",
  OR(TEXT(TRIM(S459),"00000")="89110", TEXT(TRIM(S459),"00000")="89115", TEXT(TRIM(S459),"00000")="89121", TEXT(TRIM(S459),"00000")="89122", TEXT(TRIM(S459),"00000")="89142", TEXT(TRIM(S459),"00000")="89156"), "East Valley",
  OR(TEXT(TRIM(S459),"00000")="89030", TEXT(TRIM(S459),"00000")="89031", TEXT(TRIM(S459),"00000")="89032", TEXT(TRIM(S459),"00000")="89086", TEXT(TRIM(S459),"00000")="89084", TEXT(TRIM(S459),"00000")="89081"), "North LV",
  OR(TEXT(TRIM(S459),"00000")="89109", TEXT(TRIM(S459),"00000")="89103", TEXT(TRIM(S459),"00000")="89119", TEXT(TRIM(S459),"00000")="89123", TEXT(TRIM(S459),"00000")="89169", TEXT(TRIM(S459),"00000")="89118"), "South/Strip",
  OR(TEXT(TRIM(S459),"00000")="89074", TEXT(TRIM(S459),"00000")="89014", TEXT(TRIM(S459),"00000")="89015", TEXT(TRIM(S459),"00000")="89011", TEXT(TRIM(S459),"00000")="89012"), "Suburban SE",
  OR(TEXT(TRIM(S459),"00000")="89117", TEXT(TRIM(S459),"00000")="89128", TEXT(TRIM(S459),"00000")="89135", TEXT(TRIM(S459),"00000")="89144", TEXT(TRIM(S459),"00000")="89145", TEXT(TRIM(S459),"00000")="89147"), "West Valley",
  TRUE, "Other"
)</f>
        <v>East Valley</v>
      </c>
      <c r="U459" t="s">
        <v>1073</v>
      </c>
      <c r="V459" t="str">
        <f t="shared" si="31"/>
        <v>Home/Residence</v>
      </c>
    </row>
    <row r="460" spans="1:22">
      <c r="A460" t="s">
        <v>3505</v>
      </c>
      <c r="B460" t="s">
        <v>3506</v>
      </c>
      <c r="C460" s="1">
        <v>45447</v>
      </c>
      <c r="D460" s="4">
        <v>102.02</v>
      </c>
      <c r="E460">
        <v>72</v>
      </c>
      <c r="F460" t="str">
        <f t="shared" si="28"/>
        <v>70's</v>
      </c>
      <c r="G460" t="str" cm="1">
        <f t="array" ref="G460">_xlfn.IFS(
  F460="10's", "Child (5–12)",
  OR(F460="20's", F460="30's"), "Young Adult (20–39)",
  OR(F460="40's", F460="50's"), "Adult (40–59)",
  OR(F460="60's", F460="70's", F460="80's", F460="90's"), "Senior (60+)",
  TRUE, "Unknown"
)</f>
        <v>Senior (60+)</v>
      </c>
      <c r="H460" t="s">
        <v>841</v>
      </c>
      <c r="I460" t="s">
        <v>28</v>
      </c>
      <c r="J460" t="str">
        <f t="shared" si="29"/>
        <v>Cardiovascular Disease</v>
      </c>
      <c r="K460" t="s">
        <v>3507</v>
      </c>
      <c r="L460" t="s">
        <v>1071</v>
      </c>
      <c r="M460" t="s">
        <v>5041</v>
      </c>
      <c r="N460" t="s">
        <v>5105</v>
      </c>
      <c r="O460" t="str" cm="1">
        <f t="array" ref="O460">_xlfn.IFS(
  TEXT(TRIM(N460),"00000")="NULL", "Missing/Unknown",
  OR(TEXT(TRIM(N460),"00000")="89101", TEXT(TRIM(N460),"00000")="89104", TEXT(TRIM(N460),"00000")="89106", TEXT(TRIM(N460),"00000")="89102", TEXT(TRIM(N460),"00000")="89107", TEXT(TRIM(N460),"00000")="89108"), "Urban Core",
  OR(TEXT(TRIM(N460),"00000")="89110", TEXT(TRIM(N460),"00000")="89115", TEXT(TRIM(N460),"00000")="89121", TEXT(TRIM(N460),"00000")="89122", TEXT(TRIM(N460),"00000")="89142", TEXT(TRIM(N460),"00000")="89156"), "East Valley",
  OR(TEXT(TRIM(N460),"00000")="89030", TEXT(TRIM(N460),"00000")="89031", TEXT(TRIM(N460),"00000")="89032", TEXT(TRIM(N460),"00000")="89086", TEXT(TRIM(N460),"00000")="89084", TEXT(TRIM(N460),"00000")="89081"), "North LV",
  OR(TEXT(TRIM(N460),"00000")="89109", TEXT(TRIM(N460),"00000")="89103", TEXT(TRIM(N460),"00000")="89119", TEXT(TRIM(N460),"00000")="89123", TEXT(TRIM(N460),"00000")="89169", TEXT(TRIM(N460),"00000")="89118"), "South/Strip",
  OR(TEXT(TRIM(N460),"00000")="89074", TEXT(TRIM(N460),"00000")="89014", TEXT(TRIM(N460),"00000")="89015", TEXT(TRIM(N460),"00000")="89011", TEXT(TRIM(N460),"00000")="89012"), "Suburban SE",
  OR(TEXT(TRIM(N460),"00000")="89117", TEXT(TRIM(N460),"00000")="89128", TEXT(TRIM(N460),"00000")="89135", TEXT(TRIM(N460),"00000")="89144", TEXT(TRIM(N460),"00000")="89145", TEXT(TRIM(N460),"00000")="89147"), "West Valley",
  TRUE, "Other"
)</f>
        <v>East Valley</v>
      </c>
      <c r="P460" t="s">
        <v>38</v>
      </c>
      <c r="Q460" t="str">
        <f t="shared" si="30"/>
        <v>Home/Residence</v>
      </c>
      <c r="R460" t="s">
        <v>5041</v>
      </c>
      <c r="S460" t="s">
        <v>5105</v>
      </c>
      <c r="T460" t="str" cm="1">
        <f t="array" ref="T460">_xlfn.IFS(
  TEXT(TRIM(S460),"00000")="NULL", "Missing/Unknown",
  OR(TEXT(TRIM(S460),"00000")="89101", TEXT(TRIM(S460),"00000")="89104", TEXT(TRIM(S460),"00000")="89106", TEXT(TRIM(S460),"00000")="89102", TEXT(TRIM(S460),"00000")="89107", TEXT(TRIM(S460),"00000")="89108"), "Urban Core",
  OR(TEXT(TRIM(S460),"00000")="89110", TEXT(TRIM(S460),"00000")="89115", TEXT(TRIM(S460),"00000")="89121", TEXT(TRIM(S460),"00000")="89122", TEXT(TRIM(S460),"00000")="89142", TEXT(TRIM(S460),"00000")="89156"), "East Valley",
  OR(TEXT(TRIM(S460),"00000")="89030", TEXT(TRIM(S460),"00000")="89031", TEXT(TRIM(S460),"00000")="89032", TEXT(TRIM(S460),"00000")="89086", TEXT(TRIM(S460),"00000")="89084", TEXT(TRIM(S460),"00000")="89081"), "North LV",
  OR(TEXT(TRIM(S460),"00000")="89109", TEXT(TRIM(S460),"00000")="89103", TEXT(TRIM(S460),"00000")="89119", TEXT(TRIM(S460),"00000")="89123", TEXT(TRIM(S460),"00000")="89169", TEXT(TRIM(S460),"00000")="89118"), "South/Strip",
  OR(TEXT(TRIM(S460),"00000")="89074", TEXT(TRIM(S460),"00000")="89014", TEXT(TRIM(S460),"00000")="89015", TEXT(TRIM(S460),"00000")="89011", TEXT(TRIM(S460),"00000")="89012"), "Suburban SE",
  OR(TEXT(TRIM(S460),"00000")="89117", TEXT(TRIM(S460),"00000")="89128", TEXT(TRIM(S460),"00000")="89135", TEXT(TRIM(S460),"00000")="89144", TEXT(TRIM(S460),"00000")="89145", TEXT(TRIM(S460),"00000")="89147"), "West Valley",
  TRUE, "Other"
)</f>
        <v>East Valley</v>
      </c>
      <c r="U460" t="s">
        <v>38</v>
      </c>
      <c r="V460" t="str">
        <f t="shared" si="31"/>
        <v>Home/Residence</v>
      </c>
    </row>
    <row r="461" spans="1:22">
      <c r="A461" t="s">
        <v>3502</v>
      </c>
      <c r="B461" t="s">
        <v>3503</v>
      </c>
      <c r="C461" s="1">
        <v>45446</v>
      </c>
      <c r="D461" s="4">
        <v>102.02</v>
      </c>
      <c r="E461">
        <v>75</v>
      </c>
      <c r="F461" t="str">
        <f t="shared" si="28"/>
        <v>70's</v>
      </c>
      <c r="G461" t="str" cm="1">
        <f t="array" ref="G461">_xlfn.IFS(
  F461="10's", "Child (5–12)",
  OR(F461="20's", F461="30's"), "Young Adult (20–39)",
  OR(F461="40's", F461="50's"), "Adult (40–59)",
  OR(F461="60's", F461="70's", F461="80's", F461="90's"), "Senior (60+)",
  TRUE, "Unknown"
)</f>
        <v>Senior (60+)</v>
      </c>
      <c r="H461" t="s">
        <v>841</v>
      </c>
      <c r="I461" t="s">
        <v>28</v>
      </c>
      <c r="J461" t="str">
        <f t="shared" si="29"/>
        <v>Cardiovascular Disease</v>
      </c>
      <c r="K461" t="s">
        <v>35</v>
      </c>
      <c r="L461" t="s">
        <v>1071</v>
      </c>
      <c r="N461" t="s">
        <v>5095</v>
      </c>
      <c r="O461" t="str" cm="1">
        <f t="array" ref="O461">_xlfn.IFS(
  TEXT(TRIM(N461),"00000")="NULL", "Missing/Unknown",
  OR(TEXT(TRIM(N461),"00000")="89101", TEXT(TRIM(N461),"00000")="89104", TEXT(TRIM(N461),"00000")="89106", TEXT(TRIM(N461),"00000")="89102", TEXT(TRIM(N461),"00000")="89107", TEXT(TRIM(N461),"00000")="89108"), "Urban Core",
  OR(TEXT(TRIM(N461),"00000")="89110", TEXT(TRIM(N461),"00000")="89115", TEXT(TRIM(N461),"00000")="89121", TEXT(TRIM(N461),"00000")="89122", TEXT(TRIM(N461),"00000")="89142", TEXT(TRIM(N461),"00000")="89156"), "East Valley",
  OR(TEXT(TRIM(N461),"00000")="89030", TEXT(TRIM(N461),"00000")="89031", TEXT(TRIM(N461),"00000")="89032", TEXT(TRIM(N461),"00000")="89086", TEXT(TRIM(N461),"00000")="89084", TEXT(TRIM(N461),"00000")="89081"), "North LV",
  OR(TEXT(TRIM(N461),"00000")="89109", TEXT(TRIM(N461),"00000")="89103", TEXT(TRIM(N461),"00000")="89119", TEXT(TRIM(N461),"00000")="89123", TEXT(TRIM(N461),"00000")="89169", TEXT(TRIM(N461),"00000")="89118"), "South/Strip",
  OR(TEXT(TRIM(N461),"00000")="89074", TEXT(TRIM(N461),"00000")="89014", TEXT(TRIM(N461),"00000")="89015", TEXT(TRIM(N461),"00000")="89011", TEXT(TRIM(N461),"00000")="89012"), "Suburban SE",
  OR(TEXT(TRIM(N461),"00000")="89117", TEXT(TRIM(N461),"00000")="89128", TEXT(TRIM(N461),"00000")="89135", TEXT(TRIM(N461),"00000")="89144", TEXT(TRIM(N461),"00000")="89145", TEXT(TRIM(N461),"00000")="89147"), "West Valley",
  TRUE, "Other"
)</f>
        <v>Missing/Unknown</v>
      </c>
      <c r="P461" t="s">
        <v>38</v>
      </c>
      <c r="Q461" t="str">
        <f t="shared" si="30"/>
        <v>Home/Residence</v>
      </c>
      <c r="R461" t="s">
        <v>5082</v>
      </c>
      <c r="S461" t="s">
        <v>5115</v>
      </c>
      <c r="T461" t="str" cm="1">
        <f t="array" ref="T461">_xlfn.IFS(
  TEXT(TRIM(S461),"00000")="NULL", "Missing/Unknown",
  OR(TEXT(TRIM(S461),"00000")="89101", TEXT(TRIM(S461),"00000")="89104", TEXT(TRIM(S461),"00000")="89106", TEXT(TRIM(S461),"00000")="89102", TEXT(TRIM(S461),"00000")="89107", TEXT(TRIM(S461),"00000")="89108"), "Urban Core",
  OR(TEXT(TRIM(S461),"00000")="89110", TEXT(TRIM(S461),"00000")="89115", TEXT(TRIM(S461),"00000")="89121", TEXT(TRIM(S461),"00000")="89122", TEXT(TRIM(S461),"00000")="89142", TEXT(TRIM(S461),"00000")="89156"), "East Valley",
  OR(TEXT(TRIM(S461),"00000")="89030", TEXT(TRIM(S461),"00000")="89031", TEXT(TRIM(S461),"00000")="89032", TEXT(TRIM(S461),"00000")="89086", TEXT(TRIM(S461),"00000")="89084", TEXT(TRIM(S461),"00000")="89081"), "North LV",
  OR(TEXT(TRIM(S461),"00000")="89109", TEXT(TRIM(S461),"00000")="89103", TEXT(TRIM(S461),"00000")="89119", TEXT(TRIM(S461),"00000")="89123", TEXT(TRIM(S461),"00000")="89169", TEXT(TRIM(S461),"00000")="89118"), "South/Strip",
  OR(TEXT(TRIM(S461),"00000")="89074", TEXT(TRIM(S461),"00000")="89014", TEXT(TRIM(S461),"00000")="89015", TEXT(TRIM(S461),"00000")="89011", TEXT(TRIM(S461),"00000")="89012"), "Suburban SE",
  OR(TEXT(TRIM(S461),"00000")="89117", TEXT(TRIM(S461),"00000")="89128", TEXT(TRIM(S461),"00000")="89135", TEXT(TRIM(S461),"00000")="89144", TEXT(TRIM(S461),"00000")="89145", TEXT(TRIM(S461),"00000")="89147"), "West Valley",
  TRUE, "Other"
)</f>
        <v>Other</v>
      </c>
      <c r="U461" t="s">
        <v>1073</v>
      </c>
      <c r="V461" t="str">
        <f t="shared" si="31"/>
        <v>Home/Residence</v>
      </c>
    </row>
    <row r="462" spans="1:22">
      <c r="A462" t="s">
        <v>2929</v>
      </c>
      <c r="B462" t="s">
        <v>2930</v>
      </c>
      <c r="C462" s="1">
        <v>45445</v>
      </c>
      <c r="D462" s="4">
        <v>98.06</v>
      </c>
      <c r="E462">
        <v>61</v>
      </c>
      <c r="F462" t="str">
        <f t="shared" si="28"/>
        <v>60's</v>
      </c>
      <c r="G462" t="str" cm="1">
        <f t="array" ref="G462">_xlfn.IFS(
  F462="10's", "Child (5–12)",
  OR(F462="20's", F462="30's"), "Young Adult (20–39)",
  OR(F462="40's", F462="50's"), "Adult (40–59)",
  OR(F462="60's", F462="70's", F462="80's", F462="90's"), "Senior (60+)",
  TRUE, "Unknown"
)</f>
        <v>Senior (60+)</v>
      </c>
      <c r="H462" t="s">
        <v>841</v>
      </c>
      <c r="I462" t="s">
        <v>54</v>
      </c>
      <c r="J462" t="str">
        <f t="shared" si="29"/>
        <v>Environmental Heat</v>
      </c>
      <c r="K462" t="s">
        <v>2931</v>
      </c>
      <c r="L462" t="s">
        <v>250</v>
      </c>
      <c r="M462" t="s">
        <v>5049</v>
      </c>
      <c r="N462" t="s">
        <v>5123</v>
      </c>
      <c r="O462" t="str" cm="1">
        <f t="array" ref="O462">_xlfn.IFS(
  TEXT(TRIM(N462),"00000")="NULL", "Missing/Unknown",
  OR(TEXT(TRIM(N462),"00000")="89101", TEXT(TRIM(N462),"00000")="89104", TEXT(TRIM(N462),"00000")="89106", TEXT(TRIM(N462),"00000")="89102", TEXT(TRIM(N462),"00000")="89107", TEXT(TRIM(N462),"00000")="89108"), "Urban Core",
  OR(TEXT(TRIM(N462),"00000")="89110", TEXT(TRIM(N462),"00000")="89115", TEXT(TRIM(N462),"00000")="89121", TEXT(TRIM(N462),"00000")="89122", TEXT(TRIM(N462),"00000")="89142", TEXT(TRIM(N462),"00000")="89156"), "East Valley",
  OR(TEXT(TRIM(N462),"00000")="89030", TEXT(TRIM(N462),"00000")="89031", TEXT(TRIM(N462),"00000")="89032", TEXT(TRIM(N462),"00000")="89086", TEXT(TRIM(N462),"00000")="89084", TEXT(TRIM(N462),"00000")="89081"), "North LV",
  OR(TEXT(TRIM(N462),"00000")="89109", TEXT(TRIM(N462),"00000")="89103", TEXT(TRIM(N462),"00000")="89119", TEXT(TRIM(N462),"00000")="89123", TEXT(TRIM(N462),"00000")="89169", TEXT(TRIM(N462),"00000")="89118"), "South/Strip",
  OR(TEXT(TRIM(N462),"00000")="89074", TEXT(TRIM(N462),"00000")="89014", TEXT(TRIM(N462),"00000")="89015", TEXT(TRIM(N462),"00000")="89011", TEXT(TRIM(N462),"00000")="89012"), "Suburban SE",
  OR(TEXT(TRIM(N462),"00000")="89117", TEXT(TRIM(N462),"00000")="89128", TEXT(TRIM(N462),"00000")="89135", TEXT(TRIM(N462),"00000")="89144", TEXT(TRIM(N462),"00000")="89145", TEXT(TRIM(N462),"00000")="89147"), "West Valley",
  TRUE, "Other"
)</f>
        <v>South/Strip</v>
      </c>
      <c r="P462" t="s">
        <v>3298</v>
      </c>
      <c r="Q462" t="str">
        <f t="shared" si="30"/>
        <v>Outdoors/Public</v>
      </c>
      <c r="R462" t="s">
        <v>5049</v>
      </c>
      <c r="S462" t="s">
        <v>5123</v>
      </c>
      <c r="T462" t="str" cm="1">
        <f t="array" ref="T462">_xlfn.IFS(
  TEXT(TRIM(S462),"00000")="NULL", "Missing/Unknown",
  OR(TEXT(TRIM(S462),"00000")="89101", TEXT(TRIM(S462),"00000")="89104", TEXT(TRIM(S462),"00000")="89106", TEXT(TRIM(S462),"00000")="89102", TEXT(TRIM(S462),"00000")="89107", TEXT(TRIM(S462),"00000")="89108"), "Urban Core",
  OR(TEXT(TRIM(S462),"00000")="89110", TEXT(TRIM(S462),"00000")="89115", TEXT(TRIM(S462),"00000")="89121", TEXT(TRIM(S462),"00000")="89122", TEXT(TRIM(S462),"00000")="89142", TEXT(TRIM(S462),"00000")="89156"), "East Valley",
  OR(TEXT(TRIM(S462),"00000")="89030", TEXT(TRIM(S462),"00000")="89031", TEXT(TRIM(S462),"00000")="89032", TEXT(TRIM(S462),"00000")="89086", TEXT(TRIM(S462),"00000")="89084", TEXT(TRIM(S462),"00000")="89081"), "North LV",
  OR(TEXT(TRIM(S462),"00000")="89109", TEXT(TRIM(S462),"00000")="89103", TEXT(TRIM(S462),"00000")="89119", TEXT(TRIM(S462),"00000")="89123", TEXT(TRIM(S462),"00000")="89169", TEXT(TRIM(S462),"00000")="89118"), "South/Strip",
  OR(TEXT(TRIM(S462),"00000")="89074", TEXT(TRIM(S462),"00000")="89014", TEXT(TRIM(S462),"00000")="89015", TEXT(TRIM(S462),"00000")="89011", TEXT(TRIM(S462),"00000")="89012"), "Suburban SE",
  OR(TEXT(TRIM(S462),"00000")="89117", TEXT(TRIM(S462),"00000")="89128", TEXT(TRIM(S462),"00000")="89135", TEXT(TRIM(S462),"00000")="89144", TEXT(TRIM(S462),"00000")="89145", TEXT(TRIM(S462),"00000")="89147"), "West Valley",
  TRUE, "Other"
)</f>
        <v>South/Strip</v>
      </c>
      <c r="U462" t="s">
        <v>3298</v>
      </c>
      <c r="V462" t="str">
        <f t="shared" si="31"/>
        <v>Outdoors/Public</v>
      </c>
    </row>
    <row r="463" spans="1:22">
      <c r="A463" t="s">
        <v>2772</v>
      </c>
      <c r="B463" t="s">
        <v>2773</v>
      </c>
      <c r="C463" s="1">
        <v>45445</v>
      </c>
      <c r="D463" s="4">
        <v>98.06</v>
      </c>
      <c r="E463">
        <v>32</v>
      </c>
      <c r="F463" t="str">
        <f t="shared" si="28"/>
        <v>30's</v>
      </c>
      <c r="G463" t="str" cm="1">
        <f t="array" ref="G463">_xlfn.IFS(
  F463="10's", "Child (5–12)",
  OR(F463="20's", F463="30's"), "Young Adult (20–39)",
  OR(F463="40's", F463="50's"), "Adult (40–59)",
  OR(F463="60's", F463="70's", F463="80's", F463="90's"), "Senior (60+)",
  TRUE, "Unknown"
)</f>
        <v>Young Adult (20–39)</v>
      </c>
      <c r="H463" t="s">
        <v>841</v>
      </c>
      <c r="I463" t="s">
        <v>4077</v>
      </c>
      <c r="J463" t="str">
        <f t="shared" si="29"/>
        <v>Methamphetamine-related</v>
      </c>
      <c r="K463" t="s">
        <v>35</v>
      </c>
      <c r="L463" t="s">
        <v>250</v>
      </c>
      <c r="M463" t="s">
        <v>5048</v>
      </c>
      <c r="N463" t="s">
        <v>5118</v>
      </c>
      <c r="O463" t="str" cm="1">
        <f t="array" ref="O463">_xlfn.IFS(
  TEXT(TRIM(N463),"00000")="NULL", "Missing/Unknown",
  OR(TEXT(TRIM(N463),"00000")="89101", TEXT(TRIM(N463),"00000")="89104", TEXT(TRIM(N463),"00000")="89106", TEXT(TRIM(N463),"00000")="89102", TEXT(TRIM(N463),"00000")="89107", TEXT(TRIM(N463),"00000")="89108"), "Urban Core",
  OR(TEXT(TRIM(N463),"00000")="89110", TEXT(TRIM(N463),"00000")="89115", TEXT(TRIM(N463),"00000")="89121", TEXT(TRIM(N463),"00000")="89122", TEXT(TRIM(N463),"00000")="89142", TEXT(TRIM(N463),"00000")="89156"), "East Valley",
  OR(TEXT(TRIM(N463),"00000")="89030", TEXT(TRIM(N463),"00000")="89031", TEXT(TRIM(N463),"00000")="89032", TEXT(TRIM(N463),"00000")="89086", TEXT(TRIM(N463),"00000")="89084", TEXT(TRIM(N463),"00000")="89081"), "North LV",
  OR(TEXT(TRIM(N463),"00000")="89109", TEXT(TRIM(N463),"00000")="89103", TEXT(TRIM(N463),"00000")="89119", TEXT(TRIM(N463),"00000")="89123", TEXT(TRIM(N463),"00000")="89169", TEXT(TRIM(N463),"00000")="89118"), "South/Strip",
  OR(TEXT(TRIM(N463),"00000")="89074", TEXT(TRIM(N463),"00000")="89014", TEXT(TRIM(N463),"00000")="89015", TEXT(TRIM(N463),"00000")="89011", TEXT(TRIM(N463),"00000")="89012"), "Suburban SE",
  OR(TEXT(TRIM(N463),"00000")="89117", TEXT(TRIM(N463),"00000")="89128", TEXT(TRIM(N463),"00000")="89135", TEXT(TRIM(N463),"00000")="89144", TEXT(TRIM(N463),"00000")="89145", TEXT(TRIM(N463),"00000")="89147"), "West Valley",
  TRUE, "Other"
)</f>
        <v>South/Strip</v>
      </c>
      <c r="P463" t="s">
        <v>3298</v>
      </c>
      <c r="Q463" t="str">
        <f t="shared" si="30"/>
        <v>Outdoors/Public</v>
      </c>
      <c r="R463" t="s">
        <v>5048</v>
      </c>
      <c r="S463" t="s">
        <v>5118</v>
      </c>
      <c r="T463" t="str" cm="1">
        <f t="array" ref="T463">_xlfn.IFS(
  TEXT(TRIM(S463),"00000")="NULL", "Missing/Unknown",
  OR(TEXT(TRIM(S463),"00000")="89101", TEXT(TRIM(S463),"00000")="89104", TEXT(TRIM(S463),"00000")="89106", TEXT(TRIM(S463),"00000")="89102", TEXT(TRIM(S463),"00000")="89107", TEXT(TRIM(S463),"00000")="89108"), "Urban Core",
  OR(TEXT(TRIM(S463),"00000")="89110", TEXT(TRIM(S463),"00000")="89115", TEXT(TRIM(S463),"00000")="89121", TEXT(TRIM(S463),"00000")="89122", TEXT(TRIM(S463),"00000")="89142", TEXT(TRIM(S463),"00000")="89156"), "East Valley",
  OR(TEXT(TRIM(S463),"00000")="89030", TEXT(TRIM(S463),"00000")="89031", TEXT(TRIM(S463),"00000")="89032", TEXT(TRIM(S463),"00000")="89086", TEXT(TRIM(S463),"00000")="89084", TEXT(TRIM(S463),"00000")="89081"), "North LV",
  OR(TEXT(TRIM(S463),"00000")="89109", TEXT(TRIM(S463),"00000")="89103", TEXT(TRIM(S463),"00000")="89119", TEXT(TRIM(S463),"00000")="89123", TEXT(TRIM(S463),"00000")="89169", TEXT(TRIM(S463),"00000")="89118"), "South/Strip",
  OR(TEXT(TRIM(S463),"00000")="89074", TEXT(TRIM(S463),"00000")="89014", TEXT(TRIM(S463),"00000")="89015", TEXT(TRIM(S463),"00000")="89011", TEXT(TRIM(S463),"00000")="89012"), "Suburban SE",
  OR(TEXT(TRIM(S463),"00000")="89117", TEXT(TRIM(S463),"00000")="89128", TEXT(TRIM(S463),"00000")="89135", TEXT(TRIM(S463),"00000")="89144", TEXT(TRIM(S463),"00000")="89145", TEXT(TRIM(S463),"00000")="89147"), "West Valley",
  TRUE, "Other"
)</f>
        <v>South/Strip</v>
      </c>
      <c r="U463" t="s">
        <v>3298</v>
      </c>
      <c r="V463" t="str">
        <f t="shared" si="31"/>
        <v>Outdoors/Public</v>
      </c>
    </row>
    <row r="464" spans="1:22">
      <c r="A464" t="s">
        <v>3839</v>
      </c>
      <c r="B464" t="s">
        <v>3840</v>
      </c>
      <c r="C464" s="1">
        <v>45445</v>
      </c>
      <c r="D464" s="4">
        <v>98.06</v>
      </c>
      <c r="E464">
        <v>51</v>
      </c>
      <c r="F464" t="str">
        <f t="shared" si="28"/>
        <v>50's</v>
      </c>
      <c r="G464" t="str" cm="1">
        <f t="array" ref="G464">_xlfn.IFS(
  F464="10's", "Child (5–12)",
  OR(F464="20's", F464="30's"), "Young Adult (20–39)",
  OR(F464="40's", F464="50's"), "Adult (40–59)",
  OR(F464="60's", F464="70's", F464="80's", F464="90's"), "Senior (60+)",
  TRUE, "Unknown"
)</f>
        <v>Adult (40–59)</v>
      </c>
      <c r="H464" t="s">
        <v>841</v>
      </c>
      <c r="I464" t="s">
        <v>172</v>
      </c>
      <c r="J464" t="str">
        <f t="shared" si="29"/>
        <v>Methamphetamine-related</v>
      </c>
      <c r="K464" t="s">
        <v>35</v>
      </c>
      <c r="L464" t="s">
        <v>250</v>
      </c>
      <c r="M464" t="s">
        <v>4327</v>
      </c>
      <c r="N464" t="s">
        <v>5113</v>
      </c>
      <c r="O464" t="str" cm="1">
        <f t="array" ref="O464">_xlfn.IFS(
  TEXT(TRIM(N464),"00000")="NULL", "Missing/Unknown",
  OR(TEXT(TRIM(N464),"00000")="89101", TEXT(TRIM(N464),"00000")="89104", TEXT(TRIM(N464),"00000")="89106", TEXT(TRIM(N464),"00000")="89102", TEXT(TRIM(N464),"00000")="89107", TEXT(TRIM(N464),"00000")="89108"), "Urban Core",
  OR(TEXT(TRIM(N464),"00000")="89110", TEXT(TRIM(N464),"00000")="89115", TEXT(TRIM(N464),"00000")="89121", TEXT(TRIM(N464),"00000")="89122", TEXT(TRIM(N464),"00000")="89142", TEXT(TRIM(N464),"00000")="89156"), "East Valley",
  OR(TEXT(TRIM(N464),"00000")="89030", TEXT(TRIM(N464),"00000")="89031", TEXT(TRIM(N464),"00000")="89032", TEXT(TRIM(N464),"00000")="89086", TEXT(TRIM(N464),"00000")="89084", TEXT(TRIM(N464),"00000")="89081"), "North LV",
  OR(TEXT(TRIM(N464),"00000")="89109", TEXT(TRIM(N464),"00000")="89103", TEXT(TRIM(N464),"00000")="89119", TEXT(TRIM(N464),"00000")="89123", TEXT(TRIM(N464),"00000")="89169", TEXT(TRIM(N464),"00000")="89118"), "South/Strip",
  OR(TEXT(TRIM(N464),"00000")="89074", TEXT(TRIM(N464),"00000")="89014", TEXT(TRIM(N464),"00000")="89015", TEXT(TRIM(N464),"00000")="89011", TEXT(TRIM(N464),"00000")="89012"), "Suburban SE",
  OR(TEXT(TRIM(N464),"00000")="89117", TEXT(TRIM(N464),"00000")="89128", TEXT(TRIM(N464),"00000")="89135", TEXT(TRIM(N464),"00000")="89144", TEXT(TRIM(N464),"00000")="89145", TEXT(TRIM(N464),"00000")="89147"), "West Valley",
  TRUE, "Other"
)</f>
        <v>Suburban SE</v>
      </c>
      <c r="P464" t="s">
        <v>3298</v>
      </c>
      <c r="Q464" t="str">
        <f t="shared" si="30"/>
        <v>Outdoors/Public</v>
      </c>
      <c r="R464" t="s">
        <v>4327</v>
      </c>
      <c r="S464" t="s">
        <v>5113</v>
      </c>
      <c r="T464" t="str" cm="1">
        <f t="array" ref="T464">_xlfn.IFS(
  TEXT(TRIM(S464),"00000")="NULL", "Missing/Unknown",
  OR(TEXT(TRIM(S464),"00000")="89101", TEXT(TRIM(S464),"00000")="89104", TEXT(TRIM(S464),"00000")="89106", TEXT(TRIM(S464),"00000")="89102", TEXT(TRIM(S464),"00000")="89107", TEXT(TRIM(S464),"00000")="89108"), "Urban Core",
  OR(TEXT(TRIM(S464),"00000")="89110", TEXT(TRIM(S464),"00000")="89115", TEXT(TRIM(S464),"00000")="89121", TEXT(TRIM(S464),"00000")="89122", TEXT(TRIM(S464),"00000")="89142", TEXT(TRIM(S464),"00000")="89156"), "East Valley",
  OR(TEXT(TRIM(S464),"00000")="89030", TEXT(TRIM(S464),"00000")="89031", TEXT(TRIM(S464),"00000")="89032", TEXT(TRIM(S464),"00000")="89086", TEXT(TRIM(S464),"00000")="89084", TEXT(TRIM(S464),"00000")="89081"), "North LV",
  OR(TEXT(TRIM(S464),"00000")="89109", TEXT(TRIM(S464),"00000")="89103", TEXT(TRIM(S464),"00000")="89119", TEXT(TRIM(S464),"00000")="89123", TEXT(TRIM(S464),"00000")="89169", TEXT(TRIM(S464),"00000")="89118"), "South/Strip",
  OR(TEXT(TRIM(S464),"00000")="89074", TEXT(TRIM(S464),"00000")="89014", TEXT(TRIM(S464),"00000")="89015", TEXT(TRIM(S464),"00000")="89011", TEXT(TRIM(S464),"00000")="89012"), "Suburban SE",
  OR(TEXT(TRIM(S464),"00000")="89117", TEXT(TRIM(S464),"00000")="89128", TEXT(TRIM(S464),"00000")="89135", TEXT(TRIM(S464),"00000")="89144", TEXT(TRIM(S464),"00000")="89145", TEXT(TRIM(S464),"00000")="89147"), "West Valley",
  TRUE, "Other"
)</f>
        <v>Suburban SE</v>
      </c>
      <c r="U464" t="s">
        <v>3298</v>
      </c>
      <c r="V464" t="str">
        <f t="shared" si="31"/>
        <v>Outdoors/Public</v>
      </c>
    </row>
    <row r="465" spans="1:22">
      <c r="A465" t="s">
        <v>3550</v>
      </c>
      <c r="B465" t="s">
        <v>3551</v>
      </c>
      <c r="C465" s="1">
        <v>45444</v>
      </c>
      <c r="D465" s="4">
        <v>100.04</v>
      </c>
      <c r="E465">
        <v>76</v>
      </c>
      <c r="F465" t="str">
        <f t="shared" si="28"/>
        <v>70's</v>
      </c>
      <c r="G465" t="str" cm="1">
        <f t="array" ref="G465">_xlfn.IFS(
  F465="10's", "Child (5–12)",
  OR(F465="20's", F465="30's"), "Young Adult (20–39)",
  OR(F465="40's", F465="50's"), "Adult (40–59)",
  OR(F465="60's", F465="70's", F465="80's", F465="90's"), "Senior (60+)",
  TRUE, "Unknown"
)</f>
        <v>Senior (60+)</v>
      </c>
      <c r="H465" t="s">
        <v>841</v>
      </c>
      <c r="I465" t="s">
        <v>3552</v>
      </c>
      <c r="J465" t="str">
        <f t="shared" si="29"/>
        <v>Cardiovascular Disease</v>
      </c>
      <c r="K465" t="s">
        <v>3553</v>
      </c>
      <c r="L465" t="s">
        <v>1071</v>
      </c>
      <c r="M465" t="s">
        <v>4950</v>
      </c>
      <c r="N465" t="s">
        <v>5120</v>
      </c>
      <c r="O465" t="str" cm="1">
        <f t="array" ref="O465">_xlfn.IFS(
  TEXT(TRIM(N465),"00000")="NULL", "Missing/Unknown",
  OR(TEXT(TRIM(N465),"00000")="89101", TEXT(TRIM(N465),"00000")="89104", TEXT(TRIM(N465),"00000")="89106", TEXT(TRIM(N465),"00000")="89102", TEXT(TRIM(N465),"00000")="89107", TEXT(TRIM(N465),"00000")="89108"), "Urban Core",
  OR(TEXT(TRIM(N465),"00000")="89110", TEXT(TRIM(N465),"00000")="89115", TEXT(TRIM(N465),"00000")="89121", TEXT(TRIM(N465),"00000")="89122", TEXT(TRIM(N465),"00000")="89142", TEXT(TRIM(N465),"00000")="89156"), "East Valley",
  OR(TEXT(TRIM(N465),"00000")="89030", TEXT(TRIM(N465),"00000")="89031", TEXT(TRIM(N465),"00000")="89032", TEXT(TRIM(N465),"00000")="89086", TEXT(TRIM(N465),"00000")="89084", TEXT(TRIM(N465),"00000")="89081"), "North LV",
  OR(TEXT(TRIM(N465),"00000")="89109", TEXT(TRIM(N465),"00000")="89103", TEXT(TRIM(N465),"00000")="89119", TEXT(TRIM(N465),"00000")="89123", TEXT(TRIM(N465),"00000")="89169", TEXT(TRIM(N465),"00000")="89118"), "South/Strip",
  OR(TEXT(TRIM(N465),"00000")="89074", TEXT(TRIM(N465),"00000")="89014", TEXT(TRIM(N465),"00000")="89015", TEXT(TRIM(N465),"00000")="89011", TEXT(TRIM(N465),"00000")="89012"), "Suburban SE",
  OR(TEXT(TRIM(N465),"00000")="89117", TEXT(TRIM(N465),"00000")="89128", TEXT(TRIM(N465),"00000")="89135", TEXT(TRIM(N465),"00000")="89144", TEXT(TRIM(N465),"00000")="89145", TEXT(TRIM(N465),"00000")="89147"), "West Valley",
  TRUE, "Other"
)</f>
        <v>Suburban SE</v>
      </c>
      <c r="P465" t="s">
        <v>1073</v>
      </c>
      <c r="Q465" t="str">
        <f t="shared" si="30"/>
        <v>Home/Residence</v>
      </c>
      <c r="R465" t="s">
        <v>4950</v>
      </c>
      <c r="S465" t="s">
        <v>5120</v>
      </c>
      <c r="T465" t="str" cm="1">
        <f t="array" ref="T465">_xlfn.IFS(
  TEXT(TRIM(S465),"00000")="NULL", "Missing/Unknown",
  OR(TEXT(TRIM(S465),"00000")="89101", TEXT(TRIM(S465),"00000")="89104", TEXT(TRIM(S465),"00000")="89106", TEXT(TRIM(S465),"00000")="89102", TEXT(TRIM(S465),"00000")="89107", TEXT(TRIM(S465),"00000")="89108"), "Urban Core",
  OR(TEXT(TRIM(S465),"00000")="89110", TEXT(TRIM(S465),"00000")="89115", TEXT(TRIM(S465),"00000")="89121", TEXT(TRIM(S465),"00000")="89122", TEXT(TRIM(S465),"00000")="89142", TEXT(TRIM(S465),"00000")="89156"), "East Valley",
  OR(TEXT(TRIM(S465),"00000")="89030", TEXT(TRIM(S465),"00000")="89031", TEXT(TRIM(S465),"00000")="89032", TEXT(TRIM(S465),"00000")="89086", TEXT(TRIM(S465),"00000")="89084", TEXT(TRIM(S465),"00000")="89081"), "North LV",
  OR(TEXT(TRIM(S465),"00000")="89109", TEXT(TRIM(S465),"00000")="89103", TEXT(TRIM(S465),"00000")="89119", TEXT(TRIM(S465),"00000")="89123", TEXT(TRIM(S465),"00000")="89169", TEXT(TRIM(S465),"00000")="89118"), "South/Strip",
  OR(TEXT(TRIM(S465),"00000")="89074", TEXT(TRIM(S465),"00000")="89014", TEXT(TRIM(S465),"00000")="89015", TEXT(TRIM(S465),"00000")="89011", TEXT(TRIM(S465),"00000")="89012"), "Suburban SE",
  OR(TEXT(TRIM(S465),"00000")="89117", TEXT(TRIM(S465),"00000")="89128", TEXT(TRIM(S465),"00000")="89135", TEXT(TRIM(S465),"00000")="89144", TEXT(TRIM(S465),"00000")="89145", TEXT(TRIM(S465),"00000")="89147"), "West Valley",
  TRUE, "Other"
)</f>
        <v>Suburban SE</v>
      </c>
      <c r="U465" t="s">
        <v>1073</v>
      </c>
      <c r="V465" t="str">
        <f t="shared" si="31"/>
        <v>Home/Residence</v>
      </c>
    </row>
    <row r="466" spans="1:22">
      <c r="A466" t="s">
        <v>3409</v>
      </c>
      <c r="B466" t="s">
        <v>3410</v>
      </c>
      <c r="C466" s="1">
        <v>45443</v>
      </c>
      <c r="D466" s="4">
        <v>100.94</v>
      </c>
      <c r="E466">
        <v>44</v>
      </c>
      <c r="F466" t="str">
        <f t="shared" si="28"/>
        <v>40's</v>
      </c>
      <c r="G466" t="str" cm="1">
        <f t="array" ref="G466">_xlfn.IFS(
  F466="10's", "Child (5–12)",
  OR(F466="20's", F466="30's"), "Young Adult (20–39)",
  OR(F466="40's", F466="50's"), "Adult (40–59)",
  OR(F466="60's", F466="70's", F466="80's", F466="90's"), "Senior (60+)",
  TRUE, "Unknown"
)</f>
        <v>Adult (40–59)</v>
      </c>
      <c r="H466" t="s">
        <v>841</v>
      </c>
      <c r="I466" t="s">
        <v>638</v>
      </c>
      <c r="J466" t="str">
        <f t="shared" si="29"/>
        <v>Dehydration / Electrolyte</v>
      </c>
      <c r="K466" t="s">
        <v>98</v>
      </c>
      <c r="L466" t="s">
        <v>250</v>
      </c>
      <c r="M466" t="s">
        <v>4961</v>
      </c>
      <c r="N466" t="s">
        <v>5098</v>
      </c>
      <c r="O466" t="str" cm="1">
        <f t="array" ref="O466">_xlfn.IFS(
  TEXT(TRIM(N466),"00000")="NULL", "Missing/Unknown",
  OR(TEXT(TRIM(N466),"00000")="89101", TEXT(TRIM(N466),"00000")="89104", TEXT(TRIM(N466),"00000")="89106", TEXT(TRIM(N466),"00000")="89102", TEXT(TRIM(N466),"00000")="89107", TEXT(TRIM(N466),"00000")="89108"), "Urban Core",
  OR(TEXT(TRIM(N466),"00000")="89110", TEXT(TRIM(N466),"00000")="89115", TEXT(TRIM(N466),"00000")="89121", TEXT(TRIM(N466),"00000")="89122", TEXT(TRIM(N466),"00000")="89142", TEXT(TRIM(N466),"00000")="89156"), "East Valley",
  OR(TEXT(TRIM(N466),"00000")="89030", TEXT(TRIM(N466),"00000")="89031", TEXT(TRIM(N466),"00000")="89032", TEXT(TRIM(N466),"00000")="89086", TEXT(TRIM(N466),"00000")="89084", TEXT(TRIM(N466),"00000")="89081"), "North LV",
  OR(TEXT(TRIM(N466),"00000")="89109", TEXT(TRIM(N466),"00000")="89103", TEXT(TRIM(N466),"00000")="89119", TEXT(TRIM(N466),"00000")="89123", TEXT(TRIM(N466),"00000")="89169", TEXT(TRIM(N466),"00000")="89118"), "South/Strip",
  OR(TEXT(TRIM(N466),"00000")="89074", TEXT(TRIM(N466),"00000")="89014", TEXT(TRIM(N466),"00000")="89015", TEXT(TRIM(N466),"00000")="89011", TEXT(TRIM(N466),"00000")="89012"), "Suburban SE",
  OR(TEXT(TRIM(N466),"00000")="89117", TEXT(TRIM(N466),"00000")="89128", TEXT(TRIM(N466),"00000")="89135", TEXT(TRIM(N466),"00000")="89144", TEXT(TRIM(N466),"00000")="89145", TEXT(TRIM(N466),"00000")="89147"), "West Valley",
  TRUE, "Other"
)</f>
        <v>Urban Core</v>
      </c>
      <c r="P466" t="s">
        <v>2482</v>
      </c>
      <c r="Q466" t="str">
        <f t="shared" si="30"/>
        <v>Outdoors/Public</v>
      </c>
      <c r="R466" t="s">
        <v>4961</v>
      </c>
      <c r="S466" t="s">
        <v>5098</v>
      </c>
      <c r="T466" t="str" cm="1">
        <f t="array" ref="T466">_xlfn.IFS(
  TEXT(TRIM(S466),"00000")="NULL", "Missing/Unknown",
  OR(TEXT(TRIM(S466),"00000")="89101", TEXT(TRIM(S466),"00000")="89104", TEXT(TRIM(S466),"00000")="89106", TEXT(TRIM(S466),"00000")="89102", TEXT(TRIM(S466),"00000")="89107", TEXT(TRIM(S466),"00000")="89108"), "Urban Core",
  OR(TEXT(TRIM(S466),"00000")="89110", TEXT(TRIM(S466),"00000")="89115", TEXT(TRIM(S466),"00000")="89121", TEXT(TRIM(S466),"00000")="89122", TEXT(TRIM(S466),"00000")="89142", TEXT(TRIM(S466),"00000")="89156"), "East Valley",
  OR(TEXT(TRIM(S466),"00000")="89030", TEXT(TRIM(S466),"00000")="89031", TEXT(TRIM(S466),"00000")="89032", TEXT(TRIM(S466),"00000")="89086", TEXT(TRIM(S466),"00000")="89084", TEXT(TRIM(S466),"00000")="89081"), "North LV",
  OR(TEXT(TRIM(S466),"00000")="89109", TEXT(TRIM(S466),"00000")="89103", TEXT(TRIM(S466),"00000")="89119", TEXT(TRIM(S466),"00000")="89123", TEXT(TRIM(S466),"00000")="89169", TEXT(TRIM(S466),"00000")="89118"), "South/Strip",
  OR(TEXT(TRIM(S466),"00000")="89074", TEXT(TRIM(S466),"00000")="89014", TEXT(TRIM(S466),"00000")="89015", TEXT(TRIM(S466),"00000")="89011", TEXT(TRIM(S466),"00000")="89012"), "Suburban SE",
  OR(TEXT(TRIM(S466),"00000")="89117", TEXT(TRIM(S466),"00000")="89128", TEXT(TRIM(S466),"00000")="89135", TEXT(TRIM(S466),"00000")="89144", TEXT(TRIM(S466),"00000")="89145", TEXT(TRIM(S466),"00000")="89147"), "West Valley",
  TRUE, "Other"
)</f>
        <v>Urban Core</v>
      </c>
      <c r="U466" t="s">
        <v>2482</v>
      </c>
      <c r="V466" t="str">
        <f t="shared" si="31"/>
        <v>Outdoors/Public</v>
      </c>
    </row>
    <row r="467" spans="1:22">
      <c r="A467" t="s">
        <v>2697</v>
      </c>
      <c r="B467" t="s">
        <v>2698</v>
      </c>
      <c r="C467" s="1">
        <v>45443</v>
      </c>
      <c r="D467" s="4">
        <v>100.94</v>
      </c>
      <c r="E467">
        <v>65</v>
      </c>
      <c r="F467" t="str">
        <f t="shared" si="28"/>
        <v>60's</v>
      </c>
      <c r="G467" t="str" cm="1">
        <f t="array" ref="G467">_xlfn.IFS(
  F467="10's", "Child (5–12)",
  OR(F467="20's", F467="30's"), "Young Adult (20–39)",
  OR(F467="40's", F467="50's"), "Adult (40–59)",
  OR(F467="60's", F467="70's", F467="80's", F467="90's"), "Senior (60+)",
  TRUE, "Unknown"
)</f>
        <v>Senior (60+)</v>
      </c>
      <c r="H467" t="s">
        <v>778</v>
      </c>
      <c r="I467" t="s">
        <v>4023</v>
      </c>
      <c r="J467" t="str">
        <f t="shared" si="29"/>
        <v>Ethanol-related</v>
      </c>
      <c r="K467" t="s">
        <v>54</v>
      </c>
      <c r="L467" t="s">
        <v>250</v>
      </c>
      <c r="M467" t="s">
        <v>4337</v>
      </c>
      <c r="N467" t="s">
        <v>5097</v>
      </c>
      <c r="O467" t="str" cm="1">
        <f t="array" ref="O467">_xlfn.IFS(
  TEXT(TRIM(N467),"00000")="NULL", "Missing/Unknown",
  OR(TEXT(TRIM(N467),"00000")="89101", TEXT(TRIM(N467),"00000")="89104", TEXT(TRIM(N467),"00000")="89106", TEXT(TRIM(N467),"00000")="89102", TEXT(TRIM(N467),"00000")="89107", TEXT(TRIM(N467),"00000")="89108"), "Urban Core",
  OR(TEXT(TRIM(N467),"00000")="89110", TEXT(TRIM(N467),"00000")="89115", TEXT(TRIM(N467),"00000")="89121", TEXT(TRIM(N467),"00000")="89122", TEXT(TRIM(N467),"00000")="89142", TEXT(TRIM(N467),"00000")="89156"), "East Valley",
  OR(TEXT(TRIM(N467),"00000")="89030", TEXT(TRIM(N467),"00000")="89031", TEXT(TRIM(N467),"00000")="89032", TEXT(TRIM(N467),"00000")="89086", TEXT(TRIM(N467),"00000")="89084", TEXT(TRIM(N467),"00000")="89081"), "North LV",
  OR(TEXT(TRIM(N467),"00000")="89109", TEXT(TRIM(N467),"00000")="89103", TEXT(TRIM(N467),"00000")="89119", TEXT(TRIM(N467),"00000")="89123", TEXT(TRIM(N467),"00000")="89169", TEXT(TRIM(N467),"00000")="89118"), "South/Strip",
  OR(TEXT(TRIM(N467),"00000")="89074", TEXT(TRIM(N467),"00000")="89014", TEXT(TRIM(N467),"00000")="89015", TEXT(TRIM(N467),"00000")="89011", TEXT(TRIM(N467),"00000")="89012"), "Suburban SE",
  OR(TEXT(TRIM(N467),"00000")="89117", TEXT(TRIM(N467),"00000")="89128", TEXT(TRIM(N467),"00000")="89135", TEXT(TRIM(N467),"00000")="89144", TEXT(TRIM(N467),"00000")="89145", TEXT(TRIM(N467),"00000")="89147"), "West Valley",
  TRUE, "Other"
)</f>
        <v>Urban Core</v>
      </c>
      <c r="P467" t="s">
        <v>3298</v>
      </c>
      <c r="Q467" t="str">
        <f t="shared" si="30"/>
        <v>Outdoors/Public</v>
      </c>
      <c r="R467" t="s">
        <v>5054</v>
      </c>
      <c r="S467" t="s">
        <v>5097</v>
      </c>
      <c r="T467" t="str" cm="1">
        <f t="array" ref="T467">_xlfn.IFS(
  TEXT(TRIM(S467),"00000")="NULL", "Missing/Unknown",
  OR(TEXT(TRIM(S467),"00000")="89101", TEXT(TRIM(S467),"00000")="89104", TEXT(TRIM(S467),"00000")="89106", TEXT(TRIM(S467),"00000")="89102", TEXT(TRIM(S467),"00000")="89107", TEXT(TRIM(S467),"00000")="89108"), "Urban Core",
  OR(TEXT(TRIM(S467),"00000")="89110", TEXT(TRIM(S467),"00000")="89115", TEXT(TRIM(S467),"00000")="89121", TEXT(TRIM(S467),"00000")="89122", TEXT(TRIM(S467),"00000")="89142", TEXT(TRIM(S467),"00000")="89156"), "East Valley",
  OR(TEXT(TRIM(S467),"00000")="89030", TEXT(TRIM(S467),"00000")="89031", TEXT(TRIM(S467),"00000")="89032", TEXT(TRIM(S467),"00000")="89086", TEXT(TRIM(S467),"00000")="89084", TEXT(TRIM(S467),"00000")="89081"), "North LV",
  OR(TEXT(TRIM(S467),"00000")="89109", TEXT(TRIM(S467),"00000")="89103", TEXT(TRIM(S467),"00000")="89119", TEXT(TRIM(S467),"00000")="89123", TEXT(TRIM(S467),"00000")="89169", TEXT(TRIM(S467),"00000")="89118"), "South/Strip",
  OR(TEXT(TRIM(S467),"00000")="89074", TEXT(TRIM(S467),"00000")="89014", TEXT(TRIM(S467),"00000")="89015", TEXT(TRIM(S467),"00000")="89011", TEXT(TRIM(S467),"00000")="89012"), "Suburban SE",
  OR(TEXT(TRIM(S467),"00000")="89117", TEXT(TRIM(S467),"00000")="89128", TEXT(TRIM(S467),"00000")="89135", TEXT(TRIM(S467),"00000")="89144", TEXT(TRIM(S467),"00000")="89145", TEXT(TRIM(S467),"00000")="89147"), "West Valley",
  TRUE, "Other"
)</f>
        <v>Urban Core</v>
      </c>
      <c r="U467" t="s">
        <v>2537</v>
      </c>
      <c r="V467" t="str">
        <f t="shared" si="31"/>
        <v>Medical Facility</v>
      </c>
    </row>
    <row r="468" spans="1:22">
      <c r="A468" t="s">
        <v>3752</v>
      </c>
      <c r="B468" t="s">
        <v>3753</v>
      </c>
      <c r="C468" s="1">
        <v>45441</v>
      </c>
      <c r="D468" s="4">
        <v>96.98</v>
      </c>
      <c r="E468">
        <v>29</v>
      </c>
      <c r="F468" t="str">
        <f t="shared" si="28"/>
        <v>20's</v>
      </c>
      <c r="G468" t="str" cm="1">
        <f t="array" ref="G468">_xlfn.IFS(
  F468="10's", "Child (5–12)",
  OR(F468="20's", F468="30's"), "Young Adult (20–39)",
  OR(F468="40's", F468="50's"), "Adult (40–59)",
  OR(F468="60's", F468="70's", F468="80's", F468="90's"), "Senior (60+)",
  TRUE, "Unknown"
)</f>
        <v>Young Adult (20–39)</v>
      </c>
      <c r="H468" t="s">
        <v>841</v>
      </c>
      <c r="I468" t="s">
        <v>172</v>
      </c>
      <c r="J468" t="str">
        <f t="shared" si="29"/>
        <v>Methamphetamine-related</v>
      </c>
      <c r="K468" t="s">
        <v>4198</v>
      </c>
      <c r="L468" t="s">
        <v>250</v>
      </c>
      <c r="M468" t="s">
        <v>4548</v>
      </c>
      <c r="N468" t="s">
        <v>5096</v>
      </c>
      <c r="O468" t="str" cm="1">
        <f t="array" ref="O468">_xlfn.IFS(
  TEXT(TRIM(N468),"00000")="NULL", "Missing/Unknown",
  OR(TEXT(TRIM(N468),"00000")="89101", TEXT(TRIM(N468),"00000")="89104", TEXT(TRIM(N468),"00000")="89106", TEXT(TRIM(N468),"00000")="89102", TEXT(TRIM(N468),"00000")="89107", TEXT(TRIM(N468),"00000")="89108"), "Urban Core",
  OR(TEXT(TRIM(N468),"00000")="89110", TEXT(TRIM(N468),"00000")="89115", TEXT(TRIM(N468),"00000")="89121", TEXT(TRIM(N468),"00000")="89122", TEXT(TRIM(N468),"00000")="89142", TEXT(TRIM(N468),"00000")="89156"), "East Valley",
  OR(TEXT(TRIM(N468),"00000")="89030", TEXT(TRIM(N468),"00000")="89031", TEXT(TRIM(N468),"00000")="89032", TEXT(TRIM(N468),"00000")="89086", TEXT(TRIM(N468),"00000")="89084", TEXT(TRIM(N468),"00000")="89081"), "North LV",
  OR(TEXT(TRIM(N468),"00000")="89109", TEXT(TRIM(N468),"00000")="89103", TEXT(TRIM(N468),"00000")="89119", TEXT(TRIM(N468),"00000")="89123", TEXT(TRIM(N468),"00000")="89169", TEXT(TRIM(N468),"00000")="89118"), "South/Strip",
  OR(TEXT(TRIM(N468),"00000")="89074", TEXT(TRIM(N468),"00000")="89014", TEXT(TRIM(N468),"00000")="89015", TEXT(TRIM(N468),"00000")="89011", TEXT(TRIM(N468),"00000")="89012"), "Suburban SE",
  OR(TEXT(TRIM(N468),"00000")="89117", TEXT(TRIM(N468),"00000")="89128", TEXT(TRIM(N468),"00000")="89135", TEXT(TRIM(N468),"00000")="89144", TEXT(TRIM(N468),"00000")="89145", TEXT(TRIM(N468),"00000")="89147"), "West Valley",
  TRUE, "Other"
)</f>
        <v>South/Strip</v>
      </c>
      <c r="P468" t="s">
        <v>3298</v>
      </c>
      <c r="Q468" t="str">
        <f t="shared" si="30"/>
        <v>Outdoors/Public</v>
      </c>
      <c r="R468" t="s">
        <v>4548</v>
      </c>
      <c r="S468" t="s">
        <v>5096</v>
      </c>
      <c r="T468" t="str" cm="1">
        <f t="array" ref="T468">_xlfn.IFS(
  TEXT(TRIM(S468),"00000")="NULL", "Missing/Unknown",
  OR(TEXT(TRIM(S468),"00000")="89101", TEXT(TRIM(S468),"00000")="89104", TEXT(TRIM(S468),"00000")="89106", TEXT(TRIM(S468),"00000")="89102", TEXT(TRIM(S468),"00000")="89107", TEXT(TRIM(S468),"00000")="89108"), "Urban Core",
  OR(TEXT(TRIM(S468),"00000")="89110", TEXT(TRIM(S468),"00000")="89115", TEXT(TRIM(S468),"00000")="89121", TEXT(TRIM(S468),"00000")="89122", TEXT(TRIM(S468),"00000")="89142", TEXT(TRIM(S468),"00000")="89156"), "East Valley",
  OR(TEXT(TRIM(S468),"00000")="89030", TEXT(TRIM(S468),"00000")="89031", TEXT(TRIM(S468),"00000")="89032", TEXT(TRIM(S468),"00000")="89086", TEXT(TRIM(S468),"00000")="89084", TEXT(TRIM(S468),"00000")="89081"), "North LV",
  OR(TEXT(TRIM(S468),"00000")="89109", TEXT(TRIM(S468),"00000")="89103", TEXT(TRIM(S468),"00000")="89119", TEXT(TRIM(S468),"00000")="89123", TEXT(TRIM(S468),"00000")="89169", TEXT(TRIM(S468),"00000")="89118"), "South/Strip",
  OR(TEXT(TRIM(S468),"00000")="89074", TEXT(TRIM(S468),"00000")="89014", TEXT(TRIM(S468),"00000")="89015", TEXT(TRIM(S468),"00000")="89011", TEXT(TRIM(S468),"00000")="89012"), "Suburban SE",
  OR(TEXT(TRIM(S468),"00000")="89117", TEXT(TRIM(S468),"00000")="89128", TEXT(TRIM(S468),"00000")="89135", TEXT(TRIM(S468),"00000")="89144", TEXT(TRIM(S468),"00000")="89145", TEXT(TRIM(S468),"00000")="89147"), "West Valley",
  TRUE, "Other"
)</f>
        <v>South/Strip</v>
      </c>
      <c r="U468" t="s">
        <v>3298</v>
      </c>
      <c r="V468" t="str">
        <f t="shared" si="31"/>
        <v>Outdoors/Public</v>
      </c>
    </row>
    <row r="469" spans="1:22">
      <c r="A469" t="s">
        <v>2925</v>
      </c>
      <c r="B469" t="s">
        <v>2926</v>
      </c>
      <c r="C469" s="1">
        <v>45440</v>
      </c>
      <c r="D469" s="4">
        <v>100.04</v>
      </c>
      <c r="E469">
        <v>60</v>
      </c>
      <c r="F469" t="str">
        <f t="shared" si="28"/>
        <v>60's</v>
      </c>
      <c r="G469" t="str" cm="1">
        <f t="array" ref="G469">_xlfn.IFS(
  F469="10's", "Child (5–12)",
  OR(F469="20's", F469="30's"), "Young Adult (20–39)",
  OR(F469="40's", F469="50's"), "Adult (40–59)",
  OR(F469="60's", F469="70's", F469="80's", F469="90's"), "Senior (60+)",
  TRUE, "Unknown"
)</f>
        <v>Senior (60+)</v>
      </c>
      <c r="H469" t="s">
        <v>841</v>
      </c>
      <c r="I469" t="s">
        <v>54</v>
      </c>
      <c r="J469" t="str">
        <f t="shared" si="29"/>
        <v>Environmental Heat</v>
      </c>
      <c r="K469" t="s">
        <v>2927</v>
      </c>
      <c r="L469" t="s">
        <v>1071</v>
      </c>
      <c r="M469" t="s">
        <v>4951</v>
      </c>
      <c r="N469" t="s">
        <v>5106</v>
      </c>
      <c r="O469" t="str" cm="1">
        <f t="array" ref="O469">_xlfn.IFS(
  TEXT(TRIM(N469),"00000")="NULL", "Missing/Unknown",
  OR(TEXT(TRIM(N469),"00000")="89101", TEXT(TRIM(N469),"00000")="89104", TEXT(TRIM(N469),"00000")="89106", TEXT(TRIM(N469),"00000")="89102", TEXT(TRIM(N469),"00000")="89107", TEXT(TRIM(N469),"00000")="89108"), "Urban Core",
  OR(TEXT(TRIM(N469),"00000")="89110", TEXT(TRIM(N469),"00000")="89115", TEXT(TRIM(N469),"00000")="89121", TEXT(TRIM(N469),"00000")="89122", TEXT(TRIM(N469),"00000")="89142", TEXT(TRIM(N469),"00000")="89156"), "East Valley",
  OR(TEXT(TRIM(N469),"00000")="89030", TEXT(TRIM(N469),"00000")="89031", TEXT(TRIM(N469),"00000")="89032", TEXT(TRIM(N469),"00000")="89086", TEXT(TRIM(N469),"00000")="89084", TEXT(TRIM(N469),"00000")="89081"), "North LV",
  OR(TEXT(TRIM(N469),"00000")="89109", TEXT(TRIM(N469),"00000")="89103", TEXT(TRIM(N469),"00000")="89119", TEXT(TRIM(N469),"00000")="89123", TEXT(TRIM(N469),"00000")="89169", TEXT(TRIM(N469),"00000")="89118"), "South/Strip",
  OR(TEXT(TRIM(N469),"00000")="89074", TEXT(TRIM(N469),"00000")="89014", TEXT(TRIM(N469),"00000")="89015", TEXT(TRIM(N469),"00000")="89011", TEXT(TRIM(N469),"00000")="89012"), "Suburban SE",
  OR(TEXT(TRIM(N469),"00000")="89117", TEXT(TRIM(N469),"00000")="89128", TEXT(TRIM(N469),"00000")="89135", TEXT(TRIM(N469),"00000")="89144", TEXT(TRIM(N469),"00000")="89145", TEXT(TRIM(N469),"00000")="89147"), "West Valley",
  TRUE, "Other"
)</f>
        <v>East Valley</v>
      </c>
      <c r="P469" t="s">
        <v>1073</v>
      </c>
      <c r="Q469" t="str">
        <f t="shared" si="30"/>
        <v>Home/Residence</v>
      </c>
      <c r="R469" t="s">
        <v>4951</v>
      </c>
      <c r="S469" t="s">
        <v>5106</v>
      </c>
      <c r="T469" t="str" cm="1">
        <f t="array" ref="T469">_xlfn.IFS(
  TEXT(TRIM(S469),"00000")="NULL", "Missing/Unknown",
  OR(TEXT(TRIM(S469),"00000")="89101", TEXT(TRIM(S469),"00000")="89104", TEXT(TRIM(S469),"00000")="89106", TEXT(TRIM(S469),"00000")="89102", TEXT(TRIM(S469),"00000")="89107", TEXT(TRIM(S469),"00000")="89108"), "Urban Core",
  OR(TEXT(TRIM(S469),"00000")="89110", TEXT(TRIM(S469),"00000")="89115", TEXT(TRIM(S469),"00000")="89121", TEXT(TRIM(S469),"00000")="89122", TEXT(TRIM(S469),"00000")="89142", TEXT(TRIM(S469),"00000")="89156"), "East Valley",
  OR(TEXT(TRIM(S469),"00000")="89030", TEXT(TRIM(S469),"00000")="89031", TEXT(TRIM(S469),"00000")="89032", TEXT(TRIM(S469),"00000")="89086", TEXT(TRIM(S469),"00000")="89084", TEXT(TRIM(S469),"00000")="89081"), "North LV",
  OR(TEXT(TRIM(S469),"00000")="89109", TEXT(TRIM(S469),"00000")="89103", TEXT(TRIM(S469),"00000")="89119", TEXT(TRIM(S469),"00000")="89123", TEXT(TRIM(S469),"00000")="89169", TEXT(TRIM(S469),"00000")="89118"), "South/Strip",
  OR(TEXT(TRIM(S469),"00000")="89074", TEXT(TRIM(S469),"00000")="89014", TEXT(TRIM(S469),"00000")="89015", TEXT(TRIM(S469),"00000")="89011", TEXT(TRIM(S469),"00000")="89012"), "Suburban SE",
  OR(TEXT(TRIM(S469),"00000")="89117", TEXT(TRIM(S469),"00000")="89128", TEXT(TRIM(S469),"00000")="89135", TEXT(TRIM(S469),"00000")="89144", TEXT(TRIM(S469),"00000")="89145", TEXT(TRIM(S469),"00000")="89147"), "West Valley",
  TRUE, "Other"
)</f>
        <v>East Valley</v>
      </c>
      <c r="U469" t="s">
        <v>1073</v>
      </c>
      <c r="V469" t="str">
        <f t="shared" si="31"/>
        <v>Home/Residence</v>
      </c>
    </row>
    <row r="470" spans="1:22">
      <c r="A470" t="s">
        <v>2685</v>
      </c>
      <c r="B470" t="s">
        <v>2686</v>
      </c>
      <c r="C470" s="1">
        <v>45439</v>
      </c>
      <c r="D470" s="4">
        <v>95</v>
      </c>
      <c r="E470">
        <v>70</v>
      </c>
      <c r="F470" t="str">
        <f t="shared" si="28"/>
        <v>70's</v>
      </c>
      <c r="G470" t="str" cm="1">
        <f t="array" ref="G470">_xlfn.IFS(
  F470="10's", "Child (5–12)",
  OR(F470="20's", F470="30's"), "Young Adult (20–39)",
  OR(F470="40's", F470="50's"), "Adult (40–59)",
  OR(F470="60's", F470="70's", F470="80's", F470="90's"), "Senior (60+)",
  TRUE, "Unknown"
)</f>
        <v>Senior (60+)</v>
      </c>
      <c r="H470" t="s">
        <v>841</v>
      </c>
      <c r="I470" t="s">
        <v>2687</v>
      </c>
      <c r="J470" t="str">
        <f t="shared" si="29"/>
        <v>Other / Unknown</v>
      </c>
      <c r="K470" t="s">
        <v>2688</v>
      </c>
      <c r="L470" t="s">
        <v>1071</v>
      </c>
      <c r="M470" t="s">
        <v>4515</v>
      </c>
      <c r="N470" t="s">
        <v>5120</v>
      </c>
      <c r="O470" t="str" cm="1">
        <f t="array" ref="O470">_xlfn.IFS(
  TEXT(TRIM(N470),"00000")="NULL", "Missing/Unknown",
  OR(TEXT(TRIM(N470),"00000")="89101", TEXT(TRIM(N470),"00000")="89104", TEXT(TRIM(N470),"00000")="89106", TEXT(TRIM(N470),"00000")="89102", TEXT(TRIM(N470),"00000")="89107", TEXT(TRIM(N470),"00000")="89108"), "Urban Core",
  OR(TEXT(TRIM(N470),"00000")="89110", TEXT(TRIM(N470),"00000")="89115", TEXT(TRIM(N470),"00000")="89121", TEXT(TRIM(N470),"00000")="89122", TEXT(TRIM(N470),"00000")="89142", TEXT(TRIM(N470),"00000")="89156"), "East Valley",
  OR(TEXT(TRIM(N470),"00000")="89030", TEXT(TRIM(N470),"00000")="89031", TEXT(TRIM(N470),"00000")="89032", TEXT(TRIM(N470),"00000")="89086", TEXT(TRIM(N470),"00000")="89084", TEXT(TRIM(N470),"00000")="89081"), "North LV",
  OR(TEXT(TRIM(N470),"00000")="89109", TEXT(TRIM(N470),"00000")="89103", TEXT(TRIM(N470),"00000")="89119", TEXT(TRIM(N470),"00000")="89123", TEXT(TRIM(N470),"00000")="89169", TEXT(TRIM(N470),"00000")="89118"), "South/Strip",
  OR(TEXT(TRIM(N470),"00000")="89074", TEXT(TRIM(N470),"00000")="89014", TEXT(TRIM(N470),"00000")="89015", TEXT(TRIM(N470),"00000")="89011", TEXT(TRIM(N470),"00000")="89012"), "Suburban SE",
  OR(TEXT(TRIM(N470),"00000")="89117", TEXT(TRIM(N470),"00000")="89128", TEXT(TRIM(N470),"00000")="89135", TEXT(TRIM(N470),"00000")="89144", TEXT(TRIM(N470),"00000")="89145", TEXT(TRIM(N470),"00000")="89147"), "West Valley",
  TRUE, "Other"
)</f>
        <v>Suburban SE</v>
      </c>
      <c r="P470" t="s">
        <v>2556</v>
      </c>
      <c r="Q470" t="str">
        <f t="shared" si="30"/>
        <v>Home/Residence</v>
      </c>
      <c r="R470" t="s">
        <v>5065</v>
      </c>
      <c r="S470" t="s">
        <v>5144</v>
      </c>
      <c r="T470" t="str" cm="1">
        <f t="array" ref="T470">_xlfn.IFS(
  TEXT(TRIM(S470),"00000")="NULL", "Missing/Unknown",
  OR(TEXT(TRIM(S470),"00000")="89101", TEXT(TRIM(S470),"00000")="89104", TEXT(TRIM(S470),"00000")="89106", TEXT(TRIM(S470),"00000")="89102", TEXT(TRIM(S470),"00000")="89107", TEXT(TRIM(S470),"00000")="89108"), "Urban Core",
  OR(TEXT(TRIM(S470),"00000")="89110", TEXT(TRIM(S470),"00000")="89115", TEXT(TRIM(S470),"00000")="89121", TEXT(TRIM(S470),"00000")="89122", TEXT(TRIM(S470),"00000")="89142", TEXT(TRIM(S470),"00000")="89156"), "East Valley",
  OR(TEXT(TRIM(S470),"00000")="89030", TEXT(TRIM(S470),"00000")="89031", TEXT(TRIM(S470),"00000")="89032", TEXT(TRIM(S470),"00000")="89086", TEXT(TRIM(S470),"00000")="89084", TEXT(TRIM(S470),"00000")="89081"), "North LV",
  OR(TEXT(TRIM(S470),"00000")="89109", TEXT(TRIM(S470),"00000")="89103", TEXT(TRIM(S470),"00000")="89119", TEXT(TRIM(S470),"00000")="89123", TEXT(TRIM(S470),"00000")="89169", TEXT(TRIM(S470),"00000")="89118"), "South/Strip",
  OR(TEXT(TRIM(S470),"00000")="89074", TEXT(TRIM(S470),"00000")="89014", TEXT(TRIM(S470),"00000")="89015", TEXT(TRIM(S470),"00000")="89011", TEXT(TRIM(S470),"00000")="89012"), "Suburban SE",
  OR(TEXT(TRIM(S470),"00000")="89117", TEXT(TRIM(S470),"00000")="89128", TEXT(TRIM(S470),"00000")="89135", TEXT(TRIM(S470),"00000")="89144", TEXT(TRIM(S470),"00000")="89145", TEXT(TRIM(S470),"00000")="89147"), "West Valley",
  TRUE, "Other"
)</f>
        <v>Other</v>
      </c>
      <c r="U470" t="s">
        <v>4301</v>
      </c>
      <c r="V470" t="str">
        <f t="shared" si="31"/>
        <v>Medical Facility</v>
      </c>
    </row>
    <row r="471" spans="1:22">
      <c r="A471" t="s">
        <v>2760</v>
      </c>
      <c r="B471" t="s">
        <v>2761</v>
      </c>
      <c r="C471" s="1">
        <v>45404</v>
      </c>
      <c r="D471" s="4">
        <v>95</v>
      </c>
      <c r="E471">
        <v>46</v>
      </c>
      <c r="F471" t="str">
        <f t="shared" si="28"/>
        <v>40's</v>
      </c>
      <c r="G471" t="str" cm="1">
        <f t="array" ref="G471">_xlfn.IFS(
  F471="10's", "Child (5–12)",
  OR(F471="20's", F471="30's"), "Young Adult (20–39)",
  OR(F471="40's", F471="50's"), "Adult (40–59)",
  OR(F471="60's", F471="70's", F471="80's", F471="90's"), "Senior (60+)",
  TRUE, "Unknown"
)</f>
        <v>Adult (40–59)</v>
      </c>
      <c r="H471" t="s">
        <v>778</v>
      </c>
      <c r="I471" t="s">
        <v>4078</v>
      </c>
      <c r="J471" t="str">
        <f t="shared" si="29"/>
        <v>Methamphetamine-related</v>
      </c>
      <c r="K471" t="s">
        <v>35</v>
      </c>
      <c r="L471" t="s">
        <v>250</v>
      </c>
      <c r="M471" t="s">
        <v>4622</v>
      </c>
      <c r="N471" t="s">
        <v>5110</v>
      </c>
      <c r="O471" t="str" cm="1">
        <f t="array" ref="O471">_xlfn.IFS(
  TEXT(TRIM(N471),"00000")="NULL", "Missing/Unknown",
  OR(TEXT(TRIM(N471),"00000")="89101", TEXT(TRIM(N471),"00000")="89104", TEXT(TRIM(N471),"00000")="89106", TEXT(TRIM(N471),"00000")="89102", TEXT(TRIM(N471),"00000")="89107", TEXT(TRIM(N471),"00000")="89108"), "Urban Core",
  OR(TEXT(TRIM(N471),"00000")="89110", TEXT(TRIM(N471),"00000")="89115", TEXT(TRIM(N471),"00000")="89121", TEXT(TRIM(N471),"00000")="89122", TEXT(TRIM(N471),"00000")="89142", TEXT(TRIM(N471),"00000")="89156"), "East Valley",
  OR(TEXT(TRIM(N471),"00000")="89030", TEXT(TRIM(N471),"00000")="89031", TEXT(TRIM(N471),"00000")="89032", TEXT(TRIM(N471),"00000")="89086", TEXT(TRIM(N471),"00000")="89084", TEXT(TRIM(N471),"00000")="89081"), "North LV",
  OR(TEXT(TRIM(N471),"00000")="89109", TEXT(TRIM(N471),"00000")="89103", TEXT(TRIM(N471),"00000")="89119", TEXT(TRIM(N471),"00000")="89123", TEXT(TRIM(N471),"00000")="89169", TEXT(TRIM(N471),"00000")="89118"), "South/Strip",
  OR(TEXT(TRIM(N471),"00000")="89074", TEXT(TRIM(N471),"00000")="89014", TEXT(TRIM(N471),"00000")="89015", TEXT(TRIM(N471),"00000")="89011", TEXT(TRIM(N471),"00000")="89012"), "Suburban SE",
  OR(TEXT(TRIM(N471),"00000")="89117", TEXT(TRIM(N471),"00000")="89128", TEXT(TRIM(N471),"00000")="89135", TEXT(TRIM(N471),"00000")="89144", TEXT(TRIM(N471),"00000")="89145", TEXT(TRIM(N471),"00000")="89147"), "West Valley",
  TRUE, "Other"
)</f>
        <v>Suburban SE</v>
      </c>
      <c r="P471" t="s">
        <v>3298</v>
      </c>
      <c r="Q471" t="str">
        <f t="shared" si="30"/>
        <v>Outdoors/Public</v>
      </c>
      <c r="R471" t="s">
        <v>4622</v>
      </c>
      <c r="S471" t="s">
        <v>5110</v>
      </c>
      <c r="T471" t="str" cm="1">
        <f t="array" ref="T471">_xlfn.IFS(
  TEXT(TRIM(S471),"00000")="NULL", "Missing/Unknown",
  OR(TEXT(TRIM(S471),"00000")="89101", TEXT(TRIM(S471),"00000")="89104", TEXT(TRIM(S471),"00000")="89106", TEXT(TRIM(S471),"00000")="89102", TEXT(TRIM(S471),"00000")="89107", TEXT(TRIM(S471),"00000")="89108"), "Urban Core",
  OR(TEXT(TRIM(S471),"00000")="89110", TEXT(TRIM(S471),"00000")="89115", TEXT(TRIM(S471),"00000")="89121", TEXT(TRIM(S471),"00000")="89122", TEXT(TRIM(S471),"00000")="89142", TEXT(TRIM(S471),"00000")="89156"), "East Valley",
  OR(TEXT(TRIM(S471),"00000")="89030", TEXT(TRIM(S471),"00000")="89031", TEXT(TRIM(S471),"00000")="89032", TEXT(TRIM(S471),"00000")="89086", TEXT(TRIM(S471),"00000")="89084", TEXT(TRIM(S471),"00000")="89081"), "North LV",
  OR(TEXT(TRIM(S471),"00000")="89109", TEXT(TRIM(S471),"00000")="89103", TEXT(TRIM(S471),"00000")="89119", TEXT(TRIM(S471),"00000")="89123", TEXT(TRIM(S471),"00000")="89169", TEXT(TRIM(S471),"00000")="89118"), "South/Strip",
  OR(TEXT(TRIM(S471),"00000")="89074", TEXT(TRIM(S471),"00000")="89014", TEXT(TRIM(S471),"00000")="89015", TEXT(TRIM(S471),"00000")="89011", TEXT(TRIM(S471),"00000")="89012"), "Suburban SE",
  OR(TEXT(TRIM(S471),"00000")="89117", TEXT(TRIM(S471),"00000")="89128", TEXT(TRIM(S471),"00000")="89135", TEXT(TRIM(S471),"00000")="89144", TEXT(TRIM(S471),"00000")="89145", TEXT(TRIM(S471),"00000")="89147"), "West Valley",
  TRUE, "Other"
)</f>
        <v>Suburban SE</v>
      </c>
      <c r="U471" t="s">
        <v>3298</v>
      </c>
      <c r="V471" t="str">
        <f t="shared" si="31"/>
        <v>Outdoors/Public</v>
      </c>
    </row>
    <row r="472" spans="1:22">
      <c r="A472" t="s">
        <v>1092</v>
      </c>
      <c r="B472" t="s">
        <v>1093</v>
      </c>
      <c r="C472" s="1">
        <v>45254</v>
      </c>
      <c r="D472" s="4">
        <v>60.08</v>
      </c>
      <c r="E472">
        <v>50</v>
      </c>
      <c r="F472" t="str">
        <f t="shared" si="28"/>
        <v>50's</v>
      </c>
      <c r="G472" t="str" cm="1">
        <f t="array" ref="G472">_xlfn.IFS(
  F472="10's", "Child (5–12)",
  OR(F472="20's", F472="30's"), "Young Adult (20–39)",
  OR(F472="40's", F472="50's"), "Adult (40–59)",
  OR(F472="60's", F472="70's", F472="80's", F472="90's"), "Senior (60+)",
  TRUE, "Unknown"
)</f>
        <v>Adult (40–59)</v>
      </c>
      <c r="H472" t="s">
        <v>841</v>
      </c>
      <c r="I472" t="s">
        <v>4079</v>
      </c>
      <c r="J472" t="str">
        <f t="shared" si="29"/>
        <v>Environmental Heat</v>
      </c>
      <c r="K472" t="s">
        <v>4199</v>
      </c>
      <c r="L472" t="s">
        <v>1071</v>
      </c>
      <c r="N472" t="s">
        <v>5095</v>
      </c>
      <c r="O472" t="str" cm="1">
        <f t="array" ref="O472">_xlfn.IFS(
  TEXT(TRIM(N472),"00000")="NULL", "Missing/Unknown",
  OR(TEXT(TRIM(N472),"00000")="89101", TEXT(TRIM(N472),"00000")="89104", TEXT(TRIM(N472),"00000")="89106", TEXT(TRIM(N472),"00000")="89102", TEXT(TRIM(N472),"00000")="89107", TEXT(TRIM(N472),"00000")="89108"), "Urban Core",
  OR(TEXT(TRIM(N472),"00000")="89110", TEXT(TRIM(N472),"00000")="89115", TEXT(TRIM(N472),"00000")="89121", TEXT(TRIM(N472),"00000")="89122", TEXT(TRIM(N472),"00000")="89142", TEXT(TRIM(N472),"00000")="89156"), "East Valley",
  OR(TEXT(TRIM(N472),"00000")="89030", TEXT(TRIM(N472),"00000")="89031", TEXT(TRIM(N472),"00000")="89032", TEXT(TRIM(N472),"00000")="89086", TEXT(TRIM(N472),"00000")="89084", TEXT(TRIM(N472),"00000")="89081"), "North LV",
  OR(TEXT(TRIM(N472),"00000")="89109", TEXT(TRIM(N472),"00000")="89103", TEXT(TRIM(N472),"00000")="89119", TEXT(TRIM(N472),"00000")="89123", TEXT(TRIM(N472),"00000")="89169", TEXT(TRIM(N472),"00000")="89118"), "South/Strip",
  OR(TEXT(TRIM(N472),"00000")="89074", TEXT(TRIM(N472),"00000")="89014", TEXT(TRIM(N472),"00000")="89015", TEXT(TRIM(N472),"00000")="89011", TEXT(TRIM(N472),"00000")="89012"), "Suburban SE",
  OR(TEXT(TRIM(N472),"00000")="89117", TEXT(TRIM(N472),"00000")="89128", TEXT(TRIM(N472),"00000")="89135", TEXT(TRIM(N472),"00000")="89144", TEXT(TRIM(N472),"00000")="89145", TEXT(TRIM(N472),"00000")="89147"), "West Valley",
  TRUE, "Other"
)</f>
        <v>Missing/Unknown</v>
      </c>
      <c r="P472" t="s">
        <v>38</v>
      </c>
      <c r="Q472" t="str">
        <f t="shared" si="30"/>
        <v>Home/Residence</v>
      </c>
      <c r="R472" t="s">
        <v>5059</v>
      </c>
      <c r="S472" t="s">
        <v>5109</v>
      </c>
      <c r="T472" t="str" cm="1">
        <f t="array" ref="T472">_xlfn.IFS(
  TEXT(TRIM(S472),"00000")="NULL", "Missing/Unknown",
  OR(TEXT(TRIM(S472),"00000")="89101", TEXT(TRIM(S472),"00000")="89104", TEXT(TRIM(S472),"00000")="89106", TEXT(TRIM(S472),"00000")="89102", TEXT(TRIM(S472),"00000")="89107", TEXT(TRIM(S472),"00000")="89108"), "Urban Core",
  OR(TEXT(TRIM(S472),"00000")="89110", TEXT(TRIM(S472),"00000")="89115", TEXT(TRIM(S472),"00000")="89121", TEXT(TRIM(S472),"00000")="89122", TEXT(TRIM(S472),"00000")="89142", TEXT(TRIM(S472),"00000")="89156"), "East Valley",
  OR(TEXT(TRIM(S472),"00000")="89030", TEXT(TRIM(S472),"00000")="89031", TEXT(TRIM(S472),"00000")="89032", TEXT(TRIM(S472),"00000")="89086", TEXT(TRIM(S472),"00000")="89084", TEXT(TRIM(S472),"00000")="89081"), "North LV",
  OR(TEXT(TRIM(S472),"00000")="89109", TEXT(TRIM(S472),"00000")="89103", TEXT(TRIM(S472),"00000")="89119", TEXT(TRIM(S472),"00000")="89123", TEXT(TRIM(S472),"00000")="89169", TEXT(TRIM(S472),"00000")="89118"), "South/Strip",
  OR(TEXT(TRIM(S472),"00000")="89074", TEXT(TRIM(S472),"00000")="89014", TEXT(TRIM(S472),"00000")="89015", TEXT(TRIM(S472),"00000")="89011", TEXT(TRIM(S472),"00000")="89012"), "Suburban SE",
  OR(TEXT(TRIM(S472),"00000")="89117", TEXT(TRIM(S472),"00000")="89128", TEXT(TRIM(S472),"00000")="89135", TEXT(TRIM(S472),"00000")="89144", TEXT(TRIM(S472),"00000")="89145", TEXT(TRIM(S472),"00000")="89147"), "West Valley",
  TRUE, "Other"
)</f>
        <v>South/Strip</v>
      </c>
      <c r="U472" t="s">
        <v>4304</v>
      </c>
      <c r="V472" t="str">
        <f t="shared" si="31"/>
        <v>Home/Residence</v>
      </c>
    </row>
    <row r="473" spans="1:22">
      <c r="A473" t="s">
        <v>1087</v>
      </c>
      <c r="B473" t="s">
        <v>1088</v>
      </c>
      <c r="C473" s="1">
        <v>45215</v>
      </c>
      <c r="D473" s="4">
        <v>89.960000000000008</v>
      </c>
      <c r="E473">
        <v>76</v>
      </c>
      <c r="F473" t="str">
        <f t="shared" si="28"/>
        <v>70's</v>
      </c>
      <c r="G473" t="str" cm="1">
        <f t="array" ref="G473">_xlfn.IFS(
  F473="10's", "Child (5–12)",
  OR(F473="20's", F473="30's"), "Young Adult (20–39)",
  OR(F473="40's", F473="50's"), "Adult (40–59)",
  OR(F473="60's", F473="70's", F473="80's", F473="90's"), "Senior (60+)",
  TRUE, "Unknown"
)</f>
        <v>Senior (60+)</v>
      </c>
      <c r="H473" t="s">
        <v>841</v>
      </c>
      <c r="I473" t="s">
        <v>1089</v>
      </c>
      <c r="J473" t="str">
        <f t="shared" si="29"/>
        <v>Other / Unknown</v>
      </c>
      <c r="K473" t="s">
        <v>1090</v>
      </c>
      <c r="L473" t="s">
        <v>1071</v>
      </c>
      <c r="M473" t="s">
        <v>4952</v>
      </c>
      <c r="N473" t="s">
        <v>5129</v>
      </c>
      <c r="O473" t="str" cm="1">
        <f t="array" ref="O473">_xlfn.IFS(
  TEXT(TRIM(N473),"00000")="NULL", "Missing/Unknown",
  OR(TEXT(TRIM(N473),"00000")="89101", TEXT(TRIM(N473),"00000")="89104", TEXT(TRIM(N473),"00000")="89106", TEXT(TRIM(N473),"00000")="89102", TEXT(TRIM(N473),"00000")="89107", TEXT(TRIM(N473),"00000")="89108"), "Urban Core",
  OR(TEXT(TRIM(N473),"00000")="89110", TEXT(TRIM(N473),"00000")="89115", TEXT(TRIM(N473),"00000")="89121", TEXT(TRIM(N473),"00000")="89122", TEXT(TRIM(N473),"00000")="89142", TEXT(TRIM(N473),"00000")="89156"), "East Valley",
  OR(TEXT(TRIM(N473),"00000")="89030", TEXT(TRIM(N473),"00000")="89031", TEXT(TRIM(N473),"00000")="89032", TEXT(TRIM(N473),"00000")="89086", TEXT(TRIM(N473),"00000")="89084", TEXT(TRIM(N473),"00000")="89081"), "North LV",
  OR(TEXT(TRIM(N473),"00000")="89109", TEXT(TRIM(N473),"00000")="89103", TEXT(TRIM(N473),"00000")="89119", TEXT(TRIM(N473),"00000")="89123", TEXT(TRIM(N473),"00000")="89169", TEXT(TRIM(N473),"00000")="89118"), "South/Strip",
  OR(TEXT(TRIM(N473),"00000")="89074", TEXT(TRIM(N473),"00000")="89014", TEXT(TRIM(N473),"00000")="89015", TEXT(TRIM(N473),"00000")="89011", TEXT(TRIM(N473),"00000")="89012"), "Suburban SE",
  OR(TEXT(TRIM(N473),"00000")="89117", TEXT(TRIM(N473),"00000")="89128", TEXT(TRIM(N473),"00000")="89135", TEXT(TRIM(N473),"00000")="89144", TEXT(TRIM(N473),"00000")="89145", TEXT(TRIM(N473),"00000")="89147"), "West Valley",
  TRUE, "Other"
)</f>
        <v>North LV</v>
      </c>
      <c r="P473" t="s">
        <v>1073</v>
      </c>
      <c r="Q473" t="str">
        <f t="shared" si="30"/>
        <v>Home/Residence</v>
      </c>
      <c r="R473" t="s">
        <v>4952</v>
      </c>
      <c r="S473" t="s">
        <v>5129</v>
      </c>
      <c r="T473" t="str" cm="1">
        <f t="array" ref="T473">_xlfn.IFS(
  TEXT(TRIM(S473),"00000")="NULL", "Missing/Unknown",
  OR(TEXT(TRIM(S473),"00000")="89101", TEXT(TRIM(S473),"00000")="89104", TEXT(TRIM(S473),"00000")="89106", TEXT(TRIM(S473),"00000")="89102", TEXT(TRIM(S473),"00000")="89107", TEXT(TRIM(S473),"00000")="89108"), "Urban Core",
  OR(TEXT(TRIM(S473),"00000")="89110", TEXT(TRIM(S473),"00000")="89115", TEXT(TRIM(S473),"00000")="89121", TEXT(TRIM(S473),"00000")="89122", TEXT(TRIM(S473),"00000")="89142", TEXT(TRIM(S473),"00000")="89156"), "East Valley",
  OR(TEXT(TRIM(S473),"00000")="89030", TEXT(TRIM(S473),"00000")="89031", TEXT(TRIM(S473),"00000")="89032", TEXT(TRIM(S473),"00000")="89086", TEXT(TRIM(S473),"00000")="89084", TEXT(TRIM(S473),"00000")="89081"), "North LV",
  OR(TEXT(TRIM(S473),"00000")="89109", TEXT(TRIM(S473),"00000")="89103", TEXT(TRIM(S473),"00000")="89119", TEXT(TRIM(S473),"00000")="89123", TEXT(TRIM(S473),"00000")="89169", TEXT(TRIM(S473),"00000")="89118"), "South/Strip",
  OR(TEXT(TRIM(S473),"00000")="89074", TEXT(TRIM(S473),"00000")="89014", TEXT(TRIM(S473),"00000")="89015", TEXT(TRIM(S473),"00000")="89011", TEXT(TRIM(S473),"00000")="89012"), "Suburban SE",
  OR(TEXT(TRIM(S473),"00000")="89117", TEXT(TRIM(S473),"00000")="89128", TEXT(TRIM(S473),"00000")="89135", TEXT(TRIM(S473),"00000")="89144", TEXT(TRIM(S473),"00000")="89145", TEXT(TRIM(S473),"00000")="89147"), "West Valley",
  TRUE, "Other"
)</f>
        <v>North LV</v>
      </c>
      <c r="U473" t="s">
        <v>1073</v>
      </c>
      <c r="V473" t="str">
        <f t="shared" si="31"/>
        <v>Home/Residence</v>
      </c>
    </row>
    <row r="474" spans="1:22">
      <c r="A474" t="s">
        <v>1081</v>
      </c>
      <c r="B474" t="s">
        <v>1082</v>
      </c>
      <c r="C474" s="1">
        <v>45198</v>
      </c>
      <c r="D474" s="4">
        <v>95</v>
      </c>
      <c r="E474">
        <v>77</v>
      </c>
      <c r="F474" t="str">
        <f t="shared" si="28"/>
        <v>70's</v>
      </c>
      <c r="G474" t="str" cm="1">
        <f t="array" ref="G474">_xlfn.IFS(
  F474="10's", "Child (5–12)",
  OR(F474="20's", F474="30's"), "Young Adult (20–39)",
  OR(F474="40's", F474="50's"), "Adult (40–59)",
  OR(F474="60's", F474="70's", F474="80's", F474="90's"), "Senior (60+)",
  TRUE, "Unknown"
)</f>
        <v>Senior (60+)</v>
      </c>
      <c r="H474" t="s">
        <v>841</v>
      </c>
      <c r="I474" t="s">
        <v>1083</v>
      </c>
      <c r="J474" t="str">
        <f t="shared" si="29"/>
        <v>Other / Unknown</v>
      </c>
      <c r="K474" t="s">
        <v>4200</v>
      </c>
      <c r="L474" t="s">
        <v>1071</v>
      </c>
      <c r="M474" t="s">
        <v>4339</v>
      </c>
      <c r="N474" t="s">
        <v>5104</v>
      </c>
      <c r="O474" t="str" cm="1">
        <f t="array" ref="O474">_xlfn.IFS(
  TEXT(TRIM(N474),"00000")="NULL", "Missing/Unknown",
  OR(TEXT(TRIM(N474),"00000")="89101", TEXT(TRIM(N474),"00000")="89104", TEXT(TRIM(N474),"00000")="89106", TEXT(TRIM(N474),"00000")="89102", TEXT(TRIM(N474),"00000")="89107", TEXT(TRIM(N474),"00000")="89108"), "Urban Core",
  OR(TEXT(TRIM(N474),"00000")="89110", TEXT(TRIM(N474),"00000")="89115", TEXT(TRIM(N474),"00000")="89121", TEXT(TRIM(N474),"00000")="89122", TEXT(TRIM(N474),"00000")="89142", TEXT(TRIM(N474),"00000")="89156"), "East Valley",
  OR(TEXT(TRIM(N474),"00000")="89030", TEXT(TRIM(N474),"00000")="89031", TEXT(TRIM(N474),"00000")="89032", TEXT(TRIM(N474),"00000")="89086", TEXT(TRIM(N474),"00000")="89084", TEXT(TRIM(N474),"00000")="89081"), "North LV",
  OR(TEXT(TRIM(N474),"00000")="89109", TEXT(TRIM(N474),"00000")="89103", TEXT(TRIM(N474),"00000")="89119", TEXT(TRIM(N474),"00000")="89123", TEXT(TRIM(N474),"00000")="89169", TEXT(TRIM(N474),"00000")="89118"), "South/Strip",
  OR(TEXT(TRIM(N474),"00000")="89074", TEXT(TRIM(N474),"00000")="89014", TEXT(TRIM(N474),"00000")="89015", TEXT(TRIM(N474),"00000")="89011", TEXT(TRIM(N474),"00000")="89012"), "Suburban SE",
  OR(TEXT(TRIM(N474),"00000")="89117", TEXT(TRIM(N474),"00000")="89128", TEXT(TRIM(N474),"00000")="89135", TEXT(TRIM(N474),"00000")="89144", TEXT(TRIM(N474),"00000")="89145", TEXT(TRIM(N474),"00000")="89147"), "West Valley",
  TRUE, "Other"
)</f>
        <v>West Valley</v>
      </c>
      <c r="P474" t="s">
        <v>1086</v>
      </c>
      <c r="Q474" t="str">
        <f t="shared" si="30"/>
        <v>Home/Residence</v>
      </c>
      <c r="R474" t="s">
        <v>4339</v>
      </c>
      <c r="S474" t="s">
        <v>5104</v>
      </c>
      <c r="T474" t="str" cm="1">
        <f t="array" ref="T474">_xlfn.IFS(
  TEXT(TRIM(S474),"00000")="NULL", "Missing/Unknown",
  OR(TEXT(TRIM(S474),"00000")="89101", TEXT(TRIM(S474),"00000")="89104", TEXT(TRIM(S474),"00000")="89106", TEXT(TRIM(S474),"00000")="89102", TEXT(TRIM(S474),"00000")="89107", TEXT(TRIM(S474),"00000")="89108"), "Urban Core",
  OR(TEXT(TRIM(S474),"00000")="89110", TEXT(TRIM(S474),"00000")="89115", TEXT(TRIM(S474),"00000")="89121", TEXT(TRIM(S474),"00000")="89122", TEXT(TRIM(S474),"00000")="89142", TEXT(TRIM(S474),"00000")="89156"), "East Valley",
  OR(TEXT(TRIM(S474),"00000")="89030", TEXT(TRIM(S474),"00000")="89031", TEXT(TRIM(S474),"00000")="89032", TEXT(TRIM(S474),"00000")="89086", TEXT(TRIM(S474),"00000")="89084", TEXT(TRIM(S474),"00000")="89081"), "North LV",
  OR(TEXT(TRIM(S474),"00000")="89109", TEXT(TRIM(S474),"00000")="89103", TEXT(TRIM(S474),"00000")="89119", TEXT(TRIM(S474),"00000")="89123", TEXT(TRIM(S474),"00000")="89169", TEXT(TRIM(S474),"00000")="89118"), "South/Strip",
  OR(TEXT(TRIM(S474),"00000")="89074", TEXT(TRIM(S474),"00000")="89014", TEXT(TRIM(S474),"00000")="89015", TEXT(TRIM(S474),"00000")="89011", TEXT(TRIM(S474),"00000")="89012"), "Suburban SE",
  OR(TEXT(TRIM(S474),"00000")="89117", TEXT(TRIM(S474),"00000")="89128", TEXT(TRIM(S474),"00000")="89135", TEXT(TRIM(S474),"00000")="89144", TEXT(TRIM(S474),"00000")="89145", TEXT(TRIM(S474),"00000")="89147"), "West Valley",
  TRUE, "Other"
)</f>
        <v>West Valley</v>
      </c>
      <c r="U474" t="s">
        <v>1086</v>
      </c>
      <c r="V474" t="str">
        <f t="shared" si="31"/>
        <v>Home/Residence</v>
      </c>
    </row>
    <row r="475" spans="1:22">
      <c r="A475" t="s">
        <v>1067</v>
      </c>
      <c r="B475" t="s">
        <v>1068</v>
      </c>
      <c r="C475" s="1">
        <v>45197</v>
      </c>
      <c r="D475" s="4">
        <v>95</v>
      </c>
      <c r="E475">
        <v>69</v>
      </c>
      <c r="F475" t="str">
        <f t="shared" si="28"/>
        <v>60's</v>
      </c>
      <c r="G475" t="str" cm="1">
        <f t="array" ref="G475">_xlfn.IFS(
  F475="10's", "Child (5–12)",
  OR(F475="20's", F475="30's"), "Young Adult (20–39)",
  OR(F475="40's", F475="50's"), "Adult (40–59)",
  OR(F475="60's", F475="70's", F475="80's", F475="90's"), "Senior (60+)",
  TRUE, "Unknown"
)</f>
        <v>Senior (60+)</v>
      </c>
      <c r="H475" t="s">
        <v>841</v>
      </c>
      <c r="I475" t="s">
        <v>4080</v>
      </c>
      <c r="J475" t="str">
        <f t="shared" si="29"/>
        <v>Cardiovascular Disease</v>
      </c>
      <c r="K475" t="s">
        <v>4201</v>
      </c>
      <c r="L475" t="s">
        <v>1071</v>
      </c>
      <c r="M475" t="s">
        <v>4953</v>
      </c>
      <c r="N475" t="s">
        <v>5145</v>
      </c>
      <c r="O475" t="str" cm="1">
        <f t="array" ref="O475">_xlfn.IFS(
  TEXT(TRIM(N475),"00000")="NULL", "Missing/Unknown",
  OR(TEXT(TRIM(N475),"00000")="89101", TEXT(TRIM(N475),"00000")="89104", TEXT(TRIM(N475),"00000")="89106", TEXT(TRIM(N475),"00000")="89102", TEXT(TRIM(N475),"00000")="89107", TEXT(TRIM(N475),"00000")="89108"), "Urban Core",
  OR(TEXT(TRIM(N475),"00000")="89110", TEXT(TRIM(N475),"00000")="89115", TEXT(TRIM(N475),"00000")="89121", TEXT(TRIM(N475),"00000")="89122", TEXT(TRIM(N475),"00000")="89142", TEXT(TRIM(N475),"00000")="89156"), "East Valley",
  OR(TEXT(TRIM(N475),"00000")="89030", TEXT(TRIM(N475),"00000")="89031", TEXT(TRIM(N475),"00000")="89032", TEXT(TRIM(N475),"00000")="89086", TEXT(TRIM(N475),"00000")="89084", TEXT(TRIM(N475),"00000")="89081"), "North LV",
  OR(TEXT(TRIM(N475),"00000")="89109", TEXT(TRIM(N475),"00000")="89103", TEXT(TRIM(N475),"00000")="89119", TEXT(TRIM(N475),"00000")="89123", TEXT(TRIM(N475),"00000")="89169", TEXT(TRIM(N475),"00000")="89118"), "South/Strip",
  OR(TEXT(TRIM(N475),"00000")="89074", TEXT(TRIM(N475),"00000")="89014", TEXT(TRIM(N475),"00000")="89015", TEXT(TRIM(N475),"00000")="89011", TEXT(TRIM(N475),"00000")="89012"), "Suburban SE",
  OR(TEXT(TRIM(N475),"00000")="89117", TEXT(TRIM(N475),"00000")="89128", TEXT(TRIM(N475),"00000")="89135", TEXT(TRIM(N475),"00000")="89144", TEXT(TRIM(N475),"00000")="89145", TEXT(TRIM(N475),"00000")="89147"), "West Valley",
  TRUE, "Other"
)</f>
        <v>Other</v>
      </c>
      <c r="P475" t="s">
        <v>1073</v>
      </c>
      <c r="Q475" t="str">
        <f t="shared" si="30"/>
        <v>Home/Residence</v>
      </c>
      <c r="R475" t="s">
        <v>4953</v>
      </c>
      <c r="S475" t="s">
        <v>5145</v>
      </c>
      <c r="T475" t="str" cm="1">
        <f t="array" ref="T475">_xlfn.IFS(
  TEXT(TRIM(S475),"00000")="NULL", "Missing/Unknown",
  OR(TEXT(TRIM(S475),"00000")="89101", TEXT(TRIM(S475),"00000")="89104", TEXT(TRIM(S475),"00000")="89106", TEXT(TRIM(S475),"00000")="89102", TEXT(TRIM(S475),"00000")="89107", TEXT(TRIM(S475),"00000")="89108"), "Urban Core",
  OR(TEXT(TRIM(S475),"00000")="89110", TEXT(TRIM(S475),"00000")="89115", TEXT(TRIM(S475),"00000")="89121", TEXT(TRIM(S475),"00000")="89122", TEXT(TRIM(S475),"00000")="89142", TEXT(TRIM(S475),"00000")="89156"), "East Valley",
  OR(TEXT(TRIM(S475),"00000")="89030", TEXT(TRIM(S475),"00000")="89031", TEXT(TRIM(S475),"00000")="89032", TEXT(TRIM(S475),"00000")="89086", TEXT(TRIM(S475),"00000")="89084", TEXT(TRIM(S475),"00000")="89081"), "North LV",
  OR(TEXT(TRIM(S475),"00000")="89109", TEXT(TRIM(S475),"00000")="89103", TEXT(TRIM(S475),"00000")="89119", TEXT(TRIM(S475),"00000")="89123", TEXT(TRIM(S475),"00000")="89169", TEXT(TRIM(S475),"00000")="89118"), "South/Strip",
  OR(TEXT(TRIM(S475),"00000")="89074", TEXT(TRIM(S475),"00000")="89014", TEXT(TRIM(S475),"00000")="89015", TEXT(TRIM(S475),"00000")="89011", TEXT(TRIM(S475),"00000")="89012"), "Suburban SE",
  OR(TEXT(TRIM(S475),"00000")="89117", TEXT(TRIM(S475),"00000")="89128", TEXT(TRIM(S475),"00000")="89135", TEXT(TRIM(S475),"00000")="89144", TEXT(TRIM(S475),"00000")="89145", TEXT(TRIM(S475),"00000")="89147"), "West Valley",
  TRUE, "Other"
)</f>
        <v>Other</v>
      </c>
      <c r="U475" t="s">
        <v>1073</v>
      </c>
      <c r="V475" t="str">
        <f t="shared" si="31"/>
        <v>Home/Residence</v>
      </c>
    </row>
    <row r="476" spans="1:22">
      <c r="A476" t="s">
        <v>1078</v>
      </c>
      <c r="B476" t="s">
        <v>1079</v>
      </c>
      <c r="C476" s="1">
        <v>45197</v>
      </c>
      <c r="D476" s="4">
        <v>95</v>
      </c>
      <c r="E476">
        <v>78</v>
      </c>
      <c r="F476" t="str">
        <f t="shared" si="28"/>
        <v>70's</v>
      </c>
      <c r="G476" t="str" cm="1">
        <f t="array" ref="G476">_xlfn.IFS(
  F476="10's", "Child (5–12)",
  OR(F476="20's", F476="30's"), "Young Adult (20–39)",
  OR(F476="40's", F476="50's"), "Adult (40–59)",
  OR(F476="60's", F476="70's", F476="80's", F476="90's"), "Senior (60+)",
  TRUE, "Unknown"
)</f>
        <v>Senior (60+)</v>
      </c>
      <c r="H476" t="s">
        <v>841</v>
      </c>
      <c r="I476" t="s">
        <v>63</v>
      </c>
      <c r="J476" t="str">
        <f t="shared" si="29"/>
        <v>Cardiovascular Disease</v>
      </c>
      <c r="K476" t="s">
        <v>448</v>
      </c>
      <c r="L476" t="s">
        <v>1071</v>
      </c>
      <c r="M476" t="s">
        <v>4954</v>
      </c>
      <c r="N476" t="s">
        <v>5134</v>
      </c>
      <c r="O476" t="str" cm="1">
        <f t="array" ref="O476">_xlfn.IFS(
  TEXT(TRIM(N476),"00000")="NULL", "Missing/Unknown",
  OR(TEXT(TRIM(N476),"00000")="89101", TEXT(TRIM(N476),"00000")="89104", TEXT(TRIM(N476),"00000")="89106", TEXT(TRIM(N476),"00000")="89102", TEXT(TRIM(N476),"00000")="89107", TEXT(TRIM(N476),"00000")="89108"), "Urban Core",
  OR(TEXT(TRIM(N476),"00000")="89110", TEXT(TRIM(N476),"00000")="89115", TEXT(TRIM(N476),"00000")="89121", TEXT(TRIM(N476),"00000")="89122", TEXT(TRIM(N476),"00000")="89142", TEXT(TRIM(N476),"00000")="89156"), "East Valley",
  OR(TEXT(TRIM(N476),"00000")="89030", TEXT(TRIM(N476),"00000")="89031", TEXT(TRIM(N476),"00000")="89032", TEXT(TRIM(N476),"00000")="89086", TEXT(TRIM(N476),"00000")="89084", TEXT(TRIM(N476),"00000")="89081"), "North LV",
  OR(TEXT(TRIM(N476),"00000")="89109", TEXT(TRIM(N476),"00000")="89103", TEXT(TRIM(N476),"00000")="89119", TEXT(TRIM(N476),"00000")="89123", TEXT(TRIM(N476),"00000")="89169", TEXT(TRIM(N476),"00000")="89118"), "South/Strip",
  OR(TEXT(TRIM(N476),"00000")="89074", TEXT(TRIM(N476),"00000")="89014", TEXT(TRIM(N476),"00000")="89015", TEXT(TRIM(N476),"00000")="89011", TEXT(TRIM(N476),"00000")="89012"), "Suburban SE",
  OR(TEXT(TRIM(N476),"00000")="89117", TEXT(TRIM(N476),"00000")="89128", TEXT(TRIM(N476),"00000")="89135", TEXT(TRIM(N476),"00000")="89144", TEXT(TRIM(N476),"00000")="89145", TEXT(TRIM(N476),"00000")="89147"), "West Valley",
  TRUE, "Other"
)</f>
        <v>Other</v>
      </c>
      <c r="P476" t="s">
        <v>1073</v>
      </c>
      <c r="Q476" t="str">
        <f t="shared" si="30"/>
        <v>Home/Residence</v>
      </c>
      <c r="R476" t="s">
        <v>4954</v>
      </c>
      <c r="S476" t="s">
        <v>5134</v>
      </c>
      <c r="T476" t="str" cm="1">
        <f t="array" ref="T476">_xlfn.IFS(
  TEXT(TRIM(S476),"00000")="NULL", "Missing/Unknown",
  OR(TEXT(TRIM(S476),"00000")="89101", TEXT(TRIM(S476),"00000")="89104", TEXT(TRIM(S476),"00000")="89106", TEXT(TRIM(S476),"00000")="89102", TEXT(TRIM(S476),"00000")="89107", TEXT(TRIM(S476),"00000")="89108"), "Urban Core",
  OR(TEXT(TRIM(S476),"00000")="89110", TEXT(TRIM(S476),"00000")="89115", TEXT(TRIM(S476),"00000")="89121", TEXT(TRIM(S476),"00000")="89122", TEXT(TRIM(S476),"00000")="89142", TEXT(TRIM(S476),"00000")="89156"), "East Valley",
  OR(TEXT(TRIM(S476),"00000")="89030", TEXT(TRIM(S476),"00000")="89031", TEXT(TRIM(S476),"00000")="89032", TEXT(TRIM(S476),"00000")="89086", TEXT(TRIM(S476),"00000")="89084", TEXT(TRIM(S476),"00000")="89081"), "North LV",
  OR(TEXT(TRIM(S476),"00000")="89109", TEXT(TRIM(S476),"00000")="89103", TEXT(TRIM(S476),"00000")="89119", TEXT(TRIM(S476),"00000")="89123", TEXT(TRIM(S476),"00000")="89169", TEXT(TRIM(S476),"00000")="89118"), "South/Strip",
  OR(TEXT(TRIM(S476),"00000")="89074", TEXT(TRIM(S476),"00000")="89014", TEXT(TRIM(S476),"00000")="89015", TEXT(TRIM(S476),"00000")="89011", TEXT(TRIM(S476),"00000")="89012"), "Suburban SE",
  OR(TEXT(TRIM(S476),"00000")="89117", TEXT(TRIM(S476),"00000")="89128", TEXT(TRIM(S476),"00000")="89135", TEXT(TRIM(S476),"00000")="89144", TEXT(TRIM(S476),"00000")="89145", TEXT(TRIM(S476),"00000")="89147"), "West Valley",
  TRUE, "Other"
)</f>
        <v>Other</v>
      </c>
      <c r="U476" t="s">
        <v>1073</v>
      </c>
      <c r="V476" t="str">
        <f t="shared" si="31"/>
        <v>Home/Residence</v>
      </c>
    </row>
    <row r="477" spans="1:22">
      <c r="A477" t="s">
        <v>1057</v>
      </c>
      <c r="B477" t="s">
        <v>1058</v>
      </c>
      <c r="C477" s="1">
        <v>45189</v>
      </c>
      <c r="D477" s="4">
        <v>87.98</v>
      </c>
      <c r="E477">
        <v>28</v>
      </c>
      <c r="F477" t="str">
        <f t="shared" si="28"/>
        <v>20's</v>
      </c>
      <c r="G477" t="str" cm="1">
        <f t="array" ref="G477">_xlfn.IFS(
  F477="10's", "Child (5–12)",
  OR(F477="20's", F477="30's"), "Young Adult (20–39)",
  OR(F477="40's", F477="50's"), "Adult (40–59)",
  OR(F477="60's", F477="70's", F477="80's", F477="90's"), "Senior (60+)",
  TRUE, "Unknown"
)</f>
        <v>Young Adult (20–39)</v>
      </c>
      <c r="H477" t="s">
        <v>841</v>
      </c>
      <c r="I477" t="s">
        <v>4081</v>
      </c>
      <c r="J477" t="str">
        <f t="shared" si="29"/>
        <v>Methamphetamine-related</v>
      </c>
      <c r="K477" t="s">
        <v>54</v>
      </c>
      <c r="L477" t="s">
        <v>1071</v>
      </c>
      <c r="M477" t="s">
        <v>4573</v>
      </c>
      <c r="N477" t="s">
        <v>5096</v>
      </c>
      <c r="O477" t="str" cm="1">
        <f t="array" ref="O477">_xlfn.IFS(
  TEXT(TRIM(N477),"00000")="NULL", "Missing/Unknown",
  OR(TEXT(TRIM(N477),"00000")="89101", TEXT(TRIM(N477),"00000")="89104", TEXT(TRIM(N477),"00000")="89106", TEXT(TRIM(N477),"00000")="89102", TEXT(TRIM(N477),"00000")="89107", TEXT(TRIM(N477),"00000")="89108"), "Urban Core",
  OR(TEXT(TRIM(N477),"00000")="89110", TEXT(TRIM(N477),"00000")="89115", TEXT(TRIM(N477),"00000")="89121", TEXT(TRIM(N477),"00000")="89122", TEXT(TRIM(N477),"00000")="89142", TEXT(TRIM(N477),"00000")="89156"), "East Valley",
  OR(TEXT(TRIM(N477),"00000")="89030", TEXT(TRIM(N477),"00000")="89031", TEXT(TRIM(N477),"00000")="89032", TEXT(TRIM(N477),"00000")="89086", TEXT(TRIM(N477),"00000")="89084", TEXT(TRIM(N477),"00000")="89081"), "North LV",
  OR(TEXT(TRIM(N477),"00000")="89109", TEXT(TRIM(N477),"00000")="89103", TEXT(TRIM(N477),"00000")="89119", TEXT(TRIM(N477),"00000")="89123", TEXT(TRIM(N477),"00000")="89169", TEXT(TRIM(N477),"00000")="89118"), "South/Strip",
  OR(TEXT(TRIM(N477),"00000")="89074", TEXT(TRIM(N477),"00000")="89014", TEXT(TRIM(N477),"00000")="89015", TEXT(TRIM(N477),"00000")="89011", TEXT(TRIM(N477),"00000")="89012"), "Suburban SE",
  OR(TEXT(TRIM(N477),"00000")="89117", TEXT(TRIM(N477),"00000")="89128", TEXT(TRIM(N477),"00000")="89135", TEXT(TRIM(N477),"00000")="89144", TEXT(TRIM(N477),"00000")="89145", TEXT(TRIM(N477),"00000")="89147"), "West Valley",
  TRUE, "Other"
)</f>
        <v>South/Strip</v>
      </c>
      <c r="P477" t="s">
        <v>38</v>
      </c>
      <c r="Q477" t="str">
        <f t="shared" si="30"/>
        <v>Home/Residence</v>
      </c>
      <c r="R477" t="s">
        <v>4713</v>
      </c>
      <c r="S477" t="s">
        <v>5125</v>
      </c>
      <c r="T477" t="str" cm="1">
        <f t="array" ref="T477">_xlfn.IFS(
  TEXT(TRIM(S477),"00000")="NULL", "Missing/Unknown",
  OR(TEXT(TRIM(S477),"00000")="89101", TEXT(TRIM(S477),"00000")="89104", TEXT(TRIM(S477),"00000")="89106", TEXT(TRIM(S477),"00000")="89102", TEXT(TRIM(S477),"00000")="89107", TEXT(TRIM(S477),"00000")="89108"), "Urban Core",
  OR(TEXT(TRIM(S477),"00000")="89110", TEXT(TRIM(S477),"00000")="89115", TEXT(TRIM(S477),"00000")="89121", TEXT(TRIM(S477),"00000")="89122", TEXT(TRIM(S477),"00000")="89142", TEXT(TRIM(S477),"00000")="89156"), "East Valley",
  OR(TEXT(TRIM(S477),"00000")="89030", TEXT(TRIM(S477),"00000")="89031", TEXT(TRIM(S477),"00000")="89032", TEXT(TRIM(S477),"00000")="89086", TEXT(TRIM(S477),"00000")="89084", TEXT(TRIM(S477),"00000")="89081"), "North LV",
  OR(TEXT(TRIM(S477),"00000")="89109", TEXT(TRIM(S477),"00000")="89103", TEXT(TRIM(S477),"00000")="89119", TEXT(TRIM(S477),"00000")="89123", TEXT(TRIM(S477),"00000")="89169", TEXT(TRIM(S477),"00000")="89118"), "South/Strip",
  OR(TEXT(TRIM(S477),"00000")="89074", TEXT(TRIM(S477),"00000")="89014", TEXT(TRIM(S477),"00000")="89015", TEXT(TRIM(S477),"00000")="89011", TEXT(TRIM(S477),"00000")="89012"), "Suburban SE",
  OR(TEXT(TRIM(S477),"00000")="89117", TEXT(TRIM(S477),"00000")="89128", TEXT(TRIM(S477),"00000")="89135", TEXT(TRIM(S477),"00000")="89144", TEXT(TRIM(S477),"00000")="89145", TEXT(TRIM(S477),"00000")="89147"), "West Valley",
  TRUE, "Other"
)</f>
        <v>South/Strip</v>
      </c>
      <c r="U477" t="s">
        <v>4305</v>
      </c>
      <c r="V477" t="str">
        <f t="shared" si="31"/>
        <v>Medical Facility</v>
      </c>
    </row>
    <row r="478" spans="1:22">
      <c r="A478" t="s">
        <v>1074</v>
      </c>
      <c r="B478" t="s">
        <v>1075</v>
      </c>
      <c r="C478" s="1">
        <v>45185</v>
      </c>
      <c r="D478" s="4">
        <v>95</v>
      </c>
      <c r="E478">
        <v>63</v>
      </c>
      <c r="F478" t="str">
        <f t="shared" si="28"/>
        <v>60's</v>
      </c>
      <c r="G478" t="str" cm="1">
        <f t="array" ref="G478">_xlfn.IFS(
  F478="10's", "Child (5–12)",
  OR(F478="20's", F478="30's"), "Young Adult (20–39)",
  OR(F478="40's", F478="50's"), "Adult (40–59)",
  OR(F478="60's", F478="70's", F478="80's", F478="90's"), "Senior (60+)",
  TRUE, "Unknown"
)</f>
        <v>Senior (60+)</v>
      </c>
      <c r="H478" t="s">
        <v>778</v>
      </c>
      <c r="I478" t="s">
        <v>163</v>
      </c>
      <c r="J478" t="str">
        <f t="shared" si="29"/>
        <v>Environmental Heat</v>
      </c>
      <c r="K478" t="s">
        <v>4202</v>
      </c>
      <c r="L478" t="s">
        <v>250</v>
      </c>
      <c r="N478" t="s">
        <v>5095</v>
      </c>
      <c r="O478" t="str" cm="1">
        <f t="array" ref="O478">_xlfn.IFS(
  TEXT(TRIM(N478),"00000")="NULL", "Missing/Unknown",
  OR(TEXT(TRIM(N478),"00000")="89101", TEXT(TRIM(N478),"00000")="89104", TEXT(TRIM(N478),"00000")="89106", TEXT(TRIM(N478),"00000")="89102", TEXT(TRIM(N478),"00000")="89107", TEXT(TRIM(N478),"00000")="89108"), "Urban Core",
  OR(TEXT(TRIM(N478),"00000")="89110", TEXT(TRIM(N478),"00000")="89115", TEXT(TRIM(N478),"00000")="89121", TEXT(TRIM(N478),"00000")="89122", TEXT(TRIM(N478),"00000")="89142", TEXT(TRIM(N478),"00000")="89156"), "East Valley",
  OR(TEXT(TRIM(N478),"00000")="89030", TEXT(TRIM(N478),"00000")="89031", TEXT(TRIM(N478),"00000")="89032", TEXT(TRIM(N478),"00000")="89086", TEXT(TRIM(N478),"00000")="89084", TEXT(TRIM(N478),"00000")="89081"), "North LV",
  OR(TEXT(TRIM(N478),"00000")="89109", TEXT(TRIM(N478),"00000")="89103", TEXT(TRIM(N478),"00000")="89119", TEXT(TRIM(N478),"00000")="89123", TEXT(TRIM(N478),"00000")="89169", TEXT(TRIM(N478),"00000")="89118"), "South/Strip",
  OR(TEXT(TRIM(N478),"00000")="89074", TEXT(TRIM(N478),"00000")="89014", TEXT(TRIM(N478),"00000")="89015", TEXT(TRIM(N478),"00000")="89011", TEXT(TRIM(N478),"00000")="89012"), "Suburban SE",
  OR(TEXT(TRIM(N478),"00000")="89117", TEXT(TRIM(N478),"00000")="89128", TEXT(TRIM(N478),"00000")="89135", TEXT(TRIM(N478),"00000")="89144", TEXT(TRIM(N478),"00000")="89145", TEXT(TRIM(N478),"00000")="89147"), "West Valley",
  TRUE, "Other"
)</f>
        <v>Missing/Unknown</v>
      </c>
      <c r="P478" t="s">
        <v>38</v>
      </c>
      <c r="Q478" t="str">
        <f t="shared" si="30"/>
        <v>Home/Residence</v>
      </c>
      <c r="R478" t="s">
        <v>5058</v>
      </c>
      <c r="S478" t="s">
        <v>5123</v>
      </c>
      <c r="T478" t="str" cm="1">
        <f t="array" ref="T478">_xlfn.IFS(
  TEXT(TRIM(S478),"00000")="NULL", "Missing/Unknown",
  OR(TEXT(TRIM(S478),"00000")="89101", TEXT(TRIM(S478),"00000")="89104", TEXT(TRIM(S478),"00000")="89106", TEXT(TRIM(S478),"00000")="89102", TEXT(TRIM(S478),"00000")="89107", TEXT(TRIM(S478),"00000")="89108"), "Urban Core",
  OR(TEXT(TRIM(S478),"00000")="89110", TEXT(TRIM(S478),"00000")="89115", TEXT(TRIM(S478),"00000")="89121", TEXT(TRIM(S478),"00000")="89122", TEXT(TRIM(S478),"00000")="89142", TEXT(TRIM(S478),"00000")="89156"), "East Valley",
  OR(TEXT(TRIM(S478),"00000")="89030", TEXT(TRIM(S478),"00000")="89031", TEXT(TRIM(S478),"00000")="89032", TEXT(TRIM(S478),"00000")="89086", TEXT(TRIM(S478),"00000")="89084", TEXT(TRIM(S478),"00000")="89081"), "North LV",
  OR(TEXT(TRIM(S478),"00000")="89109", TEXT(TRIM(S478),"00000")="89103", TEXT(TRIM(S478),"00000")="89119", TEXT(TRIM(S478),"00000")="89123", TEXT(TRIM(S478),"00000")="89169", TEXT(TRIM(S478),"00000")="89118"), "South/Strip",
  OR(TEXT(TRIM(S478),"00000")="89074", TEXT(TRIM(S478),"00000")="89014", TEXT(TRIM(S478),"00000")="89015", TEXT(TRIM(S478),"00000")="89011", TEXT(TRIM(S478),"00000")="89012"), "Suburban SE",
  OR(TEXT(TRIM(S478),"00000")="89117", TEXT(TRIM(S478),"00000")="89128", TEXT(TRIM(S478),"00000")="89135", TEXT(TRIM(S478),"00000")="89144", TEXT(TRIM(S478),"00000")="89145", TEXT(TRIM(S478),"00000")="89147"), "West Valley",
  TRUE, "Other"
)</f>
        <v>South/Strip</v>
      </c>
      <c r="U478" t="s">
        <v>1077</v>
      </c>
      <c r="V478" t="str">
        <f t="shared" si="31"/>
        <v>Other / Unknown</v>
      </c>
    </row>
    <row r="479" spans="1:22">
      <c r="A479" t="s">
        <v>1061</v>
      </c>
      <c r="B479" t="s">
        <v>1062</v>
      </c>
      <c r="C479" s="1">
        <v>45184</v>
      </c>
      <c r="D479" s="4">
        <v>93.919999999999987</v>
      </c>
      <c r="E479">
        <v>30</v>
      </c>
      <c r="F479" t="str">
        <f t="shared" si="28"/>
        <v>30's</v>
      </c>
      <c r="G479" t="str" cm="1">
        <f t="array" ref="G479">_xlfn.IFS(
  F479="10's", "Child (5–12)",
  OR(F479="20's", F479="30's"), "Young Adult (20–39)",
  OR(F479="40's", F479="50's"), "Adult (40–59)",
  OR(F479="60's", F479="70's", F479="80's", F479="90's"), "Senior (60+)",
  TRUE, "Unknown"
)</f>
        <v>Young Adult (20–39)</v>
      </c>
      <c r="H479" t="s">
        <v>841</v>
      </c>
      <c r="I479" t="s">
        <v>1063</v>
      </c>
      <c r="J479" t="str">
        <f t="shared" si="29"/>
        <v>Methamphetamine-related</v>
      </c>
      <c r="K479" t="s">
        <v>35</v>
      </c>
      <c r="L479" t="s">
        <v>1071</v>
      </c>
      <c r="M479" t="s">
        <v>4976</v>
      </c>
      <c r="N479" t="s">
        <v>5123</v>
      </c>
      <c r="O479" t="str" cm="1">
        <f t="array" ref="O479">_xlfn.IFS(
  TEXT(TRIM(N479),"00000")="NULL", "Missing/Unknown",
  OR(TEXT(TRIM(N479),"00000")="89101", TEXT(TRIM(N479),"00000")="89104", TEXT(TRIM(N479),"00000")="89106", TEXT(TRIM(N479),"00000")="89102", TEXT(TRIM(N479),"00000")="89107", TEXT(TRIM(N479),"00000")="89108"), "Urban Core",
  OR(TEXT(TRIM(N479),"00000")="89110", TEXT(TRIM(N479),"00000")="89115", TEXT(TRIM(N479),"00000")="89121", TEXT(TRIM(N479),"00000")="89122", TEXT(TRIM(N479),"00000")="89142", TEXT(TRIM(N479),"00000")="89156"), "East Valley",
  OR(TEXT(TRIM(N479),"00000")="89030", TEXT(TRIM(N479),"00000")="89031", TEXT(TRIM(N479),"00000")="89032", TEXT(TRIM(N479),"00000")="89086", TEXT(TRIM(N479),"00000")="89084", TEXT(TRIM(N479),"00000")="89081"), "North LV",
  OR(TEXT(TRIM(N479),"00000")="89109", TEXT(TRIM(N479),"00000")="89103", TEXT(TRIM(N479),"00000")="89119", TEXT(TRIM(N479),"00000")="89123", TEXT(TRIM(N479),"00000")="89169", TEXT(TRIM(N479),"00000")="89118"), "South/Strip",
  OR(TEXT(TRIM(N479),"00000")="89074", TEXT(TRIM(N479),"00000")="89014", TEXT(TRIM(N479),"00000")="89015", TEXT(TRIM(N479),"00000")="89011", TEXT(TRIM(N479),"00000")="89012"), "Suburban SE",
  OR(TEXT(TRIM(N479),"00000")="89117", TEXT(TRIM(N479),"00000")="89128", TEXT(TRIM(N479),"00000")="89135", TEXT(TRIM(N479),"00000")="89144", TEXT(TRIM(N479),"00000")="89145", TEXT(TRIM(N479),"00000")="89147"), "West Valley",
  TRUE, "Other"
)</f>
        <v>South/Strip</v>
      </c>
      <c r="P479" t="s">
        <v>65</v>
      </c>
      <c r="Q479" t="str">
        <f t="shared" si="30"/>
        <v>Vehicle-related</v>
      </c>
      <c r="R479" t="s">
        <v>4976</v>
      </c>
      <c r="S479" t="s">
        <v>5123</v>
      </c>
      <c r="T479" t="str" cm="1">
        <f t="array" ref="T479">_xlfn.IFS(
  TEXT(TRIM(S479),"00000")="NULL", "Missing/Unknown",
  OR(TEXT(TRIM(S479),"00000")="89101", TEXT(TRIM(S479),"00000")="89104", TEXT(TRIM(S479),"00000")="89106", TEXT(TRIM(S479),"00000")="89102", TEXT(TRIM(S479),"00000")="89107", TEXT(TRIM(S479),"00000")="89108"), "Urban Core",
  OR(TEXT(TRIM(S479),"00000")="89110", TEXT(TRIM(S479),"00000")="89115", TEXT(TRIM(S479),"00000")="89121", TEXT(TRIM(S479),"00000")="89122", TEXT(TRIM(S479),"00000")="89142", TEXT(TRIM(S479),"00000")="89156"), "East Valley",
  OR(TEXT(TRIM(S479),"00000")="89030", TEXT(TRIM(S479),"00000")="89031", TEXT(TRIM(S479),"00000")="89032", TEXT(TRIM(S479),"00000")="89086", TEXT(TRIM(S479),"00000")="89084", TEXT(TRIM(S479),"00000")="89081"), "North LV",
  OR(TEXT(TRIM(S479),"00000")="89109", TEXT(TRIM(S479),"00000")="89103", TEXT(TRIM(S479),"00000")="89119", TEXT(TRIM(S479),"00000")="89123", TEXT(TRIM(S479),"00000")="89169", TEXT(TRIM(S479),"00000")="89118"), "South/Strip",
  OR(TEXT(TRIM(S479),"00000")="89074", TEXT(TRIM(S479),"00000")="89014", TEXT(TRIM(S479),"00000")="89015", TEXT(TRIM(S479),"00000")="89011", TEXT(TRIM(S479),"00000")="89012"), "Suburban SE",
  OR(TEXT(TRIM(S479),"00000")="89117", TEXT(TRIM(S479),"00000")="89128", TEXT(TRIM(S479),"00000")="89135", TEXT(TRIM(S479),"00000")="89144", TEXT(TRIM(S479),"00000")="89145", TEXT(TRIM(S479),"00000")="89147"), "West Valley",
  TRUE, "Other"
)</f>
        <v>South/Strip</v>
      </c>
      <c r="U479" t="s">
        <v>65</v>
      </c>
      <c r="V479" t="str">
        <f t="shared" si="31"/>
        <v>Vehicle-related</v>
      </c>
    </row>
    <row r="480" spans="1:22">
      <c r="A480" t="s">
        <v>1054</v>
      </c>
      <c r="B480" t="s">
        <v>1055</v>
      </c>
      <c r="C480" s="1">
        <v>45182</v>
      </c>
      <c r="D480" s="4">
        <v>93.02</v>
      </c>
      <c r="E480">
        <v>54</v>
      </c>
      <c r="F480" t="str">
        <f t="shared" si="28"/>
        <v>50's</v>
      </c>
      <c r="G480" t="str" cm="1">
        <f t="array" ref="G480">_xlfn.IFS(
  F480="10's", "Child (5–12)",
  OR(F480="20's", F480="30's"), "Young Adult (20–39)",
  OR(F480="40's", F480="50's"), "Adult (40–59)",
  OR(F480="60's", F480="70's", F480="80's", F480="90's"), "Senior (60+)",
  TRUE, "Unknown"
)</f>
        <v>Adult (40–59)</v>
      </c>
      <c r="H480" t="s">
        <v>841</v>
      </c>
      <c r="I480" t="s">
        <v>54</v>
      </c>
      <c r="J480" t="str">
        <f t="shared" si="29"/>
        <v>Environmental Heat</v>
      </c>
      <c r="K480" t="s">
        <v>98</v>
      </c>
      <c r="L480" t="s">
        <v>1071</v>
      </c>
      <c r="M480" t="s">
        <v>4737</v>
      </c>
      <c r="N480" t="s">
        <v>5098</v>
      </c>
      <c r="O480" t="str" cm="1">
        <f t="array" ref="O480">_xlfn.IFS(
  TEXT(TRIM(N480),"00000")="NULL", "Missing/Unknown",
  OR(TEXT(TRIM(N480),"00000")="89101", TEXT(TRIM(N480),"00000")="89104", TEXT(TRIM(N480),"00000")="89106", TEXT(TRIM(N480),"00000")="89102", TEXT(TRIM(N480),"00000")="89107", TEXT(TRIM(N480),"00000")="89108"), "Urban Core",
  OR(TEXT(TRIM(N480),"00000")="89110", TEXT(TRIM(N480),"00000")="89115", TEXT(TRIM(N480),"00000")="89121", TEXT(TRIM(N480),"00000")="89122", TEXT(TRIM(N480),"00000")="89142", TEXT(TRIM(N480),"00000")="89156"), "East Valley",
  OR(TEXT(TRIM(N480),"00000")="89030", TEXT(TRIM(N480),"00000")="89031", TEXT(TRIM(N480),"00000")="89032", TEXT(TRIM(N480),"00000")="89086", TEXT(TRIM(N480),"00000")="89084", TEXT(TRIM(N480),"00000")="89081"), "North LV",
  OR(TEXT(TRIM(N480),"00000")="89109", TEXT(TRIM(N480),"00000")="89103", TEXT(TRIM(N480),"00000")="89119", TEXT(TRIM(N480),"00000")="89123", TEXT(TRIM(N480),"00000")="89169", TEXT(TRIM(N480),"00000")="89118"), "South/Strip",
  OR(TEXT(TRIM(N480),"00000")="89074", TEXT(TRIM(N480),"00000")="89014", TEXT(TRIM(N480),"00000")="89015", TEXT(TRIM(N480),"00000")="89011", TEXT(TRIM(N480),"00000")="89012"), "Suburban SE",
  OR(TEXT(TRIM(N480),"00000")="89117", TEXT(TRIM(N480),"00000")="89128", TEXT(TRIM(N480),"00000")="89135", TEXT(TRIM(N480),"00000")="89144", TEXT(TRIM(N480),"00000")="89145", TEXT(TRIM(N480),"00000")="89147"), "West Valley",
  TRUE, "Other"
)</f>
        <v>Urban Core</v>
      </c>
      <c r="P480" t="s">
        <v>3298</v>
      </c>
      <c r="Q480" t="str">
        <f t="shared" si="30"/>
        <v>Outdoors/Public</v>
      </c>
      <c r="R480" t="s">
        <v>4737</v>
      </c>
      <c r="S480" t="s">
        <v>5098</v>
      </c>
      <c r="T480" t="str" cm="1">
        <f t="array" ref="T480">_xlfn.IFS(
  TEXT(TRIM(S480),"00000")="NULL", "Missing/Unknown",
  OR(TEXT(TRIM(S480),"00000")="89101", TEXT(TRIM(S480),"00000")="89104", TEXT(TRIM(S480),"00000")="89106", TEXT(TRIM(S480),"00000")="89102", TEXT(TRIM(S480),"00000")="89107", TEXT(TRIM(S480),"00000")="89108"), "Urban Core",
  OR(TEXT(TRIM(S480),"00000")="89110", TEXT(TRIM(S480),"00000")="89115", TEXT(TRIM(S480),"00000")="89121", TEXT(TRIM(S480),"00000")="89122", TEXT(TRIM(S480),"00000")="89142", TEXT(TRIM(S480),"00000")="89156"), "East Valley",
  OR(TEXT(TRIM(S480),"00000")="89030", TEXT(TRIM(S480),"00000")="89031", TEXT(TRIM(S480),"00000")="89032", TEXT(TRIM(S480),"00000")="89086", TEXT(TRIM(S480),"00000")="89084", TEXT(TRIM(S480),"00000")="89081"), "North LV",
  OR(TEXT(TRIM(S480),"00000")="89109", TEXT(TRIM(S480),"00000")="89103", TEXT(TRIM(S480),"00000")="89119", TEXT(TRIM(S480),"00000")="89123", TEXT(TRIM(S480),"00000")="89169", TEXT(TRIM(S480),"00000")="89118"), "South/Strip",
  OR(TEXT(TRIM(S480),"00000")="89074", TEXT(TRIM(S480),"00000")="89014", TEXT(TRIM(S480),"00000")="89015", TEXT(TRIM(S480),"00000")="89011", TEXT(TRIM(S480),"00000")="89012"), "Suburban SE",
  OR(TEXT(TRIM(S480),"00000")="89117", TEXT(TRIM(S480),"00000")="89128", TEXT(TRIM(S480),"00000")="89135", TEXT(TRIM(S480),"00000")="89144", TEXT(TRIM(S480),"00000")="89145", TEXT(TRIM(S480),"00000")="89147"), "West Valley",
  TRUE, "Other"
)</f>
        <v>Urban Core</v>
      </c>
      <c r="U480" t="s">
        <v>3298</v>
      </c>
      <c r="V480" t="str">
        <f t="shared" si="31"/>
        <v>Outdoors/Public</v>
      </c>
    </row>
    <row r="481" spans="1:22">
      <c r="A481" t="s">
        <v>1051</v>
      </c>
      <c r="B481" t="s">
        <v>1052</v>
      </c>
      <c r="C481" s="1">
        <v>45178</v>
      </c>
      <c r="D481" s="4">
        <v>102.92</v>
      </c>
      <c r="E481">
        <v>71</v>
      </c>
      <c r="F481" t="str">
        <f t="shared" si="28"/>
        <v>70's</v>
      </c>
      <c r="G481" t="str" cm="1">
        <f t="array" ref="G481">_xlfn.IFS(
  F481="10's", "Child (5–12)",
  OR(F481="20's", F481="30's"), "Young Adult (20–39)",
  OR(F481="40's", F481="50's"), "Adult (40–59)",
  OR(F481="60's", F481="70's", F481="80's", F481="90's"), "Senior (60+)",
  TRUE, "Unknown"
)</f>
        <v>Senior (60+)</v>
      </c>
      <c r="H481" t="s">
        <v>841</v>
      </c>
      <c r="I481" t="s">
        <v>54</v>
      </c>
      <c r="J481" t="str">
        <f t="shared" si="29"/>
        <v>Environmental Heat</v>
      </c>
      <c r="K481" t="s">
        <v>199</v>
      </c>
      <c r="L481" t="s">
        <v>250</v>
      </c>
      <c r="M481" t="s">
        <v>4722</v>
      </c>
      <c r="N481" t="s">
        <v>5096</v>
      </c>
      <c r="O481" t="str" cm="1">
        <f t="array" ref="O481">_xlfn.IFS(
  TEXT(TRIM(N481),"00000")="NULL", "Missing/Unknown",
  OR(TEXT(TRIM(N481),"00000")="89101", TEXT(TRIM(N481),"00000")="89104", TEXT(TRIM(N481),"00000")="89106", TEXT(TRIM(N481),"00000")="89102", TEXT(TRIM(N481),"00000")="89107", TEXT(TRIM(N481),"00000")="89108"), "Urban Core",
  OR(TEXT(TRIM(N481),"00000")="89110", TEXT(TRIM(N481),"00000")="89115", TEXT(TRIM(N481),"00000")="89121", TEXT(TRIM(N481),"00000")="89122", TEXT(TRIM(N481),"00000")="89142", TEXT(TRIM(N481),"00000")="89156"), "East Valley",
  OR(TEXT(TRIM(N481),"00000")="89030", TEXT(TRIM(N481),"00000")="89031", TEXT(TRIM(N481),"00000")="89032", TEXT(TRIM(N481),"00000")="89086", TEXT(TRIM(N481),"00000")="89084", TEXT(TRIM(N481),"00000")="89081"), "North LV",
  OR(TEXT(TRIM(N481),"00000")="89109", TEXT(TRIM(N481),"00000")="89103", TEXT(TRIM(N481),"00000")="89119", TEXT(TRIM(N481),"00000")="89123", TEXT(TRIM(N481),"00000")="89169", TEXT(TRIM(N481),"00000")="89118"), "South/Strip",
  OR(TEXT(TRIM(N481),"00000")="89074", TEXT(TRIM(N481),"00000")="89014", TEXT(TRIM(N481),"00000")="89015", TEXT(TRIM(N481),"00000")="89011", TEXT(TRIM(N481),"00000")="89012"), "Suburban SE",
  OR(TEXT(TRIM(N481),"00000")="89117", TEXT(TRIM(N481),"00000")="89128", TEXT(TRIM(N481),"00000")="89135", TEXT(TRIM(N481),"00000")="89144", TEXT(TRIM(N481),"00000")="89145", TEXT(TRIM(N481),"00000")="89147"), "West Valley",
  TRUE, "Other"
)</f>
        <v>South/Strip</v>
      </c>
      <c r="P481" t="s">
        <v>3298</v>
      </c>
      <c r="Q481" t="str">
        <f t="shared" si="30"/>
        <v>Outdoors/Public</v>
      </c>
      <c r="R481" t="s">
        <v>4722</v>
      </c>
      <c r="S481" t="s">
        <v>5096</v>
      </c>
      <c r="T481" t="str" cm="1">
        <f t="array" ref="T481">_xlfn.IFS(
  TEXT(TRIM(S481),"00000")="NULL", "Missing/Unknown",
  OR(TEXT(TRIM(S481),"00000")="89101", TEXT(TRIM(S481),"00000")="89104", TEXT(TRIM(S481),"00000")="89106", TEXT(TRIM(S481),"00000")="89102", TEXT(TRIM(S481),"00000")="89107", TEXT(TRIM(S481),"00000")="89108"), "Urban Core",
  OR(TEXT(TRIM(S481),"00000")="89110", TEXT(TRIM(S481),"00000")="89115", TEXT(TRIM(S481),"00000")="89121", TEXT(TRIM(S481),"00000")="89122", TEXT(TRIM(S481),"00000")="89142", TEXT(TRIM(S481),"00000")="89156"), "East Valley",
  OR(TEXT(TRIM(S481),"00000")="89030", TEXT(TRIM(S481),"00000")="89031", TEXT(TRIM(S481),"00000")="89032", TEXT(TRIM(S481),"00000")="89086", TEXT(TRIM(S481),"00000")="89084", TEXT(TRIM(S481),"00000")="89081"), "North LV",
  OR(TEXT(TRIM(S481),"00000")="89109", TEXT(TRIM(S481),"00000")="89103", TEXT(TRIM(S481),"00000")="89119", TEXT(TRIM(S481),"00000")="89123", TEXT(TRIM(S481),"00000")="89169", TEXT(TRIM(S481),"00000")="89118"), "South/Strip",
  OR(TEXT(TRIM(S481),"00000")="89074", TEXT(TRIM(S481),"00000")="89014", TEXT(TRIM(S481),"00000")="89015", TEXT(TRIM(S481),"00000")="89011", TEXT(TRIM(S481),"00000")="89012"), "Suburban SE",
  OR(TEXT(TRIM(S481),"00000")="89117", TEXT(TRIM(S481),"00000")="89128", TEXT(TRIM(S481),"00000")="89135", TEXT(TRIM(S481),"00000")="89144", TEXT(TRIM(S481),"00000")="89145", TEXT(TRIM(S481),"00000")="89147"), "West Valley",
  TRUE, "Other"
)</f>
        <v>South/Strip</v>
      </c>
      <c r="U481" t="s">
        <v>3298</v>
      </c>
      <c r="V481" t="str">
        <f t="shared" si="31"/>
        <v>Outdoors/Public</v>
      </c>
    </row>
    <row r="482" spans="1:22">
      <c r="A482" t="s">
        <v>1047</v>
      </c>
      <c r="B482" t="s">
        <v>1048</v>
      </c>
      <c r="C482" s="1">
        <v>45175</v>
      </c>
      <c r="D482" s="4">
        <v>96.080000000000013</v>
      </c>
      <c r="E482">
        <v>56</v>
      </c>
      <c r="F482" t="str">
        <f t="shared" si="28"/>
        <v>50's</v>
      </c>
      <c r="G482" t="str" cm="1">
        <f t="array" ref="G482">_xlfn.IFS(
  F482="10's", "Child (5–12)",
  OR(F482="20's", F482="30's"), "Young Adult (20–39)",
  OR(F482="40's", F482="50's"), "Adult (40–59)",
  OR(F482="60's", F482="70's", F482="80's", F482="90's"), "Senior (60+)",
  TRUE, "Unknown"
)</f>
        <v>Adult (40–59)</v>
      </c>
      <c r="H482" t="s">
        <v>841</v>
      </c>
      <c r="I482" t="s">
        <v>4082</v>
      </c>
      <c r="J482" t="str">
        <f t="shared" si="29"/>
        <v>Environmental Heat</v>
      </c>
      <c r="K482" t="s">
        <v>1050</v>
      </c>
      <c r="L482" t="s">
        <v>1071</v>
      </c>
      <c r="N482" t="s">
        <v>5095</v>
      </c>
      <c r="O482" t="str" cm="1">
        <f t="array" ref="O482">_xlfn.IFS(
  TEXT(TRIM(N482),"00000")="NULL", "Missing/Unknown",
  OR(TEXT(TRIM(N482),"00000")="89101", TEXT(TRIM(N482),"00000")="89104", TEXT(TRIM(N482),"00000")="89106", TEXT(TRIM(N482),"00000")="89102", TEXT(TRIM(N482),"00000")="89107", TEXT(TRIM(N482),"00000")="89108"), "Urban Core",
  OR(TEXT(TRIM(N482),"00000")="89110", TEXT(TRIM(N482),"00000")="89115", TEXT(TRIM(N482),"00000")="89121", TEXT(TRIM(N482),"00000")="89122", TEXT(TRIM(N482),"00000")="89142", TEXT(TRIM(N482),"00000")="89156"), "East Valley",
  OR(TEXT(TRIM(N482),"00000")="89030", TEXT(TRIM(N482),"00000")="89031", TEXT(TRIM(N482),"00000")="89032", TEXT(TRIM(N482),"00000")="89086", TEXT(TRIM(N482),"00000")="89084", TEXT(TRIM(N482),"00000")="89081"), "North LV",
  OR(TEXT(TRIM(N482),"00000")="89109", TEXT(TRIM(N482),"00000")="89103", TEXT(TRIM(N482),"00000")="89119", TEXT(TRIM(N482),"00000")="89123", TEXT(TRIM(N482),"00000")="89169", TEXT(TRIM(N482),"00000")="89118"), "South/Strip",
  OR(TEXT(TRIM(N482),"00000")="89074", TEXT(TRIM(N482),"00000")="89014", TEXT(TRIM(N482),"00000")="89015", TEXT(TRIM(N482),"00000")="89011", TEXT(TRIM(N482),"00000")="89012"), "Suburban SE",
  OR(TEXT(TRIM(N482),"00000")="89117", TEXT(TRIM(N482),"00000")="89128", TEXT(TRIM(N482),"00000")="89135", TEXT(TRIM(N482),"00000")="89144", TEXT(TRIM(N482),"00000")="89145", TEXT(TRIM(N482),"00000")="89147"), "West Valley",
  TRUE, "Other"
)</f>
        <v>Missing/Unknown</v>
      </c>
      <c r="P482" t="s">
        <v>3298</v>
      </c>
      <c r="Q482" t="str">
        <f t="shared" si="30"/>
        <v>Outdoors/Public</v>
      </c>
      <c r="R482" t="s">
        <v>4713</v>
      </c>
      <c r="S482" t="s">
        <v>5125</v>
      </c>
      <c r="T482" t="str" cm="1">
        <f t="array" ref="T482">_xlfn.IFS(
  TEXT(TRIM(S482),"00000")="NULL", "Missing/Unknown",
  OR(TEXT(TRIM(S482),"00000")="89101", TEXT(TRIM(S482),"00000")="89104", TEXT(TRIM(S482),"00000")="89106", TEXT(TRIM(S482),"00000")="89102", TEXT(TRIM(S482),"00000")="89107", TEXT(TRIM(S482),"00000")="89108"), "Urban Core",
  OR(TEXT(TRIM(S482),"00000")="89110", TEXT(TRIM(S482),"00000")="89115", TEXT(TRIM(S482),"00000")="89121", TEXT(TRIM(S482),"00000")="89122", TEXT(TRIM(S482),"00000")="89142", TEXT(TRIM(S482),"00000")="89156"), "East Valley",
  OR(TEXT(TRIM(S482),"00000")="89030", TEXT(TRIM(S482),"00000")="89031", TEXT(TRIM(S482),"00000")="89032", TEXT(TRIM(S482),"00000")="89086", TEXT(TRIM(S482),"00000")="89084", TEXT(TRIM(S482),"00000")="89081"), "North LV",
  OR(TEXT(TRIM(S482),"00000")="89109", TEXT(TRIM(S482),"00000")="89103", TEXT(TRIM(S482),"00000")="89119", TEXT(TRIM(S482),"00000")="89123", TEXT(TRIM(S482),"00000")="89169", TEXT(TRIM(S482),"00000")="89118"), "South/Strip",
  OR(TEXT(TRIM(S482),"00000")="89074", TEXT(TRIM(S482),"00000")="89014", TEXT(TRIM(S482),"00000")="89015", TEXT(TRIM(S482),"00000")="89011", TEXT(TRIM(S482),"00000")="89012"), "Suburban SE",
  OR(TEXT(TRIM(S482),"00000")="89117", TEXT(TRIM(S482),"00000")="89128", TEXT(TRIM(S482),"00000")="89135", TEXT(TRIM(S482),"00000")="89144", TEXT(TRIM(S482),"00000")="89145", TEXT(TRIM(S482),"00000")="89147"), "West Valley",
  TRUE, "Other"
)</f>
        <v>South/Strip</v>
      </c>
      <c r="U482" t="s">
        <v>855</v>
      </c>
      <c r="V482" t="str">
        <f t="shared" si="31"/>
        <v>Medical Facility</v>
      </c>
    </row>
    <row r="483" spans="1:22">
      <c r="A483" t="s">
        <v>1043</v>
      </c>
      <c r="B483" t="s">
        <v>1044</v>
      </c>
      <c r="C483" s="1">
        <v>45172</v>
      </c>
      <c r="D483" s="4">
        <v>93.02</v>
      </c>
      <c r="E483">
        <v>52</v>
      </c>
      <c r="F483" t="str">
        <f t="shared" si="28"/>
        <v>50's</v>
      </c>
      <c r="G483" t="str" cm="1">
        <f t="array" ref="G483">_xlfn.IFS(
  F483="10's", "Child (5–12)",
  OR(F483="20's", F483="30's"), "Young Adult (20–39)",
  OR(F483="40's", F483="50's"), "Adult (40–59)",
  OR(F483="60's", F483="70's", F483="80's", F483="90's"), "Senior (60+)",
  TRUE, "Unknown"
)</f>
        <v>Adult (40–59)</v>
      </c>
      <c r="H483" t="s">
        <v>841</v>
      </c>
      <c r="I483" t="s">
        <v>34</v>
      </c>
      <c r="J483" t="str">
        <f t="shared" si="29"/>
        <v>Methamphetamine-related</v>
      </c>
      <c r="K483" t="s">
        <v>4204</v>
      </c>
      <c r="L483" t="s">
        <v>250</v>
      </c>
      <c r="M483" t="s">
        <v>4723</v>
      </c>
      <c r="N483" t="s">
        <v>5146</v>
      </c>
      <c r="O483" t="str" cm="1">
        <f t="array" ref="O483">_xlfn.IFS(
  TEXT(TRIM(N483),"00000")="NULL", "Missing/Unknown",
  OR(TEXT(TRIM(N483),"00000")="89101", TEXT(TRIM(N483),"00000")="89104", TEXT(TRIM(N483),"00000")="89106", TEXT(TRIM(N483),"00000")="89102", TEXT(TRIM(N483),"00000")="89107", TEXT(TRIM(N483),"00000")="89108"), "Urban Core",
  OR(TEXT(TRIM(N483),"00000")="89110", TEXT(TRIM(N483),"00000")="89115", TEXT(TRIM(N483),"00000")="89121", TEXT(TRIM(N483),"00000")="89122", TEXT(TRIM(N483),"00000")="89142", TEXT(TRIM(N483),"00000")="89156"), "East Valley",
  OR(TEXT(TRIM(N483),"00000")="89030", TEXT(TRIM(N483),"00000")="89031", TEXT(TRIM(N483),"00000")="89032", TEXT(TRIM(N483),"00000")="89086", TEXT(TRIM(N483),"00000")="89084", TEXT(TRIM(N483),"00000")="89081"), "North LV",
  OR(TEXT(TRIM(N483),"00000")="89109", TEXT(TRIM(N483),"00000")="89103", TEXT(TRIM(N483),"00000")="89119", TEXT(TRIM(N483),"00000")="89123", TEXT(TRIM(N483),"00000")="89169", TEXT(TRIM(N483),"00000")="89118"), "South/Strip",
  OR(TEXT(TRIM(N483),"00000")="89074", TEXT(TRIM(N483),"00000")="89014", TEXT(TRIM(N483),"00000")="89015", TEXT(TRIM(N483),"00000")="89011", TEXT(TRIM(N483),"00000")="89012"), "Suburban SE",
  OR(TEXT(TRIM(N483),"00000")="89117", TEXT(TRIM(N483),"00000")="89128", TEXT(TRIM(N483),"00000")="89135", TEXT(TRIM(N483),"00000")="89144", TEXT(TRIM(N483),"00000")="89145", TEXT(TRIM(N483),"00000")="89147"), "West Valley",
  TRUE, "Other"
)</f>
        <v>North LV</v>
      </c>
      <c r="P483" t="s">
        <v>3298</v>
      </c>
      <c r="Q483" t="str">
        <f t="shared" si="30"/>
        <v>Outdoors/Public</v>
      </c>
      <c r="R483" t="s">
        <v>4723</v>
      </c>
      <c r="S483" t="s">
        <v>5146</v>
      </c>
      <c r="T483" t="str" cm="1">
        <f t="array" ref="T483">_xlfn.IFS(
  TEXT(TRIM(S483),"00000")="NULL", "Missing/Unknown",
  OR(TEXT(TRIM(S483),"00000")="89101", TEXT(TRIM(S483),"00000")="89104", TEXT(TRIM(S483),"00000")="89106", TEXT(TRIM(S483),"00000")="89102", TEXT(TRIM(S483),"00000")="89107", TEXT(TRIM(S483),"00000")="89108"), "Urban Core",
  OR(TEXT(TRIM(S483),"00000")="89110", TEXT(TRIM(S483),"00000")="89115", TEXT(TRIM(S483),"00000")="89121", TEXT(TRIM(S483),"00000")="89122", TEXT(TRIM(S483),"00000")="89142", TEXT(TRIM(S483),"00000")="89156"), "East Valley",
  OR(TEXT(TRIM(S483),"00000")="89030", TEXT(TRIM(S483),"00000")="89031", TEXT(TRIM(S483),"00000")="89032", TEXT(TRIM(S483),"00000")="89086", TEXT(TRIM(S483),"00000")="89084", TEXT(TRIM(S483),"00000")="89081"), "North LV",
  OR(TEXT(TRIM(S483),"00000")="89109", TEXT(TRIM(S483),"00000")="89103", TEXT(TRIM(S483),"00000")="89119", TEXT(TRIM(S483),"00000")="89123", TEXT(TRIM(S483),"00000")="89169", TEXT(TRIM(S483),"00000")="89118"), "South/Strip",
  OR(TEXT(TRIM(S483),"00000")="89074", TEXT(TRIM(S483),"00000")="89014", TEXT(TRIM(S483),"00000")="89015", TEXT(TRIM(S483),"00000")="89011", TEXT(TRIM(S483),"00000")="89012"), "Suburban SE",
  OR(TEXT(TRIM(S483),"00000")="89117", TEXT(TRIM(S483),"00000")="89128", TEXT(TRIM(S483),"00000")="89135", TEXT(TRIM(S483),"00000")="89144", TEXT(TRIM(S483),"00000")="89145", TEXT(TRIM(S483),"00000")="89147"), "West Valley",
  TRUE, "Other"
)</f>
        <v>North LV</v>
      </c>
      <c r="U483" t="s">
        <v>3298</v>
      </c>
      <c r="V483" t="str">
        <f t="shared" si="31"/>
        <v>Outdoors/Public</v>
      </c>
    </row>
    <row r="484" spans="1:22">
      <c r="A484" t="s">
        <v>1038</v>
      </c>
      <c r="B484" t="s">
        <v>1039</v>
      </c>
      <c r="C484" s="1">
        <v>45172</v>
      </c>
      <c r="D484" s="4">
        <v>93.02</v>
      </c>
      <c r="E484">
        <v>71</v>
      </c>
      <c r="F484" t="str">
        <f t="shared" si="28"/>
        <v>70's</v>
      </c>
      <c r="G484" t="str" cm="1">
        <f t="array" ref="G484">_xlfn.IFS(
  F484="10's", "Child (5–12)",
  OR(F484="20's", F484="30's"), "Young Adult (20–39)",
  OR(F484="40's", F484="50's"), "Adult (40–59)",
  OR(F484="60's", F484="70's", F484="80's", F484="90's"), "Senior (60+)",
  TRUE, "Unknown"
)</f>
        <v>Senior (60+)</v>
      </c>
      <c r="H484" t="s">
        <v>298</v>
      </c>
      <c r="I484" t="s">
        <v>163</v>
      </c>
      <c r="J484" t="str">
        <f t="shared" si="29"/>
        <v>Environmental Heat</v>
      </c>
      <c r="K484" t="s">
        <v>4203</v>
      </c>
      <c r="L484" t="s">
        <v>250</v>
      </c>
      <c r="M484" t="s">
        <v>4337</v>
      </c>
      <c r="N484" t="s">
        <v>5097</v>
      </c>
      <c r="O484" t="str" cm="1">
        <f t="array" ref="O484">_xlfn.IFS(
  TEXT(TRIM(N484),"00000")="NULL", "Missing/Unknown",
  OR(TEXT(TRIM(N484),"00000")="89101", TEXT(TRIM(N484),"00000")="89104", TEXT(TRIM(N484),"00000")="89106", TEXT(TRIM(N484),"00000")="89102", TEXT(TRIM(N484),"00000")="89107", TEXT(TRIM(N484),"00000")="89108"), "Urban Core",
  OR(TEXT(TRIM(N484),"00000")="89110", TEXT(TRIM(N484),"00000")="89115", TEXT(TRIM(N484),"00000")="89121", TEXT(TRIM(N484),"00000")="89122", TEXT(TRIM(N484),"00000")="89142", TEXT(TRIM(N484),"00000")="89156"), "East Valley",
  OR(TEXT(TRIM(N484),"00000")="89030", TEXT(TRIM(N484),"00000")="89031", TEXT(TRIM(N484),"00000")="89032", TEXT(TRIM(N484),"00000")="89086", TEXT(TRIM(N484),"00000")="89084", TEXT(TRIM(N484),"00000")="89081"), "North LV",
  OR(TEXT(TRIM(N484),"00000")="89109", TEXT(TRIM(N484),"00000")="89103", TEXT(TRIM(N484),"00000")="89119", TEXT(TRIM(N484),"00000")="89123", TEXT(TRIM(N484),"00000")="89169", TEXT(TRIM(N484),"00000")="89118"), "South/Strip",
  OR(TEXT(TRIM(N484),"00000")="89074", TEXT(TRIM(N484),"00000")="89014", TEXT(TRIM(N484),"00000")="89015", TEXT(TRIM(N484),"00000")="89011", TEXT(TRIM(N484),"00000")="89012"), "Suburban SE",
  OR(TEXT(TRIM(N484),"00000")="89117", TEXT(TRIM(N484),"00000")="89128", TEXT(TRIM(N484),"00000")="89135", TEXT(TRIM(N484),"00000")="89144", TEXT(TRIM(N484),"00000")="89145", TEXT(TRIM(N484),"00000")="89147"), "West Valley",
  TRUE, "Other"
)</f>
        <v>Urban Core</v>
      </c>
      <c r="P484" t="s">
        <v>1042</v>
      </c>
      <c r="Q484" t="str">
        <f t="shared" si="30"/>
        <v>Business/Commercial</v>
      </c>
      <c r="R484" t="s">
        <v>4713</v>
      </c>
      <c r="S484" t="s">
        <v>5125</v>
      </c>
      <c r="T484" t="str" cm="1">
        <f t="array" ref="T484">_xlfn.IFS(
  TEXT(TRIM(S484),"00000")="NULL", "Missing/Unknown",
  OR(TEXT(TRIM(S484),"00000")="89101", TEXT(TRIM(S484),"00000")="89104", TEXT(TRIM(S484),"00000")="89106", TEXT(TRIM(S484),"00000")="89102", TEXT(TRIM(S484),"00000")="89107", TEXT(TRIM(S484),"00000")="89108"), "Urban Core",
  OR(TEXT(TRIM(S484),"00000")="89110", TEXT(TRIM(S484),"00000")="89115", TEXT(TRIM(S484),"00000")="89121", TEXT(TRIM(S484),"00000")="89122", TEXT(TRIM(S484),"00000")="89142", TEXT(TRIM(S484),"00000")="89156"), "East Valley",
  OR(TEXT(TRIM(S484),"00000")="89030", TEXT(TRIM(S484),"00000")="89031", TEXT(TRIM(S484),"00000")="89032", TEXT(TRIM(S484),"00000")="89086", TEXT(TRIM(S484),"00000")="89084", TEXT(TRIM(S484),"00000")="89081"), "North LV",
  OR(TEXT(TRIM(S484),"00000")="89109", TEXT(TRIM(S484),"00000")="89103", TEXT(TRIM(S484),"00000")="89119", TEXT(TRIM(S484),"00000")="89123", TEXT(TRIM(S484),"00000")="89169", TEXT(TRIM(S484),"00000")="89118"), "South/Strip",
  OR(TEXT(TRIM(S484),"00000")="89074", TEXT(TRIM(S484),"00000")="89014", TEXT(TRIM(S484),"00000")="89015", TEXT(TRIM(S484),"00000")="89011", TEXT(TRIM(S484),"00000")="89012"), "Suburban SE",
  OR(TEXT(TRIM(S484),"00000")="89117", TEXT(TRIM(S484),"00000")="89128", TEXT(TRIM(S484),"00000")="89135", TEXT(TRIM(S484),"00000")="89144", TEXT(TRIM(S484),"00000")="89145", TEXT(TRIM(S484),"00000")="89147"), "West Valley",
  TRUE, "Other"
)</f>
        <v>South/Strip</v>
      </c>
      <c r="U484" t="s">
        <v>4305</v>
      </c>
      <c r="V484" t="str">
        <f t="shared" si="31"/>
        <v>Medical Facility</v>
      </c>
    </row>
    <row r="485" spans="1:22">
      <c r="A485" t="s">
        <v>1026</v>
      </c>
      <c r="B485" t="s">
        <v>1027</v>
      </c>
      <c r="C485" s="1">
        <v>45169</v>
      </c>
      <c r="D485" s="4">
        <v>107.06</v>
      </c>
      <c r="E485">
        <v>77</v>
      </c>
      <c r="F485" t="str">
        <f t="shared" si="28"/>
        <v>70's</v>
      </c>
      <c r="G485" t="str" cm="1">
        <f t="array" ref="G485">_xlfn.IFS(
  F485="10's", "Child (5–12)",
  OR(F485="20's", F485="30's"), "Young Adult (20–39)",
  OR(F485="40's", F485="50's"), "Adult (40–59)",
  OR(F485="60's", F485="70's", F485="80's", F485="90's"), "Senior (60+)",
  TRUE, "Unknown"
)</f>
        <v>Senior (60+)</v>
      </c>
      <c r="H485" t="s">
        <v>841</v>
      </c>
      <c r="I485" t="s">
        <v>1028</v>
      </c>
      <c r="J485" t="str">
        <f t="shared" si="29"/>
        <v>Methamphetamine-related</v>
      </c>
      <c r="K485" t="s">
        <v>54</v>
      </c>
      <c r="L485" t="s">
        <v>1071</v>
      </c>
      <c r="M485" t="s">
        <v>4351</v>
      </c>
      <c r="N485" t="s">
        <v>5105</v>
      </c>
      <c r="O485" t="str" cm="1">
        <f t="array" ref="O485">_xlfn.IFS(
  TEXT(TRIM(N485),"00000")="NULL", "Missing/Unknown",
  OR(TEXT(TRIM(N485),"00000")="89101", TEXT(TRIM(N485),"00000")="89104", TEXT(TRIM(N485),"00000")="89106", TEXT(TRIM(N485),"00000")="89102", TEXT(TRIM(N485),"00000")="89107", TEXT(TRIM(N485),"00000")="89108"), "Urban Core",
  OR(TEXT(TRIM(N485),"00000")="89110", TEXT(TRIM(N485),"00000")="89115", TEXT(TRIM(N485),"00000")="89121", TEXT(TRIM(N485),"00000")="89122", TEXT(TRIM(N485),"00000")="89142", TEXT(TRIM(N485),"00000")="89156"), "East Valley",
  OR(TEXT(TRIM(N485),"00000")="89030", TEXT(TRIM(N485),"00000")="89031", TEXT(TRIM(N485),"00000")="89032", TEXT(TRIM(N485),"00000")="89086", TEXT(TRIM(N485),"00000")="89084", TEXT(TRIM(N485),"00000")="89081"), "North LV",
  OR(TEXT(TRIM(N485),"00000")="89109", TEXT(TRIM(N485),"00000")="89103", TEXT(TRIM(N485),"00000")="89119", TEXT(TRIM(N485),"00000")="89123", TEXT(TRIM(N485),"00000")="89169", TEXT(TRIM(N485),"00000")="89118"), "South/Strip",
  OR(TEXT(TRIM(N485),"00000")="89074", TEXT(TRIM(N485),"00000")="89014", TEXT(TRIM(N485),"00000")="89015", TEXT(TRIM(N485),"00000")="89011", TEXT(TRIM(N485),"00000")="89012"), "Suburban SE",
  OR(TEXT(TRIM(N485),"00000")="89117", TEXT(TRIM(N485),"00000")="89128", TEXT(TRIM(N485),"00000")="89135", TEXT(TRIM(N485),"00000")="89144", TEXT(TRIM(N485),"00000")="89145", TEXT(TRIM(N485),"00000")="89147"), "West Valley",
  TRUE, "Other"
)</f>
        <v>East Valley</v>
      </c>
      <c r="P485" t="s">
        <v>38</v>
      </c>
      <c r="Q485" t="str">
        <f t="shared" si="30"/>
        <v>Home/Residence</v>
      </c>
      <c r="R485" t="s">
        <v>4351</v>
      </c>
      <c r="S485" t="s">
        <v>5105</v>
      </c>
      <c r="T485" t="str" cm="1">
        <f t="array" ref="T485">_xlfn.IFS(
  TEXT(TRIM(S485),"00000")="NULL", "Missing/Unknown",
  OR(TEXT(TRIM(S485),"00000")="89101", TEXT(TRIM(S485),"00000")="89104", TEXT(TRIM(S485),"00000")="89106", TEXT(TRIM(S485),"00000")="89102", TEXT(TRIM(S485),"00000")="89107", TEXT(TRIM(S485),"00000")="89108"), "Urban Core",
  OR(TEXT(TRIM(S485),"00000")="89110", TEXT(TRIM(S485),"00000")="89115", TEXT(TRIM(S485),"00000")="89121", TEXT(TRIM(S485),"00000")="89122", TEXT(TRIM(S485),"00000")="89142", TEXT(TRIM(S485),"00000")="89156"), "East Valley",
  OR(TEXT(TRIM(S485),"00000")="89030", TEXT(TRIM(S485),"00000")="89031", TEXT(TRIM(S485),"00000")="89032", TEXT(TRIM(S485),"00000")="89086", TEXT(TRIM(S485),"00000")="89084", TEXT(TRIM(S485),"00000")="89081"), "North LV",
  OR(TEXT(TRIM(S485),"00000")="89109", TEXT(TRIM(S485),"00000")="89103", TEXT(TRIM(S485),"00000")="89119", TEXT(TRIM(S485),"00000")="89123", TEXT(TRIM(S485),"00000")="89169", TEXT(TRIM(S485),"00000")="89118"), "South/Strip",
  OR(TEXT(TRIM(S485),"00000")="89074", TEXT(TRIM(S485),"00000")="89014", TEXT(TRIM(S485),"00000")="89015", TEXT(TRIM(S485),"00000")="89011", TEXT(TRIM(S485),"00000")="89012"), "Suburban SE",
  OR(TEXT(TRIM(S485),"00000")="89117", TEXT(TRIM(S485),"00000")="89128", TEXT(TRIM(S485),"00000")="89135", TEXT(TRIM(S485),"00000")="89144", TEXT(TRIM(S485),"00000")="89145", TEXT(TRIM(S485),"00000")="89147"), "West Valley",
  TRUE, "Other"
)</f>
        <v>East Valley</v>
      </c>
      <c r="U485" t="s">
        <v>38</v>
      </c>
      <c r="V485" t="str">
        <f t="shared" si="31"/>
        <v>Home/Residence</v>
      </c>
    </row>
    <row r="486" spans="1:22">
      <c r="A486" t="s">
        <v>1030</v>
      </c>
      <c r="B486" t="s">
        <v>1031</v>
      </c>
      <c r="C486" s="1">
        <v>45169</v>
      </c>
      <c r="D486" s="4">
        <v>107.06</v>
      </c>
      <c r="E486">
        <v>55</v>
      </c>
      <c r="F486" t="str">
        <f t="shared" si="28"/>
        <v>50's</v>
      </c>
      <c r="G486" t="str" cm="1">
        <f t="array" ref="G486">_xlfn.IFS(
  F486="10's", "Child (5–12)",
  OR(F486="20's", F486="30's"), "Young Adult (20–39)",
  OR(F486="40's", F486="50's"), "Adult (40–59)",
  OR(F486="60's", F486="70's", F486="80's", F486="90's"), "Senior (60+)",
  TRUE, "Unknown"
)</f>
        <v>Adult (40–59)</v>
      </c>
      <c r="H486" t="s">
        <v>841</v>
      </c>
      <c r="I486" t="s">
        <v>54</v>
      </c>
      <c r="J486" t="str">
        <f t="shared" si="29"/>
        <v>Environmental Heat</v>
      </c>
      <c r="K486" t="s">
        <v>1032</v>
      </c>
      <c r="L486" t="s">
        <v>250</v>
      </c>
      <c r="M486" t="s">
        <v>4724</v>
      </c>
      <c r="N486" t="s">
        <v>5101</v>
      </c>
      <c r="O486" t="str" cm="1">
        <f t="array" ref="O486">_xlfn.IFS(
  TEXT(TRIM(N486),"00000")="NULL", "Missing/Unknown",
  OR(TEXT(TRIM(N486),"00000")="89101", TEXT(TRIM(N486),"00000")="89104", TEXT(TRIM(N486),"00000")="89106", TEXT(TRIM(N486),"00000")="89102", TEXT(TRIM(N486),"00000")="89107", TEXT(TRIM(N486),"00000")="89108"), "Urban Core",
  OR(TEXT(TRIM(N486),"00000")="89110", TEXT(TRIM(N486),"00000")="89115", TEXT(TRIM(N486),"00000")="89121", TEXT(TRIM(N486),"00000")="89122", TEXT(TRIM(N486),"00000")="89142", TEXT(TRIM(N486),"00000")="89156"), "East Valley",
  OR(TEXT(TRIM(N486),"00000")="89030", TEXT(TRIM(N486),"00000")="89031", TEXT(TRIM(N486),"00000")="89032", TEXT(TRIM(N486),"00000")="89086", TEXT(TRIM(N486),"00000")="89084", TEXT(TRIM(N486),"00000")="89081"), "North LV",
  OR(TEXT(TRIM(N486),"00000")="89109", TEXT(TRIM(N486),"00000")="89103", TEXT(TRIM(N486),"00000")="89119", TEXT(TRIM(N486),"00000")="89123", TEXT(TRIM(N486),"00000")="89169", TEXT(TRIM(N486),"00000")="89118"), "South/Strip",
  OR(TEXT(TRIM(N486),"00000")="89074", TEXT(TRIM(N486),"00000")="89014", TEXT(TRIM(N486),"00000")="89015", TEXT(TRIM(N486),"00000")="89011", TEXT(TRIM(N486),"00000")="89012"), "Suburban SE",
  OR(TEXT(TRIM(N486),"00000")="89117", TEXT(TRIM(N486),"00000")="89128", TEXT(TRIM(N486),"00000")="89135", TEXT(TRIM(N486),"00000")="89144", TEXT(TRIM(N486),"00000")="89145", TEXT(TRIM(N486),"00000")="89147"), "West Valley",
  TRUE, "Other"
)</f>
        <v>Urban Core</v>
      </c>
      <c r="P486" t="s">
        <v>3298</v>
      </c>
      <c r="Q486" t="str">
        <f t="shared" si="30"/>
        <v>Outdoors/Public</v>
      </c>
      <c r="R486" t="s">
        <v>4724</v>
      </c>
      <c r="S486" t="s">
        <v>5101</v>
      </c>
      <c r="T486" t="str" cm="1">
        <f t="array" ref="T486">_xlfn.IFS(
  TEXT(TRIM(S486),"00000")="NULL", "Missing/Unknown",
  OR(TEXT(TRIM(S486),"00000")="89101", TEXT(TRIM(S486),"00000")="89104", TEXT(TRIM(S486),"00000")="89106", TEXT(TRIM(S486),"00000")="89102", TEXT(TRIM(S486),"00000")="89107", TEXT(TRIM(S486),"00000")="89108"), "Urban Core",
  OR(TEXT(TRIM(S486),"00000")="89110", TEXT(TRIM(S486),"00000")="89115", TEXT(TRIM(S486),"00000")="89121", TEXT(TRIM(S486),"00000")="89122", TEXT(TRIM(S486),"00000")="89142", TEXT(TRIM(S486),"00000")="89156"), "East Valley",
  OR(TEXT(TRIM(S486),"00000")="89030", TEXT(TRIM(S486),"00000")="89031", TEXT(TRIM(S486),"00000")="89032", TEXT(TRIM(S486),"00000")="89086", TEXT(TRIM(S486),"00000")="89084", TEXT(TRIM(S486),"00000")="89081"), "North LV",
  OR(TEXT(TRIM(S486),"00000")="89109", TEXT(TRIM(S486),"00000")="89103", TEXT(TRIM(S486),"00000")="89119", TEXT(TRIM(S486),"00000")="89123", TEXT(TRIM(S486),"00000")="89169", TEXT(TRIM(S486),"00000")="89118"), "South/Strip",
  OR(TEXT(TRIM(S486),"00000")="89074", TEXT(TRIM(S486),"00000")="89014", TEXT(TRIM(S486),"00000")="89015", TEXT(TRIM(S486),"00000")="89011", TEXT(TRIM(S486),"00000")="89012"), "Suburban SE",
  OR(TEXT(TRIM(S486),"00000")="89117", TEXT(TRIM(S486),"00000")="89128", TEXT(TRIM(S486),"00000")="89135", TEXT(TRIM(S486),"00000")="89144", TEXT(TRIM(S486),"00000")="89145", TEXT(TRIM(S486),"00000")="89147"), "West Valley",
  TRUE, "Other"
)</f>
        <v>Urban Core</v>
      </c>
      <c r="U486" t="s">
        <v>3298</v>
      </c>
      <c r="V486" t="str">
        <f t="shared" si="31"/>
        <v>Outdoors/Public</v>
      </c>
    </row>
    <row r="487" spans="1:22">
      <c r="A487" t="s">
        <v>1034</v>
      </c>
      <c r="B487" t="s">
        <v>1035</v>
      </c>
      <c r="C487" s="1">
        <v>45169</v>
      </c>
      <c r="D487" s="4">
        <v>107.06</v>
      </c>
      <c r="E487">
        <v>44</v>
      </c>
      <c r="F487" t="str">
        <f t="shared" si="28"/>
        <v>40's</v>
      </c>
      <c r="G487" t="str" cm="1">
        <f t="array" ref="G487">_xlfn.IFS(
  F487="10's", "Child (5–12)",
  OR(F487="20's", F487="30's"), "Young Adult (20–39)",
  OR(F487="40's", F487="50's"), "Adult (40–59)",
  OR(F487="60's", F487="70's", F487="80's", F487="90's"), "Senior (60+)",
  TRUE, "Unknown"
)</f>
        <v>Adult (40–59)</v>
      </c>
      <c r="H487" t="s">
        <v>778</v>
      </c>
      <c r="I487" t="s">
        <v>34</v>
      </c>
      <c r="J487" t="str">
        <f t="shared" si="29"/>
        <v>Methamphetamine-related</v>
      </c>
      <c r="K487" t="s">
        <v>1037</v>
      </c>
      <c r="L487" t="s">
        <v>250</v>
      </c>
      <c r="N487" t="s">
        <v>5095</v>
      </c>
      <c r="O487" t="str" cm="1">
        <f t="array" ref="O487">_xlfn.IFS(
  TEXT(TRIM(N487),"00000")="NULL", "Missing/Unknown",
  OR(TEXT(TRIM(N487),"00000")="89101", TEXT(TRIM(N487),"00000")="89104", TEXT(TRIM(N487),"00000")="89106", TEXT(TRIM(N487),"00000")="89102", TEXT(TRIM(N487),"00000")="89107", TEXT(TRIM(N487),"00000")="89108"), "Urban Core",
  OR(TEXT(TRIM(N487),"00000")="89110", TEXT(TRIM(N487),"00000")="89115", TEXT(TRIM(N487),"00000")="89121", TEXT(TRIM(N487),"00000")="89122", TEXT(TRIM(N487),"00000")="89142", TEXT(TRIM(N487),"00000")="89156"), "East Valley",
  OR(TEXT(TRIM(N487),"00000")="89030", TEXT(TRIM(N487),"00000")="89031", TEXT(TRIM(N487),"00000")="89032", TEXT(TRIM(N487),"00000")="89086", TEXT(TRIM(N487),"00000")="89084", TEXT(TRIM(N487),"00000")="89081"), "North LV",
  OR(TEXT(TRIM(N487),"00000")="89109", TEXT(TRIM(N487),"00000")="89103", TEXT(TRIM(N487),"00000")="89119", TEXT(TRIM(N487),"00000")="89123", TEXT(TRIM(N487),"00000")="89169", TEXT(TRIM(N487),"00000")="89118"), "South/Strip",
  OR(TEXT(TRIM(N487),"00000")="89074", TEXT(TRIM(N487),"00000")="89014", TEXT(TRIM(N487),"00000")="89015", TEXT(TRIM(N487),"00000")="89011", TEXT(TRIM(N487),"00000")="89012"), "Suburban SE",
  OR(TEXT(TRIM(N487),"00000")="89117", TEXT(TRIM(N487),"00000")="89128", TEXT(TRIM(N487),"00000")="89135", TEXT(TRIM(N487),"00000")="89144", TEXT(TRIM(N487),"00000")="89145", TEXT(TRIM(N487),"00000")="89147"), "West Valley",
  TRUE, "Other"
)</f>
        <v>Missing/Unknown</v>
      </c>
      <c r="P487" t="s">
        <v>208</v>
      </c>
      <c r="Q487" t="str">
        <f t="shared" si="30"/>
        <v>Outdoors/Public</v>
      </c>
      <c r="R487" t="s">
        <v>4713</v>
      </c>
      <c r="S487" t="s">
        <v>5125</v>
      </c>
      <c r="T487" t="str" cm="1">
        <f t="array" ref="T487">_xlfn.IFS(
  TEXT(TRIM(S487),"00000")="NULL", "Missing/Unknown",
  OR(TEXT(TRIM(S487),"00000")="89101", TEXT(TRIM(S487),"00000")="89104", TEXT(TRIM(S487),"00000")="89106", TEXT(TRIM(S487),"00000")="89102", TEXT(TRIM(S487),"00000")="89107", TEXT(TRIM(S487),"00000")="89108"), "Urban Core",
  OR(TEXT(TRIM(S487),"00000")="89110", TEXT(TRIM(S487),"00000")="89115", TEXT(TRIM(S487),"00000")="89121", TEXT(TRIM(S487),"00000")="89122", TEXT(TRIM(S487),"00000")="89142", TEXT(TRIM(S487),"00000")="89156"), "East Valley",
  OR(TEXT(TRIM(S487),"00000")="89030", TEXT(TRIM(S487),"00000")="89031", TEXT(TRIM(S487),"00000")="89032", TEXT(TRIM(S487),"00000")="89086", TEXT(TRIM(S487),"00000")="89084", TEXT(TRIM(S487),"00000")="89081"), "North LV",
  OR(TEXT(TRIM(S487),"00000")="89109", TEXT(TRIM(S487),"00000")="89103", TEXT(TRIM(S487),"00000")="89119", TEXT(TRIM(S487),"00000")="89123", TEXT(TRIM(S487),"00000")="89169", TEXT(TRIM(S487),"00000")="89118"), "South/Strip",
  OR(TEXT(TRIM(S487),"00000")="89074", TEXT(TRIM(S487),"00000")="89014", TEXT(TRIM(S487),"00000")="89015", TEXT(TRIM(S487),"00000")="89011", TEXT(TRIM(S487),"00000")="89012"), "Suburban SE",
  OR(TEXT(TRIM(S487),"00000")="89117", TEXT(TRIM(S487),"00000")="89128", TEXT(TRIM(S487),"00000")="89135", TEXT(TRIM(S487),"00000")="89144", TEXT(TRIM(S487),"00000")="89145", TEXT(TRIM(S487),"00000")="89147"), "West Valley",
  TRUE, "Other"
)</f>
        <v>South/Strip</v>
      </c>
      <c r="U487" t="s">
        <v>4301</v>
      </c>
      <c r="V487" t="str">
        <f t="shared" si="31"/>
        <v>Medical Facility</v>
      </c>
    </row>
    <row r="488" spans="1:22">
      <c r="A488" t="s">
        <v>1022</v>
      </c>
      <c r="B488" t="s">
        <v>1023</v>
      </c>
      <c r="C488" s="1">
        <v>45168</v>
      </c>
      <c r="D488" s="4">
        <v>109.04</v>
      </c>
      <c r="E488">
        <v>39</v>
      </c>
      <c r="F488" t="str">
        <f t="shared" si="28"/>
        <v>30's</v>
      </c>
      <c r="G488" t="str" cm="1">
        <f t="array" ref="G488">_xlfn.IFS(
  F488="10's", "Child (5–12)",
  OR(F488="20's", F488="30's"), "Young Adult (20–39)",
  OR(F488="40's", F488="50's"), "Adult (40–59)",
  OR(F488="60's", F488="70's", F488="80's", F488="90's"), "Senior (60+)",
  TRUE, "Unknown"
)</f>
        <v>Young Adult (20–39)</v>
      </c>
      <c r="H488" t="s">
        <v>841</v>
      </c>
      <c r="I488" t="s">
        <v>97</v>
      </c>
      <c r="J488" t="str">
        <f t="shared" si="29"/>
        <v>Environmental Heat</v>
      </c>
      <c r="K488" t="s">
        <v>800</v>
      </c>
      <c r="L488" t="s">
        <v>250</v>
      </c>
      <c r="N488" t="s">
        <v>5095</v>
      </c>
      <c r="O488" t="str" cm="1">
        <f t="array" ref="O488">_xlfn.IFS(
  TEXT(TRIM(N488),"00000")="NULL", "Missing/Unknown",
  OR(TEXT(TRIM(N488),"00000")="89101", TEXT(TRIM(N488),"00000")="89104", TEXT(TRIM(N488),"00000")="89106", TEXT(TRIM(N488),"00000")="89102", TEXT(TRIM(N488),"00000")="89107", TEXT(TRIM(N488),"00000")="89108"), "Urban Core",
  OR(TEXT(TRIM(N488),"00000")="89110", TEXT(TRIM(N488),"00000")="89115", TEXT(TRIM(N488),"00000")="89121", TEXT(TRIM(N488),"00000")="89122", TEXT(TRIM(N488),"00000")="89142", TEXT(TRIM(N488),"00000")="89156"), "East Valley",
  OR(TEXT(TRIM(N488),"00000")="89030", TEXT(TRIM(N488),"00000")="89031", TEXT(TRIM(N488),"00000")="89032", TEXT(TRIM(N488),"00000")="89086", TEXT(TRIM(N488),"00000")="89084", TEXT(TRIM(N488),"00000")="89081"), "North LV",
  OR(TEXT(TRIM(N488),"00000")="89109", TEXT(TRIM(N488),"00000")="89103", TEXT(TRIM(N488),"00000")="89119", TEXT(TRIM(N488),"00000")="89123", TEXT(TRIM(N488),"00000")="89169", TEXT(TRIM(N488),"00000")="89118"), "South/Strip",
  OR(TEXT(TRIM(N488),"00000")="89074", TEXT(TRIM(N488),"00000")="89014", TEXT(TRIM(N488),"00000")="89015", TEXT(TRIM(N488),"00000")="89011", TEXT(TRIM(N488),"00000")="89012"), "Suburban SE",
  OR(TEXT(TRIM(N488),"00000")="89117", TEXT(TRIM(N488),"00000")="89128", TEXT(TRIM(N488),"00000")="89135", TEXT(TRIM(N488),"00000")="89144", TEXT(TRIM(N488),"00000")="89145", TEXT(TRIM(N488),"00000")="89147"), "West Valley",
  TRUE, "Other"
)</f>
        <v>Missing/Unknown</v>
      </c>
      <c r="P488" t="s">
        <v>3298</v>
      </c>
      <c r="Q488" t="str">
        <f t="shared" si="30"/>
        <v>Outdoors/Public</v>
      </c>
      <c r="R488" t="s">
        <v>5054</v>
      </c>
      <c r="S488" t="s">
        <v>5097</v>
      </c>
      <c r="T488" t="str" cm="1">
        <f t="array" ref="T488">_xlfn.IFS(
  TEXT(TRIM(S488),"00000")="NULL", "Missing/Unknown",
  OR(TEXT(TRIM(S488),"00000")="89101", TEXT(TRIM(S488),"00000")="89104", TEXT(TRIM(S488),"00000")="89106", TEXT(TRIM(S488),"00000")="89102", TEXT(TRIM(S488),"00000")="89107", TEXT(TRIM(S488),"00000")="89108"), "Urban Core",
  OR(TEXT(TRIM(S488),"00000")="89110", TEXT(TRIM(S488),"00000")="89115", TEXT(TRIM(S488),"00000")="89121", TEXT(TRIM(S488),"00000")="89122", TEXT(TRIM(S488),"00000")="89142", TEXT(TRIM(S488),"00000")="89156"), "East Valley",
  OR(TEXT(TRIM(S488),"00000")="89030", TEXT(TRIM(S488),"00000")="89031", TEXT(TRIM(S488),"00000")="89032", TEXT(TRIM(S488),"00000")="89086", TEXT(TRIM(S488),"00000")="89084", TEXT(TRIM(S488),"00000")="89081"), "North LV",
  OR(TEXT(TRIM(S488),"00000")="89109", TEXT(TRIM(S488),"00000")="89103", TEXT(TRIM(S488),"00000")="89119", TEXT(TRIM(S488),"00000")="89123", TEXT(TRIM(S488),"00000")="89169", TEXT(TRIM(S488),"00000")="89118"), "South/Strip",
  OR(TEXT(TRIM(S488),"00000")="89074", TEXT(TRIM(S488),"00000")="89014", TEXT(TRIM(S488),"00000")="89015", TEXT(TRIM(S488),"00000")="89011", TEXT(TRIM(S488),"00000")="89012"), "Suburban SE",
  OR(TEXT(TRIM(S488),"00000")="89117", TEXT(TRIM(S488),"00000")="89128", TEXT(TRIM(S488),"00000")="89135", TEXT(TRIM(S488),"00000")="89144", TEXT(TRIM(S488),"00000")="89145", TEXT(TRIM(S488),"00000")="89147"), "West Valley",
  TRUE, "Other"
)</f>
        <v>Urban Core</v>
      </c>
      <c r="U488" t="s">
        <v>4301</v>
      </c>
      <c r="V488" t="str">
        <f t="shared" si="31"/>
        <v>Medical Facility</v>
      </c>
    </row>
    <row r="489" spans="1:22">
      <c r="A489" t="s">
        <v>1024</v>
      </c>
      <c r="B489" t="s">
        <v>1025</v>
      </c>
      <c r="C489" s="1">
        <v>45168</v>
      </c>
      <c r="D489" s="4">
        <v>109.04</v>
      </c>
      <c r="E489">
        <v>43</v>
      </c>
      <c r="F489" t="str">
        <f t="shared" si="28"/>
        <v>40's</v>
      </c>
      <c r="G489" t="str" cm="1">
        <f t="array" ref="G489">_xlfn.IFS(
  F489="10's", "Child (5–12)",
  OR(F489="20's", F489="30's"), "Young Adult (20–39)",
  OR(F489="40's", F489="50's"), "Adult (40–59)",
  OR(F489="60's", F489="70's", F489="80's", F489="90's"), "Senior (60+)",
  TRUE, "Unknown"
)</f>
        <v>Adult (40–59)</v>
      </c>
      <c r="H489" t="s">
        <v>778</v>
      </c>
      <c r="I489" t="s">
        <v>97</v>
      </c>
      <c r="J489" t="str">
        <f t="shared" si="29"/>
        <v>Environmental Heat</v>
      </c>
      <c r="K489" t="s">
        <v>800</v>
      </c>
      <c r="L489" t="s">
        <v>250</v>
      </c>
      <c r="N489" t="s">
        <v>5095</v>
      </c>
      <c r="O489" t="str" cm="1">
        <f t="array" ref="O489">_xlfn.IFS(
  TEXT(TRIM(N489),"00000")="NULL", "Missing/Unknown",
  OR(TEXT(TRIM(N489),"00000")="89101", TEXT(TRIM(N489),"00000")="89104", TEXT(TRIM(N489),"00000")="89106", TEXT(TRIM(N489),"00000")="89102", TEXT(TRIM(N489),"00000")="89107", TEXT(TRIM(N489),"00000")="89108"), "Urban Core",
  OR(TEXT(TRIM(N489),"00000")="89110", TEXT(TRIM(N489),"00000")="89115", TEXT(TRIM(N489),"00000")="89121", TEXT(TRIM(N489),"00000")="89122", TEXT(TRIM(N489),"00000")="89142", TEXT(TRIM(N489),"00000")="89156"), "East Valley",
  OR(TEXT(TRIM(N489),"00000")="89030", TEXT(TRIM(N489),"00000")="89031", TEXT(TRIM(N489),"00000")="89032", TEXT(TRIM(N489),"00000")="89086", TEXT(TRIM(N489),"00000")="89084", TEXT(TRIM(N489),"00000")="89081"), "North LV",
  OR(TEXT(TRIM(N489),"00000")="89109", TEXT(TRIM(N489),"00000")="89103", TEXT(TRIM(N489),"00000")="89119", TEXT(TRIM(N489),"00000")="89123", TEXT(TRIM(N489),"00000")="89169", TEXT(TRIM(N489),"00000")="89118"), "South/Strip",
  OR(TEXT(TRIM(N489),"00000")="89074", TEXT(TRIM(N489),"00000")="89014", TEXT(TRIM(N489),"00000")="89015", TEXT(TRIM(N489),"00000")="89011", TEXT(TRIM(N489),"00000")="89012"), "Suburban SE",
  OR(TEXT(TRIM(N489),"00000")="89117", TEXT(TRIM(N489),"00000")="89128", TEXT(TRIM(N489),"00000")="89135", TEXT(TRIM(N489),"00000")="89144", TEXT(TRIM(N489),"00000")="89145", TEXT(TRIM(N489),"00000")="89147"), "West Valley",
  TRUE, "Other"
)</f>
        <v>Missing/Unknown</v>
      </c>
      <c r="P489" t="s">
        <v>3298</v>
      </c>
      <c r="Q489" t="str">
        <f t="shared" si="30"/>
        <v>Outdoors/Public</v>
      </c>
      <c r="R489" t="s">
        <v>5054</v>
      </c>
      <c r="S489" t="s">
        <v>5097</v>
      </c>
      <c r="T489" t="str" cm="1">
        <f t="array" ref="T489">_xlfn.IFS(
  TEXT(TRIM(S489),"00000")="NULL", "Missing/Unknown",
  OR(TEXT(TRIM(S489),"00000")="89101", TEXT(TRIM(S489),"00000")="89104", TEXT(TRIM(S489),"00000")="89106", TEXT(TRIM(S489),"00000")="89102", TEXT(TRIM(S489),"00000")="89107", TEXT(TRIM(S489),"00000")="89108"), "Urban Core",
  OR(TEXT(TRIM(S489),"00000")="89110", TEXT(TRIM(S489),"00000")="89115", TEXT(TRIM(S489),"00000")="89121", TEXT(TRIM(S489),"00000")="89122", TEXT(TRIM(S489),"00000")="89142", TEXT(TRIM(S489),"00000")="89156"), "East Valley",
  OR(TEXT(TRIM(S489),"00000")="89030", TEXT(TRIM(S489),"00000")="89031", TEXT(TRIM(S489),"00000")="89032", TEXT(TRIM(S489),"00000")="89086", TEXT(TRIM(S489),"00000")="89084", TEXT(TRIM(S489),"00000")="89081"), "North LV",
  OR(TEXT(TRIM(S489),"00000")="89109", TEXT(TRIM(S489),"00000")="89103", TEXT(TRIM(S489),"00000")="89119", TEXT(TRIM(S489),"00000")="89123", TEXT(TRIM(S489),"00000")="89169", TEXT(TRIM(S489),"00000")="89118"), "South/Strip",
  OR(TEXT(TRIM(S489),"00000")="89074", TEXT(TRIM(S489),"00000")="89014", TEXT(TRIM(S489),"00000")="89015", TEXT(TRIM(S489),"00000")="89011", TEXT(TRIM(S489),"00000")="89012"), "Suburban SE",
  OR(TEXT(TRIM(S489),"00000")="89117", TEXT(TRIM(S489),"00000")="89128", TEXT(TRIM(S489),"00000")="89135", TEXT(TRIM(S489),"00000")="89144", TEXT(TRIM(S489),"00000")="89145", TEXT(TRIM(S489),"00000")="89147"), "West Valley",
  TRUE, "Other"
)</f>
        <v>Urban Core</v>
      </c>
      <c r="U489" t="s">
        <v>228</v>
      </c>
      <c r="V489" t="str">
        <f t="shared" si="31"/>
        <v>Medical Facility</v>
      </c>
    </row>
    <row r="490" spans="1:22">
      <c r="A490" t="s">
        <v>1018</v>
      </c>
      <c r="B490" t="s">
        <v>1019</v>
      </c>
      <c r="C490" s="1">
        <v>45167</v>
      </c>
      <c r="D490" s="4">
        <v>109.04</v>
      </c>
      <c r="E490">
        <v>78</v>
      </c>
      <c r="F490" t="str">
        <f t="shared" si="28"/>
        <v>70's</v>
      </c>
      <c r="G490" t="str" cm="1">
        <f t="array" ref="G490">_xlfn.IFS(
  F490="10's", "Child (5–12)",
  OR(F490="20's", F490="30's"), "Young Adult (20–39)",
  OR(F490="40's", F490="50's"), "Adult (40–59)",
  OR(F490="60's", F490="70's", F490="80's", F490="90's"), "Senior (60+)",
  TRUE, "Unknown"
)</f>
        <v>Senior (60+)</v>
      </c>
      <c r="H490" t="s">
        <v>841</v>
      </c>
      <c r="I490" t="s">
        <v>63</v>
      </c>
      <c r="J490" t="str">
        <f t="shared" si="29"/>
        <v>Cardiovascular Disease</v>
      </c>
      <c r="K490" t="s">
        <v>1020</v>
      </c>
      <c r="L490" t="s">
        <v>1071</v>
      </c>
      <c r="M490" t="s">
        <v>4352</v>
      </c>
      <c r="N490" t="s">
        <v>5143</v>
      </c>
      <c r="O490" t="str" cm="1">
        <f t="array" ref="O490">_xlfn.IFS(
  TEXT(TRIM(N490),"00000")="NULL", "Missing/Unknown",
  OR(TEXT(TRIM(N490),"00000")="89101", TEXT(TRIM(N490),"00000")="89104", TEXT(TRIM(N490),"00000")="89106", TEXT(TRIM(N490),"00000")="89102", TEXT(TRIM(N490),"00000")="89107", TEXT(TRIM(N490),"00000")="89108"), "Urban Core",
  OR(TEXT(TRIM(N490),"00000")="89110", TEXT(TRIM(N490),"00000")="89115", TEXT(TRIM(N490),"00000")="89121", TEXT(TRIM(N490),"00000")="89122", TEXT(TRIM(N490),"00000")="89142", TEXT(TRIM(N490),"00000")="89156"), "East Valley",
  OR(TEXT(TRIM(N490),"00000")="89030", TEXT(TRIM(N490),"00000")="89031", TEXT(TRIM(N490),"00000")="89032", TEXT(TRIM(N490),"00000")="89086", TEXT(TRIM(N490),"00000")="89084", TEXT(TRIM(N490),"00000")="89081"), "North LV",
  OR(TEXT(TRIM(N490),"00000")="89109", TEXT(TRIM(N490),"00000")="89103", TEXT(TRIM(N490),"00000")="89119", TEXT(TRIM(N490),"00000")="89123", TEXT(TRIM(N490),"00000")="89169", TEXT(TRIM(N490),"00000")="89118"), "South/Strip",
  OR(TEXT(TRIM(N490),"00000")="89074", TEXT(TRIM(N490),"00000")="89014", TEXT(TRIM(N490),"00000")="89015", TEXT(TRIM(N490),"00000")="89011", TEXT(TRIM(N490),"00000")="89012"), "Suburban SE",
  OR(TEXT(TRIM(N490),"00000")="89117", TEXT(TRIM(N490),"00000")="89128", TEXT(TRIM(N490),"00000")="89135", TEXT(TRIM(N490),"00000")="89144", TEXT(TRIM(N490),"00000")="89145", TEXT(TRIM(N490),"00000")="89147"), "West Valley",
  TRUE, "Other"
)</f>
        <v>West Valley</v>
      </c>
      <c r="P490" t="s">
        <v>38</v>
      </c>
      <c r="Q490" t="str">
        <f t="shared" si="30"/>
        <v>Home/Residence</v>
      </c>
      <c r="R490" t="s">
        <v>4352</v>
      </c>
      <c r="S490" t="s">
        <v>5143</v>
      </c>
      <c r="T490" t="str" cm="1">
        <f t="array" ref="T490">_xlfn.IFS(
  TEXT(TRIM(S490),"00000")="NULL", "Missing/Unknown",
  OR(TEXT(TRIM(S490),"00000")="89101", TEXT(TRIM(S490),"00000")="89104", TEXT(TRIM(S490),"00000")="89106", TEXT(TRIM(S490),"00000")="89102", TEXT(TRIM(S490),"00000")="89107", TEXT(TRIM(S490),"00000")="89108"), "Urban Core",
  OR(TEXT(TRIM(S490),"00000")="89110", TEXT(TRIM(S490),"00000")="89115", TEXT(TRIM(S490),"00000")="89121", TEXT(TRIM(S490),"00000")="89122", TEXT(TRIM(S490),"00000")="89142", TEXT(TRIM(S490),"00000")="89156"), "East Valley",
  OR(TEXT(TRIM(S490),"00000")="89030", TEXT(TRIM(S490),"00000")="89031", TEXT(TRIM(S490),"00000")="89032", TEXT(TRIM(S490),"00000")="89086", TEXT(TRIM(S490),"00000")="89084", TEXT(TRIM(S490),"00000")="89081"), "North LV",
  OR(TEXT(TRIM(S490),"00000")="89109", TEXT(TRIM(S490),"00000")="89103", TEXT(TRIM(S490),"00000")="89119", TEXT(TRIM(S490),"00000")="89123", TEXT(TRIM(S490),"00000")="89169", TEXT(TRIM(S490),"00000")="89118"), "South/Strip",
  OR(TEXT(TRIM(S490),"00000")="89074", TEXT(TRIM(S490),"00000")="89014", TEXT(TRIM(S490),"00000")="89015", TEXT(TRIM(S490),"00000")="89011", TEXT(TRIM(S490),"00000")="89012"), "Suburban SE",
  OR(TEXT(TRIM(S490),"00000")="89117", TEXT(TRIM(S490),"00000")="89128", TEXT(TRIM(S490),"00000")="89135", TEXT(TRIM(S490),"00000")="89144", TEXT(TRIM(S490),"00000")="89145", TEXT(TRIM(S490),"00000")="89147"), "West Valley",
  TRUE, "Other"
)</f>
        <v>West Valley</v>
      </c>
      <c r="U490" t="s">
        <v>38</v>
      </c>
      <c r="V490" t="str">
        <f t="shared" si="31"/>
        <v>Home/Residence</v>
      </c>
    </row>
    <row r="491" spans="1:22">
      <c r="A491" t="s">
        <v>1014</v>
      </c>
      <c r="B491" t="s">
        <v>1015</v>
      </c>
      <c r="C491" s="1">
        <v>45166</v>
      </c>
      <c r="D491" s="4">
        <v>105.98</v>
      </c>
      <c r="E491">
        <v>65</v>
      </c>
      <c r="F491" t="str">
        <f t="shared" si="28"/>
        <v>60's</v>
      </c>
      <c r="G491" t="str" cm="1">
        <f t="array" ref="G491">_xlfn.IFS(
  F491="10's", "Child (5–12)",
  OR(F491="20's", F491="30's"), "Young Adult (20–39)",
  OR(F491="40's", F491="50's"), "Adult (40–59)",
  OR(F491="60's", F491="70's", F491="80's", F491="90's"), "Senior (60+)",
  TRUE, "Unknown"
)</f>
        <v>Senior (60+)</v>
      </c>
      <c r="H491" t="s">
        <v>841</v>
      </c>
      <c r="I491" t="s">
        <v>54</v>
      </c>
      <c r="J491" t="str">
        <f t="shared" si="29"/>
        <v>Environmental Heat</v>
      </c>
      <c r="K491" t="s">
        <v>4205</v>
      </c>
      <c r="L491" t="s">
        <v>250</v>
      </c>
      <c r="M491" t="s">
        <v>4657</v>
      </c>
      <c r="N491" t="s">
        <v>5098</v>
      </c>
      <c r="O491" t="str" cm="1">
        <f t="array" ref="O491">_xlfn.IFS(
  TEXT(TRIM(N491),"00000")="NULL", "Missing/Unknown",
  OR(TEXT(TRIM(N491),"00000")="89101", TEXT(TRIM(N491),"00000")="89104", TEXT(TRIM(N491),"00000")="89106", TEXT(TRIM(N491),"00000")="89102", TEXT(TRIM(N491),"00000")="89107", TEXT(TRIM(N491),"00000")="89108"), "Urban Core",
  OR(TEXT(TRIM(N491),"00000")="89110", TEXT(TRIM(N491),"00000")="89115", TEXT(TRIM(N491),"00000")="89121", TEXT(TRIM(N491),"00000")="89122", TEXT(TRIM(N491),"00000")="89142", TEXT(TRIM(N491),"00000")="89156"), "East Valley",
  OR(TEXT(TRIM(N491),"00000")="89030", TEXT(TRIM(N491),"00000")="89031", TEXT(TRIM(N491),"00000")="89032", TEXT(TRIM(N491),"00000")="89086", TEXT(TRIM(N491),"00000")="89084", TEXT(TRIM(N491),"00000")="89081"), "North LV",
  OR(TEXT(TRIM(N491),"00000")="89109", TEXT(TRIM(N491),"00000")="89103", TEXT(TRIM(N491),"00000")="89119", TEXT(TRIM(N491),"00000")="89123", TEXT(TRIM(N491),"00000")="89169", TEXT(TRIM(N491),"00000")="89118"), "South/Strip",
  OR(TEXT(TRIM(N491),"00000")="89074", TEXT(TRIM(N491),"00000")="89014", TEXT(TRIM(N491),"00000")="89015", TEXT(TRIM(N491),"00000")="89011", TEXT(TRIM(N491),"00000")="89012"), "Suburban SE",
  OR(TEXT(TRIM(N491),"00000")="89117", TEXT(TRIM(N491),"00000")="89128", TEXT(TRIM(N491),"00000")="89135", TEXT(TRIM(N491),"00000")="89144", TEXT(TRIM(N491),"00000")="89145", TEXT(TRIM(N491),"00000")="89147"), "West Valley",
  TRUE, "Other"
)</f>
        <v>Urban Core</v>
      </c>
      <c r="P491" t="s">
        <v>3298</v>
      </c>
      <c r="Q491" t="str">
        <f t="shared" si="30"/>
        <v>Outdoors/Public</v>
      </c>
      <c r="R491" t="s">
        <v>4657</v>
      </c>
      <c r="S491" t="s">
        <v>5098</v>
      </c>
      <c r="T491" t="str" cm="1">
        <f t="array" ref="T491">_xlfn.IFS(
  TEXT(TRIM(S491),"00000")="NULL", "Missing/Unknown",
  OR(TEXT(TRIM(S491),"00000")="89101", TEXT(TRIM(S491),"00000")="89104", TEXT(TRIM(S491),"00000")="89106", TEXT(TRIM(S491),"00000")="89102", TEXT(TRIM(S491),"00000")="89107", TEXT(TRIM(S491),"00000")="89108"), "Urban Core",
  OR(TEXT(TRIM(S491),"00000")="89110", TEXT(TRIM(S491),"00000")="89115", TEXT(TRIM(S491),"00000")="89121", TEXT(TRIM(S491),"00000")="89122", TEXT(TRIM(S491),"00000")="89142", TEXT(TRIM(S491),"00000")="89156"), "East Valley",
  OR(TEXT(TRIM(S491),"00000")="89030", TEXT(TRIM(S491),"00000")="89031", TEXT(TRIM(S491),"00000")="89032", TEXT(TRIM(S491),"00000")="89086", TEXT(TRIM(S491),"00000")="89084", TEXT(TRIM(S491),"00000")="89081"), "North LV",
  OR(TEXT(TRIM(S491),"00000")="89109", TEXT(TRIM(S491),"00000")="89103", TEXT(TRIM(S491),"00000")="89119", TEXT(TRIM(S491),"00000")="89123", TEXT(TRIM(S491),"00000")="89169", TEXT(TRIM(S491),"00000")="89118"), "South/Strip",
  OR(TEXT(TRIM(S491),"00000")="89074", TEXT(TRIM(S491),"00000")="89014", TEXT(TRIM(S491),"00000")="89015", TEXT(TRIM(S491),"00000")="89011", TEXT(TRIM(S491),"00000")="89012"), "Suburban SE",
  OR(TEXT(TRIM(S491),"00000")="89117", TEXT(TRIM(S491),"00000")="89128", TEXT(TRIM(S491),"00000")="89135", TEXT(TRIM(S491),"00000")="89144", TEXT(TRIM(S491),"00000")="89145", TEXT(TRIM(S491),"00000")="89147"), "West Valley",
  TRUE, "Other"
)</f>
        <v>Urban Core</v>
      </c>
      <c r="U491" t="s">
        <v>3298</v>
      </c>
      <c r="V491" t="str">
        <f t="shared" si="31"/>
        <v>Outdoors/Public</v>
      </c>
    </row>
    <row r="492" spans="1:22">
      <c r="A492" t="s">
        <v>1011</v>
      </c>
      <c r="B492" t="s">
        <v>1012</v>
      </c>
      <c r="C492" s="1">
        <v>45166</v>
      </c>
      <c r="D492" s="4">
        <v>105.98</v>
      </c>
      <c r="E492">
        <v>39</v>
      </c>
      <c r="F492" t="str">
        <f t="shared" si="28"/>
        <v>30's</v>
      </c>
      <c r="G492" t="str" cm="1">
        <f t="array" ref="G492">_xlfn.IFS(
  F492="10's", "Child (5–12)",
  OR(F492="20's", F492="30's"), "Young Adult (20–39)",
  OR(F492="40's", F492="50's"), "Adult (40–59)",
  OR(F492="60's", F492="70's", F492="80's", F492="90's"), "Senior (60+)",
  TRUE, "Unknown"
)</f>
        <v>Young Adult (20–39)</v>
      </c>
      <c r="H492" t="s">
        <v>841</v>
      </c>
      <c r="I492" t="s">
        <v>54</v>
      </c>
      <c r="J492" t="str">
        <f t="shared" si="29"/>
        <v>Environmental Heat</v>
      </c>
      <c r="K492" t="s">
        <v>800</v>
      </c>
      <c r="L492" t="s">
        <v>250</v>
      </c>
      <c r="M492" t="s">
        <v>4725</v>
      </c>
      <c r="N492" t="s">
        <v>5121</v>
      </c>
      <c r="O492" t="str" cm="1">
        <f t="array" ref="O492">_xlfn.IFS(
  TEXT(TRIM(N492),"00000")="NULL", "Missing/Unknown",
  OR(TEXT(TRIM(N492),"00000")="89101", TEXT(TRIM(N492),"00000")="89104", TEXT(TRIM(N492),"00000")="89106", TEXT(TRIM(N492),"00000")="89102", TEXT(TRIM(N492),"00000")="89107", TEXT(TRIM(N492),"00000")="89108"), "Urban Core",
  OR(TEXT(TRIM(N492),"00000")="89110", TEXT(TRIM(N492),"00000")="89115", TEXT(TRIM(N492),"00000")="89121", TEXT(TRIM(N492),"00000")="89122", TEXT(TRIM(N492),"00000")="89142", TEXT(TRIM(N492),"00000")="89156"), "East Valley",
  OR(TEXT(TRIM(N492),"00000")="89030", TEXT(TRIM(N492),"00000")="89031", TEXT(TRIM(N492),"00000")="89032", TEXT(TRIM(N492),"00000")="89086", TEXT(TRIM(N492),"00000")="89084", TEXT(TRIM(N492),"00000")="89081"), "North LV",
  OR(TEXT(TRIM(N492),"00000")="89109", TEXT(TRIM(N492),"00000")="89103", TEXT(TRIM(N492),"00000")="89119", TEXT(TRIM(N492),"00000")="89123", TEXT(TRIM(N492),"00000")="89169", TEXT(TRIM(N492),"00000")="89118"), "South/Strip",
  OR(TEXT(TRIM(N492),"00000")="89074", TEXT(TRIM(N492),"00000")="89014", TEXT(TRIM(N492),"00000")="89015", TEXT(TRIM(N492),"00000")="89011", TEXT(TRIM(N492),"00000")="89012"), "Suburban SE",
  OR(TEXT(TRIM(N492),"00000")="89117", TEXT(TRIM(N492),"00000")="89128", TEXT(TRIM(N492),"00000")="89135", TEXT(TRIM(N492),"00000")="89144", TEXT(TRIM(N492),"00000")="89145", TEXT(TRIM(N492),"00000")="89147"), "West Valley",
  TRUE, "Other"
)</f>
        <v>East Valley</v>
      </c>
      <c r="P492" t="s">
        <v>3298</v>
      </c>
      <c r="Q492" t="str">
        <f t="shared" si="30"/>
        <v>Outdoors/Public</v>
      </c>
      <c r="R492" t="s">
        <v>4725</v>
      </c>
      <c r="S492" t="s">
        <v>5121</v>
      </c>
      <c r="T492" t="str" cm="1">
        <f t="array" ref="T492">_xlfn.IFS(
  TEXT(TRIM(S492),"00000")="NULL", "Missing/Unknown",
  OR(TEXT(TRIM(S492),"00000")="89101", TEXT(TRIM(S492),"00000")="89104", TEXT(TRIM(S492),"00000")="89106", TEXT(TRIM(S492),"00000")="89102", TEXT(TRIM(S492),"00000")="89107", TEXT(TRIM(S492),"00000")="89108"), "Urban Core",
  OR(TEXT(TRIM(S492),"00000")="89110", TEXT(TRIM(S492),"00000")="89115", TEXT(TRIM(S492),"00000")="89121", TEXT(TRIM(S492),"00000")="89122", TEXT(TRIM(S492),"00000")="89142", TEXT(TRIM(S492),"00000")="89156"), "East Valley",
  OR(TEXT(TRIM(S492),"00000")="89030", TEXT(TRIM(S492),"00000")="89031", TEXT(TRIM(S492),"00000")="89032", TEXT(TRIM(S492),"00000")="89086", TEXT(TRIM(S492),"00000")="89084", TEXT(TRIM(S492),"00000")="89081"), "North LV",
  OR(TEXT(TRIM(S492),"00000")="89109", TEXT(TRIM(S492),"00000")="89103", TEXT(TRIM(S492),"00000")="89119", TEXT(TRIM(S492),"00000")="89123", TEXT(TRIM(S492),"00000")="89169", TEXT(TRIM(S492),"00000")="89118"), "South/Strip",
  OR(TEXT(TRIM(S492),"00000")="89074", TEXT(TRIM(S492),"00000")="89014", TEXT(TRIM(S492),"00000")="89015", TEXT(TRIM(S492),"00000")="89011", TEXT(TRIM(S492),"00000")="89012"), "Suburban SE",
  OR(TEXT(TRIM(S492),"00000")="89117", TEXT(TRIM(S492),"00000")="89128", TEXT(TRIM(S492),"00000")="89135", TEXT(TRIM(S492),"00000")="89144", TEXT(TRIM(S492),"00000")="89145", TEXT(TRIM(S492),"00000")="89147"), "West Valley",
  TRUE, "Other"
)</f>
        <v>East Valley</v>
      </c>
      <c r="U492" t="s">
        <v>3298</v>
      </c>
      <c r="V492" t="str">
        <f t="shared" si="31"/>
        <v>Outdoors/Public</v>
      </c>
    </row>
    <row r="493" spans="1:22">
      <c r="A493" t="s">
        <v>1007</v>
      </c>
      <c r="B493" t="s">
        <v>1008</v>
      </c>
      <c r="C493" s="1">
        <v>45165</v>
      </c>
      <c r="D493" s="4">
        <v>105.98</v>
      </c>
      <c r="E493">
        <v>59</v>
      </c>
      <c r="F493" t="str">
        <f t="shared" si="28"/>
        <v>50's</v>
      </c>
      <c r="G493" t="str" cm="1">
        <f t="array" ref="G493">_xlfn.IFS(
  F493="10's", "Child (5–12)",
  OR(F493="20's", F493="30's"), "Young Adult (20–39)",
  OR(F493="40's", F493="50's"), "Adult (40–59)",
  OR(F493="60's", F493="70's", F493="80's", F493="90's"), "Senior (60+)",
  TRUE, "Unknown"
)</f>
        <v>Adult (40–59)</v>
      </c>
      <c r="H493" t="s">
        <v>841</v>
      </c>
      <c r="I493" t="s">
        <v>4083</v>
      </c>
      <c r="J493" t="str">
        <f t="shared" si="29"/>
        <v>Cardiovascular Disease</v>
      </c>
      <c r="K493" t="s">
        <v>185</v>
      </c>
      <c r="L493" t="s">
        <v>1071</v>
      </c>
      <c r="M493" t="s">
        <v>4353</v>
      </c>
      <c r="N493" t="s">
        <v>5122</v>
      </c>
      <c r="O493" t="str" cm="1">
        <f t="array" ref="O493">_xlfn.IFS(
  TEXT(TRIM(N493),"00000")="NULL", "Missing/Unknown",
  OR(TEXT(TRIM(N493),"00000")="89101", TEXT(TRIM(N493),"00000")="89104", TEXT(TRIM(N493),"00000")="89106", TEXT(TRIM(N493),"00000")="89102", TEXT(TRIM(N493),"00000")="89107", TEXT(TRIM(N493),"00000")="89108"), "Urban Core",
  OR(TEXT(TRIM(N493),"00000")="89110", TEXT(TRIM(N493),"00000")="89115", TEXT(TRIM(N493),"00000")="89121", TEXT(TRIM(N493),"00000")="89122", TEXT(TRIM(N493),"00000")="89142", TEXT(TRIM(N493),"00000")="89156"), "East Valley",
  OR(TEXT(TRIM(N493),"00000")="89030", TEXT(TRIM(N493),"00000")="89031", TEXT(TRIM(N493),"00000")="89032", TEXT(TRIM(N493),"00000")="89086", TEXT(TRIM(N493),"00000")="89084", TEXT(TRIM(N493),"00000")="89081"), "North LV",
  OR(TEXT(TRIM(N493),"00000")="89109", TEXT(TRIM(N493),"00000")="89103", TEXT(TRIM(N493),"00000")="89119", TEXT(TRIM(N493),"00000")="89123", TEXT(TRIM(N493),"00000")="89169", TEXT(TRIM(N493),"00000")="89118"), "South/Strip",
  OR(TEXT(TRIM(N493),"00000")="89074", TEXT(TRIM(N493),"00000")="89014", TEXT(TRIM(N493),"00000")="89015", TEXT(TRIM(N493),"00000")="89011", TEXT(TRIM(N493),"00000")="89012"), "Suburban SE",
  OR(TEXT(TRIM(N493),"00000")="89117", TEXT(TRIM(N493),"00000")="89128", TEXT(TRIM(N493),"00000")="89135", TEXT(TRIM(N493),"00000")="89144", TEXT(TRIM(N493),"00000")="89145", TEXT(TRIM(N493),"00000")="89147"), "West Valley",
  TRUE, "Other"
)</f>
        <v>East Valley</v>
      </c>
      <c r="P493" t="s">
        <v>38</v>
      </c>
      <c r="Q493" t="str">
        <f t="shared" si="30"/>
        <v>Home/Residence</v>
      </c>
      <c r="R493" t="s">
        <v>4353</v>
      </c>
      <c r="S493" t="s">
        <v>5122</v>
      </c>
      <c r="T493" t="str" cm="1">
        <f t="array" ref="T493">_xlfn.IFS(
  TEXT(TRIM(S493),"00000")="NULL", "Missing/Unknown",
  OR(TEXT(TRIM(S493),"00000")="89101", TEXT(TRIM(S493),"00000")="89104", TEXT(TRIM(S493),"00000")="89106", TEXT(TRIM(S493),"00000")="89102", TEXT(TRIM(S493),"00000")="89107", TEXT(TRIM(S493),"00000")="89108"), "Urban Core",
  OR(TEXT(TRIM(S493),"00000")="89110", TEXT(TRIM(S493),"00000")="89115", TEXT(TRIM(S493),"00000")="89121", TEXT(TRIM(S493),"00000")="89122", TEXT(TRIM(S493),"00000")="89142", TEXT(TRIM(S493),"00000")="89156"), "East Valley",
  OR(TEXT(TRIM(S493),"00000")="89030", TEXT(TRIM(S493),"00000")="89031", TEXT(TRIM(S493),"00000")="89032", TEXT(TRIM(S493),"00000")="89086", TEXT(TRIM(S493),"00000")="89084", TEXT(TRIM(S493),"00000")="89081"), "North LV",
  OR(TEXT(TRIM(S493),"00000")="89109", TEXT(TRIM(S493),"00000")="89103", TEXT(TRIM(S493),"00000")="89119", TEXT(TRIM(S493),"00000")="89123", TEXT(TRIM(S493),"00000")="89169", TEXT(TRIM(S493),"00000")="89118"), "South/Strip",
  OR(TEXT(TRIM(S493),"00000")="89074", TEXT(TRIM(S493),"00000")="89014", TEXT(TRIM(S493),"00000")="89015", TEXT(TRIM(S493),"00000")="89011", TEXT(TRIM(S493),"00000")="89012"), "Suburban SE",
  OR(TEXT(TRIM(S493),"00000")="89117", TEXT(TRIM(S493),"00000")="89128", TEXT(TRIM(S493),"00000")="89135", TEXT(TRIM(S493),"00000")="89144", TEXT(TRIM(S493),"00000")="89145", TEXT(TRIM(S493),"00000")="89147"), "West Valley",
  TRUE, "Other"
)</f>
        <v>East Valley</v>
      </c>
      <c r="U493" t="s">
        <v>38</v>
      </c>
      <c r="V493" t="str">
        <f t="shared" si="31"/>
        <v>Home/Residence</v>
      </c>
    </row>
    <row r="494" spans="1:22">
      <c r="A494" t="s">
        <v>1000</v>
      </c>
      <c r="B494" t="s">
        <v>1001</v>
      </c>
      <c r="C494" s="1">
        <v>45154</v>
      </c>
      <c r="D494" s="4">
        <v>102.02</v>
      </c>
      <c r="E494">
        <v>61</v>
      </c>
      <c r="F494" t="str">
        <f t="shared" si="28"/>
        <v>60's</v>
      </c>
      <c r="G494" t="str" cm="1">
        <f t="array" ref="G494">_xlfn.IFS(
  F494="10's", "Child (5–12)",
  OR(F494="20's", F494="30's"), "Young Adult (20–39)",
  OR(F494="40's", F494="50's"), "Adult (40–59)",
  OR(F494="60's", F494="70's", F494="80's", F494="90's"), "Senior (60+)",
  TRUE, "Unknown"
)</f>
        <v>Senior (60+)</v>
      </c>
      <c r="H494" t="s">
        <v>841</v>
      </c>
      <c r="I494" t="s">
        <v>4025</v>
      </c>
      <c r="J494" t="str">
        <f t="shared" si="29"/>
        <v>Methamphetamine-related</v>
      </c>
      <c r="K494" t="s">
        <v>4206</v>
      </c>
      <c r="L494" t="s">
        <v>1071</v>
      </c>
      <c r="M494" t="s">
        <v>4876</v>
      </c>
      <c r="N494" t="s">
        <v>5119</v>
      </c>
      <c r="O494" t="str" cm="1">
        <f t="array" ref="O494">_xlfn.IFS(
  TEXT(TRIM(N494),"00000")="NULL", "Missing/Unknown",
  OR(TEXT(TRIM(N494),"00000")="89101", TEXT(TRIM(N494),"00000")="89104", TEXT(TRIM(N494),"00000")="89106", TEXT(TRIM(N494),"00000")="89102", TEXT(TRIM(N494),"00000")="89107", TEXT(TRIM(N494),"00000")="89108"), "Urban Core",
  OR(TEXT(TRIM(N494),"00000")="89110", TEXT(TRIM(N494),"00000")="89115", TEXT(TRIM(N494),"00000")="89121", TEXT(TRIM(N494),"00000")="89122", TEXT(TRIM(N494),"00000")="89142", TEXT(TRIM(N494),"00000")="89156"), "East Valley",
  OR(TEXT(TRIM(N494),"00000")="89030", TEXT(TRIM(N494),"00000")="89031", TEXT(TRIM(N494),"00000")="89032", TEXT(TRIM(N494),"00000")="89086", TEXT(TRIM(N494),"00000")="89084", TEXT(TRIM(N494),"00000")="89081"), "North LV",
  OR(TEXT(TRIM(N494),"00000")="89109", TEXT(TRIM(N494),"00000")="89103", TEXT(TRIM(N494),"00000")="89119", TEXT(TRIM(N494),"00000")="89123", TEXT(TRIM(N494),"00000")="89169", TEXT(TRIM(N494),"00000")="89118"), "South/Strip",
  OR(TEXT(TRIM(N494),"00000")="89074", TEXT(TRIM(N494),"00000")="89014", TEXT(TRIM(N494),"00000")="89015", TEXT(TRIM(N494),"00000")="89011", TEXT(TRIM(N494),"00000")="89012"), "Suburban SE",
  OR(TEXT(TRIM(N494),"00000")="89117", TEXT(TRIM(N494),"00000")="89128", TEXT(TRIM(N494),"00000")="89135", TEXT(TRIM(N494),"00000")="89144", TEXT(TRIM(N494),"00000")="89145", TEXT(TRIM(N494),"00000")="89147"), "West Valley",
  TRUE, "Other"
)</f>
        <v>Urban Core</v>
      </c>
      <c r="P494" t="s">
        <v>24</v>
      </c>
      <c r="Q494" t="str">
        <f t="shared" si="30"/>
        <v>Outdoors/Public</v>
      </c>
      <c r="R494" t="s">
        <v>4876</v>
      </c>
      <c r="S494" t="s">
        <v>5119</v>
      </c>
      <c r="T494" t="str" cm="1">
        <f t="array" ref="T494">_xlfn.IFS(
  TEXT(TRIM(S494),"00000")="NULL", "Missing/Unknown",
  OR(TEXT(TRIM(S494),"00000")="89101", TEXT(TRIM(S494),"00000")="89104", TEXT(TRIM(S494),"00000")="89106", TEXT(TRIM(S494),"00000")="89102", TEXT(TRIM(S494),"00000")="89107", TEXT(TRIM(S494),"00000")="89108"), "Urban Core",
  OR(TEXT(TRIM(S494),"00000")="89110", TEXT(TRIM(S494),"00000")="89115", TEXT(TRIM(S494),"00000")="89121", TEXT(TRIM(S494),"00000")="89122", TEXT(TRIM(S494),"00000")="89142", TEXT(TRIM(S494),"00000")="89156"), "East Valley",
  OR(TEXT(TRIM(S494),"00000")="89030", TEXT(TRIM(S494),"00000")="89031", TEXT(TRIM(S494),"00000")="89032", TEXT(TRIM(S494),"00000")="89086", TEXT(TRIM(S494),"00000")="89084", TEXT(TRIM(S494),"00000")="89081"), "North LV",
  OR(TEXT(TRIM(S494),"00000")="89109", TEXT(TRIM(S494),"00000")="89103", TEXT(TRIM(S494),"00000")="89119", TEXT(TRIM(S494),"00000")="89123", TEXT(TRIM(S494),"00000")="89169", TEXT(TRIM(S494),"00000")="89118"), "South/Strip",
  OR(TEXT(TRIM(S494),"00000")="89074", TEXT(TRIM(S494),"00000")="89014", TEXT(TRIM(S494),"00000")="89015", TEXT(TRIM(S494),"00000")="89011", TEXT(TRIM(S494),"00000")="89012"), "Suburban SE",
  OR(TEXT(TRIM(S494),"00000")="89117", TEXT(TRIM(S494),"00000")="89128", TEXT(TRIM(S494),"00000")="89135", TEXT(TRIM(S494),"00000")="89144", TEXT(TRIM(S494),"00000")="89145", TEXT(TRIM(S494),"00000")="89147"), "West Valley",
  TRUE, "Other"
)</f>
        <v>Urban Core</v>
      </c>
      <c r="U494" t="s">
        <v>24</v>
      </c>
      <c r="V494" t="str">
        <f t="shared" si="31"/>
        <v>Outdoors/Public</v>
      </c>
    </row>
    <row r="495" spans="1:22">
      <c r="A495" t="s">
        <v>1004</v>
      </c>
      <c r="B495" t="s">
        <v>1005</v>
      </c>
      <c r="C495" s="1">
        <v>45154</v>
      </c>
      <c r="D495" s="4">
        <v>102.02</v>
      </c>
      <c r="E495">
        <v>61</v>
      </c>
      <c r="F495" t="str">
        <f t="shared" si="28"/>
        <v>60's</v>
      </c>
      <c r="G495" t="str" cm="1">
        <f t="array" ref="G495">_xlfn.IFS(
  F495="10's", "Child (5–12)",
  OR(F495="20's", F495="30's"), "Young Adult (20–39)",
  OR(F495="40's", F495="50's"), "Adult (40–59)",
  OR(F495="60's", F495="70's", F495="80's", F495="90's"), "Senior (60+)",
  TRUE, "Unknown"
)</f>
        <v>Senior (60+)</v>
      </c>
      <c r="H495" t="s">
        <v>27</v>
      </c>
      <c r="I495" t="s">
        <v>4084</v>
      </c>
      <c r="J495" t="str">
        <f t="shared" si="29"/>
        <v>Cardiovascular Disease</v>
      </c>
      <c r="K495" t="s">
        <v>159</v>
      </c>
      <c r="L495" t="s">
        <v>1071</v>
      </c>
      <c r="M495" t="s">
        <v>4354</v>
      </c>
      <c r="N495" t="s">
        <v>5128</v>
      </c>
      <c r="O495" t="str" cm="1">
        <f t="array" ref="O495">_xlfn.IFS(
  TEXT(TRIM(N495),"00000")="NULL", "Missing/Unknown",
  OR(TEXT(TRIM(N495),"00000")="89101", TEXT(TRIM(N495),"00000")="89104", TEXT(TRIM(N495),"00000")="89106", TEXT(TRIM(N495),"00000")="89102", TEXT(TRIM(N495),"00000")="89107", TEXT(TRIM(N495),"00000")="89108"), "Urban Core",
  OR(TEXT(TRIM(N495),"00000")="89110", TEXT(TRIM(N495),"00000")="89115", TEXT(TRIM(N495),"00000")="89121", TEXT(TRIM(N495),"00000")="89122", TEXT(TRIM(N495),"00000")="89142", TEXT(TRIM(N495),"00000")="89156"), "East Valley",
  OR(TEXT(TRIM(N495),"00000")="89030", TEXT(TRIM(N495),"00000")="89031", TEXT(TRIM(N495),"00000")="89032", TEXT(TRIM(N495),"00000")="89086", TEXT(TRIM(N495),"00000")="89084", TEXT(TRIM(N495),"00000")="89081"), "North LV",
  OR(TEXT(TRIM(N495),"00000")="89109", TEXT(TRIM(N495),"00000")="89103", TEXT(TRIM(N495),"00000")="89119", TEXT(TRIM(N495),"00000")="89123", TEXT(TRIM(N495),"00000")="89169", TEXT(TRIM(N495),"00000")="89118"), "South/Strip",
  OR(TEXT(TRIM(N495),"00000")="89074", TEXT(TRIM(N495),"00000")="89014", TEXT(TRIM(N495),"00000")="89015", TEXT(TRIM(N495),"00000")="89011", TEXT(TRIM(N495),"00000")="89012"), "Suburban SE",
  OR(TEXT(TRIM(N495),"00000")="89117", TEXT(TRIM(N495),"00000")="89128", TEXT(TRIM(N495),"00000")="89135", TEXT(TRIM(N495),"00000")="89144", TEXT(TRIM(N495),"00000")="89145", TEXT(TRIM(N495),"00000")="89147"), "West Valley",
  TRUE, "Other"
)</f>
        <v>East Valley</v>
      </c>
      <c r="P495" t="s">
        <v>38</v>
      </c>
      <c r="Q495" t="str">
        <f t="shared" si="30"/>
        <v>Home/Residence</v>
      </c>
      <c r="R495" t="s">
        <v>4354</v>
      </c>
      <c r="S495" t="s">
        <v>5128</v>
      </c>
      <c r="T495" t="str" cm="1">
        <f t="array" ref="T495">_xlfn.IFS(
  TEXT(TRIM(S495),"00000")="NULL", "Missing/Unknown",
  OR(TEXT(TRIM(S495),"00000")="89101", TEXT(TRIM(S495),"00000")="89104", TEXT(TRIM(S495),"00000")="89106", TEXT(TRIM(S495),"00000")="89102", TEXT(TRIM(S495),"00000")="89107", TEXT(TRIM(S495),"00000")="89108"), "Urban Core",
  OR(TEXT(TRIM(S495),"00000")="89110", TEXT(TRIM(S495),"00000")="89115", TEXT(TRIM(S495),"00000")="89121", TEXT(TRIM(S495),"00000")="89122", TEXT(TRIM(S495),"00000")="89142", TEXT(TRIM(S495),"00000")="89156"), "East Valley",
  OR(TEXT(TRIM(S495),"00000")="89030", TEXT(TRIM(S495),"00000")="89031", TEXT(TRIM(S495),"00000")="89032", TEXT(TRIM(S495),"00000")="89086", TEXT(TRIM(S495),"00000")="89084", TEXT(TRIM(S495),"00000")="89081"), "North LV",
  OR(TEXT(TRIM(S495),"00000")="89109", TEXT(TRIM(S495),"00000")="89103", TEXT(TRIM(S495),"00000")="89119", TEXT(TRIM(S495),"00000")="89123", TEXT(TRIM(S495),"00000")="89169", TEXT(TRIM(S495),"00000")="89118"), "South/Strip",
  OR(TEXT(TRIM(S495),"00000")="89074", TEXT(TRIM(S495),"00000")="89014", TEXT(TRIM(S495),"00000")="89015", TEXT(TRIM(S495),"00000")="89011", TEXT(TRIM(S495),"00000")="89012"), "Suburban SE",
  OR(TEXT(TRIM(S495),"00000")="89117", TEXT(TRIM(S495),"00000")="89128", TEXT(TRIM(S495),"00000")="89135", TEXT(TRIM(S495),"00000")="89144", TEXT(TRIM(S495),"00000")="89145", TEXT(TRIM(S495),"00000")="89147"), "West Valley",
  TRUE, "Other"
)</f>
        <v>East Valley</v>
      </c>
      <c r="U495" t="s">
        <v>38</v>
      </c>
      <c r="V495" t="str">
        <f t="shared" si="31"/>
        <v>Home/Residence</v>
      </c>
    </row>
    <row r="496" spans="1:22">
      <c r="A496" t="s">
        <v>997</v>
      </c>
      <c r="B496" t="s">
        <v>998</v>
      </c>
      <c r="C496" s="1">
        <v>45154</v>
      </c>
      <c r="D496" s="4">
        <v>102.02</v>
      </c>
      <c r="E496">
        <v>62</v>
      </c>
      <c r="F496" t="str">
        <f t="shared" si="28"/>
        <v>60's</v>
      </c>
      <c r="G496" t="str" cm="1">
        <f t="array" ref="G496">_xlfn.IFS(
  F496="10's", "Child (5–12)",
  OR(F496="20's", F496="30's"), "Young Adult (20–39)",
  OR(F496="40's", F496="50's"), "Adult (40–59)",
  OR(F496="60's", F496="70's", F496="80's", F496="90's"), "Senior (60+)",
  TRUE, "Unknown"
)</f>
        <v>Senior (60+)</v>
      </c>
      <c r="H496" t="s">
        <v>4309</v>
      </c>
      <c r="I496" t="s">
        <v>54</v>
      </c>
      <c r="J496" t="str">
        <f t="shared" si="29"/>
        <v>Environmental Heat</v>
      </c>
      <c r="K496" t="s">
        <v>98</v>
      </c>
      <c r="L496" t="s">
        <v>1071</v>
      </c>
      <c r="M496" t="s">
        <v>4367</v>
      </c>
      <c r="N496" t="s">
        <v>5123</v>
      </c>
      <c r="O496" t="str" cm="1">
        <f t="array" ref="O496">_xlfn.IFS(
  TEXT(TRIM(N496),"00000")="NULL", "Missing/Unknown",
  OR(TEXT(TRIM(N496),"00000")="89101", TEXT(TRIM(N496),"00000")="89104", TEXT(TRIM(N496),"00000")="89106", TEXT(TRIM(N496),"00000")="89102", TEXT(TRIM(N496),"00000")="89107", TEXT(TRIM(N496),"00000")="89108"), "Urban Core",
  OR(TEXT(TRIM(N496),"00000")="89110", TEXT(TRIM(N496),"00000")="89115", TEXT(TRIM(N496),"00000")="89121", TEXT(TRIM(N496),"00000")="89122", TEXT(TRIM(N496),"00000")="89142", TEXT(TRIM(N496),"00000")="89156"), "East Valley",
  OR(TEXT(TRIM(N496),"00000")="89030", TEXT(TRIM(N496),"00000")="89031", TEXT(TRIM(N496),"00000")="89032", TEXT(TRIM(N496),"00000")="89086", TEXT(TRIM(N496),"00000")="89084", TEXT(TRIM(N496),"00000")="89081"), "North LV",
  OR(TEXT(TRIM(N496),"00000")="89109", TEXT(TRIM(N496),"00000")="89103", TEXT(TRIM(N496),"00000")="89119", TEXT(TRIM(N496),"00000")="89123", TEXT(TRIM(N496),"00000")="89169", TEXT(TRIM(N496),"00000")="89118"), "South/Strip",
  OR(TEXT(TRIM(N496),"00000")="89074", TEXT(TRIM(N496),"00000")="89014", TEXT(TRIM(N496),"00000")="89015", TEXT(TRIM(N496),"00000")="89011", TEXT(TRIM(N496),"00000")="89012"), "Suburban SE",
  OR(TEXT(TRIM(N496),"00000")="89117", TEXT(TRIM(N496),"00000")="89128", TEXT(TRIM(N496),"00000")="89135", TEXT(TRIM(N496),"00000")="89144", TEXT(TRIM(N496),"00000")="89145", TEXT(TRIM(N496),"00000")="89147"), "West Valley",
  TRUE, "Other"
)</f>
        <v>South/Strip</v>
      </c>
      <c r="P496" t="s">
        <v>38</v>
      </c>
      <c r="Q496" t="str">
        <f t="shared" si="30"/>
        <v>Home/Residence</v>
      </c>
      <c r="R496" t="s">
        <v>4367</v>
      </c>
      <c r="S496" t="s">
        <v>5123</v>
      </c>
      <c r="T496" t="str" cm="1">
        <f t="array" ref="T496">_xlfn.IFS(
  TEXT(TRIM(S496),"00000")="NULL", "Missing/Unknown",
  OR(TEXT(TRIM(S496),"00000")="89101", TEXT(TRIM(S496),"00000")="89104", TEXT(TRIM(S496),"00000")="89106", TEXT(TRIM(S496),"00000")="89102", TEXT(TRIM(S496),"00000")="89107", TEXT(TRIM(S496),"00000")="89108"), "Urban Core",
  OR(TEXT(TRIM(S496),"00000")="89110", TEXT(TRIM(S496),"00000")="89115", TEXT(TRIM(S496),"00000")="89121", TEXT(TRIM(S496),"00000")="89122", TEXT(TRIM(S496),"00000")="89142", TEXT(TRIM(S496),"00000")="89156"), "East Valley",
  OR(TEXT(TRIM(S496),"00000")="89030", TEXT(TRIM(S496),"00000")="89031", TEXT(TRIM(S496),"00000")="89032", TEXT(TRIM(S496),"00000")="89086", TEXT(TRIM(S496),"00000")="89084", TEXT(TRIM(S496),"00000")="89081"), "North LV",
  OR(TEXT(TRIM(S496),"00000")="89109", TEXT(TRIM(S496),"00000")="89103", TEXT(TRIM(S496),"00000")="89119", TEXT(TRIM(S496),"00000")="89123", TEXT(TRIM(S496),"00000")="89169", TEXT(TRIM(S496),"00000")="89118"), "South/Strip",
  OR(TEXT(TRIM(S496),"00000")="89074", TEXT(TRIM(S496),"00000")="89014", TEXT(TRIM(S496),"00000")="89015", TEXT(TRIM(S496),"00000")="89011", TEXT(TRIM(S496),"00000")="89012"), "Suburban SE",
  OR(TEXT(TRIM(S496),"00000")="89117", TEXT(TRIM(S496),"00000")="89128", TEXT(TRIM(S496),"00000")="89135", TEXT(TRIM(S496),"00000")="89144", TEXT(TRIM(S496),"00000")="89145", TEXT(TRIM(S496),"00000")="89147"), "West Valley",
  TRUE, "Other"
)</f>
        <v>South/Strip</v>
      </c>
      <c r="U496" t="s">
        <v>38</v>
      </c>
      <c r="V496" t="str">
        <f t="shared" si="31"/>
        <v>Home/Residence</v>
      </c>
    </row>
    <row r="497" spans="1:22">
      <c r="A497" t="s">
        <v>986</v>
      </c>
      <c r="B497" t="s">
        <v>987</v>
      </c>
      <c r="C497" s="1">
        <v>45153</v>
      </c>
      <c r="D497" s="4">
        <v>104</v>
      </c>
      <c r="E497">
        <v>41</v>
      </c>
      <c r="F497" t="str">
        <f t="shared" si="28"/>
        <v>40's</v>
      </c>
      <c r="G497" t="str" cm="1">
        <f t="array" ref="G497">_xlfn.IFS(
  F497="10's", "Child (5–12)",
  OR(F497="20's", F497="30's"), "Young Adult (20–39)",
  OR(F497="40's", F497="50's"), "Adult (40–59)",
  OR(F497="60's", F497="70's", F497="80's", F497="90's"), "Senior (60+)",
  TRUE, "Unknown"
)</f>
        <v>Adult (40–59)</v>
      </c>
      <c r="H497" t="s">
        <v>841</v>
      </c>
      <c r="I497" t="s">
        <v>988</v>
      </c>
      <c r="J497" t="str">
        <f t="shared" si="29"/>
        <v>Mixed Drug Toxicity</v>
      </c>
      <c r="K497" t="s">
        <v>54</v>
      </c>
      <c r="L497" t="s">
        <v>250</v>
      </c>
      <c r="M497" t="s">
        <v>4877</v>
      </c>
      <c r="N497" t="s">
        <v>5100</v>
      </c>
      <c r="O497" t="str" cm="1">
        <f t="array" ref="O497">_xlfn.IFS(
  TEXT(TRIM(N497),"00000")="NULL", "Missing/Unknown",
  OR(TEXT(TRIM(N497),"00000")="89101", TEXT(TRIM(N497),"00000")="89104", TEXT(TRIM(N497),"00000")="89106", TEXT(TRIM(N497),"00000")="89102", TEXT(TRIM(N497),"00000")="89107", TEXT(TRIM(N497),"00000")="89108"), "Urban Core",
  OR(TEXT(TRIM(N497),"00000")="89110", TEXT(TRIM(N497),"00000")="89115", TEXT(TRIM(N497),"00000")="89121", TEXT(TRIM(N497),"00000")="89122", TEXT(TRIM(N497),"00000")="89142", TEXT(TRIM(N497),"00000")="89156"), "East Valley",
  OR(TEXT(TRIM(N497),"00000")="89030", TEXT(TRIM(N497),"00000")="89031", TEXT(TRIM(N497),"00000")="89032", TEXT(TRIM(N497),"00000")="89086", TEXT(TRIM(N497),"00000")="89084", TEXT(TRIM(N497),"00000")="89081"), "North LV",
  OR(TEXT(TRIM(N497),"00000")="89109", TEXT(TRIM(N497),"00000")="89103", TEXT(TRIM(N497),"00000")="89119", TEXT(TRIM(N497),"00000")="89123", TEXT(TRIM(N497),"00000")="89169", TEXT(TRIM(N497),"00000")="89118"), "South/Strip",
  OR(TEXT(TRIM(N497),"00000")="89074", TEXT(TRIM(N497),"00000")="89014", TEXT(TRIM(N497),"00000")="89015", TEXT(TRIM(N497),"00000")="89011", TEXT(TRIM(N497),"00000")="89012"), "Suburban SE",
  OR(TEXT(TRIM(N497),"00000")="89117", TEXT(TRIM(N497),"00000")="89128", TEXT(TRIM(N497),"00000")="89135", TEXT(TRIM(N497),"00000")="89144", TEXT(TRIM(N497),"00000")="89145", TEXT(TRIM(N497),"00000")="89147"), "West Valley",
  TRUE, "Other"
)</f>
        <v>North LV</v>
      </c>
      <c r="P497" t="s">
        <v>24</v>
      </c>
      <c r="Q497" t="str">
        <f t="shared" si="30"/>
        <v>Outdoors/Public</v>
      </c>
      <c r="R497" t="s">
        <v>4877</v>
      </c>
      <c r="S497" t="s">
        <v>5100</v>
      </c>
      <c r="T497" t="str" cm="1">
        <f t="array" ref="T497">_xlfn.IFS(
  TEXT(TRIM(S497),"00000")="NULL", "Missing/Unknown",
  OR(TEXT(TRIM(S497),"00000")="89101", TEXT(TRIM(S497),"00000")="89104", TEXT(TRIM(S497),"00000")="89106", TEXT(TRIM(S497),"00000")="89102", TEXT(TRIM(S497),"00000")="89107", TEXT(TRIM(S497),"00000")="89108"), "Urban Core",
  OR(TEXT(TRIM(S497),"00000")="89110", TEXT(TRIM(S497),"00000")="89115", TEXT(TRIM(S497),"00000")="89121", TEXT(TRIM(S497),"00000")="89122", TEXT(TRIM(S497),"00000")="89142", TEXT(TRIM(S497),"00000")="89156"), "East Valley",
  OR(TEXT(TRIM(S497),"00000")="89030", TEXT(TRIM(S497),"00000")="89031", TEXT(TRIM(S497),"00000")="89032", TEXT(TRIM(S497),"00000")="89086", TEXT(TRIM(S497),"00000")="89084", TEXT(TRIM(S497),"00000")="89081"), "North LV",
  OR(TEXT(TRIM(S497),"00000")="89109", TEXT(TRIM(S497),"00000")="89103", TEXT(TRIM(S497),"00000")="89119", TEXT(TRIM(S497),"00000")="89123", TEXT(TRIM(S497),"00000")="89169", TEXT(TRIM(S497),"00000")="89118"), "South/Strip",
  OR(TEXT(TRIM(S497),"00000")="89074", TEXT(TRIM(S497),"00000")="89014", TEXT(TRIM(S497),"00000")="89015", TEXT(TRIM(S497),"00000")="89011", TEXT(TRIM(S497),"00000")="89012"), "Suburban SE",
  OR(TEXT(TRIM(S497),"00000")="89117", TEXT(TRIM(S497),"00000")="89128", TEXT(TRIM(S497),"00000")="89135", TEXT(TRIM(S497),"00000")="89144", TEXT(TRIM(S497),"00000")="89145", TEXT(TRIM(S497),"00000")="89147"), "West Valley",
  TRUE, "Other"
)</f>
        <v>North LV</v>
      </c>
      <c r="U497" t="s">
        <v>24</v>
      </c>
      <c r="V497" t="str">
        <f t="shared" si="31"/>
        <v>Outdoors/Public</v>
      </c>
    </row>
    <row r="498" spans="1:22">
      <c r="A498" t="s">
        <v>994</v>
      </c>
      <c r="B498" t="s">
        <v>995</v>
      </c>
      <c r="C498" s="1">
        <v>45153</v>
      </c>
      <c r="D498" s="4">
        <v>104</v>
      </c>
      <c r="E498">
        <v>54</v>
      </c>
      <c r="F498" t="str">
        <f t="shared" si="28"/>
        <v>50's</v>
      </c>
      <c r="G498" t="str" cm="1">
        <f t="array" ref="G498">_xlfn.IFS(
  F498="10's", "Child (5–12)",
  OR(F498="20's", F498="30's"), "Young Adult (20–39)",
  OR(F498="40's", F498="50's"), "Adult (40–59)",
  OR(F498="60's", F498="70's", F498="80's", F498="90's"), "Senior (60+)",
  TRUE, "Unknown"
)</f>
        <v>Adult (40–59)</v>
      </c>
      <c r="H498" t="s">
        <v>841</v>
      </c>
      <c r="I498" t="s">
        <v>54</v>
      </c>
      <c r="J498" t="str">
        <f t="shared" si="29"/>
        <v>Environmental Heat</v>
      </c>
      <c r="K498" t="s">
        <v>98</v>
      </c>
      <c r="L498" t="s">
        <v>1071</v>
      </c>
      <c r="M498" t="s">
        <v>4368</v>
      </c>
      <c r="N498" t="s">
        <v>5114</v>
      </c>
      <c r="O498" t="str" cm="1">
        <f t="array" ref="O498">_xlfn.IFS(
  TEXT(TRIM(N498),"00000")="NULL", "Missing/Unknown",
  OR(TEXT(TRIM(N498),"00000")="89101", TEXT(TRIM(N498),"00000")="89104", TEXT(TRIM(N498),"00000")="89106", TEXT(TRIM(N498),"00000")="89102", TEXT(TRIM(N498),"00000")="89107", TEXT(TRIM(N498),"00000")="89108"), "Urban Core",
  OR(TEXT(TRIM(N498),"00000")="89110", TEXT(TRIM(N498),"00000")="89115", TEXT(TRIM(N498),"00000")="89121", TEXT(TRIM(N498),"00000")="89122", TEXT(TRIM(N498),"00000")="89142", TEXT(TRIM(N498),"00000")="89156"), "East Valley",
  OR(TEXT(TRIM(N498),"00000")="89030", TEXT(TRIM(N498),"00000")="89031", TEXT(TRIM(N498),"00000")="89032", TEXT(TRIM(N498),"00000")="89086", TEXT(TRIM(N498),"00000")="89084", TEXT(TRIM(N498),"00000")="89081"), "North LV",
  OR(TEXT(TRIM(N498),"00000")="89109", TEXT(TRIM(N498),"00000")="89103", TEXT(TRIM(N498),"00000")="89119", TEXT(TRIM(N498),"00000")="89123", TEXT(TRIM(N498),"00000")="89169", TEXT(TRIM(N498),"00000")="89118"), "South/Strip",
  OR(TEXT(TRIM(N498),"00000")="89074", TEXT(TRIM(N498),"00000")="89014", TEXT(TRIM(N498),"00000")="89015", TEXT(TRIM(N498),"00000")="89011", TEXT(TRIM(N498),"00000")="89012"), "Suburban SE",
  OR(TEXT(TRIM(N498),"00000")="89117", TEXT(TRIM(N498),"00000")="89128", TEXT(TRIM(N498),"00000")="89135", TEXT(TRIM(N498),"00000")="89144", TEXT(TRIM(N498),"00000")="89145", TEXT(TRIM(N498),"00000")="89147"), "West Valley",
  TRUE, "Other"
)</f>
        <v>Other</v>
      </c>
      <c r="P498" t="s">
        <v>38</v>
      </c>
      <c r="Q498" t="str">
        <f t="shared" si="30"/>
        <v>Home/Residence</v>
      </c>
      <c r="R498" t="s">
        <v>4368</v>
      </c>
      <c r="S498" t="s">
        <v>5114</v>
      </c>
      <c r="T498" t="str" cm="1">
        <f t="array" ref="T498">_xlfn.IFS(
  TEXT(TRIM(S498),"00000")="NULL", "Missing/Unknown",
  OR(TEXT(TRIM(S498),"00000")="89101", TEXT(TRIM(S498),"00000")="89104", TEXT(TRIM(S498),"00000")="89106", TEXT(TRIM(S498),"00000")="89102", TEXT(TRIM(S498),"00000")="89107", TEXT(TRIM(S498),"00000")="89108"), "Urban Core",
  OR(TEXT(TRIM(S498),"00000")="89110", TEXT(TRIM(S498),"00000")="89115", TEXT(TRIM(S498),"00000")="89121", TEXT(TRIM(S498),"00000")="89122", TEXT(TRIM(S498),"00000")="89142", TEXT(TRIM(S498),"00000")="89156"), "East Valley",
  OR(TEXT(TRIM(S498),"00000")="89030", TEXT(TRIM(S498),"00000")="89031", TEXT(TRIM(S498),"00000")="89032", TEXT(TRIM(S498),"00000")="89086", TEXT(TRIM(S498),"00000")="89084", TEXT(TRIM(S498),"00000")="89081"), "North LV",
  OR(TEXT(TRIM(S498),"00000")="89109", TEXT(TRIM(S498),"00000")="89103", TEXT(TRIM(S498),"00000")="89119", TEXT(TRIM(S498),"00000")="89123", TEXT(TRIM(S498),"00000")="89169", TEXT(TRIM(S498),"00000")="89118"), "South/Strip",
  OR(TEXT(TRIM(S498),"00000")="89074", TEXT(TRIM(S498),"00000")="89014", TEXT(TRIM(S498),"00000")="89015", TEXT(TRIM(S498),"00000")="89011", TEXT(TRIM(S498),"00000")="89012"), "Suburban SE",
  OR(TEXT(TRIM(S498),"00000")="89117", TEXT(TRIM(S498),"00000")="89128", TEXT(TRIM(S498),"00000")="89135", TEXT(TRIM(S498),"00000")="89144", TEXT(TRIM(S498),"00000")="89145", TEXT(TRIM(S498),"00000")="89147"), "West Valley",
  TRUE, "Other"
)</f>
        <v>Other</v>
      </c>
      <c r="U498" t="s">
        <v>38</v>
      </c>
      <c r="V498" t="str">
        <f t="shared" si="31"/>
        <v>Home/Residence</v>
      </c>
    </row>
    <row r="499" spans="1:22">
      <c r="A499" t="s">
        <v>990</v>
      </c>
      <c r="B499" t="s">
        <v>991</v>
      </c>
      <c r="C499" s="1">
        <v>45153</v>
      </c>
      <c r="D499" s="4">
        <v>104</v>
      </c>
      <c r="E499">
        <v>62</v>
      </c>
      <c r="F499" t="str">
        <f t="shared" si="28"/>
        <v>60's</v>
      </c>
      <c r="G499" t="str" cm="1">
        <f t="array" ref="G499">_xlfn.IFS(
  F499="10's", "Child (5–12)",
  OR(F499="20's", F499="30's"), "Young Adult (20–39)",
  OR(F499="40's", F499="50's"), "Adult (40–59)",
  OR(F499="60's", F499="70's", F499="80's", F499="90's"), "Senior (60+)",
  TRUE, "Unknown"
)</f>
        <v>Senior (60+)</v>
      </c>
      <c r="H499" t="s">
        <v>841</v>
      </c>
      <c r="I499" t="s">
        <v>63</v>
      </c>
      <c r="J499" t="str">
        <f t="shared" si="29"/>
        <v>Cardiovascular Disease</v>
      </c>
      <c r="K499" t="s">
        <v>992</v>
      </c>
      <c r="L499" t="s">
        <v>1071</v>
      </c>
      <c r="M499" t="s">
        <v>4355</v>
      </c>
      <c r="N499" t="s">
        <v>5098</v>
      </c>
      <c r="O499" t="str" cm="1">
        <f t="array" ref="O499">_xlfn.IFS(
  TEXT(TRIM(N499),"00000")="NULL", "Missing/Unknown",
  OR(TEXT(TRIM(N499),"00000")="89101", TEXT(TRIM(N499),"00000")="89104", TEXT(TRIM(N499),"00000")="89106", TEXT(TRIM(N499),"00000")="89102", TEXT(TRIM(N499),"00000")="89107", TEXT(TRIM(N499),"00000")="89108"), "Urban Core",
  OR(TEXT(TRIM(N499),"00000")="89110", TEXT(TRIM(N499),"00000")="89115", TEXT(TRIM(N499),"00000")="89121", TEXT(TRIM(N499),"00000")="89122", TEXT(TRIM(N499),"00000")="89142", TEXT(TRIM(N499),"00000")="89156"), "East Valley",
  OR(TEXT(TRIM(N499),"00000")="89030", TEXT(TRIM(N499),"00000")="89031", TEXT(TRIM(N499),"00000")="89032", TEXT(TRIM(N499),"00000")="89086", TEXT(TRIM(N499),"00000")="89084", TEXT(TRIM(N499),"00000")="89081"), "North LV",
  OR(TEXT(TRIM(N499),"00000")="89109", TEXT(TRIM(N499),"00000")="89103", TEXT(TRIM(N499),"00000")="89119", TEXT(TRIM(N499),"00000")="89123", TEXT(TRIM(N499),"00000")="89169", TEXT(TRIM(N499),"00000")="89118"), "South/Strip",
  OR(TEXT(TRIM(N499),"00000")="89074", TEXT(TRIM(N499),"00000")="89014", TEXT(TRIM(N499),"00000")="89015", TEXT(TRIM(N499),"00000")="89011", TEXT(TRIM(N499),"00000")="89012"), "Suburban SE",
  OR(TEXT(TRIM(N499),"00000")="89117", TEXT(TRIM(N499),"00000")="89128", TEXT(TRIM(N499),"00000")="89135", TEXT(TRIM(N499),"00000")="89144", TEXT(TRIM(N499),"00000")="89145", TEXT(TRIM(N499),"00000")="89147"), "West Valley",
  TRUE, "Other"
)</f>
        <v>Urban Core</v>
      </c>
      <c r="P499" t="s">
        <v>38</v>
      </c>
      <c r="Q499" t="str">
        <f t="shared" si="30"/>
        <v>Home/Residence</v>
      </c>
      <c r="R499" t="s">
        <v>4355</v>
      </c>
      <c r="S499" t="s">
        <v>5098</v>
      </c>
      <c r="T499" t="str" cm="1">
        <f t="array" ref="T499">_xlfn.IFS(
  TEXT(TRIM(S499),"00000")="NULL", "Missing/Unknown",
  OR(TEXT(TRIM(S499),"00000")="89101", TEXT(TRIM(S499),"00000")="89104", TEXT(TRIM(S499),"00000")="89106", TEXT(TRIM(S499),"00000")="89102", TEXT(TRIM(S499),"00000")="89107", TEXT(TRIM(S499),"00000")="89108"), "Urban Core",
  OR(TEXT(TRIM(S499),"00000")="89110", TEXT(TRIM(S499),"00000")="89115", TEXT(TRIM(S499),"00000")="89121", TEXT(TRIM(S499),"00000")="89122", TEXT(TRIM(S499),"00000")="89142", TEXT(TRIM(S499),"00000")="89156"), "East Valley",
  OR(TEXT(TRIM(S499),"00000")="89030", TEXT(TRIM(S499),"00000")="89031", TEXT(TRIM(S499),"00000")="89032", TEXT(TRIM(S499),"00000")="89086", TEXT(TRIM(S499),"00000")="89084", TEXT(TRIM(S499),"00000")="89081"), "North LV",
  OR(TEXT(TRIM(S499),"00000")="89109", TEXT(TRIM(S499),"00000")="89103", TEXT(TRIM(S499),"00000")="89119", TEXT(TRIM(S499),"00000")="89123", TEXT(TRIM(S499),"00000")="89169", TEXT(TRIM(S499),"00000")="89118"), "South/Strip",
  OR(TEXT(TRIM(S499),"00000")="89074", TEXT(TRIM(S499),"00000")="89014", TEXT(TRIM(S499),"00000")="89015", TEXT(TRIM(S499),"00000")="89011", TEXT(TRIM(S499),"00000")="89012"), "Suburban SE",
  OR(TEXT(TRIM(S499),"00000")="89117", TEXT(TRIM(S499),"00000")="89128", TEXT(TRIM(S499),"00000")="89135", TEXT(TRIM(S499),"00000")="89144", TEXT(TRIM(S499),"00000")="89145", TEXT(TRIM(S499),"00000")="89147"), "West Valley",
  TRUE, "Other"
)</f>
        <v>Urban Core</v>
      </c>
      <c r="U499" t="s">
        <v>38</v>
      </c>
      <c r="V499" t="str">
        <f t="shared" si="31"/>
        <v>Home/Residence</v>
      </c>
    </row>
    <row r="500" spans="1:22">
      <c r="A500" t="s">
        <v>983</v>
      </c>
      <c r="B500" t="s">
        <v>984</v>
      </c>
      <c r="C500" s="1">
        <v>45152</v>
      </c>
      <c r="D500" s="4">
        <v>104</v>
      </c>
      <c r="E500">
        <v>67</v>
      </c>
      <c r="F500" t="str">
        <f t="shared" si="28"/>
        <v>60's</v>
      </c>
      <c r="G500" t="str" cm="1">
        <f t="array" ref="G500">_xlfn.IFS(
  F500="10's", "Child (5–12)",
  OR(F500="20's", F500="30's"), "Young Adult (20–39)",
  OR(F500="40's", F500="50's"), "Adult (40–59)",
  OR(F500="60's", F500="70's", F500="80's", F500="90's"), "Senior (60+)",
  TRUE, "Unknown"
)</f>
        <v>Senior (60+)</v>
      </c>
      <c r="H500" t="s">
        <v>778</v>
      </c>
      <c r="I500" t="s">
        <v>28</v>
      </c>
      <c r="J500" t="str">
        <f t="shared" si="29"/>
        <v>Cardiovascular Disease</v>
      </c>
      <c r="K500" t="s">
        <v>54</v>
      </c>
      <c r="L500" t="s">
        <v>1071</v>
      </c>
      <c r="M500" t="s">
        <v>4356</v>
      </c>
      <c r="N500" t="s">
        <v>5123</v>
      </c>
      <c r="O500" t="str" cm="1">
        <f t="array" ref="O500">_xlfn.IFS(
  TEXT(TRIM(N500),"00000")="NULL", "Missing/Unknown",
  OR(TEXT(TRIM(N500),"00000")="89101", TEXT(TRIM(N500),"00000")="89104", TEXT(TRIM(N500),"00000")="89106", TEXT(TRIM(N500),"00000")="89102", TEXT(TRIM(N500),"00000")="89107", TEXT(TRIM(N500),"00000")="89108"), "Urban Core",
  OR(TEXT(TRIM(N500),"00000")="89110", TEXT(TRIM(N500),"00000")="89115", TEXT(TRIM(N500),"00000")="89121", TEXT(TRIM(N500),"00000")="89122", TEXT(TRIM(N500),"00000")="89142", TEXT(TRIM(N500),"00000")="89156"), "East Valley",
  OR(TEXT(TRIM(N500),"00000")="89030", TEXT(TRIM(N500),"00000")="89031", TEXT(TRIM(N500),"00000")="89032", TEXT(TRIM(N500),"00000")="89086", TEXT(TRIM(N500),"00000")="89084", TEXT(TRIM(N500),"00000")="89081"), "North LV",
  OR(TEXT(TRIM(N500),"00000")="89109", TEXT(TRIM(N500),"00000")="89103", TEXT(TRIM(N500),"00000")="89119", TEXT(TRIM(N500),"00000")="89123", TEXT(TRIM(N500),"00000")="89169", TEXT(TRIM(N500),"00000")="89118"), "South/Strip",
  OR(TEXT(TRIM(N500),"00000")="89074", TEXT(TRIM(N500),"00000")="89014", TEXT(TRIM(N500),"00000")="89015", TEXT(TRIM(N500),"00000")="89011", TEXT(TRIM(N500),"00000")="89012"), "Suburban SE",
  OR(TEXT(TRIM(N500),"00000")="89117", TEXT(TRIM(N500),"00000")="89128", TEXT(TRIM(N500),"00000")="89135", TEXT(TRIM(N500),"00000")="89144", TEXT(TRIM(N500),"00000")="89145", TEXT(TRIM(N500),"00000")="89147"), "West Valley",
  TRUE, "Other"
)</f>
        <v>South/Strip</v>
      </c>
      <c r="P500" t="s">
        <v>38</v>
      </c>
      <c r="Q500" t="str">
        <f t="shared" si="30"/>
        <v>Home/Residence</v>
      </c>
      <c r="R500" t="s">
        <v>4356</v>
      </c>
      <c r="S500" t="s">
        <v>5123</v>
      </c>
      <c r="T500" t="str" cm="1">
        <f t="array" ref="T500">_xlfn.IFS(
  TEXT(TRIM(S500),"00000")="NULL", "Missing/Unknown",
  OR(TEXT(TRIM(S500),"00000")="89101", TEXT(TRIM(S500),"00000")="89104", TEXT(TRIM(S500),"00000")="89106", TEXT(TRIM(S500),"00000")="89102", TEXT(TRIM(S500),"00000")="89107", TEXT(TRIM(S500),"00000")="89108"), "Urban Core",
  OR(TEXT(TRIM(S500),"00000")="89110", TEXT(TRIM(S500),"00000")="89115", TEXT(TRIM(S500),"00000")="89121", TEXT(TRIM(S500),"00000")="89122", TEXT(TRIM(S500),"00000")="89142", TEXT(TRIM(S500),"00000")="89156"), "East Valley",
  OR(TEXT(TRIM(S500),"00000")="89030", TEXT(TRIM(S500),"00000")="89031", TEXT(TRIM(S500),"00000")="89032", TEXT(TRIM(S500),"00000")="89086", TEXT(TRIM(S500),"00000")="89084", TEXT(TRIM(S500),"00000")="89081"), "North LV",
  OR(TEXT(TRIM(S500),"00000")="89109", TEXT(TRIM(S500),"00000")="89103", TEXT(TRIM(S500),"00000")="89119", TEXT(TRIM(S500),"00000")="89123", TEXT(TRIM(S500),"00000")="89169", TEXT(TRIM(S500),"00000")="89118"), "South/Strip",
  OR(TEXT(TRIM(S500),"00000")="89074", TEXT(TRIM(S500),"00000")="89014", TEXT(TRIM(S500),"00000")="89015", TEXT(TRIM(S500),"00000")="89011", TEXT(TRIM(S500),"00000")="89012"), "Suburban SE",
  OR(TEXT(TRIM(S500),"00000")="89117", TEXT(TRIM(S500),"00000")="89128", TEXT(TRIM(S500),"00000")="89135", TEXT(TRIM(S500),"00000")="89144", TEXT(TRIM(S500),"00000")="89145", TEXT(TRIM(S500),"00000")="89147"), "West Valley",
  TRUE, "Other"
)</f>
        <v>South/Strip</v>
      </c>
      <c r="U500" t="s">
        <v>38</v>
      </c>
      <c r="V500" t="str">
        <f t="shared" si="31"/>
        <v>Home/Residence</v>
      </c>
    </row>
    <row r="501" spans="1:22">
      <c r="A501" t="s">
        <v>979</v>
      </c>
      <c r="B501" t="s">
        <v>980</v>
      </c>
      <c r="C501" s="1">
        <v>45151</v>
      </c>
      <c r="D501" s="4">
        <v>100.94</v>
      </c>
      <c r="E501">
        <v>39</v>
      </c>
      <c r="F501" t="str">
        <f t="shared" si="28"/>
        <v>30's</v>
      </c>
      <c r="G501" t="str" cm="1">
        <f t="array" ref="G501">_xlfn.IFS(
  F501="10's", "Child (5–12)",
  OR(F501="20's", F501="30's"), "Young Adult (20–39)",
  OR(F501="40's", F501="50's"), "Adult (40–59)",
  OR(F501="60's", F501="70's", F501="80's", F501="90's"), "Senior (60+)",
  TRUE, "Unknown"
)</f>
        <v>Young Adult (20–39)</v>
      </c>
      <c r="H501" t="s">
        <v>841</v>
      </c>
      <c r="I501" t="s">
        <v>4052</v>
      </c>
      <c r="J501" t="str">
        <f t="shared" si="29"/>
        <v>Methamphetamine-related</v>
      </c>
      <c r="K501" t="s">
        <v>54</v>
      </c>
      <c r="L501" t="s">
        <v>250</v>
      </c>
      <c r="M501" t="s">
        <v>4727</v>
      </c>
      <c r="N501" t="s">
        <v>5119</v>
      </c>
      <c r="O501" t="str" cm="1">
        <f t="array" ref="O501">_xlfn.IFS(
  TEXT(TRIM(N501),"00000")="NULL", "Missing/Unknown",
  OR(TEXT(TRIM(N501),"00000")="89101", TEXT(TRIM(N501),"00000")="89104", TEXT(TRIM(N501),"00000")="89106", TEXT(TRIM(N501),"00000")="89102", TEXT(TRIM(N501),"00000")="89107", TEXT(TRIM(N501),"00000")="89108"), "Urban Core",
  OR(TEXT(TRIM(N501),"00000")="89110", TEXT(TRIM(N501),"00000")="89115", TEXT(TRIM(N501),"00000")="89121", TEXT(TRIM(N501),"00000")="89122", TEXT(TRIM(N501),"00000")="89142", TEXT(TRIM(N501),"00000")="89156"), "East Valley",
  OR(TEXT(TRIM(N501),"00000")="89030", TEXT(TRIM(N501),"00000")="89031", TEXT(TRIM(N501),"00000")="89032", TEXT(TRIM(N501),"00000")="89086", TEXT(TRIM(N501),"00000")="89084", TEXT(TRIM(N501),"00000")="89081"), "North LV",
  OR(TEXT(TRIM(N501),"00000")="89109", TEXT(TRIM(N501),"00000")="89103", TEXT(TRIM(N501),"00000")="89119", TEXT(TRIM(N501),"00000")="89123", TEXT(TRIM(N501),"00000")="89169", TEXT(TRIM(N501),"00000")="89118"), "South/Strip",
  OR(TEXT(TRIM(N501),"00000")="89074", TEXT(TRIM(N501),"00000")="89014", TEXT(TRIM(N501),"00000")="89015", TEXT(TRIM(N501),"00000")="89011", TEXT(TRIM(N501),"00000")="89012"), "Suburban SE",
  OR(TEXT(TRIM(N501),"00000")="89117", TEXT(TRIM(N501),"00000")="89128", TEXT(TRIM(N501),"00000")="89135", TEXT(TRIM(N501),"00000")="89144", TEXT(TRIM(N501),"00000")="89145", TEXT(TRIM(N501),"00000")="89147"), "West Valley",
  TRUE, "Other"
)</f>
        <v>Urban Core</v>
      </c>
      <c r="P501" t="s">
        <v>3298</v>
      </c>
      <c r="Q501" t="str">
        <f t="shared" si="30"/>
        <v>Outdoors/Public</v>
      </c>
      <c r="R501" t="s">
        <v>4727</v>
      </c>
      <c r="S501" t="s">
        <v>5119</v>
      </c>
      <c r="T501" t="str" cm="1">
        <f t="array" ref="T501">_xlfn.IFS(
  TEXT(TRIM(S501),"00000")="NULL", "Missing/Unknown",
  OR(TEXT(TRIM(S501),"00000")="89101", TEXT(TRIM(S501),"00000")="89104", TEXT(TRIM(S501),"00000")="89106", TEXT(TRIM(S501),"00000")="89102", TEXT(TRIM(S501),"00000")="89107", TEXT(TRIM(S501),"00000")="89108"), "Urban Core",
  OR(TEXT(TRIM(S501),"00000")="89110", TEXT(TRIM(S501),"00000")="89115", TEXT(TRIM(S501),"00000")="89121", TEXT(TRIM(S501),"00000")="89122", TEXT(TRIM(S501),"00000")="89142", TEXT(TRIM(S501),"00000")="89156"), "East Valley",
  OR(TEXT(TRIM(S501),"00000")="89030", TEXT(TRIM(S501),"00000")="89031", TEXT(TRIM(S501),"00000")="89032", TEXT(TRIM(S501),"00000")="89086", TEXT(TRIM(S501),"00000")="89084", TEXT(TRIM(S501),"00000")="89081"), "North LV",
  OR(TEXT(TRIM(S501),"00000")="89109", TEXT(TRIM(S501),"00000")="89103", TEXT(TRIM(S501),"00000")="89119", TEXT(TRIM(S501),"00000")="89123", TEXT(TRIM(S501),"00000")="89169", TEXT(TRIM(S501),"00000")="89118"), "South/Strip",
  OR(TEXT(TRIM(S501),"00000")="89074", TEXT(TRIM(S501),"00000")="89014", TEXT(TRIM(S501),"00000")="89015", TEXT(TRIM(S501),"00000")="89011", TEXT(TRIM(S501),"00000")="89012"), "Suburban SE",
  OR(TEXT(TRIM(S501),"00000")="89117", TEXT(TRIM(S501),"00000")="89128", TEXT(TRIM(S501),"00000")="89135", TEXT(TRIM(S501),"00000")="89144", TEXT(TRIM(S501),"00000")="89145", TEXT(TRIM(S501),"00000")="89147"), "West Valley",
  TRUE, "Other"
)</f>
        <v>Urban Core</v>
      </c>
      <c r="U501" t="s">
        <v>3298</v>
      </c>
      <c r="V501" t="str">
        <f t="shared" si="31"/>
        <v>Outdoors/Public</v>
      </c>
    </row>
    <row r="502" spans="1:22">
      <c r="A502" t="s">
        <v>976</v>
      </c>
      <c r="B502" t="s">
        <v>977</v>
      </c>
      <c r="C502" s="1">
        <v>45151</v>
      </c>
      <c r="D502" s="4">
        <v>100.94</v>
      </c>
      <c r="E502">
        <v>26</v>
      </c>
      <c r="F502" t="str">
        <f t="shared" si="28"/>
        <v>20's</v>
      </c>
      <c r="G502" t="str" cm="1">
        <f t="array" ref="G502">_xlfn.IFS(
  F502="10's", "Child (5–12)",
  OR(F502="20's", F502="30's"), "Young Adult (20–39)",
  OR(F502="40's", F502="50's"), "Adult (40–59)",
  OR(F502="60's", F502="70's", F502="80's", F502="90's"), "Senior (60+)",
  TRUE, "Unknown"
)</f>
        <v>Young Adult (20–39)</v>
      </c>
      <c r="H502" t="s">
        <v>841</v>
      </c>
      <c r="I502" t="s">
        <v>172</v>
      </c>
      <c r="J502" t="str">
        <f t="shared" si="29"/>
        <v>Methamphetamine-related</v>
      </c>
      <c r="K502" t="s">
        <v>54</v>
      </c>
      <c r="L502" t="s">
        <v>250</v>
      </c>
      <c r="M502" t="s">
        <v>4726</v>
      </c>
      <c r="N502" t="s">
        <v>5147</v>
      </c>
      <c r="O502" t="str" cm="1">
        <f t="array" ref="O502">_xlfn.IFS(
  TEXT(TRIM(N502),"00000")="NULL", "Missing/Unknown",
  OR(TEXT(TRIM(N502),"00000")="89101", TEXT(TRIM(N502),"00000")="89104", TEXT(TRIM(N502),"00000")="89106", TEXT(TRIM(N502),"00000")="89102", TEXT(TRIM(N502),"00000")="89107", TEXT(TRIM(N502),"00000")="89108"), "Urban Core",
  OR(TEXT(TRIM(N502),"00000")="89110", TEXT(TRIM(N502),"00000")="89115", TEXT(TRIM(N502),"00000")="89121", TEXT(TRIM(N502),"00000")="89122", TEXT(TRIM(N502),"00000")="89142", TEXT(TRIM(N502),"00000")="89156"), "East Valley",
  OR(TEXT(TRIM(N502),"00000")="89030", TEXT(TRIM(N502),"00000")="89031", TEXT(TRIM(N502),"00000")="89032", TEXT(TRIM(N502),"00000")="89086", TEXT(TRIM(N502),"00000")="89084", TEXT(TRIM(N502),"00000")="89081"), "North LV",
  OR(TEXT(TRIM(N502),"00000")="89109", TEXT(TRIM(N502),"00000")="89103", TEXT(TRIM(N502),"00000")="89119", TEXT(TRIM(N502),"00000")="89123", TEXT(TRIM(N502),"00000")="89169", TEXT(TRIM(N502),"00000")="89118"), "South/Strip",
  OR(TEXT(TRIM(N502),"00000")="89074", TEXT(TRIM(N502),"00000")="89014", TEXT(TRIM(N502),"00000")="89015", TEXT(TRIM(N502),"00000")="89011", TEXT(TRIM(N502),"00000")="89012"), "Suburban SE",
  OR(TEXT(TRIM(N502),"00000")="89117", TEXT(TRIM(N502),"00000")="89128", TEXT(TRIM(N502),"00000")="89135", TEXT(TRIM(N502),"00000")="89144", TEXT(TRIM(N502),"00000")="89145", TEXT(TRIM(N502),"00000")="89147"), "West Valley",
  TRUE, "Other"
)</f>
        <v>Other</v>
      </c>
      <c r="P502" t="s">
        <v>3298</v>
      </c>
      <c r="Q502" t="str">
        <f t="shared" si="30"/>
        <v>Outdoors/Public</v>
      </c>
      <c r="R502" t="s">
        <v>4726</v>
      </c>
      <c r="S502" t="s">
        <v>5147</v>
      </c>
      <c r="T502" t="str" cm="1">
        <f t="array" ref="T502">_xlfn.IFS(
  TEXT(TRIM(S502),"00000")="NULL", "Missing/Unknown",
  OR(TEXT(TRIM(S502),"00000")="89101", TEXT(TRIM(S502),"00000")="89104", TEXT(TRIM(S502),"00000")="89106", TEXT(TRIM(S502),"00000")="89102", TEXT(TRIM(S502),"00000")="89107", TEXT(TRIM(S502),"00000")="89108"), "Urban Core",
  OR(TEXT(TRIM(S502),"00000")="89110", TEXT(TRIM(S502),"00000")="89115", TEXT(TRIM(S502),"00000")="89121", TEXT(TRIM(S502),"00000")="89122", TEXT(TRIM(S502),"00000")="89142", TEXT(TRIM(S502),"00000")="89156"), "East Valley",
  OR(TEXT(TRIM(S502),"00000")="89030", TEXT(TRIM(S502),"00000")="89031", TEXT(TRIM(S502),"00000")="89032", TEXT(TRIM(S502),"00000")="89086", TEXT(TRIM(S502),"00000")="89084", TEXT(TRIM(S502),"00000")="89081"), "North LV",
  OR(TEXT(TRIM(S502),"00000")="89109", TEXT(TRIM(S502),"00000")="89103", TEXT(TRIM(S502),"00000")="89119", TEXT(TRIM(S502),"00000")="89123", TEXT(TRIM(S502),"00000")="89169", TEXT(TRIM(S502),"00000")="89118"), "South/Strip",
  OR(TEXT(TRIM(S502),"00000")="89074", TEXT(TRIM(S502),"00000")="89014", TEXT(TRIM(S502),"00000")="89015", TEXT(TRIM(S502),"00000")="89011", TEXT(TRIM(S502),"00000")="89012"), "Suburban SE",
  OR(TEXT(TRIM(S502),"00000")="89117", TEXT(TRIM(S502),"00000")="89128", TEXT(TRIM(S502),"00000")="89135", TEXT(TRIM(S502),"00000")="89144", TEXT(TRIM(S502),"00000")="89145", TEXT(TRIM(S502),"00000")="89147"), "West Valley",
  TRUE, "Other"
)</f>
        <v>Other</v>
      </c>
      <c r="U502" t="s">
        <v>3298</v>
      </c>
      <c r="V502" t="str">
        <f t="shared" si="31"/>
        <v>Outdoors/Public</v>
      </c>
    </row>
    <row r="503" spans="1:22">
      <c r="A503" t="s">
        <v>972</v>
      </c>
      <c r="B503" t="s">
        <v>973</v>
      </c>
      <c r="C503" s="1">
        <v>45150</v>
      </c>
      <c r="D503" s="4">
        <v>102.02</v>
      </c>
      <c r="E503">
        <v>52</v>
      </c>
      <c r="F503" t="str">
        <f t="shared" si="28"/>
        <v>50's</v>
      </c>
      <c r="G503" t="str" cm="1">
        <f t="array" ref="G503">_xlfn.IFS(
  F503="10's", "Child (5–12)",
  OR(F503="20's", F503="30's"), "Young Adult (20–39)",
  OR(F503="40's", F503="50's"), "Adult (40–59)",
  OR(F503="60's", F503="70's", F503="80's", F503="90's"), "Senior (60+)",
  TRUE, "Unknown"
)</f>
        <v>Adult (40–59)</v>
      </c>
      <c r="H503" t="s">
        <v>778</v>
      </c>
      <c r="I503" t="s">
        <v>54</v>
      </c>
      <c r="J503" t="str">
        <f t="shared" si="29"/>
        <v>Environmental Heat</v>
      </c>
      <c r="K503" t="s">
        <v>974</v>
      </c>
      <c r="L503" t="s">
        <v>250</v>
      </c>
      <c r="M503" t="s">
        <v>4728</v>
      </c>
      <c r="N503" t="s">
        <v>5100</v>
      </c>
      <c r="O503" t="str" cm="1">
        <f t="array" ref="O503">_xlfn.IFS(
  TEXT(TRIM(N503),"00000")="NULL", "Missing/Unknown",
  OR(TEXT(TRIM(N503),"00000")="89101", TEXT(TRIM(N503),"00000")="89104", TEXT(TRIM(N503),"00000")="89106", TEXT(TRIM(N503),"00000")="89102", TEXT(TRIM(N503),"00000")="89107", TEXT(TRIM(N503),"00000")="89108"), "Urban Core",
  OR(TEXT(TRIM(N503),"00000")="89110", TEXT(TRIM(N503),"00000")="89115", TEXT(TRIM(N503),"00000")="89121", TEXT(TRIM(N503),"00000")="89122", TEXT(TRIM(N503),"00000")="89142", TEXT(TRIM(N503),"00000")="89156"), "East Valley",
  OR(TEXT(TRIM(N503),"00000")="89030", TEXT(TRIM(N503),"00000")="89031", TEXT(TRIM(N503),"00000")="89032", TEXT(TRIM(N503),"00000")="89086", TEXT(TRIM(N503),"00000")="89084", TEXT(TRIM(N503),"00000")="89081"), "North LV",
  OR(TEXT(TRIM(N503),"00000")="89109", TEXT(TRIM(N503),"00000")="89103", TEXT(TRIM(N503),"00000")="89119", TEXT(TRIM(N503),"00000")="89123", TEXT(TRIM(N503),"00000")="89169", TEXT(TRIM(N503),"00000")="89118"), "South/Strip",
  OR(TEXT(TRIM(N503),"00000")="89074", TEXT(TRIM(N503),"00000")="89014", TEXT(TRIM(N503),"00000")="89015", TEXT(TRIM(N503),"00000")="89011", TEXT(TRIM(N503),"00000")="89012"), "Suburban SE",
  OR(TEXT(TRIM(N503),"00000")="89117", TEXT(TRIM(N503),"00000")="89128", TEXT(TRIM(N503),"00000")="89135", TEXT(TRIM(N503),"00000")="89144", TEXT(TRIM(N503),"00000")="89145", TEXT(TRIM(N503),"00000")="89147"), "West Valley",
  TRUE, "Other"
)</f>
        <v>North LV</v>
      </c>
      <c r="P503" t="s">
        <v>3298</v>
      </c>
      <c r="Q503" t="str">
        <f t="shared" si="30"/>
        <v>Outdoors/Public</v>
      </c>
      <c r="R503" t="s">
        <v>4728</v>
      </c>
      <c r="S503" t="s">
        <v>5100</v>
      </c>
      <c r="T503" t="str" cm="1">
        <f t="array" ref="T503">_xlfn.IFS(
  TEXT(TRIM(S503),"00000")="NULL", "Missing/Unknown",
  OR(TEXT(TRIM(S503),"00000")="89101", TEXT(TRIM(S503),"00000")="89104", TEXT(TRIM(S503),"00000")="89106", TEXT(TRIM(S503),"00000")="89102", TEXT(TRIM(S503),"00000")="89107", TEXT(TRIM(S503),"00000")="89108"), "Urban Core",
  OR(TEXT(TRIM(S503),"00000")="89110", TEXT(TRIM(S503),"00000")="89115", TEXT(TRIM(S503),"00000")="89121", TEXT(TRIM(S503),"00000")="89122", TEXT(TRIM(S503),"00000")="89142", TEXT(TRIM(S503),"00000")="89156"), "East Valley",
  OR(TEXT(TRIM(S503),"00000")="89030", TEXT(TRIM(S503),"00000")="89031", TEXT(TRIM(S503),"00000")="89032", TEXT(TRIM(S503),"00000")="89086", TEXT(TRIM(S503),"00000")="89084", TEXT(TRIM(S503),"00000")="89081"), "North LV",
  OR(TEXT(TRIM(S503),"00000")="89109", TEXT(TRIM(S503),"00000")="89103", TEXT(TRIM(S503),"00000")="89119", TEXT(TRIM(S503),"00000")="89123", TEXT(TRIM(S503),"00000")="89169", TEXT(TRIM(S503),"00000")="89118"), "South/Strip",
  OR(TEXT(TRIM(S503),"00000")="89074", TEXT(TRIM(S503),"00000")="89014", TEXT(TRIM(S503),"00000")="89015", TEXT(TRIM(S503),"00000")="89011", TEXT(TRIM(S503),"00000")="89012"), "Suburban SE",
  OR(TEXT(TRIM(S503),"00000")="89117", TEXT(TRIM(S503),"00000")="89128", TEXT(TRIM(S503),"00000")="89135", TEXT(TRIM(S503),"00000")="89144", TEXT(TRIM(S503),"00000")="89145", TEXT(TRIM(S503),"00000")="89147"), "West Valley",
  TRUE, "Other"
)</f>
        <v>North LV</v>
      </c>
      <c r="U503" t="s">
        <v>3298</v>
      </c>
      <c r="V503" t="str">
        <f t="shared" si="31"/>
        <v>Outdoors/Public</v>
      </c>
    </row>
    <row r="504" spans="1:22">
      <c r="A504" t="s">
        <v>968</v>
      </c>
      <c r="B504" t="s">
        <v>969</v>
      </c>
      <c r="C504" s="1">
        <v>45149</v>
      </c>
      <c r="D504" s="4">
        <v>100.94</v>
      </c>
      <c r="E504">
        <v>46</v>
      </c>
      <c r="F504" t="str">
        <f t="shared" si="28"/>
        <v>40's</v>
      </c>
      <c r="G504" t="str" cm="1">
        <f t="array" ref="G504">_xlfn.IFS(
  F504="10's", "Child (5–12)",
  OR(F504="20's", F504="30's"), "Young Adult (20–39)",
  OR(F504="40's", F504="50's"), "Adult (40–59)",
  OR(F504="60's", F504="70's", F504="80's", F504="90's"), "Senior (60+)",
  TRUE, "Unknown"
)</f>
        <v>Adult (40–59)</v>
      </c>
      <c r="H504" t="s">
        <v>27</v>
      </c>
      <c r="I504" t="s">
        <v>54</v>
      </c>
      <c r="J504" t="str">
        <f t="shared" si="29"/>
        <v>Environmental Heat</v>
      </c>
      <c r="K504" t="s">
        <v>970</v>
      </c>
      <c r="L504" t="s">
        <v>250</v>
      </c>
      <c r="M504" t="s">
        <v>4598</v>
      </c>
      <c r="N504" t="s">
        <v>5106</v>
      </c>
      <c r="O504" t="str" cm="1">
        <f t="array" ref="O504">_xlfn.IFS(
  TEXT(TRIM(N504),"00000")="NULL", "Missing/Unknown",
  OR(TEXT(TRIM(N504),"00000")="89101", TEXT(TRIM(N504),"00000")="89104", TEXT(TRIM(N504),"00000")="89106", TEXT(TRIM(N504),"00000")="89102", TEXT(TRIM(N504),"00000")="89107", TEXT(TRIM(N504),"00000")="89108"), "Urban Core",
  OR(TEXT(TRIM(N504),"00000")="89110", TEXT(TRIM(N504),"00000")="89115", TEXT(TRIM(N504),"00000")="89121", TEXT(TRIM(N504),"00000")="89122", TEXT(TRIM(N504),"00000")="89142", TEXT(TRIM(N504),"00000")="89156"), "East Valley",
  OR(TEXT(TRIM(N504),"00000")="89030", TEXT(TRIM(N504),"00000")="89031", TEXT(TRIM(N504),"00000")="89032", TEXT(TRIM(N504),"00000")="89086", TEXT(TRIM(N504),"00000")="89084", TEXT(TRIM(N504),"00000")="89081"), "North LV",
  OR(TEXT(TRIM(N504),"00000")="89109", TEXT(TRIM(N504),"00000")="89103", TEXT(TRIM(N504),"00000")="89119", TEXT(TRIM(N504),"00000")="89123", TEXT(TRIM(N504),"00000")="89169", TEXT(TRIM(N504),"00000")="89118"), "South/Strip",
  OR(TEXT(TRIM(N504),"00000")="89074", TEXT(TRIM(N504),"00000")="89014", TEXT(TRIM(N504),"00000")="89015", TEXT(TRIM(N504),"00000")="89011", TEXT(TRIM(N504),"00000")="89012"), "Suburban SE",
  OR(TEXT(TRIM(N504),"00000")="89117", TEXT(TRIM(N504),"00000")="89128", TEXT(TRIM(N504),"00000")="89135", TEXT(TRIM(N504),"00000")="89144", TEXT(TRIM(N504),"00000")="89145", TEXT(TRIM(N504),"00000")="89147"), "West Valley",
  TRUE, "Other"
)</f>
        <v>East Valley</v>
      </c>
      <c r="P504" t="s">
        <v>3298</v>
      </c>
      <c r="Q504" t="str">
        <f t="shared" si="30"/>
        <v>Outdoors/Public</v>
      </c>
      <c r="R504" t="s">
        <v>4598</v>
      </c>
      <c r="S504" t="s">
        <v>5106</v>
      </c>
      <c r="T504" t="str" cm="1">
        <f t="array" ref="T504">_xlfn.IFS(
  TEXT(TRIM(S504),"00000")="NULL", "Missing/Unknown",
  OR(TEXT(TRIM(S504),"00000")="89101", TEXT(TRIM(S504),"00000")="89104", TEXT(TRIM(S504),"00000")="89106", TEXT(TRIM(S504),"00000")="89102", TEXT(TRIM(S504),"00000")="89107", TEXT(TRIM(S504),"00000")="89108"), "Urban Core",
  OR(TEXT(TRIM(S504),"00000")="89110", TEXT(TRIM(S504),"00000")="89115", TEXT(TRIM(S504),"00000")="89121", TEXT(TRIM(S504),"00000")="89122", TEXT(TRIM(S504),"00000")="89142", TEXT(TRIM(S504),"00000")="89156"), "East Valley",
  OR(TEXT(TRIM(S504),"00000")="89030", TEXT(TRIM(S504),"00000")="89031", TEXT(TRIM(S504),"00000")="89032", TEXT(TRIM(S504),"00000")="89086", TEXT(TRIM(S504),"00000")="89084", TEXT(TRIM(S504),"00000")="89081"), "North LV",
  OR(TEXT(TRIM(S504),"00000")="89109", TEXT(TRIM(S504),"00000")="89103", TEXT(TRIM(S504),"00000")="89119", TEXT(TRIM(S504),"00000")="89123", TEXT(TRIM(S504),"00000")="89169", TEXT(TRIM(S504),"00000")="89118"), "South/Strip",
  OR(TEXT(TRIM(S504),"00000")="89074", TEXT(TRIM(S504),"00000")="89014", TEXT(TRIM(S504),"00000")="89015", TEXT(TRIM(S504),"00000")="89011", TEXT(TRIM(S504),"00000")="89012"), "Suburban SE",
  OR(TEXT(TRIM(S504),"00000")="89117", TEXT(TRIM(S504),"00000")="89128", TEXT(TRIM(S504),"00000")="89135", TEXT(TRIM(S504),"00000")="89144", TEXT(TRIM(S504),"00000")="89145", TEXT(TRIM(S504),"00000")="89147"), "West Valley",
  TRUE, "Other"
)</f>
        <v>East Valley</v>
      </c>
      <c r="U504" t="s">
        <v>3298</v>
      </c>
      <c r="V504" t="str">
        <f t="shared" si="31"/>
        <v>Outdoors/Public</v>
      </c>
    </row>
    <row r="505" spans="1:22">
      <c r="A505" t="s">
        <v>962</v>
      </c>
      <c r="B505" t="s">
        <v>963</v>
      </c>
      <c r="C505" s="1">
        <v>45148</v>
      </c>
      <c r="D505" s="4">
        <v>93.919999999999987</v>
      </c>
      <c r="E505">
        <v>75</v>
      </c>
      <c r="F505" t="str">
        <f t="shared" si="28"/>
        <v>70's</v>
      </c>
      <c r="G505" t="str" cm="1">
        <f t="array" ref="G505">_xlfn.IFS(
  F505="10's", "Child (5–12)",
  OR(F505="20's", F505="30's"), "Young Adult (20–39)",
  OR(F505="40's", F505="50's"), "Adult (40–59)",
  OR(F505="60's", F505="70's", F505="80's", F505="90's"), "Senior (60+)",
  TRUE, "Unknown"
)</f>
        <v>Senior (60+)</v>
      </c>
      <c r="H505" t="s">
        <v>841</v>
      </c>
      <c r="I505" t="s">
        <v>54</v>
      </c>
      <c r="J505" t="str">
        <f t="shared" si="29"/>
        <v>Environmental Heat</v>
      </c>
      <c r="K505" t="s">
        <v>4012</v>
      </c>
      <c r="L505" t="s">
        <v>250</v>
      </c>
      <c r="M505" t="s">
        <v>4729</v>
      </c>
      <c r="N505" t="s">
        <v>5097</v>
      </c>
      <c r="O505" t="str" cm="1">
        <f t="array" ref="O505">_xlfn.IFS(
  TEXT(TRIM(N505),"00000")="NULL", "Missing/Unknown",
  OR(TEXT(TRIM(N505),"00000")="89101", TEXT(TRIM(N505),"00000")="89104", TEXT(TRIM(N505),"00000")="89106", TEXT(TRIM(N505),"00000")="89102", TEXT(TRIM(N505),"00000")="89107", TEXT(TRIM(N505),"00000")="89108"), "Urban Core",
  OR(TEXT(TRIM(N505),"00000")="89110", TEXT(TRIM(N505),"00000")="89115", TEXT(TRIM(N505),"00000")="89121", TEXT(TRIM(N505),"00000")="89122", TEXT(TRIM(N505),"00000")="89142", TEXT(TRIM(N505),"00000")="89156"), "East Valley",
  OR(TEXT(TRIM(N505),"00000")="89030", TEXT(TRIM(N505),"00000")="89031", TEXT(TRIM(N505),"00000")="89032", TEXT(TRIM(N505),"00000")="89086", TEXT(TRIM(N505),"00000")="89084", TEXT(TRIM(N505),"00000")="89081"), "North LV",
  OR(TEXT(TRIM(N505),"00000")="89109", TEXT(TRIM(N505),"00000")="89103", TEXT(TRIM(N505),"00000")="89119", TEXT(TRIM(N505),"00000")="89123", TEXT(TRIM(N505),"00000")="89169", TEXT(TRIM(N505),"00000")="89118"), "South/Strip",
  OR(TEXT(TRIM(N505),"00000")="89074", TEXT(TRIM(N505),"00000")="89014", TEXT(TRIM(N505),"00000")="89015", TEXT(TRIM(N505),"00000")="89011", TEXT(TRIM(N505),"00000")="89012"), "Suburban SE",
  OR(TEXT(TRIM(N505),"00000")="89117", TEXT(TRIM(N505),"00000")="89128", TEXT(TRIM(N505),"00000")="89135", TEXT(TRIM(N505),"00000")="89144", TEXT(TRIM(N505),"00000")="89145", TEXT(TRIM(N505),"00000")="89147"), "West Valley",
  TRUE, "Other"
)</f>
        <v>Urban Core</v>
      </c>
      <c r="P505" t="s">
        <v>3298</v>
      </c>
      <c r="Q505" t="str">
        <f t="shared" si="30"/>
        <v>Outdoors/Public</v>
      </c>
      <c r="R505" t="s">
        <v>4729</v>
      </c>
      <c r="S505" t="s">
        <v>5097</v>
      </c>
      <c r="T505" t="str" cm="1">
        <f t="array" ref="T505">_xlfn.IFS(
  TEXT(TRIM(S505),"00000")="NULL", "Missing/Unknown",
  OR(TEXT(TRIM(S505),"00000")="89101", TEXT(TRIM(S505),"00000")="89104", TEXT(TRIM(S505),"00000")="89106", TEXT(TRIM(S505),"00000")="89102", TEXT(TRIM(S505),"00000")="89107", TEXT(TRIM(S505),"00000")="89108"), "Urban Core",
  OR(TEXT(TRIM(S505),"00000")="89110", TEXT(TRIM(S505),"00000")="89115", TEXT(TRIM(S505),"00000")="89121", TEXT(TRIM(S505),"00000")="89122", TEXT(TRIM(S505),"00000")="89142", TEXT(TRIM(S505),"00000")="89156"), "East Valley",
  OR(TEXT(TRIM(S505),"00000")="89030", TEXT(TRIM(S505),"00000")="89031", TEXT(TRIM(S505),"00000")="89032", TEXT(TRIM(S505),"00000")="89086", TEXT(TRIM(S505),"00000")="89084", TEXT(TRIM(S505),"00000")="89081"), "North LV",
  OR(TEXT(TRIM(S505),"00000")="89109", TEXT(TRIM(S505),"00000")="89103", TEXT(TRIM(S505),"00000")="89119", TEXT(TRIM(S505),"00000")="89123", TEXT(TRIM(S505),"00000")="89169", TEXT(TRIM(S505),"00000")="89118"), "South/Strip",
  OR(TEXT(TRIM(S505),"00000")="89074", TEXT(TRIM(S505),"00000")="89014", TEXT(TRIM(S505),"00000")="89015", TEXT(TRIM(S505),"00000")="89011", TEXT(TRIM(S505),"00000")="89012"), "Suburban SE",
  OR(TEXT(TRIM(S505),"00000")="89117", TEXT(TRIM(S505),"00000")="89128", TEXT(TRIM(S505),"00000")="89135", TEXT(TRIM(S505),"00000")="89144", TEXT(TRIM(S505),"00000")="89145", TEXT(TRIM(S505),"00000")="89147"), "West Valley",
  TRUE, "Other"
)</f>
        <v>Urban Core</v>
      </c>
      <c r="U505" t="s">
        <v>3298</v>
      </c>
      <c r="V505" t="str">
        <f t="shared" si="31"/>
        <v>Outdoors/Public</v>
      </c>
    </row>
    <row r="506" spans="1:22">
      <c r="A506" t="s">
        <v>965</v>
      </c>
      <c r="B506" t="s">
        <v>966</v>
      </c>
      <c r="C506" s="1">
        <v>45148</v>
      </c>
      <c r="D506" s="4">
        <v>93.919999999999987</v>
      </c>
      <c r="E506">
        <v>67</v>
      </c>
      <c r="F506" t="str">
        <f t="shared" si="28"/>
        <v>60's</v>
      </c>
      <c r="G506" t="str" cm="1">
        <f t="array" ref="G506">_xlfn.IFS(
  F506="10's", "Child (5–12)",
  OR(F506="20's", F506="30's"), "Young Adult (20–39)",
  OR(F506="40's", F506="50's"), "Adult (40–59)",
  OR(F506="60's", F506="70's", F506="80's", F506="90's"), "Senior (60+)",
  TRUE, "Unknown"
)</f>
        <v>Senior (60+)</v>
      </c>
      <c r="H506" t="s">
        <v>841</v>
      </c>
      <c r="I506" t="s">
        <v>54</v>
      </c>
      <c r="J506" t="str">
        <f t="shared" si="29"/>
        <v>Environmental Heat</v>
      </c>
      <c r="K506" t="s">
        <v>181</v>
      </c>
      <c r="L506" t="s">
        <v>1071</v>
      </c>
      <c r="M506" t="s">
        <v>4357</v>
      </c>
      <c r="N506" t="s">
        <v>5148</v>
      </c>
      <c r="O506" t="str" cm="1">
        <f t="array" ref="O506">_xlfn.IFS(
  TEXT(TRIM(N506),"00000")="NULL", "Missing/Unknown",
  OR(TEXT(TRIM(N506),"00000")="89101", TEXT(TRIM(N506),"00000")="89104", TEXT(TRIM(N506),"00000")="89106", TEXT(TRIM(N506),"00000")="89102", TEXT(TRIM(N506),"00000")="89107", TEXT(TRIM(N506),"00000")="89108"), "Urban Core",
  OR(TEXT(TRIM(N506),"00000")="89110", TEXT(TRIM(N506),"00000")="89115", TEXT(TRIM(N506),"00000")="89121", TEXT(TRIM(N506),"00000")="89122", TEXT(TRIM(N506),"00000")="89142", TEXT(TRIM(N506),"00000")="89156"), "East Valley",
  OR(TEXT(TRIM(N506),"00000")="89030", TEXT(TRIM(N506),"00000")="89031", TEXT(TRIM(N506),"00000")="89032", TEXT(TRIM(N506),"00000")="89086", TEXT(TRIM(N506),"00000")="89084", TEXT(TRIM(N506),"00000")="89081"), "North LV",
  OR(TEXT(TRIM(N506),"00000")="89109", TEXT(TRIM(N506),"00000")="89103", TEXT(TRIM(N506),"00000")="89119", TEXT(TRIM(N506),"00000")="89123", TEXT(TRIM(N506),"00000")="89169", TEXT(TRIM(N506),"00000")="89118"), "South/Strip",
  OR(TEXT(TRIM(N506),"00000")="89074", TEXT(TRIM(N506),"00000")="89014", TEXT(TRIM(N506),"00000")="89015", TEXT(TRIM(N506),"00000")="89011", TEXT(TRIM(N506),"00000")="89012"), "Suburban SE",
  OR(TEXT(TRIM(N506),"00000")="89117", TEXT(TRIM(N506),"00000")="89128", TEXT(TRIM(N506),"00000")="89135", TEXT(TRIM(N506),"00000")="89144", TEXT(TRIM(N506),"00000")="89145", TEXT(TRIM(N506),"00000")="89147"), "West Valley",
  TRUE, "Other"
)</f>
        <v>West Valley</v>
      </c>
      <c r="P506" t="s">
        <v>38</v>
      </c>
      <c r="Q506" t="str">
        <f t="shared" si="30"/>
        <v>Home/Residence</v>
      </c>
      <c r="R506" t="s">
        <v>4357</v>
      </c>
      <c r="S506" t="s">
        <v>5148</v>
      </c>
      <c r="T506" t="str" cm="1">
        <f t="array" ref="T506">_xlfn.IFS(
  TEXT(TRIM(S506),"00000")="NULL", "Missing/Unknown",
  OR(TEXT(TRIM(S506),"00000")="89101", TEXT(TRIM(S506),"00000")="89104", TEXT(TRIM(S506),"00000")="89106", TEXT(TRIM(S506),"00000")="89102", TEXT(TRIM(S506),"00000")="89107", TEXT(TRIM(S506),"00000")="89108"), "Urban Core",
  OR(TEXT(TRIM(S506),"00000")="89110", TEXT(TRIM(S506),"00000")="89115", TEXT(TRIM(S506),"00000")="89121", TEXT(TRIM(S506),"00000")="89122", TEXT(TRIM(S506),"00000")="89142", TEXT(TRIM(S506),"00000")="89156"), "East Valley",
  OR(TEXT(TRIM(S506),"00000")="89030", TEXT(TRIM(S506),"00000")="89031", TEXT(TRIM(S506),"00000")="89032", TEXT(TRIM(S506),"00000")="89086", TEXT(TRIM(S506),"00000")="89084", TEXT(TRIM(S506),"00000")="89081"), "North LV",
  OR(TEXT(TRIM(S506),"00000")="89109", TEXT(TRIM(S506),"00000")="89103", TEXT(TRIM(S506),"00000")="89119", TEXT(TRIM(S506),"00000")="89123", TEXT(TRIM(S506),"00000")="89169", TEXT(TRIM(S506),"00000")="89118"), "South/Strip",
  OR(TEXT(TRIM(S506),"00000")="89074", TEXT(TRIM(S506),"00000")="89014", TEXT(TRIM(S506),"00000")="89015", TEXT(TRIM(S506),"00000")="89011", TEXT(TRIM(S506),"00000")="89012"), "Suburban SE",
  OR(TEXT(TRIM(S506),"00000")="89117", TEXT(TRIM(S506),"00000")="89128", TEXT(TRIM(S506),"00000")="89135", TEXT(TRIM(S506),"00000")="89144", TEXT(TRIM(S506),"00000")="89145", TEXT(TRIM(S506),"00000")="89147"), "West Valley",
  TRUE, "Other"
)</f>
        <v>West Valley</v>
      </c>
      <c r="U506" t="s">
        <v>38</v>
      </c>
      <c r="V506" t="str">
        <f t="shared" si="31"/>
        <v>Home/Residence</v>
      </c>
    </row>
    <row r="507" spans="1:22">
      <c r="A507" t="s">
        <v>959</v>
      </c>
      <c r="B507" t="s">
        <v>960</v>
      </c>
      <c r="C507" s="1">
        <v>45147</v>
      </c>
      <c r="D507" s="4">
        <v>102.02</v>
      </c>
      <c r="E507">
        <v>54</v>
      </c>
      <c r="F507" t="str">
        <f t="shared" si="28"/>
        <v>50's</v>
      </c>
      <c r="G507" t="str" cm="1">
        <f t="array" ref="G507">_xlfn.IFS(
  F507="10's", "Child (5–12)",
  OR(F507="20's", F507="30's"), "Young Adult (20–39)",
  OR(F507="40's", F507="50's"), "Adult (40–59)",
  OR(F507="60's", F507="70's", F507="80's", F507="90's"), "Senior (60+)",
  TRUE, "Unknown"
)</f>
        <v>Adult (40–59)</v>
      </c>
      <c r="H507" t="s">
        <v>778</v>
      </c>
      <c r="I507" t="s">
        <v>54</v>
      </c>
      <c r="J507" t="str">
        <f t="shared" si="29"/>
        <v>Environmental Heat</v>
      </c>
      <c r="K507" t="s">
        <v>34</v>
      </c>
      <c r="L507" t="s">
        <v>250</v>
      </c>
      <c r="M507" t="s">
        <v>4730</v>
      </c>
      <c r="N507" t="s">
        <v>5097</v>
      </c>
      <c r="O507" t="str" cm="1">
        <f t="array" ref="O507">_xlfn.IFS(
  TEXT(TRIM(N507),"00000")="NULL", "Missing/Unknown",
  OR(TEXT(TRIM(N507),"00000")="89101", TEXT(TRIM(N507),"00000")="89104", TEXT(TRIM(N507),"00000")="89106", TEXT(TRIM(N507),"00000")="89102", TEXT(TRIM(N507),"00000")="89107", TEXT(TRIM(N507),"00000")="89108"), "Urban Core",
  OR(TEXT(TRIM(N507),"00000")="89110", TEXT(TRIM(N507),"00000")="89115", TEXT(TRIM(N507),"00000")="89121", TEXT(TRIM(N507),"00000")="89122", TEXT(TRIM(N507),"00000")="89142", TEXT(TRIM(N507),"00000")="89156"), "East Valley",
  OR(TEXT(TRIM(N507),"00000")="89030", TEXT(TRIM(N507),"00000")="89031", TEXT(TRIM(N507),"00000")="89032", TEXT(TRIM(N507),"00000")="89086", TEXT(TRIM(N507),"00000")="89084", TEXT(TRIM(N507),"00000")="89081"), "North LV",
  OR(TEXT(TRIM(N507),"00000")="89109", TEXT(TRIM(N507),"00000")="89103", TEXT(TRIM(N507),"00000")="89119", TEXT(TRIM(N507),"00000")="89123", TEXT(TRIM(N507),"00000")="89169", TEXT(TRIM(N507),"00000")="89118"), "South/Strip",
  OR(TEXT(TRIM(N507),"00000")="89074", TEXT(TRIM(N507),"00000")="89014", TEXT(TRIM(N507),"00000")="89015", TEXT(TRIM(N507),"00000")="89011", TEXT(TRIM(N507),"00000")="89012"), "Suburban SE",
  OR(TEXT(TRIM(N507),"00000")="89117", TEXT(TRIM(N507),"00000")="89128", TEXT(TRIM(N507),"00000")="89135", TEXT(TRIM(N507),"00000")="89144", TEXT(TRIM(N507),"00000")="89145", TEXT(TRIM(N507),"00000")="89147"), "West Valley",
  TRUE, "Other"
)</f>
        <v>Urban Core</v>
      </c>
      <c r="P507" t="s">
        <v>3298</v>
      </c>
      <c r="Q507" t="str">
        <f t="shared" si="30"/>
        <v>Outdoors/Public</v>
      </c>
      <c r="R507" t="s">
        <v>4730</v>
      </c>
      <c r="S507" t="s">
        <v>5097</v>
      </c>
      <c r="T507" t="str" cm="1">
        <f t="array" ref="T507">_xlfn.IFS(
  TEXT(TRIM(S507),"00000")="NULL", "Missing/Unknown",
  OR(TEXT(TRIM(S507),"00000")="89101", TEXT(TRIM(S507),"00000")="89104", TEXT(TRIM(S507),"00000")="89106", TEXT(TRIM(S507),"00000")="89102", TEXT(TRIM(S507),"00000")="89107", TEXT(TRIM(S507),"00000")="89108"), "Urban Core",
  OR(TEXT(TRIM(S507),"00000")="89110", TEXT(TRIM(S507),"00000")="89115", TEXT(TRIM(S507),"00000")="89121", TEXT(TRIM(S507),"00000")="89122", TEXT(TRIM(S507),"00000")="89142", TEXT(TRIM(S507),"00000")="89156"), "East Valley",
  OR(TEXT(TRIM(S507),"00000")="89030", TEXT(TRIM(S507),"00000")="89031", TEXT(TRIM(S507),"00000")="89032", TEXT(TRIM(S507),"00000")="89086", TEXT(TRIM(S507),"00000")="89084", TEXT(TRIM(S507),"00000")="89081"), "North LV",
  OR(TEXT(TRIM(S507),"00000")="89109", TEXT(TRIM(S507),"00000")="89103", TEXT(TRIM(S507),"00000")="89119", TEXT(TRIM(S507),"00000")="89123", TEXT(TRIM(S507),"00000")="89169", TEXT(TRIM(S507),"00000")="89118"), "South/Strip",
  OR(TEXT(TRIM(S507),"00000")="89074", TEXT(TRIM(S507),"00000")="89014", TEXT(TRIM(S507),"00000")="89015", TEXT(TRIM(S507),"00000")="89011", TEXT(TRIM(S507),"00000")="89012"), "Suburban SE",
  OR(TEXT(TRIM(S507),"00000")="89117", TEXT(TRIM(S507),"00000")="89128", TEXT(TRIM(S507),"00000")="89135", TEXT(TRIM(S507),"00000")="89144", TEXT(TRIM(S507),"00000")="89145", TEXT(TRIM(S507),"00000")="89147"), "West Valley",
  TRUE, "Other"
)</f>
        <v>Urban Core</v>
      </c>
      <c r="U507" t="s">
        <v>3298</v>
      </c>
      <c r="V507" t="str">
        <f t="shared" si="31"/>
        <v>Outdoors/Public</v>
      </c>
    </row>
    <row r="508" spans="1:22">
      <c r="A508" t="s">
        <v>955</v>
      </c>
      <c r="B508" t="s">
        <v>956</v>
      </c>
      <c r="C508" s="1">
        <v>45146</v>
      </c>
      <c r="D508" s="4">
        <v>104</v>
      </c>
      <c r="E508">
        <v>41</v>
      </c>
      <c r="F508" t="str">
        <f t="shared" si="28"/>
        <v>40's</v>
      </c>
      <c r="G508" t="str" cm="1">
        <f t="array" ref="G508">_xlfn.IFS(
  F508="10's", "Child (5–12)",
  OR(F508="20's", F508="30's"), "Young Adult (20–39)",
  OR(F508="40's", F508="50's"), "Adult (40–59)",
  OR(F508="60's", F508="70's", F508="80's", F508="90's"), "Senior (60+)",
  TRUE, "Unknown"
)</f>
        <v>Adult (40–59)</v>
      </c>
      <c r="H508" t="s">
        <v>841</v>
      </c>
      <c r="I508" t="s">
        <v>54</v>
      </c>
      <c r="J508" t="str">
        <f t="shared" si="29"/>
        <v>Environmental Heat</v>
      </c>
      <c r="K508" t="s">
        <v>4207</v>
      </c>
      <c r="L508" t="s">
        <v>1071</v>
      </c>
      <c r="M508" t="s">
        <v>4358</v>
      </c>
      <c r="N508" t="s">
        <v>5098</v>
      </c>
      <c r="O508" t="str" cm="1">
        <f t="array" ref="O508">_xlfn.IFS(
  TEXT(TRIM(N508),"00000")="NULL", "Missing/Unknown",
  OR(TEXT(TRIM(N508),"00000")="89101", TEXT(TRIM(N508),"00000")="89104", TEXT(TRIM(N508),"00000")="89106", TEXT(TRIM(N508),"00000")="89102", TEXT(TRIM(N508),"00000")="89107", TEXT(TRIM(N508),"00000")="89108"), "Urban Core",
  OR(TEXT(TRIM(N508),"00000")="89110", TEXT(TRIM(N508),"00000")="89115", TEXT(TRIM(N508),"00000")="89121", TEXT(TRIM(N508),"00000")="89122", TEXT(TRIM(N508),"00000")="89142", TEXT(TRIM(N508),"00000")="89156"), "East Valley",
  OR(TEXT(TRIM(N508),"00000")="89030", TEXT(TRIM(N508),"00000")="89031", TEXT(TRIM(N508),"00000")="89032", TEXT(TRIM(N508),"00000")="89086", TEXT(TRIM(N508),"00000")="89084", TEXT(TRIM(N508),"00000")="89081"), "North LV",
  OR(TEXT(TRIM(N508),"00000")="89109", TEXT(TRIM(N508),"00000")="89103", TEXT(TRIM(N508),"00000")="89119", TEXT(TRIM(N508),"00000")="89123", TEXT(TRIM(N508),"00000")="89169", TEXT(TRIM(N508),"00000")="89118"), "South/Strip",
  OR(TEXT(TRIM(N508),"00000")="89074", TEXT(TRIM(N508),"00000")="89014", TEXT(TRIM(N508),"00000")="89015", TEXT(TRIM(N508),"00000")="89011", TEXT(TRIM(N508),"00000")="89012"), "Suburban SE",
  OR(TEXT(TRIM(N508),"00000")="89117", TEXT(TRIM(N508),"00000")="89128", TEXT(TRIM(N508),"00000")="89135", TEXT(TRIM(N508),"00000")="89144", TEXT(TRIM(N508),"00000")="89145", TEXT(TRIM(N508),"00000")="89147"), "West Valley",
  TRUE, "Other"
)</f>
        <v>Urban Core</v>
      </c>
      <c r="P508" t="s">
        <v>38</v>
      </c>
      <c r="Q508" t="str">
        <f t="shared" si="30"/>
        <v>Home/Residence</v>
      </c>
      <c r="R508" t="s">
        <v>4358</v>
      </c>
      <c r="S508" t="s">
        <v>5098</v>
      </c>
      <c r="T508" t="str" cm="1">
        <f t="array" ref="T508">_xlfn.IFS(
  TEXT(TRIM(S508),"00000")="NULL", "Missing/Unknown",
  OR(TEXT(TRIM(S508),"00000")="89101", TEXT(TRIM(S508),"00000")="89104", TEXT(TRIM(S508),"00000")="89106", TEXT(TRIM(S508),"00000")="89102", TEXT(TRIM(S508),"00000")="89107", TEXT(TRIM(S508),"00000")="89108"), "Urban Core",
  OR(TEXT(TRIM(S508),"00000")="89110", TEXT(TRIM(S508),"00000")="89115", TEXT(TRIM(S508),"00000")="89121", TEXT(TRIM(S508),"00000")="89122", TEXT(TRIM(S508),"00000")="89142", TEXT(TRIM(S508),"00000")="89156"), "East Valley",
  OR(TEXT(TRIM(S508),"00000")="89030", TEXT(TRIM(S508),"00000")="89031", TEXT(TRIM(S508),"00000")="89032", TEXT(TRIM(S508),"00000")="89086", TEXT(TRIM(S508),"00000")="89084", TEXT(TRIM(S508),"00000")="89081"), "North LV",
  OR(TEXT(TRIM(S508),"00000")="89109", TEXT(TRIM(S508),"00000")="89103", TEXT(TRIM(S508),"00000")="89119", TEXT(TRIM(S508),"00000")="89123", TEXT(TRIM(S508),"00000")="89169", TEXT(TRIM(S508),"00000")="89118"), "South/Strip",
  OR(TEXT(TRIM(S508),"00000")="89074", TEXT(TRIM(S508),"00000")="89014", TEXT(TRIM(S508),"00000")="89015", TEXT(TRIM(S508),"00000")="89011", TEXT(TRIM(S508),"00000")="89012"), "Suburban SE",
  OR(TEXT(TRIM(S508),"00000")="89117", TEXT(TRIM(S508),"00000")="89128", TEXT(TRIM(S508),"00000")="89135", TEXT(TRIM(S508),"00000")="89144", TEXT(TRIM(S508),"00000")="89145", TEXT(TRIM(S508),"00000")="89147"), "West Valley",
  TRUE, "Other"
)</f>
        <v>Urban Core</v>
      </c>
      <c r="U508" t="s">
        <v>38</v>
      </c>
      <c r="V508" t="str">
        <f t="shared" si="31"/>
        <v>Home/Residence</v>
      </c>
    </row>
    <row r="509" spans="1:22">
      <c r="A509" t="s">
        <v>1065</v>
      </c>
      <c r="B509" t="s">
        <v>1066</v>
      </c>
      <c r="C509" s="1">
        <v>45146</v>
      </c>
      <c r="D509" s="4">
        <v>104</v>
      </c>
      <c r="E509">
        <v>57</v>
      </c>
      <c r="F509" t="str">
        <f t="shared" si="28"/>
        <v>50's</v>
      </c>
      <c r="G509" t="str" cm="1">
        <f t="array" ref="G509">_xlfn.IFS(
  F509="10's", "Child (5–12)",
  OR(F509="20's", F509="30's"), "Young Adult (20–39)",
  OR(F509="40's", F509="50's"), "Adult (40–59)",
  OR(F509="60's", F509="70's", F509="80's", F509="90's"), "Senior (60+)",
  TRUE, "Unknown"
)</f>
        <v>Adult (40–59)</v>
      </c>
      <c r="H509" t="s">
        <v>778</v>
      </c>
      <c r="I509" t="s">
        <v>34</v>
      </c>
      <c r="J509" t="str">
        <f t="shared" si="29"/>
        <v>Methamphetamine-related</v>
      </c>
      <c r="K509" t="s">
        <v>54</v>
      </c>
      <c r="L509" t="s">
        <v>250</v>
      </c>
      <c r="N509" t="s">
        <v>5095</v>
      </c>
      <c r="O509" t="str" cm="1">
        <f t="array" ref="O509">_xlfn.IFS(
  TEXT(TRIM(N509),"00000")="NULL", "Missing/Unknown",
  OR(TEXT(TRIM(N509),"00000")="89101", TEXT(TRIM(N509),"00000")="89104", TEXT(TRIM(N509),"00000")="89106", TEXT(TRIM(N509),"00000")="89102", TEXT(TRIM(N509),"00000")="89107", TEXT(TRIM(N509),"00000")="89108"), "Urban Core",
  OR(TEXT(TRIM(N509),"00000")="89110", TEXT(TRIM(N509),"00000")="89115", TEXT(TRIM(N509),"00000")="89121", TEXT(TRIM(N509),"00000")="89122", TEXT(TRIM(N509),"00000")="89142", TEXT(TRIM(N509),"00000")="89156"), "East Valley",
  OR(TEXT(TRIM(N509),"00000")="89030", TEXT(TRIM(N509),"00000")="89031", TEXT(TRIM(N509),"00000")="89032", TEXT(TRIM(N509),"00000")="89086", TEXT(TRIM(N509),"00000")="89084", TEXT(TRIM(N509),"00000")="89081"), "North LV",
  OR(TEXT(TRIM(N509),"00000")="89109", TEXT(TRIM(N509),"00000")="89103", TEXT(TRIM(N509),"00000")="89119", TEXT(TRIM(N509),"00000")="89123", TEXT(TRIM(N509),"00000")="89169", TEXT(TRIM(N509),"00000")="89118"), "South/Strip",
  OR(TEXT(TRIM(N509),"00000")="89074", TEXT(TRIM(N509),"00000")="89014", TEXT(TRIM(N509),"00000")="89015", TEXT(TRIM(N509),"00000")="89011", TEXT(TRIM(N509),"00000")="89012"), "Suburban SE",
  OR(TEXT(TRIM(N509),"00000")="89117", TEXT(TRIM(N509),"00000")="89128", TEXT(TRIM(N509),"00000")="89135", TEXT(TRIM(N509),"00000")="89144", TEXT(TRIM(N509),"00000")="89145", TEXT(TRIM(N509),"00000")="89147"), "West Valley",
  TRUE, "Other"
)</f>
        <v>Missing/Unknown</v>
      </c>
      <c r="P509" t="s">
        <v>3298</v>
      </c>
      <c r="Q509" t="str">
        <f t="shared" si="30"/>
        <v>Outdoors/Public</v>
      </c>
      <c r="R509" t="s">
        <v>5055</v>
      </c>
      <c r="S509" t="s">
        <v>5119</v>
      </c>
      <c r="T509" t="str" cm="1">
        <f t="array" ref="T509">_xlfn.IFS(
  TEXT(TRIM(S509),"00000")="NULL", "Missing/Unknown",
  OR(TEXT(TRIM(S509),"00000")="89101", TEXT(TRIM(S509),"00000")="89104", TEXT(TRIM(S509),"00000")="89106", TEXT(TRIM(S509),"00000")="89102", TEXT(TRIM(S509),"00000")="89107", TEXT(TRIM(S509),"00000")="89108"), "Urban Core",
  OR(TEXT(TRIM(S509),"00000")="89110", TEXT(TRIM(S509),"00000")="89115", TEXT(TRIM(S509),"00000")="89121", TEXT(TRIM(S509),"00000")="89122", TEXT(TRIM(S509),"00000")="89142", TEXT(TRIM(S509),"00000")="89156"), "East Valley",
  OR(TEXT(TRIM(S509),"00000")="89030", TEXT(TRIM(S509),"00000")="89031", TEXT(TRIM(S509),"00000")="89032", TEXT(TRIM(S509),"00000")="89086", TEXT(TRIM(S509),"00000")="89084", TEXT(TRIM(S509),"00000")="89081"), "North LV",
  OR(TEXT(TRIM(S509),"00000")="89109", TEXT(TRIM(S509),"00000")="89103", TEXT(TRIM(S509),"00000")="89119", TEXT(TRIM(S509),"00000")="89123", TEXT(TRIM(S509),"00000")="89169", TEXT(TRIM(S509),"00000")="89118"), "South/Strip",
  OR(TEXT(TRIM(S509),"00000")="89074", TEXT(TRIM(S509),"00000")="89014", TEXT(TRIM(S509),"00000")="89015", TEXT(TRIM(S509),"00000")="89011", TEXT(TRIM(S509),"00000")="89012"), "Suburban SE",
  OR(TEXT(TRIM(S509),"00000")="89117", TEXT(TRIM(S509),"00000")="89128", TEXT(TRIM(S509),"00000")="89135", TEXT(TRIM(S509),"00000")="89144", TEXT(TRIM(S509),"00000")="89145", TEXT(TRIM(S509),"00000")="89147"), "West Valley",
  TRUE, "Other"
)</f>
        <v>Urban Core</v>
      </c>
      <c r="U509" t="s">
        <v>4301</v>
      </c>
      <c r="V509" t="str">
        <f t="shared" si="31"/>
        <v>Medical Facility</v>
      </c>
    </row>
    <row r="510" spans="1:22">
      <c r="A510" t="s">
        <v>943</v>
      </c>
      <c r="B510" t="s">
        <v>944</v>
      </c>
      <c r="C510" s="1">
        <v>45146</v>
      </c>
      <c r="D510" s="4">
        <v>104</v>
      </c>
      <c r="E510">
        <v>55</v>
      </c>
      <c r="F510" t="str">
        <f t="shared" si="28"/>
        <v>50's</v>
      </c>
      <c r="G510" t="str" cm="1">
        <f t="array" ref="G510">_xlfn.IFS(
  F510="10's", "Child (5–12)",
  OR(F510="20's", F510="30's"), "Young Adult (20–39)",
  OR(F510="40's", F510="50's"), "Adult (40–59)",
  OR(F510="60's", F510="70's", F510="80's", F510="90's"), "Senior (60+)",
  TRUE, "Unknown"
)</f>
        <v>Adult (40–59)</v>
      </c>
      <c r="H510" t="s">
        <v>841</v>
      </c>
      <c r="I510" t="s">
        <v>54</v>
      </c>
      <c r="J510" t="str">
        <f t="shared" si="29"/>
        <v>Environmental Heat</v>
      </c>
      <c r="K510" t="s">
        <v>945</v>
      </c>
      <c r="L510" t="s">
        <v>1071</v>
      </c>
      <c r="M510" t="s">
        <v>4520</v>
      </c>
      <c r="N510" t="s">
        <v>5149</v>
      </c>
      <c r="O510" t="str" cm="1">
        <f t="array" ref="O510">_xlfn.IFS(
  TEXT(TRIM(N510),"00000")="NULL", "Missing/Unknown",
  OR(TEXT(TRIM(N510),"00000")="89101", TEXT(TRIM(N510),"00000")="89104", TEXT(TRIM(N510),"00000")="89106", TEXT(TRIM(N510),"00000")="89102", TEXT(TRIM(N510),"00000")="89107", TEXT(TRIM(N510),"00000")="89108"), "Urban Core",
  OR(TEXT(TRIM(N510),"00000")="89110", TEXT(TRIM(N510),"00000")="89115", TEXT(TRIM(N510),"00000")="89121", TEXT(TRIM(N510),"00000")="89122", TEXT(TRIM(N510),"00000")="89142", TEXT(TRIM(N510),"00000")="89156"), "East Valley",
  OR(TEXT(TRIM(N510),"00000")="89030", TEXT(TRIM(N510),"00000")="89031", TEXT(TRIM(N510),"00000")="89032", TEXT(TRIM(N510),"00000")="89086", TEXT(TRIM(N510),"00000")="89084", TEXT(TRIM(N510),"00000")="89081"), "North LV",
  OR(TEXT(TRIM(N510),"00000")="89109", TEXT(TRIM(N510),"00000")="89103", TEXT(TRIM(N510),"00000")="89119", TEXT(TRIM(N510),"00000")="89123", TEXT(TRIM(N510),"00000")="89169", TEXT(TRIM(N510),"00000")="89118"), "South/Strip",
  OR(TEXT(TRIM(N510),"00000")="89074", TEXT(TRIM(N510),"00000")="89014", TEXT(TRIM(N510),"00000")="89015", TEXT(TRIM(N510),"00000")="89011", TEXT(TRIM(N510),"00000")="89012"), "Suburban SE",
  OR(TEXT(TRIM(N510),"00000")="89117", TEXT(TRIM(N510),"00000")="89128", TEXT(TRIM(N510),"00000")="89135", TEXT(TRIM(N510),"00000")="89144", TEXT(TRIM(N510),"00000")="89145", TEXT(TRIM(N510),"00000")="89147"), "West Valley",
  TRUE, "Other"
)</f>
        <v>Other</v>
      </c>
      <c r="P510" t="s">
        <v>38</v>
      </c>
      <c r="Q510" t="str">
        <f t="shared" si="30"/>
        <v>Home/Residence</v>
      </c>
      <c r="R510" t="s">
        <v>5051</v>
      </c>
      <c r="S510" t="s">
        <v>5114</v>
      </c>
      <c r="T510" t="str" cm="1">
        <f t="array" ref="T510">_xlfn.IFS(
  TEXT(TRIM(S510),"00000")="NULL", "Missing/Unknown",
  OR(TEXT(TRIM(S510),"00000")="89101", TEXT(TRIM(S510),"00000")="89104", TEXT(TRIM(S510),"00000")="89106", TEXT(TRIM(S510),"00000")="89102", TEXT(TRIM(S510),"00000")="89107", TEXT(TRIM(S510),"00000")="89108"), "Urban Core",
  OR(TEXT(TRIM(S510),"00000")="89110", TEXT(TRIM(S510),"00000")="89115", TEXT(TRIM(S510),"00000")="89121", TEXT(TRIM(S510),"00000")="89122", TEXT(TRIM(S510),"00000")="89142", TEXT(TRIM(S510),"00000")="89156"), "East Valley",
  OR(TEXT(TRIM(S510),"00000")="89030", TEXT(TRIM(S510),"00000")="89031", TEXT(TRIM(S510),"00000")="89032", TEXT(TRIM(S510),"00000")="89086", TEXT(TRIM(S510),"00000")="89084", TEXT(TRIM(S510),"00000")="89081"), "North LV",
  OR(TEXT(TRIM(S510),"00000")="89109", TEXT(TRIM(S510),"00000")="89103", TEXT(TRIM(S510),"00000")="89119", TEXT(TRIM(S510),"00000")="89123", TEXT(TRIM(S510),"00000")="89169", TEXT(TRIM(S510),"00000")="89118"), "South/Strip",
  OR(TEXT(TRIM(S510),"00000")="89074", TEXT(TRIM(S510),"00000")="89014", TEXT(TRIM(S510),"00000")="89015", TEXT(TRIM(S510),"00000")="89011", TEXT(TRIM(S510),"00000")="89012"), "Suburban SE",
  OR(TEXT(TRIM(S510),"00000")="89117", TEXT(TRIM(S510),"00000")="89128", TEXT(TRIM(S510),"00000")="89135", TEXT(TRIM(S510),"00000")="89144", TEXT(TRIM(S510),"00000")="89145", TEXT(TRIM(S510),"00000")="89147"), "West Valley",
  TRUE, "Other"
)</f>
        <v>Other</v>
      </c>
      <c r="U510" t="s">
        <v>4301</v>
      </c>
      <c r="V510" t="str">
        <f t="shared" si="31"/>
        <v>Medical Facility</v>
      </c>
    </row>
    <row r="511" spans="1:22">
      <c r="A511" t="s">
        <v>940</v>
      </c>
      <c r="B511" t="s">
        <v>941</v>
      </c>
      <c r="C511" s="1">
        <v>45146</v>
      </c>
      <c r="D511" s="4">
        <v>104</v>
      </c>
      <c r="E511">
        <v>42</v>
      </c>
      <c r="F511" t="str">
        <f t="shared" si="28"/>
        <v>40's</v>
      </c>
      <c r="G511" t="str" cm="1">
        <f t="array" ref="G511">_xlfn.IFS(
  F511="10's", "Child (5–12)",
  OR(F511="20's", F511="30's"), "Young Adult (20–39)",
  OR(F511="40's", F511="50's"), "Adult (40–59)",
  OR(F511="60's", F511="70's", F511="80's", F511="90's"), "Senior (60+)",
  TRUE, "Unknown"
)</f>
        <v>Adult (40–59)</v>
      </c>
      <c r="H511" t="s">
        <v>841</v>
      </c>
      <c r="I511" t="s">
        <v>54</v>
      </c>
      <c r="J511" t="str">
        <f t="shared" si="29"/>
        <v>Environmental Heat</v>
      </c>
      <c r="K511" t="s">
        <v>4090</v>
      </c>
      <c r="L511" t="s">
        <v>250</v>
      </c>
      <c r="M511" t="s">
        <v>4731</v>
      </c>
      <c r="N511" t="s">
        <v>5115</v>
      </c>
      <c r="O511" t="str" cm="1">
        <f t="array" ref="O511">_xlfn.IFS(
  TEXT(TRIM(N511),"00000")="NULL", "Missing/Unknown",
  OR(TEXT(TRIM(N511),"00000")="89101", TEXT(TRIM(N511),"00000")="89104", TEXT(TRIM(N511),"00000")="89106", TEXT(TRIM(N511),"00000")="89102", TEXT(TRIM(N511),"00000")="89107", TEXT(TRIM(N511),"00000")="89108"), "Urban Core",
  OR(TEXT(TRIM(N511),"00000")="89110", TEXT(TRIM(N511),"00000")="89115", TEXT(TRIM(N511),"00000")="89121", TEXT(TRIM(N511),"00000")="89122", TEXT(TRIM(N511),"00000")="89142", TEXT(TRIM(N511),"00000")="89156"), "East Valley",
  OR(TEXT(TRIM(N511),"00000")="89030", TEXT(TRIM(N511),"00000")="89031", TEXT(TRIM(N511),"00000")="89032", TEXT(TRIM(N511),"00000")="89086", TEXT(TRIM(N511),"00000")="89084", TEXT(TRIM(N511),"00000")="89081"), "North LV",
  OR(TEXT(TRIM(N511),"00000")="89109", TEXT(TRIM(N511),"00000")="89103", TEXT(TRIM(N511),"00000")="89119", TEXT(TRIM(N511),"00000")="89123", TEXT(TRIM(N511),"00000")="89169", TEXT(TRIM(N511),"00000")="89118"), "South/Strip",
  OR(TEXT(TRIM(N511),"00000")="89074", TEXT(TRIM(N511),"00000")="89014", TEXT(TRIM(N511),"00000")="89015", TEXT(TRIM(N511),"00000")="89011", TEXT(TRIM(N511),"00000")="89012"), "Suburban SE",
  OR(TEXT(TRIM(N511),"00000")="89117", TEXT(TRIM(N511),"00000")="89128", TEXT(TRIM(N511),"00000")="89135", TEXT(TRIM(N511),"00000")="89144", TEXT(TRIM(N511),"00000")="89145", TEXT(TRIM(N511),"00000")="89147"), "West Valley",
  TRUE, "Other"
)</f>
        <v>Other</v>
      </c>
      <c r="P511" t="s">
        <v>3298</v>
      </c>
      <c r="Q511" t="str">
        <f t="shared" si="30"/>
        <v>Outdoors/Public</v>
      </c>
      <c r="R511" t="s">
        <v>4731</v>
      </c>
      <c r="S511" t="s">
        <v>5115</v>
      </c>
      <c r="T511" t="str" cm="1">
        <f t="array" ref="T511">_xlfn.IFS(
  TEXT(TRIM(S511),"00000")="NULL", "Missing/Unknown",
  OR(TEXT(TRIM(S511),"00000")="89101", TEXT(TRIM(S511),"00000")="89104", TEXT(TRIM(S511),"00000")="89106", TEXT(TRIM(S511),"00000")="89102", TEXT(TRIM(S511),"00000")="89107", TEXT(TRIM(S511),"00000")="89108"), "Urban Core",
  OR(TEXT(TRIM(S511),"00000")="89110", TEXT(TRIM(S511),"00000")="89115", TEXT(TRIM(S511),"00000")="89121", TEXT(TRIM(S511),"00000")="89122", TEXT(TRIM(S511),"00000")="89142", TEXT(TRIM(S511),"00000")="89156"), "East Valley",
  OR(TEXT(TRIM(S511),"00000")="89030", TEXT(TRIM(S511),"00000")="89031", TEXT(TRIM(S511),"00000")="89032", TEXT(TRIM(S511),"00000")="89086", TEXT(TRIM(S511),"00000")="89084", TEXT(TRIM(S511),"00000")="89081"), "North LV",
  OR(TEXT(TRIM(S511),"00000")="89109", TEXT(TRIM(S511),"00000")="89103", TEXT(TRIM(S511),"00000")="89119", TEXT(TRIM(S511),"00000")="89123", TEXT(TRIM(S511),"00000")="89169", TEXT(TRIM(S511),"00000")="89118"), "South/Strip",
  OR(TEXT(TRIM(S511),"00000")="89074", TEXT(TRIM(S511),"00000")="89014", TEXT(TRIM(S511),"00000")="89015", TEXT(TRIM(S511),"00000")="89011", TEXT(TRIM(S511),"00000")="89012"), "Suburban SE",
  OR(TEXT(TRIM(S511),"00000")="89117", TEXT(TRIM(S511),"00000")="89128", TEXT(TRIM(S511),"00000")="89135", TEXT(TRIM(S511),"00000")="89144", TEXT(TRIM(S511),"00000")="89145", TEXT(TRIM(S511),"00000")="89147"), "West Valley",
  TRUE, "Other"
)</f>
        <v>Other</v>
      </c>
      <c r="U511" t="s">
        <v>3298</v>
      </c>
      <c r="V511" t="str">
        <f t="shared" si="31"/>
        <v>Outdoors/Public</v>
      </c>
    </row>
    <row r="512" spans="1:22">
      <c r="A512" t="s">
        <v>952</v>
      </c>
      <c r="B512" t="s">
        <v>953</v>
      </c>
      <c r="C512" s="1">
        <v>45146</v>
      </c>
      <c r="D512" s="4">
        <v>104</v>
      </c>
      <c r="E512">
        <v>62</v>
      </c>
      <c r="F512" t="str">
        <f t="shared" si="28"/>
        <v>60's</v>
      </c>
      <c r="G512" t="str" cm="1">
        <f t="array" ref="G512">_xlfn.IFS(
  F512="10's", "Child (5–12)",
  OR(F512="20's", F512="30's"), "Young Adult (20–39)",
  OR(F512="40's", F512="50's"), "Adult (40–59)",
  OR(F512="60's", F512="70's", F512="80's", F512="90's"), "Senior (60+)",
  TRUE, "Unknown"
)</f>
        <v>Senior (60+)</v>
      </c>
      <c r="H512" t="s">
        <v>841</v>
      </c>
      <c r="I512" t="s">
        <v>54</v>
      </c>
      <c r="J512" t="str">
        <f t="shared" si="29"/>
        <v>Environmental Heat</v>
      </c>
      <c r="K512" t="s">
        <v>954</v>
      </c>
      <c r="L512" t="s">
        <v>250</v>
      </c>
      <c r="N512" t="s">
        <v>5095</v>
      </c>
      <c r="O512" t="str" cm="1">
        <f t="array" ref="O512">_xlfn.IFS(
  TEXT(TRIM(N512),"00000")="NULL", "Missing/Unknown",
  OR(TEXT(TRIM(N512),"00000")="89101", TEXT(TRIM(N512),"00000")="89104", TEXT(TRIM(N512),"00000")="89106", TEXT(TRIM(N512),"00000")="89102", TEXT(TRIM(N512),"00000")="89107", TEXT(TRIM(N512),"00000")="89108"), "Urban Core",
  OR(TEXT(TRIM(N512),"00000")="89110", TEXT(TRIM(N512),"00000")="89115", TEXT(TRIM(N512),"00000")="89121", TEXT(TRIM(N512),"00000")="89122", TEXT(TRIM(N512),"00000")="89142", TEXT(TRIM(N512),"00000")="89156"), "East Valley",
  OR(TEXT(TRIM(N512),"00000")="89030", TEXT(TRIM(N512),"00000")="89031", TEXT(TRIM(N512),"00000")="89032", TEXT(TRIM(N512),"00000")="89086", TEXT(TRIM(N512),"00000")="89084", TEXT(TRIM(N512),"00000")="89081"), "North LV",
  OR(TEXT(TRIM(N512),"00000")="89109", TEXT(TRIM(N512),"00000")="89103", TEXT(TRIM(N512),"00000")="89119", TEXT(TRIM(N512),"00000")="89123", TEXT(TRIM(N512),"00000")="89169", TEXT(TRIM(N512),"00000")="89118"), "South/Strip",
  OR(TEXT(TRIM(N512),"00000")="89074", TEXT(TRIM(N512),"00000")="89014", TEXT(TRIM(N512),"00000")="89015", TEXT(TRIM(N512),"00000")="89011", TEXT(TRIM(N512),"00000")="89012"), "Suburban SE",
  OR(TEXT(TRIM(N512),"00000")="89117", TEXT(TRIM(N512),"00000")="89128", TEXT(TRIM(N512),"00000")="89135", TEXT(TRIM(N512),"00000")="89144", TEXT(TRIM(N512),"00000")="89145", TEXT(TRIM(N512),"00000")="89147"), "West Valley",
  TRUE, "Other"
)</f>
        <v>Missing/Unknown</v>
      </c>
      <c r="P512" t="s">
        <v>726</v>
      </c>
      <c r="Q512" t="str">
        <f t="shared" si="30"/>
        <v>Outdoors/Public</v>
      </c>
      <c r="S512" t="s">
        <v>5095</v>
      </c>
      <c r="T512" t="str" cm="1">
        <f t="array" ref="T512">_xlfn.IFS(
  TEXT(TRIM(S512),"00000")="NULL", "Missing/Unknown",
  OR(TEXT(TRIM(S512),"00000")="89101", TEXT(TRIM(S512),"00000")="89104", TEXT(TRIM(S512),"00000")="89106", TEXT(TRIM(S512),"00000")="89102", TEXT(TRIM(S512),"00000")="89107", TEXT(TRIM(S512),"00000")="89108"), "Urban Core",
  OR(TEXT(TRIM(S512),"00000")="89110", TEXT(TRIM(S512),"00000")="89115", TEXT(TRIM(S512),"00000")="89121", TEXT(TRIM(S512),"00000")="89122", TEXT(TRIM(S512),"00000")="89142", TEXT(TRIM(S512),"00000")="89156"), "East Valley",
  OR(TEXT(TRIM(S512),"00000")="89030", TEXT(TRIM(S512),"00000")="89031", TEXT(TRIM(S512),"00000")="89032", TEXT(TRIM(S512),"00000")="89086", TEXT(TRIM(S512),"00000")="89084", TEXT(TRIM(S512),"00000")="89081"), "North LV",
  OR(TEXT(TRIM(S512),"00000")="89109", TEXT(TRIM(S512),"00000")="89103", TEXT(TRIM(S512),"00000")="89119", TEXT(TRIM(S512),"00000")="89123", TEXT(TRIM(S512),"00000")="89169", TEXT(TRIM(S512),"00000")="89118"), "South/Strip",
  OR(TEXT(TRIM(S512),"00000")="89074", TEXT(TRIM(S512),"00000")="89014", TEXT(TRIM(S512),"00000")="89015", TEXT(TRIM(S512),"00000")="89011", TEXT(TRIM(S512),"00000")="89012"), "Suburban SE",
  OR(TEXT(TRIM(S512),"00000")="89117", TEXT(TRIM(S512),"00000")="89128", TEXT(TRIM(S512),"00000")="89135", TEXT(TRIM(S512),"00000")="89144", TEXT(TRIM(S512),"00000")="89145", TEXT(TRIM(S512),"00000")="89147"), "West Valley",
  TRUE, "Other"
)</f>
        <v>Missing/Unknown</v>
      </c>
      <c r="U512" t="s">
        <v>726</v>
      </c>
      <c r="V512" t="str">
        <f t="shared" si="31"/>
        <v>Outdoors/Public</v>
      </c>
    </row>
    <row r="513" spans="1:22">
      <c r="A513" t="s">
        <v>936</v>
      </c>
      <c r="B513" t="s">
        <v>937</v>
      </c>
      <c r="C513" s="1">
        <v>45145</v>
      </c>
      <c r="D513" s="4">
        <v>107.06</v>
      </c>
      <c r="E513">
        <v>50</v>
      </c>
      <c r="F513" t="str">
        <f t="shared" si="28"/>
        <v>50's</v>
      </c>
      <c r="G513" t="str" cm="1">
        <f t="array" ref="G513">_xlfn.IFS(
  F513="10's", "Child (5–12)",
  OR(F513="20's", F513="30's"), "Young Adult (20–39)",
  OR(F513="40's", F513="50's"), "Adult (40–59)",
  OR(F513="60's", F513="70's", F513="80's", F513="90's"), "Senior (60+)",
  TRUE, "Unknown"
)</f>
        <v>Adult (40–59)</v>
      </c>
      <c r="H513" t="s">
        <v>841</v>
      </c>
      <c r="I513" t="s">
        <v>54</v>
      </c>
      <c r="J513" t="str">
        <f t="shared" si="29"/>
        <v>Environmental Heat</v>
      </c>
      <c r="K513" t="s">
        <v>4208</v>
      </c>
      <c r="L513" t="s">
        <v>250</v>
      </c>
      <c r="N513" t="s">
        <v>5095</v>
      </c>
      <c r="O513" t="str" cm="1">
        <f t="array" ref="O513">_xlfn.IFS(
  TEXT(TRIM(N513),"00000")="NULL", "Missing/Unknown",
  OR(TEXT(TRIM(N513),"00000")="89101", TEXT(TRIM(N513),"00000")="89104", TEXT(TRIM(N513),"00000")="89106", TEXT(TRIM(N513),"00000")="89102", TEXT(TRIM(N513),"00000")="89107", TEXT(TRIM(N513),"00000")="89108"), "Urban Core",
  OR(TEXT(TRIM(N513),"00000")="89110", TEXT(TRIM(N513),"00000")="89115", TEXT(TRIM(N513),"00000")="89121", TEXT(TRIM(N513),"00000")="89122", TEXT(TRIM(N513),"00000")="89142", TEXT(TRIM(N513),"00000")="89156"), "East Valley",
  OR(TEXT(TRIM(N513),"00000")="89030", TEXT(TRIM(N513),"00000")="89031", TEXT(TRIM(N513),"00000")="89032", TEXT(TRIM(N513),"00000")="89086", TEXT(TRIM(N513),"00000")="89084", TEXT(TRIM(N513),"00000")="89081"), "North LV",
  OR(TEXT(TRIM(N513),"00000")="89109", TEXT(TRIM(N513),"00000")="89103", TEXT(TRIM(N513),"00000")="89119", TEXT(TRIM(N513),"00000")="89123", TEXT(TRIM(N513),"00000")="89169", TEXT(TRIM(N513),"00000")="89118"), "South/Strip",
  OR(TEXT(TRIM(N513),"00000")="89074", TEXT(TRIM(N513),"00000")="89014", TEXT(TRIM(N513),"00000")="89015", TEXT(TRIM(N513),"00000")="89011", TEXT(TRIM(N513),"00000")="89012"), "Suburban SE",
  OR(TEXT(TRIM(N513),"00000")="89117", TEXT(TRIM(N513),"00000")="89128", TEXT(TRIM(N513),"00000")="89135", TEXT(TRIM(N513),"00000")="89144", TEXT(TRIM(N513),"00000")="89145", TEXT(TRIM(N513),"00000")="89147"), "West Valley",
  TRUE, "Other"
)</f>
        <v>Missing/Unknown</v>
      </c>
      <c r="P513" t="s">
        <v>3298</v>
      </c>
      <c r="Q513" t="str">
        <f t="shared" si="30"/>
        <v>Outdoors/Public</v>
      </c>
      <c r="S513" t="s">
        <v>5095</v>
      </c>
      <c r="T513" t="str" cm="1">
        <f t="array" ref="T513">_xlfn.IFS(
  TEXT(TRIM(S513),"00000")="NULL", "Missing/Unknown",
  OR(TEXT(TRIM(S513),"00000")="89101", TEXT(TRIM(S513),"00000")="89104", TEXT(TRIM(S513),"00000")="89106", TEXT(TRIM(S513),"00000")="89102", TEXT(TRIM(S513),"00000")="89107", TEXT(TRIM(S513),"00000")="89108"), "Urban Core",
  OR(TEXT(TRIM(S513),"00000")="89110", TEXT(TRIM(S513),"00000")="89115", TEXT(TRIM(S513),"00000")="89121", TEXT(TRIM(S513),"00000")="89122", TEXT(TRIM(S513),"00000")="89142", TEXT(TRIM(S513),"00000")="89156"), "East Valley",
  OR(TEXT(TRIM(S513),"00000")="89030", TEXT(TRIM(S513),"00000")="89031", TEXT(TRIM(S513),"00000")="89032", TEXT(TRIM(S513),"00000")="89086", TEXT(TRIM(S513),"00000")="89084", TEXT(TRIM(S513),"00000")="89081"), "North LV",
  OR(TEXT(TRIM(S513),"00000")="89109", TEXT(TRIM(S513),"00000")="89103", TEXT(TRIM(S513),"00000")="89119", TEXT(TRIM(S513),"00000")="89123", TEXT(TRIM(S513),"00000")="89169", TEXT(TRIM(S513),"00000")="89118"), "South/Strip",
  OR(TEXT(TRIM(S513),"00000")="89074", TEXT(TRIM(S513),"00000")="89014", TEXT(TRIM(S513),"00000")="89015", TEXT(TRIM(S513),"00000")="89011", TEXT(TRIM(S513),"00000")="89012"), "Suburban SE",
  OR(TEXT(TRIM(S513),"00000")="89117", TEXT(TRIM(S513),"00000")="89128", TEXT(TRIM(S513),"00000")="89135", TEXT(TRIM(S513),"00000")="89144", TEXT(TRIM(S513),"00000")="89145", TEXT(TRIM(S513),"00000")="89147"), "West Valley",
  TRUE, "Other"
)</f>
        <v>Missing/Unknown</v>
      </c>
      <c r="U513" t="s">
        <v>3298</v>
      </c>
      <c r="V513" t="str">
        <f t="shared" si="31"/>
        <v>Outdoors/Public</v>
      </c>
    </row>
    <row r="514" spans="1:22">
      <c r="A514" t="s">
        <v>925</v>
      </c>
      <c r="B514" t="s">
        <v>926</v>
      </c>
      <c r="C514" s="1">
        <v>45144</v>
      </c>
      <c r="D514" s="4">
        <v>109.04</v>
      </c>
      <c r="E514">
        <v>74</v>
      </c>
      <c r="F514" t="str">
        <f t="shared" ref="F514:F577" si="32">_xlfn.CONCAT(INT(E514/10)*10, "'s")</f>
        <v>70's</v>
      </c>
      <c r="G514" t="str" cm="1">
        <f t="array" ref="G514">_xlfn.IFS(
  F514="10's", "Child (5–12)",
  OR(F514="20's", F514="30's"), "Young Adult (20–39)",
  OR(F514="40's", F514="50's"), "Adult (40–59)",
  OR(F514="60's", F514="70's", F514="80's", F514="90's"), "Senior (60+)",
  TRUE, "Unknown"
)</f>
        <v>Senior (60+)</v>
      </c>
      <c r="H514" t="s">
        <v>841</v>
      </c>
      <c r="I514" t="s">
        <v>63</v>
      </c>
      <c r="J514" t="str">
        <f t="shared" ref="J514:J577" si="33">IF(ISNUMBER(SEARCH("heat", I514)) + ISNUMBER(SEARCH("hyperthermia", I514)) + ISNUMBER(SEARCH("heat stroke", I514)) + ISNUMBER(SEARCH("environmental", I514)), "Environmental Heat",
IF(ISNUMBER(SEARCH("meth", I514)), "Methamphetamine-related",
IF(ISNUMBER(SEARCH("fentanyl", I514)), "Fentanyl-related",
IF(ISNUMBER(SEARCH("cardio", I514)) + ISNUMBER(SEARCH("heart", I514)) + ISNUMBER(SEARCH("atherosclerotic", I514)) + ISNUMBER(SEARCH("hypertensive", I514)) + ISNUMBER(SEARCH("myocardial", I514)) + ISNUMBER(SEARCH("infarction", I514)), "Cardiovascular Disease",
IF(ISNUMBER(SEARCH("ethanol", I514)) + ISNUMBER(SEARCH("alcohol", I514)), "Ethanol-related",
IF(ISNUMBER(SEARCH("dehydration", I514)) + ISNUMBER(SEARCH("hypernatrem", I514)) + ISNUMBER(SEARCH("hyponatrem", I514)), "Dehydration / Electrolyte",
IF(ISNUMBER(SEARCH("intoxication", I514)) + ISNUMBER(SEARCH("toxicity", I514)) + ISNUMBER(SEARCH("overdose", I514)), "Mixed Drug Toxicity",
"Other / Unknown")))))))</f>
        <v>Cardiovascular Disease</v>
      </c>
      <c r="K514" t="s">
        <v>54</v>
      </c>
      <c r="L514" t="s">
        <v>1071</v>
      </c>
      <c r="M514" t="s">
        <v>4732</v>
      </c>
      <c r="N514" t="s">
        <v>5108</v>
      </c>
      <c r="O514" t="str" cm="1">
        <f t="array" ref="O514">_xlfn.IFS(
  TEXT(TRIM(N514),"00000")="NULL", "Missing/Unknown",
  OR(TEXT(TRIM(N514),"00000")="89101", TEXT(TRIM(N514),"00000")="89104", TEXT(TRIM(N514),"00000")="89106", TEXT(TRIM(N514),"00000")="89102", TEXT(TRIM(N514),"00000")="89107", TEXT(TRIM(N514),"00000")="89108"), "Urban Core",
  OR(TEXT(TRIM(N514),"00000")="89110", TEXT(TRIM(N514),"00000")="89115", TEXT(TRIM(N514),"00000")="89121", TEXT(TRIM(N514),"00000")="89122", TEXT(TRIM(N514),"00000")="89142", TEXT(TRIM(N514),"00000")="89156"), "East Valley",
  OR(TEXT(TRIM(N514),"00000")="89030", TEXT(TRIM(N514),"00000")="89031", TEXT(TRIM(N514),"00000")="89032", TEXT(TRIM(N514),"00000")="89086", TEXT(TRIM(N514),"00000")="89084", TEXT(TRIM(N514),"00000")="89081"), "North LV",
  OR(TEXT(TRIM(N514),"00000")="89109", TEXT(TRIM(N514),"00000")="89103", TEXT(TRIM(N514),"00000")="89119", TEXT(TRIM(N514),"00000")="89123", TEXT(TRIM(N514),"00000")="89169", TEXT(TRIM(N514),"00000")="89118"), "South/Strip",
  OR(TEXT(TRIM(N514),"00000")="89074", TEXT(TRIM(N514),"00000")="89014", TEXT(TRIM(N514),"00000")="89015", TEXT(TRIM(N514),"00000")="89011", TEXT(TRIM(N514),"00000")="89012"), "Suburban SE",
  OR(TEXT(TRIM(N514),"00000")="89117", TEXT(TRIM(N514),"00000")="89128", TEXT(TRIM(N514),"00000")="89135", TEXT(TRIM(N514),"00000")="89144", TEXT(TRIM(N514),"00000")="89145", TEXT(TRIM(N514),"00000")="89147"), "West Valley",
  TRUE, "Other"
)</f>
        <v>East Valley</v>
      </c>
      <c r="P514" t="s">
        <v>3298</v>
      </c>
      <c r="Q514" t="str">
        <f t="shared" ref="Q514:Q577" si="34">IF(OR(ISNUMBER(SEARCH("outdoor", P514)), ISNUMBER(SEARCH("park", P514)), ISNUMBER(SEARCH("road", P514)), ISNUMBER(SEARCH("sidewalk", P514)), ISNUMBER(SEARCH("desert", P514)), ISNUMBER(SEARCH("tunnel", P514)), ISNUMBER(SEARCH("lot", P514)), ISNUMBER(SEARCH("lake", P514)), ISNUMBER(SEARCH("bus", P514)), ISNUMBER(SEARCH("shed", P514)), ISNUMBER(SEARCH("amusement", P514))), "Outdoors/Public",
IF(OR(ISNUMBER(SEARCH("home", P514)), ISNUMBER(SEARCH("residence", P514)), ISNUMBER(SEARCH("rv", P514)), ISNUMBER(SEARCH("tent", P514)), ISNUMBER(SEARCH("bedroom", P514)), ISNUMBER(SEARCH("garage", P514)), ISNUMBER(SEARCH("trailer", P514)), ISNUMBER(SEARCH("backyard", P514))), "Home/Residence",
IF(OR(ISNUMBER(SEARCH("vehicle", P514)), ISNUMBER(SEARCH("car", P514)), ISNUMBER(SEARCH("wash", P514))), "Vehicle-related",
IF(OR(ISNUMBER(SEARCH("business", P514)), ISNUMBER(SEARCH("school", P514)), ISNUMBER(SEARCH("hotel", P514)), ISNUMBER(SEARCH("construction", P514)), ISNUMBER(SEARCH("furniture", P514)), ISNUMBER(SEARCH("public", P514))), "Business/Commercial",
IF(OR(ISNUMBER(SEARCH("hospital", P514)), ISNUMBER(SEARCH("assisted", P514)), ISNUMBER(SEARCH("residential care", P514))), "Medical Facility",
IF(OR(ISNUMBER(SEARCH("shelter", P514)), ISNUMBER(SEARCH("jail", P514))), "Shelter/Temporary Housing",
"Other / Unknown"))))))</f>
        <v>Outdoors/Public</v>
      </c>
      <c r="R514" t="s">
        <v>4732</v>
      </c>
      <c r="S514" t="s">
        <v>5108</v>
      </c>
      <c r="T514" t="str" cm="1">
        <f t="array" ref="T514">_xlfn.IFS(
  TEXT(TRIM(S514),"00000")="NULL", "Missing/Unknown",
  OR(TEXT(TRIM(S514),"00000")="89101", TEXT(TRIM(S514),"00000")="89104", TEXT(TRIM(S514),"00000")="89106", TEXT(TRIM(S514),"00000")="89102", TEXT(TRIM(S514),"00000")="89107", TEXT(TRIM(S514),"00000")="89108"), "Urban Core",
  OR(TEXT(TRIM(S514),"00000")="89110", TEXT(TRIM(S514),"00000")="89115", TEXT(TRIM(S514),"00000")="89121", TEXT(TRIM(S514),"00000")="89122", TEXT(TRIM(S514),"00000")="89142", TEXT(TRIM(S514),"00000")="89156"), "East Valley",
  OR(TEXT(TRIM(S514),"00000")="89030", TEXT(TRIM(S514),"00000")="89031", TEXT(TRIM(S514),"00000")="89032", TEXT(TRIM(S514),"00000")="89086", TEXT(TRIM(S514),"00000")="89084", TEXT(TRIM(S514),"00000")="89081"), "North LV",
  OR(TEXT(TRIM(S514),"00000")="89109", TEXT(TRIM(S514),"00000")="89103", TEXT(TRIM(S514),"00000")="89119", TEXT(TRIM(S514),"00000")="89123", TEXT(TRIM(S514),"00000")="89169", TEXT(TRIM(S514),"00000")="89118"), "South/Strip",
  OR(TEXT(TRIM(S514),"00000")="89074", TEXT(TRIM(S514),"00000")="89014", TEXT(TRIM(S514),"00000")="89015", TEXT(TRIM(S514),"00000")="89011", TEXT(TRIM(S514),"00000")="89012"), "Suburban SE",
  OR(TEXT(TRIM(S514),"00000")="89117", TEXT(TRIM(S514),"00000")="89128", TEXT(TRIM(S514),"00000")="89135", TEXT(TRIM(S514),"00000")="89144", TEXT(TRIM(S514),"00000")="89145", TEXT(TRIM(S514),"00000")="89147"), "West Valley",
  TRUE, "Other"
)</f>
        <v>East Valley</v>
      </c>
      <c r="U514" t="s">
        <v>3298</v>
      </c>
      <c r="V514" t="str">
        <f t="shared" ref="V514:V577" si="35">IF(OR(ISNUMBER(SEARCH("outdoor", U514)), ISNUMBER(SEARCH("park", U514)), ISNUMBER(SEARCH("road", U514)), ISNUMBER(SEARCH("sidewalk", U514)), ISNUMBER(SEARCH("desert", U514)), ISNUMBER(SEARCH("tunnel", U514)), ISNUMBER(SEARCH("lot", U514)), ISNUMBER(SEARCH("lake", U514)), ISNUMBER(SEARCH("bus", U514)), ISNUMBER(SEARCH("shed", U514)), ISNUMBER(SEARCH("amusement", U514))), "Outdoors/Public",
IF(OR(ISNUMBER(SEARCH("home", U514)), ISNUMBER(SEARCH("residence", U514)), ISNUMBER(SEARCH("rv", U514)), ISNUMBER(SEARCH("tent", U514)), ISNUMBER(SEARCH("bedroom", U514)), ISNUMBER(SEARCH("garage", U514)), ISNUMBER(SEARCH("trailer", U514)), ISNUMBER(SEARCH("backyard", U514))), "Home/Residence",
IF(OR(ISNUMBER(SEARCH("vehicle", U514)), ISNUMBER(SEARCH("wash", U514))), "Vehicle-related",
IF(OR(ISNUMBER(SEARCH("business", U514)), ISNUMBER(SEARCH("school", U514)), ISNUMBER(SEARCH("hotel", U514)), ISNUMBER(SEARCH("construction", U514)), ISNUMBER(SEARCH("furniture", U514)), ISNUMBER(SEARCH("public", U514))), "Business/Commercial",
IF(OR(ISNUMBER(SEARCH("hospital", U514)), ISNUMBER(SEARCH("assisted", U514)), ISNUMBER(SEARCH("residential care", U514)), ISNUMBER(SEARCH("emergency room", U514)), ISNUMBER(SEARCH("emergency", U514)), ISNUMBER(SEARCH("intensive care unit", U514)), ISNUMBER(SEARCH("icu", U514))), "Medical Facility",
IF(OR(ISNUMBER(SEARCH("shelter", U514)), ISNUMBER(SEARCH("jail", U514))), "Shelter/Temporary Housing",
"Other / Unknown"))))))</f>
        <v>Outdoors/Public</v>
      </c>
    </row>
    <row r="515" spans="1:22">
      <c r="A515" t="s">
        <v>934</v>
      </c>
      <c r="B515" t="s">
        <v>935</v>
      </c>
      <c r="C515" s="1">
        <v>45144</v>
      </c>
      <c r="D515" s="4">
        <v>109.04</v>
      </c>
      <c r="E515">
        <v>46</v>
      </c>
      <c r="F515" t="str">
        <f t="shared" si="32"/>
        <v>40's</v>
      </c>
      <c r="G515" t="str" cm="1">
        <f t="array" ref="G515">_xlfn.IFS(
  F515="10's", "Child (5–12)",
  OR(F515="20's", F515="30's"), "Young Adult (20–39)",
  OR(F515="40's", F515="50's"), "Adult (40–59)",
  OR(F515="60's", F515="70's", F515="80's", F515="90's"), "Senior (60+)",
  TRUE, "Unknown"
)</f>
        <v>Adult (40–59)</v>
      </c>
      <c r="H515" t="s">
        <v>841</v>
      </c>
      <c r="I515" t="s">
        <v>34</v>
      </c>
      <c r="J515" t="str">
        <f t="shared" si="33"/>
        <v>Methamphetamine-related</v>
      </c>
      <c r="K515" t="s">
        <v>54</v>
      </c>
      <c r="L515" t="s">
        <v>250</v>
      </c>
      <c r="N515" t="s">
        <v>5095</v>
      </c>
      <c r="O515" t="str" cm="1">
        <f t="array" ref="O515">_xlfn.IFS(
  TEXT(TRIM(N515),"00000")="NULL", "Missing/Unknown",
  OR(TEXT(TRIM(N515),"00000")="89101", TEXT(TRIM(N515),"00000")="89104", TEXT(TRIM(N515),"00000")="89106", TEXT(TRIM(N515),"00000")="89102", TEXT(TRIM(N515),"00000")="89107", TEXT(TRIM(N515),"00000")="89108"), "Urban Core",
  OR(TEXT(TRIM(N515),"00000")="89110", TEXT(TRIM(N515),"00000")="89115", TEXT(TRIM(N515),"00000")="89121", TEXT(TRIM(N515),"00000")="89122", TEXT(TRIM(N515),"00000")="89142", TEXT(TRIM(N515),"00000")="89156"), "East Valley",
  OR(TEXT(TRIM(N515),"00000")="89030", TEXT(TRIM(N515),"00000")="89031", TEXT(TRIM(N515),"00000")="89032", TEXT(TRIM(N515),"00000")="89086", TEXT(TRIM(N515),"00000")="89084", TEXT(TRIM(N515),"00000")="89081"), "North LV",
  OR(TEXT(TRIM(N515),"00000")="89109", TEXT(TRIM(N515),"00000")="89103", TEXT(TRIM(N515),"00000")="89119", TEXT(TRIM(N515),"00000")="89123", TEXT(TRIM(N515),"00000")="89169", TEXT(TRIM(N515),"00000")="89118"), "South/Strip",
  OR(TEXT(TRIM(N515),"00000")="89074", TEXT(TRIM(N515),"00000")="89014", TEXT(TRIM(N515),"00000")="89015", TEXT(TRIM(N515),"00000")="89011", TEXT(TRIM(N515),"00000")="89012"), "Suburban SE",
  OR(TEXT(TRIM(N515),"00000")="89117", TEXT(TRIM(N515),"00000")="89128", TEXT(TRIM(N515),"00000")="89135", TEXT(TRIM(N515),"00000")="89144", TEXT(TRIM(N515),"00000")="89145", TEXT(TRIM(N515),"00000")="89147"), "West Valley",
  TRUE, "Other"
)</f>
        <v>Missing/Unknown</v>
      </c>
      <c r="P515" t="s">
        <v>208</v>
      </c>
      <c r="Q515" t="str">
        <f t="shared" si="34"/>
        <v>Outdoors/Public</v>
      </c>
      <c r="S515" t="s">
        <v>5095</v>
      </c>
      <c r="T515" t="str" cm="1">
        <f t="array" ref="T515">_xlfn.IFS(
  TEXT(TRIM(S515),"00000")="NULL", "Missing/Unknown",
  OR(TEXT(TRIM(S515),"00000")="89101", TEXT(TRIM(S515),"00000")="89104", TEXT(TRIM(S515),"00000")="89106", TEXT(TRIM(S515),"00000")="89102", TEXT(TRIM(S515),"00000")="89107", TEXT(TRIM(S515),"00000")="89108"), "Urban Core",
  OR(TEXT(TRIM(S515),"00000")="89110", TEXT(TRIM(S515),"00000")="89115", TEXT(TRIM(S515),"00000")="89121", TEXT(TRIM(S515),"00000")="89122", TEXT(TRIM(S515),"00000")="89142", TEXT(TRIM(S515),"00000")="89156"), "East Valley",
  OR(TEXT(TRIM(S515),"00000")="89030", TEXT(TRIM(S515),"00000")="89031", TEXT(TRIM(S515),"00000")="89032", TEXT(TRIM(S515),"00000")="89086", TEXT(TRIM(S515),"00000")="89084", TEXT(TRIM(S515),"00000")="89081"), "North LV",
  OR(TEXT(TRIM(S515),"00000")="89109", TEXT(TRIM(S515),"00000")="89103", TEXT(TRIM(S515),"00000")="89119", TEXT(TRIM(S515),"00000")="89123", TEXT(TRIM(S515),"00000")="89169", TEXT(TRIM(S515),"00000")="89118"), "South/Strip",
  OR(TEXT(TRIM(S515),"00000")="89074", TEXT(TRIM(S515),"00000")="89014", TEXT(TRIM(S515),"00000")="89015", TEXT(TRIM(S515),"00000")="89011", TEXT(TRIM(S515),"00000")="89012"), "Suburban SE",
  OR(TEXT(TRIM(S515),"00000")="89117", TEXT(TRIM(S515),"00000")="89128", TEXT(TRIM(S515),"00000")="89135", TEXT(TRIM(S515),"00000")="89144", TEXT(TRIM(S515),"00000")="89145", TEXT(TRIM(S515),"00000")="89147"), "West Valley",
  TRUE, "Other"
)</f>
        <v>Missing/Unknown</v>
      </c>
      <c r="U515" t="s">
        <v>208</v>
      </c>
      <c r="V515" t="str">
        <f t="shared" si="35"/>
        <v>Outdoors/Public</v>
      </c>
    </row>
    <row r="516" spans="1:22">
      <c r="A516" t="s">
        <v>931</v>
      </c>
      <c r="B516" t="s">
        <v>932</v>
      </c>
      <c r="C516" s="1">
        <v>45143</v>
      </c>
      <c r="D516" s="4">
        <v>107.96</v>
      </c>
      <c r="E516">
        <v>48</v>
      </c>
      <c r="F516" t="str">
        <f t="shared" si="32"/>
        <v>40's</v>
      </c>
      <c r="G516" t="str" cm="1">
        <f t="array" ref="G516">_xlfn.IFS(
  F516="10's", "Child (5–12)",
  OR(F516="20's", F516="30's"), "Young Adult (20–39)",
  OR(F516="40's", F516="50's"), "Adult (40–59)",
  OR(F516="60's", F516="70's", F516="80's", F516="90's"), "Senior (60+)",
  TRUE, "Unknown"
)</f>
        <v>Adult (40–59)</v>
      </c>
      <c r="H516" t="s">
        <v>4310</v>
      </c>
      <c r="I516" t="s">
        <v>34</v>
      </c>
      <c r="J516" t="str">
        <f t="shared" si="33"/>
        <v>Methamphetamine-related</v>
      </c>
      <c r="K516" t="s">
        <v>54</v>
      </c>
      <c r="L516" t="s">
        <v>250</v>
      </c>
      <c r="M516" t="s">
        <v>4733</v>
      </c>
      <c r="N516" t="s">
        <v>5098</v>
      </c>
      <c r="O516" t="str" cm="1">
        <f t="array" ref="O516">_xlfn.IFS(
  TEXT(TRIM(N516),"00000")="NULL", "Missing/Unknown",
  OR(TEXT(TRIM(N516),"00000")="89101", TEXT(TRIM(N516),"00000")="89104", TEXT(TRIM(N516),"00000")="89106", TEXT(TRIM(N516),"00000")="89102", TEXT(TRIM(N516),"00000")="89107", TEXT(TRIM(N516),"00000")="89108"), "Urban Core",
  OR(TEXT(TRIM(N516),"00000")="89110", TEXT(TRIM(N516),"00000")="89115", TEXT(TRIM(N516),"00000")="89121", TEXT(TRIM(N516),"00000")="89122", TEXT(TRIM(N516),"00000")="89142", TEXT(TRIM(N516),"00000")="89156"), "East Valley",
  OR(TEXT(TRIM(N516),"00000")="89030", TEXT(TRIM(N516),"00000")="89031", TEXT(TRIM(N516),"00000")="89032", TEXT(TRIM(N516),"00000")="89086", TEXT(TRIM(N516),"00000")="89084", TEXT(TRIM(N516),"00000")="89081"), "North LV",
  OR(TEXT(TRIM(N516),"00000")="89109", TEXT(TRIM(N516),"00000")="89103", TEXT(TRIM(N516),"00000")="89119", TEXT(TRIM(N516),"00000")="89123", TEXT(TRIM(N516),"00000")="89169", TEXT(TRIM(N516),"00000")="89118"), "South/Strip",
  OR(TEXT(TRIM(N516),"00000")="89074", TEXT(TRIM(N516),"00000")="89014", TEXT(TRIM(N516),"00000")="89015", TEXT(TRIM(N516),"00000")="89011", TEXT(TRIM(N516),"00000")="89012"), "Suburban SE",
  OR(TEXT(TRIM(N516),"00000")="89117", TEXT(TRIM(N516),"00000")="89128", TEXT(TRIM(N516),"00000")="89135", TEXT(TRIM(N516),"00000")="89144", TEXT(TRIM(N516),"00000")="89145", TEXT(TRIM(N516),"00000")="89147"), "West Valley",
  TRUE, "Other"
)</f>
        <v>Urban Core</v>
      </c>
      <c r="P516" t="s">
        <v>3298</v>
      </c>
      <c r="Q516" t="str">
        <f t="shared" si="34"/>
        <v>Outdoors/Public</v>
      </c>
      <c r="R516" t="s">
        <v>4733</v>
      </c>
      <c r="S516" t="s">
        <v>5098</v>
      </c>
      <c r="T516" t="str" cm="1">
        <f t="array" ref="T516">_xlfn.IFS(
  TEXT(TRIM(S516),"00000")="NULL", "Missing/Unknown",
  OR(TEXT(TRIM(S516),"00000")="89101", TEXT(TRIM(S516),"00000")="89104", TEXT(TRIM(S516),"00000")="89106", TEXT(TRIM(S516),"00000")="89102", TEXT(TRIM(S516),"00000")="89107", TEXT(TRIM(S516),"00000")="89108"), "Urban Core",
  OR(TEXT(TRIM(S516),"00000")="89110", TEXT(TRIM(S516),"00000")="89115", TEXT(TRIM(S516),"00000")="89121", TEXT(TRIM(S516),"00000")="89122", TEXT(TRIM(S516),"00000")="89142", TEXT(TRIM(S516),"00000")="89156"), "East Valley",
  OR(TEXT(TRIM(S516),"00000")="89030", TEXT(TRIM(S516),"00000")="89031", TEXT(TRIM(S516),"00000")="89032", TEXT(TRIM(S516),"00000")="89086", TEXT(TRIM(S516),"00000")="89084", TEXT(TRIM(S516),"00000")="89081"), "North LV",
  OR(TEXT(TRIM(S516),"00000")="89109", TEXT(TRIM(S516),"00000")="89103", TEXT(TRIM(S516),"00000")="89119", TEXT(TRIM(S516),"00000")="89123", TEXT(TRIM(S516),"00000")="89169", TEXT(TRIM(S516),"00000")="89118"), "South/Strip",
  OR(TEXT(TRIM(S516),"00000")="89074", TEXT(TRIM(S516),"00000")="89014", TEXT(TRIM(S516),"00000")="89015", TEXT(TRIM(S516),"00000")="89011", TEXT(TRIM(S516),"00000")="89012"), "Suburban SE",
  OR(TEXT(TRIM(S516),"00000")="89117", TEXT(TRIM(S516),"00000")="89128", TEXT(TRIM(S516),"00000")="89135", TEXT(TRIM(S516),"00000")="89144", TEXT(TRIM(S516),"00000")="89145", TEXT(TRIM(S516),"00000")="89147"), "West Valley",
  TRUE, "Other"
)</f>
        <v>Urban Core</v>
      </c>
      <c r="U516" t="s">
        <v>3298</v>
      </c>
      <c r="V516" t="str">
        <f t="shared" si="35"/>
        <v>Outdoors/Public</v>
      </c>
    </row>
    <row r="517" spans="1:22">
      <c r="A517" t="s">
        <v>928</v>
      </c>
      <c r="B517" t="s">
        <v>929</v>
      </c>
      <c r="C517" s="1">
        <v>45143</v>
      </c>
      <c r="D517" s="4">
        <v>107.96</v>
      </c>
      <c r="E517">
        <v>74</v>
      </c>
      <c r="F517" t="str">
        <f t="shared" si="32"/>
        <v>70's</v>
      </c>
      <c r="G517" t="str" cm="1">
        <f t="array" ref="G517">_xlfn.IFS(
  F517="10's", "Child (5–12)",
  OR(F517="20's", F517="30's"), "Young Adult (20–39)",
  OR(F517="40's", F517="50's"), "Adult (40–59)",
  OR(F517="60's", F517="70's", F517="80's", F517="90's"), "Senior (60+)",
  TRUE, "Unknown"
)</f>
        <v>Senior (60+)</v>
      </c>
      <c r="H517" t="s">
        <v>841</v>
      </c>
      <c r="I517" t="s">
        <v>4012</v>
      </c>
      <c r="J517" t="str">
        <f t="shared" si="33"/>
        <v>Cardiovascular Disease</v>
      </c>
      <c r="K517" t="s">
        <v>185</v>
      </c>
      <c r="L517" t="s">
        <v>1071</v>
      </c>
      <c r="M517" t="s">
        <v>4359</v>
      </c>
      <c r="N517" t="s">
        <v>5098</v>
      </c>
      <c r="O517" t="str" cm="1">
        <f t="array" ref="O517">_xlfn.IFS(
  TEXT(TRIM(N517),"00000")="NULL", "Missing/Unknown",
  OR(TEXT(TRIM(N517),"00000")="89101", TEXT(TRIM(N517),"00000")="89104", TEXT(TRIM(N517),"00000")="89106", TEXT(TRIM(N517),"00000")="89102", TEXT(TRIM(N517),"00000")="89107", TEXT(TRIM(N517),"00000")="89108"), "Urban Core",
  OR(TEXT(TRIM(N517),"00000")="89110", TEXT(TRIM(N517),"00000")="89115", TEXT(TRIM(N517),"00000")="89121", TEXT(TRIM(N517),"00000")="89122", TEXT(TRIM(N517),"00000")="89142", TEXT(TRIM(N517),"00000")="89156"), "East Valley",
  OR(TEXT(TRIM(N517),"00000")="89030", TEXT(TRIM(N517),"00000")="89031", TEXT(TRIM(N517),"00000")="89032", TEXT(TRIM(N517),"00000")="89086", TEXT(TRIM(N517),"00000")="89084", TEXT(TRIM(N517),"00000")="89081"), "North LV",
  OR(TEXT(TRIM(N517),"00000")="89109", TEXT(TRIM(N517),"00000")="89103", TEXT(TRIM(N517),"00000")="89119", TEXT(TRIM(N517),"00000")="89123", TEXT(TRIM(N517),"00000")="89169", TEXT(TRIM(N517),"00000")="89118"), "South/Strip",
  OR(TEXT(TRIM(N517),"00000")="89074", TEXT(TRIM(N517),"00000")="89014", TEXT(TRIM(N517),"00000")="89015", TEXT(TRIM(N517),"00000")="89011", TEXT(TRIM(N517),"00000")="89012"), "Suburban SE",
  OR(TEXT(TRIM(N517),"00000")="89117", TEXT(TRIM(N517),"00000")="89128", TEXT(TRIM(N517),"00000")="89135", TEXT(TRIM(N517),"00000")="89144", TEXT(TRIM(N517),"00000")="89145", TEXT(TRIM(N517),"00000")="89147"), "West Valley",
  TRUE, "Other"
)</f>
        <v>Urban Core</v>
      </c>
      <c r="P517" t="s">
        <v>38</v>
      </c>
      <c r="Q517" t="str">
        <f t="shared" si="34"/>
        <v>Home/Residence</v>
      </c>
      <c r="R517" t="s">
        <v>4359</v>
      </c>
      <c r="S517" t="s">
        <v>5098</v>
      </c>
      <c r="T517" t="str" cm="1">
        <f t="array" ref="T517">_xlfn.IFS(
  TEXT(TRIM(S517),"00000")="NULL", "Missing/Unknown",
  OR(TEXT(TRIM(S517),"00000")="89101", TEXT(TRIM(S517),"00000")="89104", TEXT(TRIM(S517),"00000")="89106", TEXT(TRIM(S517),"00000")="89102", TEXT(TRIM(S517),"00000")="89107", TEXT(TRIM(S517),"00000")="89108"), "Urban Core",
  OR(TEXT(TRIM(S517),"00000")="89110", TEXT(TRIM(S517),"00000")="89115", TEXT(TRIM(S517),"00000")="89121", TEXT(TRIM(S517),"00000")="89122", TEXT(TRIM(S517),"00000")="89142", TEXT(TRIM(S517),"00000")="89156"), "East Valley",
  OR(TEXT(TRIM(S517),"00000")="89030", TEXT(TRIM(S517),"00000")="89031", TEXT(TRIM(S517),"00000")="89032", TEXT(TRIM(S517),"00000")="89086", TEXT(TRIM(S517),"00000")="89084", TEXT(TRIM(S517),"00000")="89081"), "North LV",
  OR(TEXT(TRIM(S517),"00000")="89109", TEXT(TRIM(S517),"00000")="89103", TEXT(TRIM(S517),"00000")="89119", TEXT(TRIM(S517),"00000")="89123", TEXT(TRIM(S517),"00000")="89169", TEXT(TRIM(S517),"00000")="89118"), "South/Strip",
  OR(TEXT(TRIM(S517),"00000")="89074", TEXT(TRIM(S517),"00000")="89014", TEXT(TRIM(S517),"00000")="89015", TEXT(TRIM(S517),"00000")="89011", TEXT(TRIM(S517),"00000")="89012"), "Suburban SE",
  OR(TEXT(TRIM(S517),"00000")="89117", TEXT(TRIM(S517),"00000")="89128", TEXT(TRIM(S517),"00000")="89135", TEXT(TRIM(S517),"00000")="89144", TEXT(TRIM(S517),"00000")="89145", TEXT(TRIM(S517),"00000")="89147"), "West Valley",
  TRUE, "Other"
)</f>
        <v>Urban Core</v>
      </c>
      <c r="U517" t="s">
        <v>38</v>
      </c>
      <c r="V517" t="str">
        <f t="shared" si="35"/>
        <v>Home/Residence</v>
      </c>
    </row>
    <row r="518" spans="1:22">
      <c r="A518" t="s">
        <v>923</v>
      </c>
      <c r="B518" t="s">
        <v>924</v>
      </c>
      <c r="C518" s="1">
        <v>45143</v>
      </c>
      <c r="D518" s="4">
        <v>107.96</v>
      </c>
      <c r="E518">
        <v>47</v>
      </c>
      <c r="F518" t="str">
        <f t="shared" si="32"/>
        <v>40's</v>
      </c>
      <c r="G518" t="str" cm="1">
        <f t="array" ref="G518">_xlfn.IFS(
  F518="10's", "Child (5–12)",
  OR(F518="20's", F518="30's"), "Young Adult (20–39)",
  OR(F518="40's", F518="50's"), "Adult (40–59)",
  OR(F518="60's", F518="70's", F518="80's", F518="90's"), "Senior (60+)",
  TRUE, "Unknown"
)</f>
        <v>Adult (40–59)</v>
      </c>
      <c r="H518" t="s">
        <v>778</v>
      </c>
      <c r="I518" t="s">
        <v>4025</v>
      </c>
      <c r="J518" t="str">
        <f t="shared" si="33"/>
        <v>Methamphetamine-related</v>
      </c>
      <c r="K518" t="s">
        <v>54</v>
      </c>
      <c r="L518" t="s">
        <v>250</v>
      </c>
      <c r="N518" t="s">
        <v>5095</v>
      </c>
      <c r="O518" t="str" cm="1">
        <f t="array" ref="O518">_xlfn.IFS(
  TEXT(TRIM(N518),"00000")="NULL", "Missing/Unknown",
  OR(TEXT(TRIM(N518),"00000")="89101", TEXT(TRIM(N518),"00000")="89104", TEXT(TRIM(N518),"00000")="89106", TEXT(TRIM(N518),"00000")="89102", TEXT(TRIM(N518),"00000")="89107", TEXT(TRIM(N518),"00000")="89108"), "Urban Core",
  OR(TEXT(TRIM(N518),"00000")="89110", TEXT(TRIM(N518),"00000")="89115", TEXT(TRIM(N518),"00000")="89121", TEXT(TRIM(N518),"00000")="89122", TEXT(TRIM(N518),"00000")="89142", TEXT(TRIM(N518),"00000")="89156"), "East Valley",
  OR(TEXT(TRIM(N518),"00000")="89030", TEXT(TRIM(N518),"00000")="89031", TEXT(TRIM(N518),"00000")="89032", TEXT(TRIM(N518),"00000")="89086", TEXT(TRIM(N518),"00000")="89084", TEXT(TRIM(N518),"00000")="89081"), "North LV",
  OR(TEXT(TRIM(N518),"00000")="89109", TEXT(TRIM(N518),"00000")="89103", TEXT(TRIM(N518),"00000")="89119", TEXT(TRIM(N518),"00000")="89123", TEXT(TRIM(N518),"00000")="89169", TEXT(TRIM(N518),"00000")="89118"), "South/Strip",
  OR(TEXT(TRIM(N518),"00000")="89074", TEXT(TRIM(N518),"00000")="89014", TEXT(TRIM(N518),"00000")="89015", TEXT(TRIM(N518),"00000")="89011", TEXT(TRIM(N518),"00000")="89012"), "Suburban SE",
  OR(TEXT(TRIM(N518),"00000")="89117", TEXT(TRIM(N518),"00000")="89128", TEXT(TRIM(N518),"00000")="89135", TEXT(TRIM(N518),"00000")="89144", TEXT(TRIM(N518),"00000")="89145", TEXT(TRIM(N518),"00000")="89147"), "West Valley",
  TRUE, "Other"
)</f>
        <v>Missing/Unknown</v>
      </c>
      <c r="P518" t="s">
        <v>3298</v>
      </c>
      <c r="Q518" t="str">
        <f t="shared" si="34"/>
        <v>Outdoors/Public</v>
      </c>
      <c r="S518" t="s">
        <v>5095</v>
      </c>
      <c r="T518" t="str" cm="1">
        <f t="array" ref="T518">_xlfn.IFS(
  TEXT(TRIM(S518),"00000")="NULL", "Missing/Unknown",
  OR(TEXT(TRIM(S518),"00000")="89101", TEXT(TRIM(S518),"00000")="89104", TEXT(TRIM(S518),"00000")="89106", TEXT(TRIM(S518),"00000")="89102", TEXT(TRIM(S518),"00000")="89107", TEXT(TRIM(S518),"00000")="89108"), "Urban Core",
  OR(TEXT(TRIM(S518),"00000")="89110", TEXT(TRIM(S518),"00000")="89115", TEXT(TRIM(S518),"00000")="89121", TEXT(TRIM(S518),"00000")="89122", TEXT(TRIM(S518),"00000")="89142", TEXT(TRIM(S518),"00000")="89156"), "East Valley",
  OR(TEXT(TRIM(S518),"00000")="89030", TEXT(TRIM(S518),"00000")="89031", TEXT(TRIM(S518),"00000")="89032", TEXT(TRIM(S518),"00000")="89086", TEXT(TRIM(S518),"00000")="89084", TEXT(TRIM(S518),"00000")="89081"), "North LV",
  OR(TEXT(TRIM(S518),"00000")="89109", TEXT(TRIM(S518),"00000")="89103", TEXT(TRIM(S518),"00000")="89119", TEXT(TRIM(S518),"00000")="89123", TEXT(TRIM(S518),"00000")="89169", TEXT(TRIM(S518),"00000")="89118"), "South/Strip",
  OR(TEXT(TRIM(S518),"00000")="89074", TEXT(TRIM(S518),"00000")="89014", TEXT(TRIM(S518),"00000")="89015", TEXT(TRIM(S518),"00000")="89011", TEXT(TRIM(S518),"00000")="89012"), "Suburban SE",
  OR(TEXT(TRIM(S518),"00000")="89117", TEXT(TRIM(S518),"00000")="89128", TEXT(TRIM(S518),"00000")="89135", TEXT(TRIM(S518),"00000")="89144", TEXT(TRIM(S518),"00000")="89145", TEXT(TRIM(S518),"00000")="89147"), "West Valley",
  TRUE, "Other"
)</f>
        <v>Missing/Unknown</v>
      </c>
      <c r="U518" t="s">
        <v>3298</v>
      </c>
      <c r="V518" t="str">
        <f t="shared" si="35"/>
        <v>Outdoors/Public</v>
      </c>
    </row>
    <row r="519" spans="1:22">
      <c r="A519" t="s">
        <v>909</v>
      </c>
      <c r="B519" t="s">
        <v>910</v>
      </c>
      <c r="C519" s="1">
        <v>45142</v>
      </c>
      <c r="D519" s="4">
        <v>104</v>
      </c>
      <c r="E519">
        <v>74</v>
      </c>
      <c r="F519" t="str">
        <f t="shared" si="32"/>
        <v>70's</v>
      </c>
      <c r="G519" t="str" cm="1">
        <f t="array" ref="G519">_xlfn.IFS(
  F519="10's", "Child (5–12)",
  OR(F519="20's", F519="30's"), "Young Adult (20–39)",
  OR(F519="40's", F519="50's"), "Adult (40–59)",
  OR(F519="60's", F519="70's", F519="80's", F519="90's"), "Senior (60+)",
  TRUE, "Unknown"
)</f>
        <v>Senior (60+)</v>
      </c>
      <c r="H519" t="s">
        <v>841</v>
      </c>
      <c r="I519" t="s">
        <v>54</v>
      </c>
      <c r="J519" t="str">
        <f t="shared" si="33"/>
        <v>Environmental Heat</v>
      </c>
      <c r="K519" t="s">
        <v>98</v>
      </c>
      <c r="L519" t="s">
        <v>1071</v>
      </c>
      <c r="M519" t="s">
        <v>4379</v>
      </c>
      <c r="N519" t="s">
        <v>5108</v>
      </c>
      <c r="O519" t="str" cm="1">
        <f t="array" ref="O519">_xlfn.IFS(
  TEXT(TRIM(N519),"00000")="NULL", "Missing/Unknown",
  OR(TEXT(TRIM(N519),"00000")="89101", TEXT(TRIM(N519),"00000")="89104", TEXT(TRIM(N519),"00000")="89106", TEXT(TRIM(N519),"00000")="89102", TEXT(TRIM(N519),"00000")="89107", TEXT(TRIM(N519),"00000")="89108"), "Urban Core",
  OR(TEXT(TRIM(N519),"00000")="89110", TEXT(TRIM(N519),"00000")="89115", TEXT(TRIM(N519),"00000")="89121", TEXT(TRIM(N519),"00000")="89122", TEXT(TRIM(N519),"00000")="89142", TEXT(TRIM(N519),"00000")="89156"), "East Valley",
  OR(TEXT(TRIM(N519),"00000")="89030", TEXT(TRIM(N519),"00000")="89031", TEXT(TRIM(N519),"00000")="89032", TEXT(TRIM(N519),"00000")="89086", TEXT(TRIM(N519),"00000")="89084", TEXT(TRIM(N519),"00000")="89081"), "North LV",
  OR(TEXT(TRIM(N519),"00000")="89109", TEXT(TRIM(N519),"00000")="89103", TEXT(TRIM(N519),"00000")="89119", TEXT(TRIM(N519),"00000")="89123", TEXT(TRIM(N519),"00000")="89169", TEXT(TRIM(N519),"00000")="89118"), "South/Strip",
  OR(TEXT(TRIM(N519),"00000")="89074", TEXT(TRIM(N519),"00000")="89014", TEXT(TRIM(N519),"00000")="89015", TEXT(TRIM(N519),"00000")="89011", TEXT(TRIM(N519),"00000")="89012"), "Suburban SE",
  OR(TEXT(TRIM(N519),"00000")="89117", TEXT(TRIM(N519),"00000")="89128", TEXT(TRIM(N519),"00000")="89135", TEXT(TRIM(N519),"00000")="89144", TEXT(TRIM(N519),"00000")="89145", TEXT(TRIM(N519),"00000")="89147"), "West Valley",
  TRUE, "Other"
)</f>
        <v>East Valley</v>
      </c>
      <c r="P519" t="s">
        <v>38</v>
      </c>
      <c r="Q519" t="str">
        <f t="shared" si="34"/>
        <v>Home/Residence</v>
      </c>
      <c r="R519" t="s">
        <v>4379</v>
      </c>
      <c r="S519" t="s">
        <v>5108</v>
      </c>
      <c r="T519" t="str" cm="1">
        <f t="array" ref="T519">_xlfn.IFS(
  TEXT(TRIM(S519),"00000")="NULL", "Missing/Unknown",
  OR(TEXT(TRIM(S519),"00000")="89101", TEXT(TRIM(S519),"00000")="89104", TEXT(TRIM(S519),"00000")="89106", TEXT(TRIM(S519),"00000")="89102", TEXT(TRIM(S519),"00000")="89107", TEXT(TRIM(S519),"00000")="89108"), "Urban Core",
  OR(TEXT(TRIM(S519),"00000")="89110", TEXT(TRIM(S519),"00000")="89115", TEXT(TRIM(S519),"00000")="89121", TEXT(TRIM(S519),"00000")="89122", TEXT(TRIM(S519),"00000")="89142", TEXT(TRIM(S519),"00000")="89156"), "East Valley",
  OR(TEXT(TRIM(S519),"00000")="89030", TEXT(TRIM(S519),"00000")="89031", TEXT(TRIM(S519),"00000")="89032", TEXT(TRIM(S519),"00000")="89086", TEXT(TRIM(S519),"00000")="89084", TEXT(TRIM(S519),"00000")="89081"), "North LV",
  OR(TEXT(TRIM(S519),"00000")="89109", TEXT(TRIM(S519),"00000")="89103", TEXT(TRIM(S519),"00000")="89119", TEXT(TRIM(S519),"00000")="89123", TEXT(TRIM(S519),"00000")="89169", TEXT(TRIM(S519),"00000")="89118"), "South/Strip",
  OR(TEXT(TRIM(S519),"00000")="89074", TEXT(TRIM(S519),"00000")="89014", TEXT(TRIM(S519),"00000")="89015", TEXT(TRIM(S519),"00000")="89011", TEXT(TRIM(S519),"00000")="89012"), "Suburban SE",
  OR(TEXT(TRIM(S519),"00000")="89117", TEXT(TRIM(S519),"00000")="89128", TEXT(TRIM(S519),"00000")="89135", TEXT(TRIM(S519),"00000")="89144", TEXT(TRIM(S519),"00000")="89145", TEXT(TRIM(S519),"00000")="89147"), "West Valley",
  TRUE, "Other"
)</f>
        <v>East Valley</v>
      </c>
      <c r="U519" t="s">
        <v>38</v>
      </c>
      <c r="V519" t="str">
        <f t="shared" si="35"/>
        <v>Home/Residence</v>
      </c>
    </row>
    <row r="520" spans="1:22">
      <c r="A520" t="s">
        <v>912</v>
      </c>
      <c r="B520" t="s">
        <v>913</v>
      </c>
      <c r="C520" s="1">
        <v>45142</v>
      </c>
      <c r="D520" s="4">
        <v>104</v>
      </c>
      <c r="E520">
        <v>46</v>
      </c>
      <c r="F520" t="str">
        <f t="shared" si="32"/>
        <v>40's</v>
      </c>
      <c r="G520" t="str" cm="1">
        <f t="array" ref="G520">_xlfn.IFS(
  F520="10's", "Child (5–12)",
  OR(F520="20's", F520="30's"), "Young Adult (20–39)",
  OR(F520="40's", F520="50's"), "Adult (40–59)",
  OR(F520="60's", F520="70's", F520="80's", F520="90's"), "Senior (60+)",
  TRUE, "Unknown"
)</f>
        <v>Adult (40–59)</v>
      </c>
      <c r="H520" t="s">
        <v>841</v>
      </c>
      <c r="I520" t="s">
        <v>54</v>
      </c>
      <c r="J520" t="str">
        <f t="shared" si="33"/>
        <v>Environmental Heat</v>
      </c>
      <c r="K520" t="s">
        <v>63</v>
      </c>
      <c r="L520" t="s">
        <v>1071</v>
      </c>
      <c r="M520" t="s">
        <v>4379</v>
      </c>
      <c r="N520" t="s">
        <v>5108</v>
      </c>
      <c r="O520" t="str" cm="1">
        <f t="array" ref="O520">_xlfn.IFS(
  TEXT(TRIM(N520),"00000")="NULL", "Missing/Unknown",
  OR(TEXT(TRIM(N520),"00000")="89101", TEXT(TRIM(N520),"00000")="89104", TEXT(TRIM(N520),"00000")="89106", TEXT(TRIM(N520),"00000")="89102", TEXT(TRIM(N520),"00000")="89107", TEXT(TRIM(N520),"00000")="89108"), "Urban Core",
  OR(TEXT(TRIM(N520),"00000")="89110", TEXT(TRIM(N520),"00000")="89115", TEXT(TRIM(N520),"00000")="89121", TEXT(TRIM(N520),"00000")="89122", TEXT(TRIM(N520),"00000")="89142", TEXT(TRIM(N520),"00000")="89156"), "East Valley",
  OR(TEXT(TRIM(N520),"00000")="89030", TEXT(TRIM(N520),"00000")="89031", TEXT(TRIM(N520),"00000")="89032", TEXT(TRIM(N520),"00000")="89086", TEXT(TRIM(N520),"00000")="89084", TEXT(TRIM(N520),"00000")="89081"), "North LV",
  OR(TEXT(TRIM(N520),"00000")="89109", TEXT(TRIM(N520),"00000")="89103", TEXT(TRIM(N520),"00000")="89119", TEXT(TRIM(N520),"00000")="89123", TEXT(TRIM(N520),"00000")="89169", TEXT(TRIM(N520),"00000")="89118"), "South/Strip",
  OR(TEXT(TRIM(N520),"00000")="89074", TEXT(TRIM(N520),"00000")="89014", TEXT(TRIM(N520),"00000")="89015", TEXT(TRIM(N520),"00000")="89011", TEXT(TRIM(N520),"00000")="89012"), "Suburban SE",
  OR(TEXT(TRIM(N520),"00000")="89117", TEXT(TRIM(N520),"00000")="89128", TEXT(TRIM(N520),"00000")="89135", TEXT(TRIM(N520),"00000")="89144", TEXT(TRIM(N520),"00000")="89145", TEXT(TRIM(N520),"00000")="89147"), "West Valley",
  TRUE, "Other"
)</f>
        <v>East Valley</v>
      </c>
      <c r="P520" t="s">
        <v>38</v>
      </c>
      <c r="Q520" t="str">
        <f t="shared" si="34"/>
        <v>Home/Residence</v>
      </c>
      <c r="R520" t="s">
        <v>4379</v>
      </c>
      <c r="S520" t="s">
        <v>5108</v>
      </c>
      <c r="T520" t="str" cm="1">
        <f t="array" ref="T520">_xlfn.IFS(
  TEXT(TRIM(S520),"00000")="NULL", "Missing/Unknown",
  OR(TEXT(TRIM(S520),"00000")="89101", TEXT(TRIM(S520),"00000")="89104", TEXT(TRIM(S520),"00000")="89106", TEXT(TRIM(S520),"00000")="89102", TEXT(TRIM(S520),"00000")="89107", TEXT(TRIM(S520),"00000")="89108"), "Urban Core",
  OR(TEXT(TRIM(S520),"00000")="89110", TEXT(TRIM(S520),"00000")="89115", TEXT(TRIM(S520),"00000")="89121", TEXT(TRIM(S520),"00000")="89122", TEXT(TRIM(S520),"00000")="89142", TEXT(TRIM(S520),"00000")="89156"), "East Valley",
  OR(TEXT(TRIM(S520),"00000")="89030", TEXT(TRIM(S520),"00000")="89031", TEXT(TRIM(S520),"00000")="89032", TEXT(TRIM(S520),"00000")="89086", TEXT(TRIM(S520),"00000")="89084", TEXT(TRIM(S520),"00000")="89081"), "North LV",
  OR(TEXT(TRIM(S520),"00000")="89109", TEXT(TRIM(S520),"00000")="89103", TEXT(TRIM(S520),"00000")="89119", TEXT(TRIM(S520),"00000")="89123", TEXT(TRIM(S520),"00000")="89169", TEXT(TRIM(S520),"00000")="89118"), "South/Strip",
  OR(TEXT(TRIM(S520),"00000")="89074", TEXT(TRIM(S520),"00000")="89014", TEXT(TRIM(S520),"00000")="89015", TEXT(TRIM(S520),"00000")="89011", TEXT(TRIM(S520),"00000")="89012"), "Suburban SE",
  OR(TEXT(TRIM(S520),"00000")="89117", TEXT(TRIM(S520),"00000")="89128", TEXT(TRIM(S520),"00000")="89135", TEXT(TRIM(S520),"00000")="89144", TEXT(TRIM(S520),"00000")="89145", TEXT(TRIM(S520),"00000")="89147"), "West Valley",
  TRUE, "Other"
)</f>
        <v>East Valley</v>
      </c>
      <c r="U520" t="s">
        <v>38</v>
      </c>
      <c r="V520" t="str">
        <f t="shared" si="35"/>
        <v>Home/Residence</v>
      </c>
    </row>
    <row r="521" spans="1:22">
      <c r="A521" t="s">
        <v>919</v>
      </c>
      <c r="B521" t="s">
        <v>920</v>
      </c>
      <c r="C521" s="1">
        <v>45142</v>
      </c>
      <c r="D521" s="4">
        <v>104</v>
      </c>
      <c r="E521">
        <v>80</v>
      </c>
      <c r="F521" t="str">
        <f t="shared" si="32"/>
        <v>80's</v>
      </c>
      <c r="G521" t="str" cm="1">
        <f t="array" ref="G521">_xlfn.IFS(
  F521="10's", "Child (5–12)",
  OR(F521="20's", F521="30's"), "Young Adult (20–39)",
  OR(F521="40's", F521="50's"), "Adult (40–59)",
  OR(F521="60's", F521="70's", F521="80's", F521="90's"), "Senior (60+)",
  TRUE, "Unknown"
)</f>
        <v>Senior (60+)</v>
      </c>
      <c r="H521" t="s">
        <v>841</v>
      </c>
      <c r="I521" t="s">
        <v>28</v>
      </c>
      <c r="J521" t="str">
        <f t="shared" si="33"/>
        <v>Cardiovascular Disease</v>
      </c>
      <c r="K521" t="s">
        <v>4210</v>
      </c>
      <c r="L521" t="s">
        <v>1071</v>
      </c>
      <c r="M521" t="s">
        <v>4360</v>
      </c>
      <c r="N521" t="s">
        <v>5134</v>
      </c>
      <c r="O521" t="str" cm="1">
        <f t="array" ref="O521">_xlfn.IFS(
  TEXT(TRIM(N521),"00000")="NULL", "Missing/Unknown",
  OR(TEXT(TRIM(N521),"00000")="89101", TEXT(TRIM(N521),"00000")="89104", TEXT(TRIM(N521),"00000")="89106", TEXT(TRIM(N521),"00000")="89102", TEXT(TRIM(N521),"00000")="89107", TEXT(TRIM(N521),"00000")="89108"), "Urban Core",
  OR(TEXT(TRIM(N521),"00000")="89110", TEXT(TRIM(N521),"00000")="89115", TEXT(TRIM(N521),"00000")="89121", TEXT(TRIM(N521),"00000")="89122", TEXT(TRIM(N521),"00000")="89142", TEXT(TRIM(N521),"00000")="89156"), "East Valley",
  OR(TEXT(TRIM(N521),"00000")="89030", TEXT(TRIM(N521),"00000")="89031", TEXT(TRIM(N521),"00000")="89032", TEXT(TRIM(N521),"00000")="89086", TEXT(TRIM(N521),"00000")="89084", TEXT(TRIM(N521),"00000")="89081"), "North LV",
  OR(TEXT(TRIM(N521),"00000")="89109", TEXT(TRIM(N521),"00000")="89103", TEXT(TRIM(N521),"00000")="89119", TEXT(TRIM(N521),"00000")="89123", TEXT(TRIM(N521),"00000")="89169", TEXT(TRIM(N521),"00000")="89118"), "South/Strip",
  OR(TEXT(TRIM(N521),"00000")="89074", TEXT(TRIM(N521),"00000")="89014", TEXT(TRIM(N521),"00000")="89015", TEXT(TRIM(N521),"00000")="89011", TEXT(TRIM(N521),"00000")="89012"), "Suburban SE",
  OR(TEXT(TRIM(N521),"00000")="89117", TEXT(TRIM(N521),"00000")="89128", TEXT(TRIM(N521),"00000")="89135", TEXT(TRIM(N521),"00000")="89144", TEXT(TRIM(N521),"00000")="89145", TEXT(TRIM(N521),"00000")="89147"), "West Valley",
  TRUE, "Other"
)</f>
        <v>Other</v>
      </c>
      <c r="P521" t="s">
        <v>38</v>
      </c>
      <c r="Q521" t="str">
        <f t="shared" si="34"/>
        <v>Home/Residence</v>
      </c>
      <c r="R521" t="s">
        <v>4360</v>
      </c>
      <c r="S521" t="s">
        <v>5134</v>
      </c>
      <c r="T521" t="str" cm="1">
        <f t="array" ref="T521">_xlfn.IFS(
  TEXT(TRIM(S521),"00000")="NULL", "Missing/Unknown",
  OR(TEXT(TRIM(S521),"00000")="89101", TEXT(TRIM(S521),"00000")="89104", TEXT(TRIM(S521),"00000")="89106", TEXT(TRIM(S521),"00000")="89102", TEXT(TRIM(S521),"00000")="89107", TEXT(TRIM(S521),"00000")="89108"), "Urban Core",
  OR(TEXT(TRIM(S521),"00000")="89110", TEXT(TRIM(S521),"00000")="89115", TEXT(TRIM(S521),"00000")="89121", TEXT(TRIM(S521),"00000")="89122", TEXT(TRIM(S521),"00000")="89142", TEXT(TRIM(S521),"00000")="89156"), "East Valley",
  OR(TEXT(TRIM(S521),"00000")="89030", TEXT(TRIM(S521),"00000")="89031", TEXT(TRIM(S521),"00000")="89032", TEXT(TRIM(S521),"00000")="89086", TEXT(TRIM(S521),"00000")="89084", TEXT(TRIM(S521),"00000")="89081"), "North LV",
  OR(TEXT(TRIM(S521),"00000")="89109", TEXT(TRIM(S521),"00000")="89103", TEXT(TRIM(S521),"00000")="89119", TEXT(TRIM(S521),"00000")="89123", TEXT(TRIM(S521),"00000")="89169", TEXT(TRIM(S521),"00000")="89118"), "South/Strip",
  OR(TEXT(TRIM(S521),"00000")="89074", TEXT(TRIM(S521),"00000")="89014", TEXT(TRIM(S521),"00000")="89015", TEXT(TRIM(S521),"00000")="89011", TEXT(TRIM(S521),"00000")="89012"), "Suburban SE",
  OR(TEXT(TRIM(S521),"00000")="89117", TEXT(TRIM(S521),"00000")="89128", TEXT(TRIM(S521),"00000")="89135", TEXT(TRIM(S521),"00000")="89144", TEXT(TRIM(S521),"00000")="89145", TEXT(TRIM(S521),"00000")="89147"), "West Valley",
  TRUE, "Other"
)</f>
        <v>Other</v>
      </c>
      <c r="U521" t="s">
        <v>38</v>
      </c>
      <c r="V521" t="str">
        <f t="shared" si="35"/>
        <v>Home/Residence</v>
      </c>
    </row>
    <row r="522" spans="1:22">
      <c r="A522" t="s">
        <v>914</v>
      </c>
      <c r="B522" t="s">
        <v>915</v>
      </c>
      <c r="C522" s="1">
        <v>45142</v>
      </c>
      <c r="D522" s="4">
        <v>104</v>
      </c>
      <c r="E522">
        <v>53</v>
      </c>
      <c r="F522" t="str">
        <f t="shared" si="32"/>
        <v>50's</v>
      </c>
      <c r="G522" t="str" cm="1">
        <f t="array" ref="G522">_xlfn.IFS(
  F522="10's", "Child (5–12)",
  OR(F522="20's", F522="30's"), "Young Adult (20–39)",
  OR(F522="40's", F522="50's"), "Adult (40–59)",
  OR(F522="60's", F522="70's", F522="80's", F522="90's"), "Senior (60+)",
  TRUE, "Unknown"
)</f>
        <v>Adult (40–59)</v>
      </c>
      <c r="H522" t="s">
        <v>841</v>
      </c>
      <c r="I522" t="s">
        <v>4085</v>
      </c>
      <c r="J522" t="str">
        <f t="shared" si="33"/>
        <v>Other / Unknown</v>
      </c>
      <c r="K522" t="s">
        <v>4209</v>
      </c>
      <c r="L522" t="s">
        <v>1071</v>
      </c>
      <c r="M522" t="s">
        <v>4589</v>
      </c>
      <c r="N522" t="s">
        <v>5099</v>
      </c>
      <c r="O522" t="str" cm="1">
        <f t="array" ref="O522">_xlfn.IFS(
  TEXT(TRIM(N522),"00000")="NULL", "Missing/Unknown",
  OR(TEXT(TRIM(N522),"00000")="89101", TEXT(TRIM(N522),"00000")="89104", TEXT(TRIM(N522),"00000")="89106", TEXT(TRIM(N522),"00000")="89102", TEXT(TRIM(N522),"00000")="89107", TEXT(TRIM(N522),"00000")="89108"), "Urban Core",
  OR(TEXT(TRIM(N522),"00000")="89110", TEXT(TRIM(N522),"00000")="89115", TEXT(TRIM(N522),"00000")="89121", TEXT(TRIM(N522),"00000")="89122", TEXT(TRIM(N522),"00000")="89142", TEXT(TRIM(N522),"00000")="89156"), "East Valley",
  OR(TEXT(TRIM(N522),"00000")="89030", TEXT(TRIM(N522),"00000")="89031", TEXT(TRIM(N522),"00000")="89032", TEXT(TRIM(N522),"00000")="89086", TEXT(TRIM(N522),"00000")="89084", TEXT(TRIM(N522),"00000")="89081"), "North LV",
  OR(TEXT(TRIM(N522),"00000")="89109", TEXT(TRIM(N522),"00000")="89103", TEXT(TRIM(N522),"00000")="89119", TEXT(TRIM(N522),"00000")="89123", TEXT(TRIM(N522),"00000")="89169", TEXT(TRIM(N522),"00000")="89118"), "South/Strip",
  OR(TEXT(TRIM(N522),"00000")="89074", TEXT(TRIM(N522),"00000")="89014", TEXT(TRIM(N522),"00000")="89015", TEXT(TRIM(N522),"00000")="89011", TEXT(TRIM(N522),"00000")="89012"), "Suburban SE",
  OR(TEXT(TRIM(N522),"00000")="89117", TEXT(TRIM(N522),"00000")="89128", TEXT(TRIM(N522),"00000")="89135", TEXT(TRIM(N522),"00000")="89144", TEXT(TRIM(N522),"00000")="89145", TEXT(TRIM(N522),"00000")="89147"), "West Valley",
  TRUE, "Other"
)</f>
        <v>Urban Core</v>
      </c>
      <c r="P522" t="s">
        <v>3298</v>
      </c>
      <c r="Q522" t="str">
        <f t="shared" si="34"/>
        <v>Outdoors/Public</v>
      </c>
      <c r="R522" t="s">
        <v>5055</v>
      </c>
      <c r="S522" t="s">
        <v>5119</v>
      </c>
      <c r="T522" t="str" cm="1">
        <f t="array" ref="T522">_xlfn.IFS(
  TEXT(TRIM(S522),"00000")="NULL", "Missing/Unknown",
  OR(TEXT(TRIM(S522),"00000")="89101", TEXT(TRIM(S522),"00000")="89104", TEXT(TRIM(S522),"00000")="89106", TEXT(TRIM(S522),"00000")="89102", TEXT(TRIM(S522),"00000")="89107", TEXT(TRIM(S522),"00000")="89108"), "Urban Core",
  OR(TEXT(TRIM(S522),"00000")="89110", TEXT(TRIM(S522),"00000")="89115", TEXT(TRIM(S522),"00000")="89121", TEXT(TRIM(S522),"00000")="89122", TEXT(TRIM(S522),"00000")="89142", TEXT(TRIM(S522),"00000")="89156"), "East Valley",
  OR(TEXT(TRIM(S522),"00000")="89030", TEXT(TRIM(S522),"00000")="89031", TEXT(TRIM(S522),"00000")="89032", TEXT(TRIM(S522),"00000")="89086", TEXT(TRIM(S522),"00000")="89084", TEXT(TRIM(S522),"00000")="89081"), "North LV",
  OR(TEXT(TRIM(S522),"00000")="89109", TEXT(TRIM(S522),"00000")="89103", TEXT(TRIM(S522),"00000")="89119", TEXT(TRIM(S522),"00000")="89123", TEXT(TRIM(S522),"00000")="89169", TEXT(TRIM(S522),"00000")="89118"), "South/Strip",
  OR(TEXT(TRIM(S522),"00000")="89074", TEXT(TRIM(S522),"00000")="89014", TEXT(TRIM(S522),"00000")="89015", TEXT(TRIM(S522),"00000")="89011", TEXT(TRIM(S522),"00000")="89012"), "Suburban SE",
  OR(TEXT(TRIM(S522),"00000")="89117", TEXT(TRIM(S522),"00000")="89128", TEXT(TRIM(S522),"00000")="89135", TEXT(TRIM(S522),"00000")="89144", TEXT(TRIM(S522),"00000")="89145", TEXT(TRIM(S522),"00000")="89147"), "West Valley",
  TRUE, "Other"
)</f>
        <v>Urban Core</v>
      </c>
      <c r="U522" t="s">
        <v>228</v>
      </c>
      <c r="V522" t="str">
        <f t="shared" si="35"/>
        <v>Medical Facility</v>
      </c>
    </row>
    <row r="523" spans="1:22">
      <c r="A523" t="s">
        <v>906</v>
      </c>
      <c r="B523" t="s">
        <v>907</v>
      </c>
      <c r="C523" s="1">
        <v>45141</v>
      </c>
      <c r="D523" s="4">
        <v>104</v>
      </c>
      <c r="E523">
        <v>82</v>
      </c>
      <c r="F523" t="str">
        <f t="shared" si="32"/>
        <v>80's</v>
      </c>
      <c r="G523" t="str" cm="1">
        <f t="array" ref="G523">_xlfn.IFS(
  F523="10's", "Child (5–12)",
  OR(F523="20's", F523="30's"), "Young Adult (20–39)",
  OR(F523="40's", F523="50's"), "Adult (40–59)",
  OR(F523="60's", F523="70's", F523="80's", F523="90's"), "Senior (60+)",
  TRUE, "Unknown"
)</f>
        <v>Senior (60+)</v>
      </c>
      <c r="H523" t="s">
        <v>841</v>
      </c>
      <c r="I523" t="s">
        <v>54</v>
      </c>
      <c r="J523" t="str">
        <f t="shared" si="33"/>
        <v>Environmental Heat</v>
      </c>
      <c r="K523" t="s">
        <v>4211</v>
      </c>
      <c r="L523" t="s">
        <v>1071</v>
      </c>
      <c r="M523" t="s">
        <v>4361</v>
      </c>
      <c r="N523" t="s">
        <v>5150</v>
      </c>
      <c r="O523" t="str" cm="1">
        <f t="array" ref="O523">_xlfn.IFS(
  TEXT(TRIM(N523),"00000")="NULL", "Missing/Unknown",
  OR(TEXT(TRIM(N523),"00000")="89101", TEXT(TRIM(N523),"00000")="89104", TEXT(TRIM(N523),"00000")="89106", TEXT(TRIM(N523),"00000")="89102", TEXT(TRIM(N523),"00000")="89107", TEXT(TRIM(N523),"00000")="89108"), "Urban Core",
  OR(TEXT(TRIM(N523),"00000")="89110", TEXT(TRIM(N523),"00000")="89115", TEXT(TRIM(N523),"00000")="89121", TEXT(TRIM(N523),"00000")="89122", TEXT(TRIM(N523),"00000")="89142", TEXT(TRIM(N523),"00000")="89156"), "East Valley",
  OR(TEXT(TRIM(N523),"00000")="89030", TEXT(TRIM(N523),"00000")="89031", TEXT(TRIM(N523),"00000")="89032", TEXT(TRIM(N523),"00000")="89086", TEXT(TRIM(N523),"00000")="89084", TEXT(TRIM(N523),"00000")="89081"), "North LV",
  OR(TEXT(TRIM(N523),"00000")="89109", TEXT(TRIM(N523),"00000")="89103", TEXT(TRIM(N523),"00000")="89119", TEXT(TRIM(N523),"00000")="89123", TEXT(TRIM(N523),"00000")="89169", TEXT(TRIM(N523),"00000")="89118"), "South/Strip",
  OR(TEXT(TRIM(N523),"00000")="89074", TEXT(TRIM(N523),"00000")="89014", TEXT(TRIM(N523),"00000")="89015", TEXT(TRIM(N523),"00000")="89011", TEXT(TRIM(N523),"00000")="89012"), "Suburban SE",
  OR(TEXT(TRIM(N523),"00000")="89117", TEXT(TRIM(N523),"00000")="89128", TEXT(TRIM(N523),"00000")="89135", TEXT(TRIM(N523),"00000")="89144", TEXT(TRIM(N523),"00000")="89145", TEXT(TRIM(N523),"00000")="89147"), "West Valley",
  TRUE, "Other"
)</f>
        <v>Other</v>
      </c>
      <c r="P523" t="s">
        <v>38</v>
      </c>
      <c r="Q523" t="str">
        <f t="shared" si="34"/>
        <v>Home/Residence</v>
      </c>
      <c r="R523" t="s">
        <v>4361</v>
      </c>
      <c r="S523" t="s">
        <v>5150</v>
      </c>
      <c r="T523" t="str" cm="1">
        <f t="array" ref="T523">_xlfn.IFS(
  TEXT(TRIM(S523),"00000")="NULL", "Missing/Unknown",
  OR(TEXT(TRIM(S523),"00000")="89101", TEXT(TRIM(S523),"00000")="89104", TEXT(TRIM(S523),"00000")="89106", TEXT(TRIM(S523),"00000")="89102", TEXT(TRIM(S523),"00000")="89107", TEXT(TRIM(S523),"00000")="89108"), "Urban Core",
  OR(TEXT(TRIM(S523),"00000")="89110", TEXT(TRIM(S523),"00000")="89115", TEXT(TRIM(S523),"00000")="89121", TEXT(TRIM(S523),"00000")="89122", TEXT(TRIM(S523),"00000")="89142", TEXT(TRIM(S523),"00000")="89156"), "East Valley",
  OR(TEXT(TRIM(S523),"00000")="89030", TEXT(TRIM(S523),"00000")="89031", TEXT(TRIM(S523),"00000")="89032", TEXT(TRIM(S523),"00000")="89086", TEXT(TRIM(S523),"00000")="89084", TEXT(TRIM(S523),"00000")="89081"), "North LV",
  OR(TEXT(TRIM(S523),"00000")="89109", TEXT(TRIM(S523),"00000")="89103", TEXT(TRIM(S523),"00000")="89119", TEXT(TRIM(S523),"00000")="89123", TEXT(TRIM(S523),"00000")="89169", TEXT(TRIM(S523),"00000")="89118"), "South/Strip",
  OR(TEXT(TRIM(S523),"00000")="89074", TEXT(TRIM(S523),"00000")="89014", TEXT(TRIM(S523),"00000")="89015", TEXT(TRIM(S523),"00000")="89011", TEXT(TRIM(S523),"00000")="89012"), "Suburban SE",
  OR(TEXT(TRIM(S523),"00000")="89117", TEXT(TRIM(S523),"00000")="89128", TEXT(TRIM(S523),"00000")="89135", TEXT(TRIM(S523),"00000")="89144", TEXT(TRIM(S523),"00000")="89145", TEXT(TRIM(S523),"00000")="89147"), "West Valley",
  TRUE, "Other"
)</f>
        <v>Other</v>
      </c>
      <c r="U523" t="s">
        <v>38</v>
      </c>
      <c r="V523" t="str">
        <f t="shared" si="35"/>
        <v>Home/Residence</v>
      </c>
    </row>
    <row r="524" spans="1:22">
      <c r="A524" t="s">
        <v>894</v>
      </c>
      <c r="B524" t="s">
        <v>895</v>
      </c>
      <c r="C524" s="1">
        <v>45140</v>
      </c>
      <c r="D524" s="4">
        <v>93.919999999999987</v>
      </c>
      <c r="E524">
        <v>81</v>
      </c>
      <c r="F524" t="str">
        <f t="shared" si="32"/>
        <v>80's</v>
      </c>
      <c r="G524" t="str" cm="1">
        <f t="array" ref="G524">_xlfn.IFS(
  F524="10's", "Child (5–12)",
  OR(F524="20's", F524="30's"), "Young Adult (20–39)",
  OR(F524="40's", F524="50's"), "Adult (40–59)",
  OR(F524="60's", F524="70's", F524="80's", F524="90's"), "Senior (60+)",
  TRUE, "Unknown"
)</f>
        <v>Senior (60+)</v>
      </c>
      <c r="H524" t="s">
        <v>778</v>
      </c>
      <c r="I524" t="s">
        <v>54</v>
      </c>
      <c r="J524" t="str">
        <f t="shared" si="33"/>
        <v>Environmental Heat</v>
      </c>
      <c r="K524" t="s">
        <v>63</v>
      </c>
      <c r="L524" t="s">
        <v>1071</v>
      </c>
      <c r="M524" t="s">
        <v>4383</v>
      </c>
      <c r="N524" t="s">
        <v>5101</v>
      </c>
      <c r="O524" t="str" cm="1">
        <f t="array" ref="O524">_xlfn.IFS(
  TEXT(TRIM(N524),"00000")="NULL", "Missing/Unknown",
  OR(TEXT(TRIM(N524),"00000")="89101", TEXT(TRIM(N524),"00000")="89104", TEXT(TRIM(N524),"00000")="89106", TEXT(TRIM(N524),"00000")="89102", TEXT(TRIM(N524),"00000")="89107", TEXT(TRIM(N524),"00000")="89108"), "Urban Core",
  OR(TEXT(TRIM(N524),"00000")="89110", TEXT(TRIM(N524),"00000")="89115", TEXT(TRIM(N524),"00000")="89121", TEXT(TRIM(N524),"00000")="89122", TEXT(TRIM(N524),"00000")="89142", TEXT(TRIM(N524),"00000")="89156"), "East Valley",
  OR(TEXT(TRIM(N524),"00000")="89030", TEXT(TRIM(N524),"00000")="89031", TEXT(TRIM(N524),"00000")="89032", TEXT(TRIM(N524),"00000")="89086", TEXT(TRIM(N524),"00000")="89084", TEXT(TRIM(N524),"00000")="89081"), "North LV",
  OR(TEXT(TRIM(N524),"00000")="89109", TEXT(TRIM(N524),"00000")="89103", TEXT(TRIM(N524),"00000")="89119", TEXT(TRIM(N524),"00000")="89123", TEXT(TRIM(N524),"00000")="89169", TEXT(TRIM(N524),"00000")="89118"), "South/Strip",
  OR(TEXT(TRIM(N524),"00000")="89074", TEXT(TRIM(N524),"00000")="89014", TEXT(TRIM(N524),"00000")="89015", TEXT(TRIM(N524),"00000")="89011", TEXT(TRIM(N524),"00000")="89012"), "Suburban SE",
  OR(TEXT(TRIM(N524),"00000")="89117", TEXT(TRIM(N524),"00000")="89128", TEXT(TRIM(N524),"00000")="89135", TEXT(TRIM(N524),"00000")="89144", TEXT(TRIM(N524),"00000")="89145", TEXT(TRIM(N524),"00000")="89147"), "West Valley",
  TRUE, "Other"
)</f>
        <v>Urban Core</v>
      </c>
      <c r="P524" t="s">
        <v>38</v>
      </c>
      <c r="Q524" t="str">
        <f t="shared" si="34"/>
        <v>Home/Residence</v>
      </c>
      <c r="R524" t="s">
        <v>4383</v>
      </c>
      <c r="S524" t="s">
        <v>5101</v>
      </c>
      <c r="T524" t="str" cm="1">
        <f t="array" ref="T524">_xlfn.IFS(
  TEXT(TRIM(S524),"00000")="NULL", "Missing/Unknown",
  OR(TEXT(TRIM(S524),"00000")="89101", TEXT(TRIM(S524),"00000")="89104", TEXT(TRIM(S524),"00000")="89106", TEXT(TRIM(S524),"00000")="89102", TEXT(TRIM(S524),"00000")="89107", TEXT(TRIM(S524),"00000")="89108"), "Urban Core",
  OR(TEXT(TRIM(S524),"00000")="89110", TEXT(TRIM(S524),"00000")="89115", TEXT(TRIM(S524),"00000")="89121", TEXT(TRIM(S524),"00000")="89122", TEXT(TRIM(S524),"00000")="89142", TEXT(TRIM(S524),"00000")="89156"), "East Valley",
  OR(TEXT(TRIM(S524),"00000")="89030", TEXT(TRIM(S524),"00000")="89031", TEXT(TRIM(S524),"00000")="89032", TEXT(TRIM(S524),"00000")="89086", TEXT(TRIM(S524),"00000")="89084", TEXT(TRIM(S524),"00000")="89081"), "North LV",
  OR(TEXT(TRIM(S524),"00000")="89109", TEXT(TRIM(S524),"00000")="89103", TEXT(TRIM(S524),"00000")="89119", TEXT(TRIM(S524),"00000")="89123", TEXT(TRIM(S524),"00000")="89169", TEXT(TRIM(S524),"00000")="89118"), "South/Strip",
  OR(TEXT(TRIM(S524),"00000")="89074", TEXT(TRIM(S524),"00000")="89014", TEXT(TRIM(S524),"00000")="89015", TEXT(TRIM(S524),"00000")="89011", TEXT(TRIM(S524),"00000")="89012"), "Suburban SE",
  OR(TEXT(TRIM(S524),"00000")="89117", TEXT(TRIM(S524),"00000")="89128", TEXT(TRIM(S524),"00000")="89135", TEXT(TRIM(S524),"00000")="89144", TEXT(TRIM(S524),"00000")="89145", TEXT(TRIM(S524),"00000")="89147"), "West Valley",
  TRUE, "Other"
)</f>
        <v>Urban Core</v>
      </c>
      <c r="U524" t="s">
        <v>38</v>
      </c>
      <c r="V524" t="str">
        <f t="shared" si="35"/>
        <v>Home/Residence</v>
      </c>
    </row>
    <row r="525" spans="1:22">
      <c r="A525" t="s">
        <v>897</v>
      </c>
      <c r="B525" t="s">
        <v>898</v>
      </c>
      <c r="C525" s="1">
        <v>45140</v>
      </c>
      <c r="D525" s="4">
        <v>93.919999999999987</v>
      </c>
      <c r="E525">
        <v>67</v>
      </c>
      <c r="F525" t="str">
        <f t="shared" si="32"/>
        <v>60's</v>
      </c>
      <c r="G525" t="str" cm="1">
        <f t="array" ref="G525">_xlfn.IFS(
  F525="10's", "Child (5–12)",
  OR(F525="20's", F525="30's"), "Young Adult (20–39)",
  OR(F525="40's", F525="50's"), "Adult (40–59)",
  OR(F525="60's", F525="70's", F525="80's", F525="90's"), "Senior (60+)",
  TRUE, "Unknown"
)</f>
        <v>Senior (60+)</v>
      </c>
      <c r="H525" t="s">
        <v>841</v>
      </c>
      <c r="I525" t="s">
        <v>54</v>
      </c>
      <c r="J525" t="str">
        <f t="shared" si="33"/>
        <v>Environmental Heat</v>
      </c>
      <c r="K525" t="s">
        <v>98</v>
      </c>
      <c r="L525" t="s">
        <v>1071</v>
      </c>
      <c r="M525" t="s">
        <v>4362</v>
      </c>
      <c r="N525" t="s">
        <v>5100</v>
      </c>
      <c r="O525" t="str" cm="1">
        <f t="array" ref="O525">_xlfn.IFS(
  TEXT(TRIM(N525),"00000")="NULL", "Missing/Unknown",
  OR(TEXT(TRIM(N525),"00000")="89101", TEXT(TRIM(N525),"00000")="89104", TEXT(TRIM(N525),"00000")="89106", TEXT(TRIM(N525),"00000")="89102", TEXT(TRIM(N525),"00000")="89107", TEXT(TRIM(N525),"00000")="89108"), "Urban Core",
  OR(TEXT(TRIM(N525),"00000")="89110", TEXT(TRIM(N525),"00000")="89115", TEXT(TRIM(N525),"00000")="89121", TEXT(TRIM(N525),"00000")="89122", TEXT(TRIM(N525),"00000")="89142", TEXT(TRIM(N525),"00000")="89156"), "East Valley",
  OR(TEXT(TRIM(N525),"00000")="89030", TEXT(TRIM(N525),"00000")="89031", TEXT(TRIM(N525),"00000")="89032", TEXT(TRIM(N525),"00000")="89086", TEXT(TRIM(N525),"00000")="89084", TEXT(TRIM(N525),"00000")="89081"), "North LV",
  OR(TEXT(TRIM(N525),"00000")="89109", TEXT(TRIM(N525),"00000")="89103", TEXT(TRIM(N525),"00000")="89119", TEXT(TRIM(N525),"00000")="89123", TEXT(TRIM(N525),"00000")="89169", TEXT(TRIM(N525),"00000")="89118"), "South/Strip",
  OR(TEXT(TRIM(N525),"00000")="89074", TEXT(TRIM(N525),"00000")="89014", TEXT(TRIM(N525),"00000")="89015", TEXT(TRIM(N525),"00000")="89011", TEXT(TRIM(N525),"00000")="89012"), "Suburban SE",
  OR(TEXT(TRIM(N525),"00000")="89117", TEXT(TRIM(N525),"00000")="89128", TEXT(TRIM(N525),"00000")="89135", TEXT(TRIM(N525),"00000")="89144", TEXT(TRIM(N525),"00000")="89145", TEXT(TRIM(N525),"00000")="89147"), "West Valley",
  TRUE, "Other"
)</f>
        <v>North LV</v>
      </c>
      <c r="P525" t="s">
        <v>38</v>
      </c>
      <c r="Q525" t="str">
        <f t="shared" si="34"/>
        <v>Home/Residence</v>
      </c>
      <c r="R525" t="s">
        <v>4362</v>
      </c>
      <c r="S525" t="s">
        <v>5100</v>
      </c>
      <c r="T525" t="str" cm="1">
        <f t="array" ref="T525">_xlfn.IFS(
  TEXT(TRIM(S525),"00000")="NULL", "Missing/Unknown",
  OR(TEXT(TRIM(S525),"00000")="89101", TEXT(TRIM(S525),"00000")="89104", TEXT(TRIM(S525),"00000")="89106", TEXT(TRIM(S525),"00000")="89102", TEXT(TRIM(S525),"00000")="89107", TEXT(TRIM(S525),"00000")="89108"), "Urban Core",
  OR(TEXT(TRIM(S525),"00000")="89110", TEXT(TRIM(S525),"00000")="89115", TEXT(TRIM(S525),"00000")="89121", TEXT(TRIM(S525),"00000")="89122", TEXT(TRIM(S525),"00000")="89142", TEXT(TRIM(S525),"00000")="89156"), "East Valley",
  OR(TEXT(TRIM(S525),"00000")="89030", TEXT(TRIM(S525),"00000")="89031", TEXT(TRIM(S525),"00000")="89032", TEXT(TRIM(S525),"00000")="89086", TEXT(TRIM(S525),"00000")="89084", TEXT(TRIM(S525),"00000")="89081"), "North LV",
  OR(TEXT(TRIM(S525),"00000")="89109", TEXT(TRIM(S525),"00000")="89103", TEXT(TRIM(S525),"00000")="89119", TEXT(TRIM(S525),"00000")="89123", TEXT(TRIM(S525),"00000")="89169", TEXT(TRIM(S525),"00000")="89118"), "South/Strip",
  OR(TEXT(TRIM(S525),"00000")="89074", TEXT(TRIM(S525),"00000")="89014", TEXT(TRIM(S525),"00000")="89015", TEXT(TRIM(S525),"00000")="89011", TEXT(TRIM(S525),"00000")="89012"), "Suburban SE",
  OR(TEXT(TRIM(S525),"00000")="89117", TEXT(TRIM(S525),"00000")="89128", TEXT(TRIM(S525),"00000")="89135", TEXT(TRIM(S525),"00000")="89144", TEXT(TRIM(S525),"00000")="89145", TEXT(TRIM(S525),"00000")="89147"), "West Valley",
  TRUE, "Other"
)</f>
        <v>North LV</v>
      </c>
      <c r="U525" t="s">
        <v>38</v>
      </c>
      <c r="V525" t="str">
        <f t="shared" si="35"/>
        <v>Home/Residence</v>
      </c>
    </row>
    <row r="526" spans="1:22">
      <c r="A526" t="s">
        <v>903</v>
      </c>
      <c r="B526" t="s">
        <v>904</v>
      </c>
      <c r="C526" s="1">
        <v>45140</v>
      </c>
      <c r="D526" s="4">
        <v>93.919999999999987</v>
      </c>
      <c r="E526">
        <v>36</v>
      </c>
      <c r="F526" t="str">
        <f t="shared" si="32"/>
        <v>30's</v>
      </c>
      <c r="G526" t="str" cm="1">
        <f t="array" ref="G526">_xlfn.IFS(
  F526="10's", "Child (5–12)",
  OR(F526="20's", F526="30's"), "Young Adult (20–39)",
  OR(F526="40's", F526="50's"), "Adult (40–59)",
  OR(F526="60's", F526="70's", F526="80's", F526="90's"), "Senior (60+)",
  TRUE, "Unknown"
)</f>
        <v>Young Adult (20–39)</v>
      </c>
      <c r="H526" t="s">
        <v>841</v>
      </c>
      <c r="I526" t="s">
        <v>172</v>
      </c>
      <c r="J526" t="str">
        <f t="shared" si="33"/>
        <v>Methamphetamine-related</v>
      </c>
      <c r="K526" t="s">
        <v>54</v>
      </c>
      <c r="L526" t="s">
        <v>250</v>
      </c>
      <c r="M526" t="s">
        <v>4721</v>
      </c>
      <c r="N526" t="s">
        <v>5115</v>
      </c>
      <c r="O526" t="str" cm="1">
        <f t="array" ref="O526">_xlfn.IFS(
  TEXT(TRIM(N526),"00000")="NULL", "Missing/Unknown",
  OR(TEXT(TRIM(N526),"00000")="89101", TEXT(TRIM(N526),"00000")="89104", TEXT(TRIM(N526),"00000")="89106", TEXT(TRIM(N526),"00000")="89102", TEXT(TRIM(N526),"00000")="89107", TEXT(TRIM(N526),"00000")="89108"), "Urban Core",
  OR(TEXT(TRIM(N526),"00000")="89110", TEXT(TRIM(N526),"00000")="89115", TEXT(TRIM(N526),"00000")="89121", TEXT(TRIM(N526),"00000")="89122", TEXT(TRIM(N526),"00000")="89142", TEXT(TRIM(N526),"00000")="89156"), "East Valley",
  OR(TEXT(TRIM(N526),"00000")="89030", TEXT(TRIM(N526),"00000")="89031", TEXT(TRIM(N526),"00000")="89032", TEXT(TRIM(N526),"00000")="89086", TEXT(TRIM(N526),"00000")="89084", TEXT(TRIM(N526),"00000")="89081"), "North LV",
  OR(TEXT(TRIM(N526),"00000")="89109", TEXT(TRIM(N526),"00000")="89103", TEXT(TRIM(N526),"00000")="89119", TEXT(TRIM(N526),"00000")="89123", TEXT(TRIM(N526),"00000")="89169", TEXT(TRIM(N526),"00000")="89118"), "South/Strip",
  OR(TEXT(TRIM(N526),"00000")="89074", TEXT(TRIM(N526),"00000")="89014", TEXT(TRIM(N526),"00000")="89015", TEXT(TRIM(N526),"00000")="89011", TEXT(TRIM(N526),"00000")="89012"), "Suburban SE",
  OR(TEXT(TRIM(N526),"00000")="89117", TEXT(TRIM(N526),"00000")="89128", TEXT(TRIM(N526),"00000")="89135", TEXT(TRIM(N526),"00000")="89144", TEXT(TRIM(N526),"00000")="89145", TEXT(TRIM(N526),"00000")="89147"), "West Valley",
  TRUE, "Other"
)</f>
        <v>Other</v>
      </c>
      <c r="P526" t="s">
        <v>3298</v>
      </c>
      <c r="Q526" t="str">
        <f t="shared" si="34"/>
        <v>Outdoors/Public</v>
      </c>
      <c r="R526" t="s">
        <v>4721</v>
      </c>
      <c r="S526" t="s">
        <v>5115</v>
      </c>
      <c r="T526" t="str" cm="1">
        <f t="array" ref="T526">_xlfn.IFS(
  TEXT(TRIM(S526),"00000")="NULL", "Missing/Unknown",
  OR(TEXT(TRIM(S526),"00000")="89101", TEXT(TRIM(S526),"00000")="89104", TEXT(TRIM(S526),"00000")="89106", TEXT(TRIM(S526),"00000")="89102", TEXT(TRIM(S526),"00000")="89107", TEXT(TRIM(S526),"00000")="89108"), "Urban Core",
  OR(TEXT(TRIM(S526),"00000")="89110", TEXT(TRIM(S526),"00000")="89115", TEXT(TRIM(S526),"00000")="89121", TEXT(TRIM(S526),"00000")="89122", TEXT(TRIM(S526),"00000")="89142", TEXT(TRIM(S526),"00000")="89156"), "East Valley",
  OR(TEXT(TRIM(S526),"00000")="89030", TEXT(TRIM(S526),"00000")="89031", TEXT(TRIM(S526),"00000")="89032", TEXT(TRIM(S526),"00000")="89086", TEXT(TRIM(S526),"00000")="89084", TEXT(TRIM(S526),"00000")="89081"), "North LV",
  OR(TEXT(TRIM(S526),"00000")="89109", TEXT(TRIM(S526),"00000")="89103", TEXT(TRIM(S526),"00000")="89119", TEXT(TRIM(S526),"00000")="89123", TEXT(TRIM(S526),"00000")="89169", TEXT(TRIM(S526),"00000")="89118"), "South/Strip",
  OR(TEXT(TRIM(S526),"00000")="89074", TEXT(TRIM(S526),"00000")="89014", TEXT(TRIM(S526),"00000")="89015", TEXT(TRIM(S526),"00000")="89011", TEXT(TRIM(S526),"00000")="89012"), "Suburban SE",
  OR(TEXT(TRIM(S526),"00000")="89117", TEXT(TRIM(S526),"00000")="89128", TEXT(TRIM(S526),"00000")="89135", TEXT(TRIM(S526),"00000")="89144", TEXT(TRIM(S526),"00000")="89145", TEXT(TRIM(S526),"00000")="89147"), "West Valley",
  TRUE, "Other"
)</f>
        <v>Other</v>
      </c>
      <c r="U526" t="s">
        <v>3298</v>
      </c>
      <c r="V526" t="str">
        <f t="shared" si="35"/>
        <v>Outdoors/Public</v>
      </c>
    </row>
    <row r="527" spans="1:22">
      <c r="A527" t="s">
        <v>900</v>
      </c>
      <c r="B527" t="s">
        <v>901</v>
      </c>
      <c r="C527" s="1">
        <v>45140</v>
      </c>
      <c r="D527" s="4">
        <v>93.919999999999987</v>
      </c>
      <c r="E527">
        <v>68</v>
      </c>
      <c r="F527" t="str">
        <f t="shared" si="32"/>
        <v>60's</v>
      </c>
      <c r="G527" t="str" cm="1">
        <f t="array" ref="G527">_xlfn.IFS(
  F527="10's", "Child (5–12)",
  OR(F527="20's", F527="30's"), "Young Adult (20–39)",
  OR(F527="40's", F527="50's"), "Adult (40–59)",
  OR(F527="60's", F527="70's", F527="80's", F527="90's"), "Senior (60+)",
  TRUE, "Unknown"
)</f>
        <v>Senior (60+)</v>
      </c>
      <c r="H527" t="s">
        <v>841</v>
      </c>
      <c r="I527" t="s">
        <v>54</v>
      </c>
      <c r="J527" t="str">
        <f t="shared" si="33"/>
        <v>Environmental Heat</v>
      </c>
      <c r="K527" t="s">
        <v>4016</v>
      </c>
      <c r="L527" t="s">
        <v>250</v>
      </c>
      <c r="M527" t="s">
        <v>4552</v>
      </c>
      <c r="N527" t="s">
        <v>5104</v>
      </c>
      <c r="O527" t="str" cm="1">
        <f t="array" ref="O527">_xlfn.IFS(
  TEXT(TRIM(N527),"00000")="NULL", "Missing/Unknown",
  OR(TEXT(TRIM(N527),"00000")="89101", TEXT(TRIM(N527),"00000")="89104", TEXT(TRIM(N527),"00000")="89106", TEXT(TRIM(N527),"00000")="89102", TEXT(TRIM(N527),"00000")="89107", TEXT(TRIM(N527),"00000")="89108"), "Urban Core",
  OR(TEXT(TRIM(N527),"00000")="89110", TEXT(TRIM(N527),"00000")="89115", TEXT(TRIM(N527),"00000")="89121", TEXT(TRIM(N527),"00000")="89122", TEXT(TRIM(N527),"00000")="89142", TEXT(TRIM(N527),"00000")="89156"), "East Valley",
  OR(TEXT(TRIM(N527),"00000")="89030", TEXT(TRIM(N527),"00000")="89031", TEXT(TRIM(N527),"00000")="89032", TEXT(TRIM(N527),"00000")="89086", TEXT(TRIM(N527),"00000")="89084", TEXT(TRIM(N527),"00000")="89081"), "North LV",
  OR(TEXT(TRIM(N527),"00000")="89109", TEXT(TRIM(N527),"00000")="89103", TEXT(TRIM(N527),"00000")="89119", TEXT(TRIM(N527),"00000")="89123", TEXT(TRIM(N527),"00000")="89169", TEXT(TRIM(N527),"00000")="89118"), "South/Strip",
  OR(TEXT(TRIM(N527),"00000")="89074", TEXT(TRIM(N527),"00000")="89014", TEXT(TRIM(N527),"00000")="89015", TEXT(TRIM(N527),"00000")="89011", TEXT(TRIM(N527),"00000")="89012"), "Suburban SE",
  OR(TEXT(TRIM(N527),"00000")="89117", TEXT(TRIM(N527),"00000")="89128", TEXT(TRIM(N527),"00000")="89135", TEXT(TRIM(N527),"00000")="89144", TEXT(TRIM(N527),"00000")="89145", TEXT(TRIM(N527),"00000")="89147"), "West Valley",
  TRUE, "Other"
)</f>
        <v>West Valley</v>
      </c>
      <c r="P527" t="s">
        <v>3298</v>
      </c>
      <c r="Q527" t="str">
        <f t="shared" si="34"/>
        <v>Outdoors/Public</v>
      </c>
      <c r="R527" t="s">
        <v>4552</v>
      </c>
      <c r="S527" t="s">
        <v>5104</v>
      </c>
      <c r="T527" t="str" cm="1">
        <f t="array" ref="T527">_xlfn.IFS(
  TEXT(TRIM(S527),"00000")="NULL", "Missing/Unknown",
  OR(TEXT(TRIM(S527),"00000")="89101", TEXT(TRIM(S527),"00000")="89104", TEXT(TRIM(S527),"00000")="89106", TEXT(TRIM(S527),"00000")="89102", TEXT(TRIM(S527),"00000")="89107", TEXT(TRIM(S527),"00000")="89108"), "Urban Core",
  OR(TEXT(TRIM(S527),"00000")="89110", TEXT(TRIM(S527),"00000")="89115", TEXT(TRIM(S527),"00000")="89121", TEXT(TRIM(S527),"00000")="89122", TEXT(TRIM(S527),"00000")="89142", TEXT(TRIM(S527),"00000")="89156"), "East Valley",
  OR(TEXT(TRIM(S527),"00000")="89030", TEXT(TRIM(S527),"00000")="89031", TEXT(TRIM(S527),"00000")="89032", TEXT(TRIM(S527),"00000")="89086", TEXT(TRIM(S527),"00000")="89084", TEXT(TRIM(S527),"00000")="89081"), "North LV",
  OR(TEXT(TRIM(S527),"00000")="89109", TEXT(TRIM(S527),"00000")="89103", TEXT(TRIM(S527),"00000")="89119", TEXT(TRIM(S527),"00000")="89123", TEXT(TRIM(S527),"00000")="89169", TEXT(TRIM(S527),"00000")="89118"), "South/Strip",
  OR(TEXT(TRIM(S527),"00000")="89074", TEXT(TRIM(S527),"00000")="89014", TEXT(TRIM(S527),"00000")="89015", TEXT(TRIM(S527),"00000")="89011", TEXT(TRIM(S527),"00000")="89012"), "Suburban SE",
  OR(TEXT(TRIM(S527),"00000")="89117", TEXT(TRIM(S527),"00000")="89128", TEXT(TRIM(S527),"00000")="89135", TEXT(TRIM(S527),"00000")="89144", TEXT(TRIM(S527),"00000")="89145", TEXT(TRIM(S527),"00000")="89147"), "West Valley",
  TRUE, "Other"
)</f>
        <v>West Valley</v>
      </c>
      <c r="U527" t="s">
        <v>3298</v>
      </c>
      <c r="V527" t="str">
        <f t="shared" si="35"/>
        <v>Outdoors/Public</v>
      </c>
    </row>
    <row r="528" spans="1:22">
      <c r="A528" t="s">
        <v>891</v>
      </c>
      <c r="B528" t="s">
        <v>892</v>
      </c>
      <c r="C528" s="1">
        <v>45139</v>
      </c>
      <c r="D528" s="4">
        <v>95</v>
      </c>
      <c r="E528">
        <v>78</v>
      </c>
      <c r="F528" t="str">
        <f t="shared" si="32"/>
        <v>70's</v>
      </c>
      <c r="G528" t="str" cm="1">
        <f t="array" ref="G528">_xlfn.IFS(
  F528="10's", "Child (5–12)",
  OR(F528="20's", F528="30's"), "Young Adult (20–39)",
  OR(F528="40's", F528="50's"), "Adult (40–59)",
  OR(F528="60's", F528="70's", F528="80's", F528="90's"), "Senior (60+)",
  TRUE, "Unknown"
)</f>
        <v>Senior (60+)</v>
      </c>
      <c r="H528" t="s">
        <v>4309</v>
      </c>
      <c r="I528" t="s">
        <v>4012</v>
      </c>
      <c r="J528" t="str">
        <f t="shared" si="33"/>
        <v>Cardiovascular Disease</v>
      </c>
      <c r="K528" t="s">
        <v>54</v>
      </c>
      <c r="L528" t="s">
        <v>1071</v>
      </c>
      <c r="M528" t="s">
        <v>4363</v>
      </c>
      <c r="N528" t="s">
        <v>5108</v>
      </c>
      <c r="O528" t="str" cm="1">
        <f t="array" ref="O528">_xlfn.IFS(
  TEXT(TRIM(N528),"00000")="NULL", "Missing/Unknown",
  OR(TEXT(TRIM(N528),"00000")="89101", TEXT(TRIM(N528),"00000")="89104", TEXT(TRIM(N528),"00000")="89106", TEXT(TRIM(N528),"00000")="89102", TEXT(TRIM(N528),"00000")="89107", TEXT(TRIM(N528),"00000")="89108"), "Urban Core",
  OR(TEXT(TRIM(N528),"00000")="89110", TEXT(TRIM(N528),"00000")="89115", TEXT(TRIM(N528),"00000")="89121", TEXT(TRIM(N528),"00000")="89122", TEXT(TRIM(N528),"00000")="89142", TEXT(TRIM(N528),"00000")="89156"), "East Valley",
  OR(TEXT(TRIM(N528),"00000")="89030", TEXT(TRIM(N528),"00000")="89031", TEXT(TRIM(N528),"00000")="89032", TEXT(TRIM(N528),"00000")="89086", TEXT(TRIM(N528),"00000")="89084", TEXT(TRIM(N528),"00000")="89081"), "North LV",
  OR(TEXT(TRIM(N528),"00000")="89109", TEXT(TRIM(N528),"00000")="89103", TEXT(TRIM(N528),"00000")="89119", TEXT(TRIM(N528),"00000")="89123", TEXT(TRIM(N528),"00000")="89169", TEXT(TRIM(N528),"00000")="89118"), "South/Strip",
  OR(TEXT(TRIM(N528),"00000")="89074", TEXT(TRIM(N528),"00000")="89014", TEXT(TRIM(N528),"00000")="89015", TEXT(TRIM(N528),"00000")="89011", TEXT(TRIM(N528),"00000")="89012"), "Suburban SE",
  OR(TEXT(TRIM(N528),"00000")="89117", TEXT(TRIM(N528),"00000")="89128", TEXT(TRIM(N528),"00000")="89135", TEXT(TRIM(N528),"00000")="89144", TEXT(TRIM(N528),"00000")="89145", TEXT(TRIM(N528),"00000")="89147"), "West Valley",
  TRUE, "Other"
)</f>
        <v>East Valley</v>
      </c>
      <c r="P528" t="s">
        <v>38</v>
      </c>
      <c r="Q528" t="str">
        <f t="shared" si="34"/>
        <v>Home/Residence</v>
      </c>
      <c r="R528" t="s">
        <v>4363</v>
      </c>
      <c r="S528" t="s">
        <v>5108</v>
      </c>
      <c r="T528" t="str" cm="1">
        <f t="array" ref="T528">_xlfn.IFS(
  TEXT(TRIM(S528),"00000")="NULL", "Missing/Unknown",
  OR(TEXT(TRIM(S528),"00000")="89101", TEXT(TRIM(S528),"00000")="89104", TEXT(TRIM(S528),"00000")="89106", TEXT(TRIM(S528),"00000")="89102", TEXT(TRIM(S528),"00000")="89107", TEXT(TRIM(S528),"00000")="89108"), "Urban Core",
  OR(TEXT(TRIM(S528),"00000")="89110", TEXT(TRIM(S528),"00000")="89115", TEXT(TRIM(S528),"00000")="89121", TEXT(TRIM(S528),"00000")="89122", TEXT(TRIM(S528),"00000")="89142", TEXT(TRIM(S528),"00000")="89156"), "East Valley",
  OR(TEXT(TRIM(S528),"00000")="89030", TEXT(TRIM(S528),"00000")="89031", TEXT(TRIM(S528),"00000")="89032", TEXT(TRIM(S528),"00000")="89086", TEXT(TRIM(S528),"00000")="89084", TEXT(TRIM(S528),"00000")="89081"), "North LV",
  OR(TEXT(TRIM(S528),"00000")="89109", TEXT(TRIM(S528),"00000")="89103", TEXT(TRIM(S528),"00000")="89119", TEXT(TRIM(S528),"00000")="89123", TEXT(TRIM(S528),"00000")="89169", TEXT(TRIM(S528),"00000")="89118"), "South/Strip",
  OR(TEXT(TRIM(S528),"00000")="89074", TEXT(TRIM(S528),"00000")="89014", TEXT(TRIM(S528),"00000")="89015", TEXT(TRIM(S528),"00000")="89011", TEXT(TRIM(S528),"00000")="89012"), "Suburban SE",
  OR(TEXT(TRIM(S528),"00000")="89117", TEXT(TRIM(S528),"00000")="89128", TEXT(TRIM(S528),"00000")="89135", TEXT(TRIM(S528),"00000")="89144", TEXT(TRIM(S528),"00000")="89145", TEXT(TRIM(S528),"00000")="89147"), "West Valley",
  TRUE, "Other"
)</f>
        <v>East Valley</v>
      </c>
      <c r="U528" t="s">
        <v>38</v>
      </c>
      <c r="V528" t="str">
        <f t="shared" si="35"/>
        <v>Home/Residence</v>
      </c>
    </row>
    <row r="529" spans="1:22">
      <c r="A529" t="s">
        <v>889</v>
      </c>
      <c r="B529" t="s">
        <v>890</v>
      </c>
      <c r="C529" s="1">
        <v>45139</v>
      </c>
      <c r="D529" s="4">
        <v>95</v>
      </c>
      <c r="E529">
        <v>39</v>
      </c>
      <c r="F529" t="str">
        <f t="shared" si="32"/>
        <v>30's</v>
      </c>
      <c r="G529" t="str" cm="1">
        <f t="array" ref="G529">_xlfn.IFS(
  F529="10's", "Child (5–12)",
  OR(F529="20's", F529="30's"), "Young Adult (20–39)",
  OR(F529="40's", F529="50's"), "Adult (40–59)",
  OR(F529="60's", F529="70's", F529="80's", F529="90's"), "Senior (60+)",
  TRUE, "Unknown"
)</f>
        <v>Young Adult (20–39)</v>
      </c>
      <c r="H529" t="s">
        <v>841</v>
      </c>
      <c r="I529" t="s">
        <v>97</v>
      </c>
      <c r="J529" t="str">
        <f t="shared" si="33"/>
        <v>Environmental Heat</v>
      </c>
      <c r="K529" t="s">
        <v>503</v>
      </c>
      <c r="L529" t="s">
        <v>250</v>
      </c>
      <c r="N529" t="s">
        <v>5095</v>
      </c>
      <c r="O529" t="str" cm="1">
        <f t="array" ref="O529">_xlfn.IFS(
  TEXT(TRIM(N529),"00000")="NULL", "Missing/Unknown",
  OR(TEXT(TRIM(N529),"00000")="89101", TEXT(TRIM(N529),"00000")="89104", TEXT(TRIM(N529),"00000")="89106", TEXT(TRIM(N529),"00000")="89102", TEXT(TRIM(N529),"00000")="89107", TEXT(TRIM(N529),"00000")="89108"), "Urban Core",
  OR(TEXT(TRIM(N529),"00000")="89110", TEXT(TRIM(N529),"00000")="89115", TEXT(TRIM(N529),"00000")="89121", TEXT(TRIM(N529),"00000")="89122", TEXT(TRIM(N529),"00000")="89142", TEXT(TRIM(N529),"00000")="89156"), "East Valley",
  OR(TEXT(TRIM(N529),"00000")="89030", TEXT(TRIM(N529),"00000")="89031", TEXT(TRIM(N529),"00000")="89032", TEXT(TRIM(N529),"00000")="89086", TEXT(TRIM(N529),"00000")="89084", TEXT(TRIM(N529),"00000")="89081"), "North LV",
  OR(TEXT(TRIM(N529),"00000")="89109", TEXT(TRIM(N529),"00000")="89103", TEXT(TRIM(N529),"00000")="89119", TEXT(TRIM(N529),"00000")="89123", TEXT(TRIM(N529),"00000")="89169", TEXT(TRIM(N529),"00000")="89118"), "South/Strip",
  OR(TEXT(TRIM(N529),"00000")="89074", TEXT(TRIM(N529),"00000")="89014", TEXT(TRIM(N529),"00000")="89015", TEXT(TRIM(N529),"00000")="89011", TEXT(TRIM(N529),"00000")="89012"), "Suburban SE",
  OR(TEXT(TRIM(N529),"00000")="89117", TEXT(TRIM(N529),"00000")="89128", TEXT(TRIM(N529),"00000")="89135", TEXT(TRIM(N529),"00000")="89144", TEXT(TRIM(N529),"00000")="89145", TEXT(TRIM(N529),"00000")="89147"), "West Valley",
  TRUE, "Other"
)</f>
        <v>Missing/Unknown</v>
      </c>
      <c r="P529" t="s">
        <v>3298</v>
      </c>
      <c r="Q529" t="str">
        <f t="shared" si="34"/>
        <v>Outdoors/Public</v>
      </c>
      <c r="R529" t="s">
        <v>5054</v>
      </c>
      <c r="S529" t="s">
        <v>5097</v>
      </c>
      <c r="T529" t="str" cm="1">
        <f t="array" ref="T529">_xlfn.IFS(
  TEXT(TRIM(S529),"00000")="NULL", "Missing/Unknown",
  OR(TEXT(TRIM(S529),"00000")="89101", TEXT(TRIM(S529),"00000")="89104", TEXT(TRIM(S529),"00000")="89106", TEXT(TRIM(S529),"00000")="89102", TEXT(TRIM(S529),"00000")="89107", TEXT(TRIM(S529),"00000")="89108"), "Urban Core",
  OR(TEXT(TRIM(S529),"00000")="89110", TEXT(TRIM(S529),"00000")="89115", TEXT(TRIM(S529),"00000")="89121", TEXT(TRIM(S529),"00000")="89122", TEXT(TRIM(S529),"00000")="89142", TEXT(TRIM(S529),"00000")="89156"), "East Valley",
  OR(TEXT(TRIM(S529),"00000")="89030", TEXT(TRIM(S529),"00000")="89031", TEXT(TRIM(S529),"00000")="89032", TEXT(TRIM(S529),"00000")="89086", TEXT(TRIM(S529),"00000")="89084", TEXT(TRIM(S529),"00000")="89081"), "North LV",
  OR(TEXT(TRIM(S529),"00000")="89109", TEXT(TRIM(S529),"00000")="89103", TEXT(TRIM(S529),"00000")="89119", TEXT(TRIM(S529),"00000")="89123", TEXT(TRIM(S529),"00000")="89169", TEXT(TRIM(S529),"00000")="89118"), "South/Strip",
  OR(TEXT(TRIM(S529),"00000")="89074", TEXT(TRIM(S529),"00000")="89014", TEXT(TRIM(S529),"00000")="89015", TEXT(TRIM(S529),"00000")="89011", TEXT(TRIM(S529),"00000")="89012"), "Suburban SE",
  OR(TEXT(TRIM(S529),"00000")="89117", TEXT(TRIM(S529),"00000")="89128", TEXT(TRIM(S529),"00000")="89135", TEXT(TRIM(S529),"00000")="89144", TEXT(TRIM(S529),"00000")="89145", TEXT(TRIM(S529),"00000")="89147"), "West Valley",
  TRUE, "Other"
)</f>
        <v>Urban Core</v>
      </c>
      <c r="U529" t="s">
        <v>4305</v>
      </c>
      <c r="V529" t="str">
        <f t="shared" si="35"/>
        <v>Medical Facility</v>
      </c>
    </row>
    <row r="530" spans="1:22">
      <c r="A530" t="s">
        <v>883</v>
      </c>
      <c r="B530" t="s">
        <v>884</v>
      </c>
      <c r="C530" s="1">
        <v>45138</v>
      </c>
      <c r="D530" s="4">
        <v>102.02</v>
      </c>
      <c r="E530">
        <v>41</v>
      </c>
      <c r="F530" t="str">
        <f t="shared" si="32"/>
        <v>40's</v>
      </c>
      <c r="G530" t="str" cm="1">
        <f t="array" ref="G530">_xlfn.IFS(
  F530="10's", "Child (5–12)",
  OR(F530="20's", F530="30's"), "Young Adult (20–39)",
  OR(F530="40's", F530="50's"), "Adult (40–59)",
  OR(F530="60's", F530="70's", F530="80's", F530="90's"), "Senior (60+)",
  TRUE, "Unknown"
)</f>
        <v>Adult (40–59)</v>
      </c>
      <c r="H530" t="s">
        <v>841</v>
      </c>
      <c r="I530" t="s">
        <v>135</v>
      </c>
      <c r="J530" t="str">
        <f t="shared" si="33"/>
        <v>Methamphetamine-related</v>
      </c>
      <c r="K530" t="s">
        <v>35</v>
      </c>
      <c r="L530" t="s">
        <v>250</v>
      </c>
      <c r="M530" t="s">
        <v>4734</v>
      </c>
      <c r="N530" t="s">
        <v>5101</v>
      </c>
      <c r="O530" t="str" cm="1">
        <f t="array" ref="O530">_xlfn.IFS(
  TEXT(TRIM(N530),"00000")="NULL", "Missing/Unknown",
  OR(TEXT(TRIM(N530),"00000")="89101", TEXT(TRIM(N530),"00000")="89104", TEXT(TRIM(N530),"00000")="89106", TEXT(TRIM(N530),"00000")="89102", TEXT(TRIM(N530),"00000")="89107", TEXT(TRIM(N530),"00000")="89108"), "Urban Core",
  OR(TEXT(TRIM(N530),"00000")="89110", TEXT(TRIM(N530),"00000")="89115", TEXT(TRIM(N530),"00000")="89121", TEXT(TRIM(N530),"00000")="89122", TEXT(TRIM(N530),"00000")="89142", TEXT(TRIM(N530),"00000")="89156"), "East Valley",
  OR(TEXT(TRIM(N530),"00000")="89030", TEXT(TRIM(N530),"00000")="89031", TEXT(TRIM(N530),"00000")="89032", TEXT(TRIM(N530),"00000")="89086", TEXT(TRIM(N530),"00000")="89084", TEXT(TRIM(N530),"00000")="89081"), "North LV",
  OR(TEXT(TRIM(N530),"00000")="89109", TEXT(TRIM(N530),"00000")="89103", TEXT(TRIM(N530),"00000")="89119", TEXT(TRIM(N530),"00000")="89123", TEXT(TRIM(N530),"00000")="89169", TEXT(TRIM(N530),"00000")="89118"), "South/Strip",
  OR(TEXT(TRIM(N530),"00000")="89074", TEXT(TRIM(N530),"00000")="89014", TEXT(TRIM(N530),"00000")="89015", TEXT(TRIM(N530),"00000")="89011", TEXT(TRIM(N530),"00000")="89012"), "Suburban SE",
  OR(TEXT(TRIM(N530),"00000")="89117", TEXT(TRIM(N530),"00000")="89128", TEXT(TRIM(N530),"00000")="89135", TEXT(TRIM(N530),"00000")="89144", TEXT(TRIM(N530),"00000")="89145", TEXT(TRIM(N530),"00000")="89147"), "West Valley",
  TRUE, "Other"
)</f>
        <v>Urban Core</v>
      </c>
      <c r="P530" t="s">
        <v>3298</v>
      </c>
      <c r="Q530" t="str">
        <f t="shared" si="34"/>
        <v>Outdoors/Public</v>
      </c>
      <c r="R530" t="s">
        <v>4734</v>
      </c>
      <c r="S530" t="s">
        <v>5101</v>
      </c>
      <c r="T530" t="str" cm="1">
        <f t="array" ref="T530">_xlfn.IFS(
  TEXT(TRIM(S530),"00000")="NULL", "Missing/Unknown",
  OR(TEXT(TRIM(S530),"00000")="89101", TEXT(TRIM(S530),"00000")="89104", TEXT(TRIM(S530),"00000")="89106", TEXT(TRIM(S530),"00000")="89102", TEXT(TRIM(S530),"00000")="89107", TEXT(TRIM(S530),"00000")="89108"), "Urban Core",
  OR(TEXT(TRIM(S530),"00000")="89110", TEXT(TRIM(S530),"00000")="89115", TEXT(TRIM(S530),"00000")="89121", TEXT(TRIM(S530),"00000")="89122", TEXT(TRIM(S530),"00000")="89142", TEXT(TRIM(S530),"00000")="89156"), "East Valley",
  OR(TEXT(TRIM(S530),"00000")="89030", TEXT(TRIM(S530),"00000")="89031", TEXT(TRIM(S530),"00000")="89032", TEXT(TRIM(S530),"00000")="89086", TEXT(TRIM(S530),"00000")="89084", TEXT(TRIM(S530),"00000")="89081"), "North LV",
  OR(TEXT(TRIM(S530),"00000")="89109", TEXT(TRIM(S530),"00000")="89103", TEXT(TRIM(S530),"00000")="89119", TEXT(TRIM(S530),"00000")="89123", TEXT(TRIM(S530),"00000")="89169", TEXT(TRIM(S530),"00000")="89118"), "South/Strip",
  OR(TEXT(TRIM(S530),"00000")="89074", TEXT(TRIM(S530),"00000")="89014", TEXT(TRIM(S530),"00000")="89015", TEXT(TRIM(S530),"00000")="89011", TEXT(TRIM(S530),"00000")="89012"), "Suburban SE",
  OR(TEXT(TRIM(S530),"00000")="89117", TEXT(TRIM(S530),"00000")="89128", TEXT(TRIM(S530),"00000")="89135", TEXT(TRIM(S530),"00000")="89144", TEXT(TRIM(S530),"00000")="89145", TEXT(TRIM(S530),"00000")="89147"), "West Valley",
  TRUE, "Other"
)</f>
        <v>Urban Core</v>
      </c>
      <c r="U530" t="s">
        <v>3298</v>
      </c>
      <c r="V530" t="str">
        <f t="shared" si="35"/>
        <v>Outdoors/Public</v>
      </c>
    </row>
    <row r="531" spans="1:22">
      <c r="A531" t="s">
        <v>879</v>
      </c>
      <c r="B531" t="s">
        <v>880</v>
      </c>
      <c r="C531" s="1">
        <v>45138</v>
      </c>
      <c r="D531" s="4">
        <v>102.02</v>
      </c>
      <c r="E531">
        <v>41</v>
      </c>
      <c r="F531" t="str">
        <f t="shared" si="32"/>
        <v>40's</v>
      </c>
      <c r="G531" t="str" cm="1">
        <f t="array" ref="G531">_xlfn.IFS(
  F531="10's", "Child (5–12)",
  OR(F531="20's", F531="30's"), "Young Adult (20–39)",
  OR(F531="40's", F531="50's"), "Adult (40–59)",
  OR(F531="60's", F531="70's", F531="80's", F531="90's"), "Senior (60+)",
  TRUE, "Unknown"
)</f>
        <v>Adult (40–59)</v>
      </c>
      <c r="H531" t="s">
        <v>841</v>
      </c>
      <c r="I531" t="s">
        <v>97</v>
      </c>
      <c r="J531" t="str">
        <f t="shared" si="33"/>
        <v>Environmental Heat</v>
      </c>
      <c r="K531" t="s">
        <v>4016</v>
      </c>
      <c r="L531" t="s">
        <v>250</v>
      </c>
      <c r="N531" t="s">
        <v>5095</v>
      </c>
      <c r="O531" t="str" cm="1">
        <f t="array" ref="O531">_xlfn.IFS(
  TEXT(TRIM(N531),"00000")="NULL", "Missing/Unknown",
  OR(TEXT(TRIM(N531),"00000")="89101", TEXT(TRIM(N531),"00000")="89104", TEXT(TRIM(N531),"00000")="89106", TEXT(TRIM(N531),"00000")="89102", TEXT(TRIM(N531),"00000")="89107", TEXT(TRIM(N531),"00000")="89108"), "Urban Core",
  OR(TEXT(TRIM(N531),"00000")="89110", TEXT(TRIM(N531),"00000")="89115", TEXT(TRIM(N531),"00000")="89121", TEXT(TRIM(N531),"00000")="89122", TEXT(TRIM(N531),"00000")="89142", TEXT(TRIM(N531),"00000")="89156"), "East Valley",
  OR(TEXT(TRIM(N531),"00000")="89030", TEXT(TRIM(N531),"00000")="89031", TEXT(TRIM(N531),"00000")="89032", TEXT(TRIM(N531),"00000")="89086", TEXT(TRIM(N531),"00000")="89084", TEXT(TRIM(N531),"00000")="89081"), "North LV",
  OR(TEXT(TRIM(N531),"00000")="89109", TEXT(TRIM(N531),"00000")="89103", TEXT(TRIM(N531),"00000")="89119", TEXT(TRIM(N531),"00000")="89123", TEXT(TRIM(N531),"00000")="89169", TEXT(TRIM(N531),"00000")="89118"), "South/Strip",
  OR(TEXT(TRIM(N531),"00000")="89074", TEXT(TRIM(N531),"00000")="89014", TEXT(TRIM(N531),"00000")="89015", TEXT(TRIM(N531),"00000")="89011", TEXT(TRIM(N531),"00000")="89012"), "Suburban SE",
  OR(TEXT(TRIM(N531),"00000")="89117", TEXT(TRIM(N531),"00000")="89128", TEXT(TRIM(N531),"00000")="89135", TEXT(TRIM(N531),"00000")="89144", TEXT(TRIM(N531),"00000")="89145", TEXT(TRIM(N531),"00000")="89147"), "West Valley",
  TRUE, "Other"
)</f>
        <v>Missing/Unknown</v>
      </c>
      <c r="P531" t="s">
        <v>3298</v>
      </c>
      <c r="Q531" t="str">
        <f t="shared" si="34"/>
        <v>Outdoors/Public</v>
      </c>
      <c r="R531" t="s">
        <v>4713</v>
      </c>
      <c r="S531" t="s">
        <v>5125</v>
      </c>
      <c r="T531" t="str" cm="1">
        <f t="array" ref="T531">_xlfn.IFS(
  TEXT(TRIM(S531),"00000")="NULL", "Missing/Unknown",
  OR(TEXT(TRIM(S531),"00000")="89101", TEXT(TRIM(S531),"00000")="89104", TEXT(TRIM(S531),"00000")="89106", TEXT(TRIM(S531),"00000")="89102", TEXT(TRIM(S531),"00000")="89107", TEXT(TRIM(S531),"00000")="89108"), "Urban Core",
  OR(TEXT(TRIM(S531),"00000")="89110", TEXT(TRIM(S531),"00000")="89115", TEXT(TRIM(S531),"00000")="89121", TEXT(TRIM(S531),"00000")="89122", TEXT(TRIM(S531),"00000")="89142", TEXT(TRIM(S531),"00000")="89156"), "East Valley",
  OR(TEXT(TRIM(S531),"00000")="89030", TEXT(TRIM(S531),"00000")="89031", TEXT(TRIM(S531),"00000")="89032", TEXT(TRIM(S531),"00000")="89086", TEXT(TRIM(S531),"00000")="89084", TEXT(TRIM(S531),"00000")="89081"), "North LV",
  OR(TEXT(TRIM(S531),"00000")="89109", TEXT(TRIM(S531),"00000")="89103", TEXT(TRIM(S531),"00000")="89119", TEXT(TRIM(S531),"00000")="89123", TEXT(TRIM(S531),"00000")="89169", TEXT(TRIM(S531),"00000")="89118"), "South/Strip",
  OR(TEXT(TRIM(S531),"00000")="89074", TEXT(TRIM(S531),"00000")="89014", TEXT(TRIM(S531),"00000")="89015", TEXT(TRIM(S531),"00000")="89011", TEXT(TRIM(S531),"00000")="89012"), "Suburban SE",
  OR(TEXT(TRIM(S531),"00000")="89117", TEXT(TRIM(S531),"00000")="89128", TEXT(TRIM(S531),"00000")="89135", TEXT(TRIM(S531),"00000")="89144", TEXT(TRIM(S531),"00000")="89145", TEXT(TRIM(S531),"00000")="89147"), "West Valley",
  TRUE, "Other"
)</f>
        <v>South/Strip</v>
      </c>
      <c r="U531" t="s">
        <v>4301</v>
      </c>
      <c r="V531" t="str">
        <f t="shared" si="35"/>
        <v>Medical Facility</v>
      </c>
    </row>
    <row r="532" spans="1:22">
      <c r="A532" t="s">
        <v>886</v>
      </c>
      <c r="B532" t="s">
        <v>887</v>
      </c>
      <c r="C532" s="1">
        <v>45138</v>
      </c>
      <c r="D532" s="4">
        <v>102.02</v>
      </c>
      <c r="E532">
        <v>75</v>
      </c>
      <c r="F532" t="str">
        <f t="shared" si="32"/>
        <v>70's</v>
      </c>
      <c r="G532" t="str" cm="1">
        <f t="array" ref="G532">_xlfn.IFS(
  F532="10's", "Child (5–12)",
  OR(F532="20's", F532="30's"), "Young Adult (20–39)",
  OR(F532="40's", F532="50's"), "Adult (40–59)",
  OR(F532="60's", F532="70's", F532="80's", F532="90's"), "Senior (60+)",
  TRUE, "Unknown"
)</f>
        <v>Senior (60+)</v>
      </c>
      <c r="H532" t="s">
        <v>841</v>
      </c>
      <c r="I532" t="s">
        <v>54</v>
      </c>
      <c r="J532" t="str">
        <f t="shared" si="33"/>
        <v>Environmental Heat</v>
      </c>
      <c r="K532" t="s">
        <v>63</v>
      </c>
      <c r="L532" t="s">
        <v>1071</v>
      </c>
      <c r="M532" t="s">
        <v>4384</v>
      </c>
      <c r="N532" t="s">
        <v>5126</v>
      </c>
      <c r="O532" t="str" cm="1">
        <f t="array" ref="O532">_xlfn.IFS(
  TEXT(TRIM(N532),"00000")="NULL", "Missing/Unknown",
  OR(TEXT(TRIM(N532),"00000")="89101", TEXT(TRIM(N532),"00000")="89104", TEXT(TRIM(N532),"00000")="89106", TEXT(TRIM(N532),"00000")="89102", TEXT(TRIM(N532),"00000")="89107", TEXT(TRIM(N532),"00000")="89108"), "Urban Core",
  OR(TEXT(TRIM(N532),"00000")="89110", TEXT(TRIM(N532),"00000")="89115", TEXT(TRIM(N532),"00000")="89121", TEXT(TRIM(N532),"00000")="89122", TEXT(TRIM(N532),"00000")="89142", TEXT(TRIM(N532),"00000")="89156"), "East Valley",
  OR(TEXT(TRIM(N532),"00000")="89030", TEXT(TRIM(N532),"00000")="89031", TEXT(TRIM(N532),"00000")="89032", TEXT(TRIM(N532),"00000")="89086", TEXT(TRIM(N532),"00000")="89084", TEXT(TRIM(N532),"00000")="89081"), "North LV",
  OR(TEXT(TRIM(N532),"00000")="89109", TEXT(TRIM(N532),"00000")="89103", TEXT(TRIM(N532),"00000")="89119", TEXT(TRIM(N532),"00000")="89123", TEXT(TRIM(N532),"00000")="89169", TEXT(TRIM(N532),"00000")="89118"), "South/Strip",
  OR(TEXT(TRIM(N532),"00000")="89074", TEXT(TRIM(N532),"00000")="89014", TEXT(TRIM(N532),"00000")="89015", TEXT(TRIM(N532),"00000")="89011", TEXT(TRIM(N532),"00000")="89012"), "Suburban SE",
  OR(TEXT(TRIM(N532),"00000")="89117", TEXT(TRIM(N532),"00000")="89128", TEXT(TRIM(N532),"00000")="89135", TEXT(TRIM(N532),"00000")="89144", TEXT(TRIM(N532),"00000")="89145", TEXT(TRIM(N532),"00000")="89147"), "West Valley",
  TRUE, "Other"
)</f>
        <v>Other</v>
      </c>
      <c r="P532" t="s">
        <v>38</v>
      </c>
      <c r="Q532" t="str">
        <f t="shared" si="34"/>
        <v>Home/Residence</v>
      </c>
      <c r="R532" t="s">
        <v>4384</v>
      </c>
      <c r="S532" t="s">
        <v>5126</v>
      </c>
      <c r="T532" t="str" cm="1">
        <f t="array" ref="T532">_xlfn.IFS(
  TEXT(TRIM(S532),"00000")="NULL", "Missing/Unknown",
  OR(TEXT(TRIM(S532),"00000")="89101", TEXT(TRIM(S532),"00000")="89104", TEXT(TRIM(S532),"00000")="89106", TEXT(TRIM(S532),"00000")="89102", TEXT(TRIM(S532),"00000")="89107", TEXT(TRIM(S532),"00000")="89108"), "Urban Core",
  OR(TEXT(TRIM(S532),"00000")="89110", TEXT(TRIM(S532),"00000")="89115", TEXT(TRIM(S532),"00000")="89121", TEXT(TRIM(S532),"00000")="89122", TEXT(TRIM(S532),"00000")="89142", TEXT(TRIM(S532),"00000")="89156"), "East Valley",
  OR(TEXT(TRIM(S532),"00000")="89030", TEXT(TRIM(S532),"00000")="89031", TEXT(TRIM(S532),"00000")="89032", TEXT(TRIM(S532),"00000")="89086", TEXT(TRIM(S532),"00000")="89084", TEXT(TRIM(S532),"00000")="89081"), "North LV",
  OR(TEXT(TRIM(S532),"00000")="89109", TEXT(TRIM(S532),"00000")="89103", TEXT(TRIM(S532),"00000")="89119", TEXT(TRIM(S532),"00000")="89123", TEXT(TRIM(S532),"00000")="89169", TEXT(TRIM(S532),"00000")="89118"), "South/Strip",
  OR(TEXT(TRIM(S532),"00000")="89074", TEXT(TRIM(S532),"00000")="89014", TEXT(TRIM(S532),"00000")="89015", TEXT(TRIM(S532),"00000")="89011", TEXT(TRIM(S532),"00000")="89012"), "Suburban SE",
  OR(TEXT(TRIM(S532),"00000")="89117", TEXT(TRIM(S532),"00000")="89128", TEXT(TRIM(S532),"00000")="89135", TEXT(TRIM(S532),"00000")="89144", TEXT(TRIM(S532),"00000")="89145", TEXT(TRIM(S532),"00000")="89147"), "West Valley",
  TRUE, "Other"
)</f>
        <v>Other</v>
      </c>
      <c r="U532" t="s">
        <v>38</v>
      </c>
      <c r="V532" t="str">
        <f t="shared" si="35"/>
        <v>Home/Residence</v>
      </c>
    </row>
    <row r="533" spans="1:22">
      <c r="A533" t="s">
        <v>881</v>
      </c>
      <c r="B533" t="s">
        <v>882</v>
      </c>
      <c r="C533" s="1">
        <v>45138</v>
      </c>
      <c r="D533" s="4">
        <v>102.02</v>
      </c>
      <c r="E533">
        <v>64</v>
      </c>
      <c r="F533" t="str">
        <f t="shared" si="32"/>
        <v>60's</v>
      </c>
      <c r="G533" t="str" cm="1">
        <f t="array" ref="G533">_xlfn.IFS(
  F533="10's", "Child (5–12)",
  OR(F533="20's", F533="30's"), "Young Adult (20–39)",
  OR(F533="40's", F533="50's"), "Adult (40–59)",
  OR(F533="60's", F533="70's", F533="80's", F533="90's"), "Senior (60+)",
  TRUE, "Unknown"
)</f>
        <v>Senior (60+)</v>
      </c>
      <c r="H533" t="s">
        <v>778</v>
      </c>
      <c r="I533" t="s">
        <v>54</v>
      </c>
      <c r="J533" t="str">
        <f t="shared" si="33"/>
        <v>Environmental Heat</v>
      </c>
      <c r="K533" t="s">
        <v>4016</v>
      </c>
      <c r="L533" t="s">
        <v>250</v>
      </c>
      <c r="N533" t="s">
        <v>5095</v>
      </c>
      <c r="O533" t="str" cm="1">
        <f t="array" ref="O533">_xlfn.IFS(
  TEXT(TRIM(N533),"00000")="NULL", "Missing/Unknown",
  OR(TEXT(TRIM(N533),"00000")="89101", TEXT(TRIM(N533),"00000")="89104", TEXT(TRIM(N533),"00000")="89106", TEXT(TRIM(N533),"00000")="89102", TEXT(TRIM(N533),"00000")="89107", TEXT(TRIM(N533),"00000")="89108"), "Urban Core",
  OR(TEXT(TRIM(N533),"00000")="89110", TEXT(TRIM(N533),"00000")="89115", TEXT(TRIM(N533),"00000")="89121", TEXT(TRIM(N533),"00000")="89122", TEXT(TRIM(N533),"00000")="89142", TEXT(TRIM(N533),"00000")="89156"), "East Valley",
  OR(TEXT(TRIM(N533),"00000")="89030", TEXT(TRIM(N533),"00000")="89031", TEXT(TRIM(N533),"00000")="89032", TEXT(TRIM(N533),"00000")="89086", TEXT(TRIM(N533),"00000")="89084", TEXT(TRIM(N533),"00000")="89081"), "North LV",
  OR(TEXT(TRIM(N533),"00000")="89109", TEXT(TRIM(N533),"00000")="89103", TEXT(TRIM(N533),"00000")="89119", TEXT(TRIM(N533),"00000")="89123", TEXT(TRIM(N533),"00000")="89169", TEXT(TRIM(N533),"00000")="89118"), "South/Strip",
  OR(TEXT(TRIM(N533),"00000")="89074", TEXT(TRIM(N533),"00000")="89014", TEXT(TRIM(N533),"00000")="89015", TEXT(TRIM(N533),"00000")="89011", TEXT(TRIM(N533),"00000")="89012"), "Suburban SE",
  OR(TEXT(TRIM(N533),"00000")="89117", TEXT(TRIM(N533),"00000")="89128", TEXT(TRIM(N533),"00000")="89135", TEXT(TRIM(N533),"00000")="89144", TEXT(TRIM(N533),"00000")="89145", TEXT(TRIM(N533),"00000")="89147"), "West Valley",
  TRUE, "Other"
)</f>
        <v>Missing/Unknown</v>
      </c>
      <c r="P533" t="s">
        <v>3298</v>
      </c>
      <c r="Q533" t="str">
        <f t="shared" si="34"/>
        <v>Outdoors/Public</v>
      </c>
      <c r="S533" t="s">
        <v>5095</v>
      </c>
      <c r="T533" t="str" cm="1">
        <f t="array" ref="T533">_xlfn.IFS(
  TEXT(TRIM(S533),"00000")="NULL", "Missing/Unknown",
  OR(TEXT(TRIM(S533),"00000")="89101", TEXT(TRIM(S533),"00000")="89104", TEXT(TRIM(S533),"00000")="89106", TEXT(TRIM(S533),"00000")="89102", TEXT(TRIM(S533),"00000")="89107", TEXT(TRIM(S533),"00000")="89108"), "Urban Core",
  OR(TEXT(TRIM(S533),"00000")="89110", TEXT(TRIM(S533),"00000")="89115", TEXT(TRIM(S533),"00000")="89121", TEXT(TRIM(S533),"00000")="89122", TEXT(TRIM(S533),"00000")="89142", TEXT(TRIM(S533),"00000")="89156"), "East Valley",
  OR(TEXT(TRIM(S533),"00000")="89030", TEXT(TRIM(S533),"00000")="89031", TEXT(TRIM(S533),"00000")="89032", TEXT(TRIM(S533),"00000")="89086", TEXT(TRIM(S533),"00000")="89084", TEXT(TRIM(S533),"00000")="89081"), "North LV",
  OR(TEXT(TRIM(S533),"00000")="89109", TEXT(TRIM(S533),"00000")="89103", TEXT(TRIM(S533),"00000")="89119", TEXT(TRIM(S533),"00000")="89123", TEXT(TRIM(S533),"00000")="89169", TEXT(TRIM(S533),"00000")="89118"), "South/Strip",
  OR(TEXT(TRIM(S533),"00000")="89074", TEXT(TRIM(S533),"00000")="89014", TEXT(TRIM(S533),"00000")="89015", TEXT(TRIM(S533),"00000")="89011", TEXT(TRIM(S533),"00000")="89012"), "Suburban SE",
  OR(TEXT(TRIM(S533),"00000")="89117", TEXT(TRIM(S533),"00000")="89128", TEXT(TRIM(S533),"00000")="89135", TEXT(TRIM(S533),"00000")="89144", TEXT(TRIM(S533),"00000")="89145", TEXT(TRIM(S533),"00000")="89147"), "West Valley",
  TRUE, "Other"
)</f>
        <v>Missing/Unknown</v>
      </c>
      <c r="U533" t="s">
        <v>3298</v>
      </c>
      <c r="V533" t="str">
        <f t="shared" si="35"/>
        <v>Outdoors/Public</v>
      </c>
    </row>
    <row r="534" spans="1:22">
      <c r="A534" t="s">
        <v>862</v>
      </c>
      <c r="B534" t="s">
        <v>863</v>
      </c>
      <c r="C534" s="1">
        <v>45137</v>
      </c>
      <c r="D534" s="4">
        <v>109.04</v>
      </c>
      <c r="E534">
        <v>52</v>
      </c>
      <c r="F534" t="str">
        <f t="shared" si="32"/>
        <v>50's</v>
      </c>
      <c r="G534" t="str" cm="1">
        <f t="array" ref="G534">_xlfn.IFS(
  F534="10's", "Child (5–12)",
  OR(F534="20's", F534="30's"), "Young Adult (20–39)",
  OR(F534="40's", F534="50's"), "Adult (40–59)",
  OR(F534="60's", F534="70's", F534="80's", F534="90's"), "Senior (60+)",
  TRUE, "Unknown"
)</f>
        <v>Adult (40–59)</v>
      </c>
      <c r="H534" t="s">
        <v>4310</v>
      </c>
      <c r="I534" t="s">
        <v>54</v>
      </c>
      <c r="J534" t="str">
        <f t="shared" si="33"/>
        <v>Environmental Heat</v>
      </c>
      <c r="K534" t="s">
        <v>864</v>
      </c>
      <c r="L534" t="s">
        <v>1071</v>
      </c>
      <c r="M534" t="s">
        <v>4364</v>
      </c>
      <c r="N534" t="s">
        <v>5098</v>
      </c>
      <c r="O534" t="str" cm="1">
        <f t="array" ref="O534">_xlfn.IFS(
  TEXT(TRIM(N534),"00000")="NULL", "Missing/Unknown",
  OR(TEXT(TRIM(N534),"00000")="89101", TEXT(TRIM(N534),"00000")="89104", TEXT(TRIM(N534),"00000")="89106", TEXT(TRIM(N534),"00000")="89102", TEXT(TRIM(N534),"00000")="89107", TEXT(TRIM(N534),"00000")="89108"), "Urban Core",
  OR(TEXT(TRIM(N534),"00000")="89110", TEXT(TRIM(N534),"00000")="89115", TEXT(TRIM(N534),"00000")="89121", TEXT(TRIM(N534),"00000")="89122", TEXT(TRIM(N534),"00000")="89142", TEXT(TRIM(N534),"00000")="89156"), "East Valley",
  OR(TEXT(TRIM(N534),"00000")="89030", TEXT(TRIM(N534),"00000")="89031", TEXT(TRIM(N534),"00000")="89032", TEXT(TRIM(N534),"00000")="89086", TEXT(TRIM(N534),"00000")="89084", TEXT(TRIM(N534),"00000")="89081"), "North LV",
  OR(TEXT(TRIM(N534),"00000")="89109", TEXT(TRIM(N534),"00000")="89103", TEXT(TRIM(N534),"00000")="89119", TEXT(TRIM(N534),"00000")="89123", TEXT(TRIM(N534),"00000")="89169", TEXT(TRIM(N534),"00000")="89118"), "South/Strip",
  OR(TEXT(TRIM(N534),"00000")="89074", TEXT(TRIM(N534),"00000")="89014", TEXT(TRIM(N534),"00000")="89015", TEXT(TRIM(N534),"00000")="89011", TEXT(TRIM(N534),"00000")="89012"), "Suburban SE",
  OR(TEXT(TRIM(N534),"00000")="89117", TEXT(TRIM(N534),"00000")="89128", TEXT(TRIM(N534),"00000")="89135", TEXT(TRIM(N534),"00000")="89144", TEXT(TRIM(N534),"00000")="89145", TEXT(TRIM(N534),"00000")="89147"), "West Valley",
  TRUE, "Other"
)</f>
        <v>Urban Core</v>
      </c>
      <c r="P534" t="s">
        <v>38</v>
      </c>
      <c r="Q534" t="str">
        <f t="shared" si="34"/>
        <v>Home/Residence</v>
      </c>
      <c r="R534" t="s">
        <v>4364</v>
      </c>
      <c r="S534" t="s">
        <v>5098</v>
      </c>
      <c r="T534" t="str" cm="1">
        <f t="array" ref="T534">_xlfn.IFS(
  TEXT(TRIM(S534),"00000")="NULL", "Missing/Unknown",
  OR(TEXT(TRIM(S534),"00000")="89101", TEXT(TRIM(S534),"00000")="89104", TEXT(TRIM(S534),"00000")="89106", TEXT(TRIM(S534),"00000")="89102", TEXT(TRIM(S534),"00000")="89107", TEXT(TRIM(S534),"00000")="89108"), "Urban Core",
  OR(TEXT(TRIM(S534),"00000")="89110", TEXT(TRIM(S534),"00000")="89115", TEXT(TRIM(S534),"00000")="89121", TEXT(TRIM(S534),"00000")="89122", TEXT(TRIM(S534),"00000")="89142", TEXT(TRIM(S534),"00000")="89156"), "East Valley",
  OR(TEXT(TRIM(S534),"00000")="89030", TEXT(TRIM(S534),"00000")="89031", TEXT(TRIM(S534),"00000")="89032", TEXT(TRIM(S534),"00000")="89086", TEXT(TRIM(S534),"00000")="89084", TEXT(TRIM(S534),"00000")="89081"), "North LV",
  OR(TEXT(TRIM(S534),"00000")="89109", TEXT(TRIM(S534),"00000")="89103", TEXT(TRIM(S534),"00000")="89119", TEXT(TRIM(S534),"00000")="89123", TEXT(TRIM(S534),"00000")="89169", TEXT(TRIM(S534),"00000")="89118"), "South/Strip",
  OR(TEXT(TRIM(S534),"00000")="89074", TEXT(TRIM(S534),"00000")="89014", TEXT(TRIM(S534),"00000")="89015", TEXT(TRIM(S534),"00000")="89011", TEXT(TRIM(S534),"00000")="89012"), "Suburban SE",
  OR(TEXT(TRIM(S534),"00000")="89117", TEXT(TRIM(S534),"00000")="89128", TEXT(TRIM(S534),"00000")="89135", TEXT(TRIM(S534),"00000")="89144", TEXT(TRIM(S534),"00000")="89145", TEXT(TRIM(S534),"00000")="89147"), "West Valley",
  TRUE, "Other"
)</f>
        <v>Urban Core</v>
      </c>
      <c r="U534" t="s">
        <v>38</v>
      </c>
      <c r="V534" t="str">
        <f t="shared" si="35"/>
        <v>Home/Residence</v>
      </c>
    </row>
    <row r="535" spans="1:22">
      <c r="A535" t="s">
        <v>866</v>
      </c>
      <c r="B535" t="s">
        <v>867</v>
      </c>
      <c r="C535" s="1">
        <v>45137</v>
      </c>
      <c r="D535" s="4">
        <v>109.04</v>
      </c>
      <c r="E535">
        <v>50</v>
      </c>
      <c r="F535" t="str">
        <f t="shared" si="32"/>
        <v>50's</v>
      </c>
      <c r="G535" t="str" cm="1">
        <f t="array" ref="G535">_xlfn.IFS(
  F535="10's", "Child (5–12)",
  OR(F535="20's", F535="30's"), "Young Adult (20–39)",
  OR(F535="40's", F535="50's"), "Adult (40–59)",
  OR(F535="60's", F535="70's", F535="80's", F535="90's"), "Senior (60+)",
  TRUE, "Unknown"
)</f>
        <v>Adult (40–59)</v>
      </c>
      <c r="H535" t="s">
        <v>841</v>
      </c>
      <c r="I535" t="s">
        <v>54</v>
      </c>
      <c r="J535" t="str">
        <f t="shared" si="33"/>
        <v>Environmental Heat</v>
      </c>
      <c r="K535" t="s">
        <v>63</v>
      </c>
      <c r="L535" t="s">
        <v>250</v>
      </c>
      <c r="M535" t="s">
        <v>4755</v>
      </c>
      <c r="N535" t="s">
        <v>5139</v>
      </c>
      <c r="O535" t="str" cm="1">
        <f t="array" ref="O535">_xlfn.IFS(
  TEXT(TRIM(N535),"00000")="NULL", "Missing/Unknown",
  OR(TEXT(TRIM(N535),"00000")="89101", TEXT(TRIM(N535),"00000")="89104", TEXT(TRIM(N535),"00000")="89106", TEXT(TRIM(N535),"00000")="89102", TEXT(TRIM(N535),"00000")="89107", TEXT(TRIM(N535),"00000")="89108"), "Urban Core",
  OR(TEXT(TRIM(N535),"00000")="89110", TEXT(TRIM(N535),"00000")="89115", TEXT(TRIM(N535),"00000")="89121", TEXT(TRIM(N535),"00000")="89122", TEXT(TRIM(N535),"00000")="89142", TEXT(TRIM(N535),"00000")="89156"), "East Valley",
  OR(TEXT(TRIM(N535),"00000")="89030", TEXT(TRIM(N535),"00000")="89031", TEXT(TRIM(N535),"00000")="89032", TEXT(TRIM(N535),"00000")="89086", TEXT(TRIM(N535),"00000")="89084", TEXT(TRIM(N535),"00000")="89081"), "North LV",
  OR(TEXT(TRIM(N535),"00000")="89109", TEXT(TRIM(N535),"00000")="89103", TEXT(TRIM(N535),"00000")="89119", TEXT(TRIM(N535),"00000")="89123", TEXT(TRIM(N535),"00000")="89169", TEXT(TRIM(N535),"00000")="89118"), "South/Strip",
  OR(TEXT(TRIM(N535),"00000")="89074", TEXT(TRIM(N535),"00000")="89014", TEXT(TRIM(N535),"00000")="89015", TEXT(TRIM(N535),"00000")="89011", TEXT(TRIM(N535),"00000")="89012"), "Suburban SE",
  OR(TEXT(TRIM(N535),"00000")="89117", TEXT(TRIM(N535),"00000")="89128", TEXT(TRIM(N535),"00000")="89135", TEXT(TRIM(N535),"00000")="89144", TEXT(TRIM(N535),"00000")="89145", TEXT(TRIM(N535),"00000")="89147"), "West Valley",
  TRUE, "Other"
)</f>
        <v>Other</v>
      </c>
      <c r="P535" t="s">
        <v>3298</v>
      </c>
      <c r="Q535" t="str">
        <f t="shared" si="34"/>
        <v>Outdoors/Public</v>
      </c>
      <c r="R535" t="s">
        <v>4755</v>
      </c>
      <c r="S535" t="s">
        <v>5139</v>
      </c>
      <c r="T535" t="str" cm="1">
        <f t="array" ref="T535">_xlfn.IFS(
  TEXT(TRIM(S535),"00000")="NULL", "Missing/Unknown",
  OR(TEXT(TRIM(S535),"00000")="89101", TEXT(TRIM(S535),"00000")="89104", TEXT(TRIM(S535),"00000")="89106", TEXT(TRIM(S535),"00000")="89102", TEXT(TRIM(S535),"00000")="89107", TEXT(TRIM(S535),"00000")="89108"), "Urban Core",
  OR(TEXT(TRIM(S535),"00000")="89110", TEXT(TRIM(S535),"00000")="89115", TEXT(TRIM(S535),"00000")="89121", TEXT(TRIM(S535),"00000")="89122", TEXT(TRIM(S535),"00000")="89142", TEXT(TRIM(S535),"00000")="89156"), "East Valley",
  OR(TEXT(TRIM(S535),"00000")="89030", TEXT(TRIM(S535),"00000")="89031", TEXT(TRIM(S535),"00000")="89032", TEXT(TRIM(S535),"00000")="89086", TEXT(TRIM(S535),"00000")="89084", TEXT(TRIM(S535),"00000")="89081"), "North LV",
  OR(TEXT(TRIM(S535),"00000")="89109", TEXT(TRIM(S535),"00000")="89103", TEXT(TRIM(S535),"00000")="89119", TEXT(TRIM(S535),"00000")="89123", TEXT(TRIM(S535),"00000")="89169", TEXT(TRIM(S535),"00000")="89118"), "South/Strip",
  OR(TEXT(TRIM(S535),"00000")="89074", TEXT(TRIM(S535),"00000")="89014", TEXT(TRIM(S535),"00000")="89015", TEXT(TRIM(S535),"00000")="89011", TEXT(TRIM(S535),"00000")="89012"), "Suburban SE",
  OR(TEXT(TRIM(S535),"00000")="89117", TEXT(TRIM(S535),"00000")="89128", TEXT(TRIM(S535),"00000")="89135", TEXT(TRIM(S535),"00000")="89144", TEXT(TRIM(S535),"00000")="89145", TEXT(TRIM(S535),"00000")="89147"), "West Valley",
  TRUE, "Other"
)</f>
        <v>Other</v>
      </c>
      <c r="U535" t="s">
        <v>3298</v>
      </c>
      <c r="V535" t="str">
        <f t="shared" si="35"/>
        <v>Outdoors/Public</v>
      </c>
    </row>
    <row r="536" spans="1:22">
      <c r="A536" t="s">
        <v>869</v>
      </c>
      <c r="B536" t="s">
        <v>870</v>
      </c>
      <c r="C536" s="1">
        <v>45137</v>
      </c>
      <c r="D536" s="4">
        <v>109.04</v>
      </c>
      <c r="E536">
        <v>43</v>
      </c>
      <c r="F536" t="str">
        <f t="shared" si="32"/>
        <v>40's</v>
      </c>
      <c r="G536" t="str" cm="1">
        <f t="array" ref="G536">_xlfn.IFS(
  F536="10's", "Child (5–12)",
  OR(F536="20's", F536="30's"), "Young Adult (20–39)",
  OR(F536="40's", F536="50's"), "Adult (40–59)",
  OR(F536="60's", F536="70's", F536="80's", F536="90's"), "Senior (60+)",
  TRUE, "Unknown"
)</f>
        <v>Adult (40–59)</v>
      </c>
      <c r="H536" t="s">
        <v>841</v>
      </c>
      <c r="I536" t="s">
        <v>135</v>
      </c>
      <c r="J536" t="str">
        <f t="shared" si="33"/>
        <v>Methamphetamine-related</v>
      </c>
      <c r="K536" t="s">
        <v>35</v>
      </c>
      <c r="L536" t="s">
        <v>250</v>
      </c>
      <c r="M536" t="s">
        <v>4735</v>
      </c>
      <c r="N536" t="s">
        <v>5119</v>
      </c>
      <c r="O536" t="str" cm="1">
        <f t="array" ref="O536">_xlfn.IFS(
  TEXT(TRIM(N536),"00000")="NULL", "Missing/Unknown",
  OR(TEXT(TRIM(N536),"00000")="89101", TEXT(TRIM(N536),"00000")="89104", TEXT(TRIM(N536),"00000")="89106", TEXT(TRIM(N536),"00000")="89102", TEXT(TRIM(N536),"00000")="89107", TEXT(TRIM(N536),"00000")="89108"), "Urban Core",
  OR(TEXT(TRIM(N536),"00000")="89110", TEXT(TRIM(N536),"00000")="89115", TEXT(TRIM(N536),"00000")="89121", TEXT(TRIM(N536),"00000")="89122", TEXT(TRIM(N536),"00000")="89142", TEXT(TRIM(N536),"00000")="89156"), "East Valley",
  OR(TEXT(TRIM(N536),"00000")="89030", TEXT(TRIM(N536),"00000")="89031", TEXT(TRIM(N536),"00000")="89032", TEXT(TRIM(N536),"00000")="89086", TEXT(TRIM(N536),"00000")="89084", TEXT(TRIM(N536),"00000")="89081"), "North LV",
  OR(TEXT(TRIM(N536),"00000")="89109", TEXT(TRIM(N536),"00000")="89103", TEXT(TRIM(N536),"00000")="89119", TEXT(TRIM(N536),"00000")="89123", TEXT(TRIM(N536),"00000")="89169", TEXT(TRIM(N536),"00000")="89118"), "South/Strip",
  OR(TEXT(TRIM(N536),"00000")="89074", TEXT(TRIM(N536),"00000")="89014", TEXT(TRIM(N536),"00000")="89015", TEXT(TRIM(N536),"00000")="89011", TEXT(TRIM(N536),"00000")="89012"), "Suburban SE",
  OR(TEXT(TRIM(N536),"00000")="89117", TEXT(TRIM(N536),"00000")="89128", TEXT(TRIM(N536),"00000")="89135", TEXT(TRIM(N536),"00000")="89144", TEXT(TRIM(N536),"00000")="89145", TEXT(TRIM(N536),"00000")="89147"), "West Valley",
  TRUE, "Other"
)</f>
        <v>Urban Core</v>
      </c>
      <c r="P536" t="s">
        <v>3298</v>
      </c>
      <c r="Q536" t="str">
        <f t="shared" si="34"/>
        <v>Outdoors/Public</v>
      </c>
      <c r="R536" t="s">
        <v>4735</v>
      </c>
      <c r="S536" t="s">
        <v>5119</v>
      </c>
      <c r="T536" t="str" cm="1">
        <f t="array" ref="T536">_xlfn.IFS(
  TEXT(TRIM(S536),"00000")="NULL", "Missing/Unknown",
  OR(TEXT(TRIM(S536),"00000")="89101", TEXT(TRIM(S536),"00000")="89104", TEXT(TRIM(S536),"00000")="89106", TEXT(TRIM(S536),"00000")="89102", TEXT(TRIM(S536),"00000")="89107", TEXT(TRIM(S536),"00000")="89108"), "Urban Core",
  OR(TEXT(TRIM(S536),"00000")="89110", TEXT(TRIM(S536),"00000")="89115", TEXT(TRIM(S536),"00000")="89121", TEXT(TRIM(S536),"00000")="89122", TEXT(TRIM(S536),"00000")="89142", TEXT(TRIM(S536),"00000")="89156"), "East Valley",
  OR(TEXT(TRIM(S536),"00000")="89030", TEXT(TRIM(S536),"00000")="89031", TEXT(TRIM(S536),"00000")="89032", TEXT(TRIM(S536),"00000")="89086", TEXT(TRIM(S536),"00000")="89084", TEXT(TRIM(S536),"00000")="89081"), "North LV",
  OR(TEXT(TRIM(S536),"00000")="89109", TEXT(TRIM(S536),"00000")="89103", TEXT(TRIM(S536),"00000")="89119", TEXT(TRIM(S536),"00000")="89123", TEXT(TRIM(S536),"00000")="89169", TEXT(TRIM(S536),"00000")="89118"), "South/Strip",
  OR(TEXT(TRIM(S536),"00000")="89074", TEXT(TRIM(S536),"00000")="89014", TEXT(TRIM(S536),"00000")="89015", TEXT(TRIM(S536),"00000")="89011", TEXT(TRIM(S536),"00000")="89012"), "Suburban SE",
  OR(TEXT(TRIM(S536),"00000")="89117", TEXT(TRIM(S536),"00000")="89128", TEXT(TRIM(S536),"00000")="89135", TEXT(TRIM(S536),"00000")="89144", TEXT(TRIM(S536),"00000")="89145", TEXT(TRIM(S536),"00000")="89147"), "West Valley",
  TRUE, "Other"
)</f>
        <v>Urban Core</v>
      </c>
      <c r="U536" t="s">
        <v>3298</v>
      </c>
      <c r="V536" t="str">
        <f t="shared" si="35"/>
        <v>Outdoors/Public</v>
      </c>
    </row>
    <row r="537" spans="1:22">
      <c r="A537" t="s">
        <v>872</v>
      </c>
      <c r="B537" t="s">
        <v>873</v>
      </c>
      <c r="C537" s="1">
        <v>45137</v>
      </c>
      <c r="D537" s="4">
        <v>109.04</v>
      </c>
      <c r="E537">
        <v>79</v>
      </c>
      <c r="F537" t="str">
        <f t="shared" si="32"/>
        <v>70's</v>
      </c>
      <c r="G537" t="str" cm="1">
        <f t="array" ref="G537">_xlfn.IFS(
  F537="10's", "Child (5–12)",
  OR(F537="20's", F537="30's"), "Young Adult (20–39)",
  OR(F537="40's", F537="50's"), "Adult (40–59)",
  OR(F537="60's", F537="70's", F537="80's", F537="90's"), "Senior (60+)",
  TRUE, "Unknown"
)</f>
        <v>Senior (60+)</v>
      </c>
      <c r="H537" t="s">
        <v>841</v>
      </c>
      <c r="I537" t="s">
        <v>54</v>
      </c>
      <c r="J537" t="str">
        <f t="shared" si="33"/>
        <v>Environmental Heat</v>
      </c>
      <c r="K537" t="s">
        <v>4211</v>
      </c>
      <c r="L537" t="s">
        <v>1071</v>
      </c>
      <c r="M537" t="s">
        <v>4365</v>
      </c>
      <c r="N537" t="s">
        <v>5105</v>
      </c>
      <c r="O537" t="str" cm="1">
        <f t="array" ref="O537">_xlfn.IFS(
  TEXT(TRIM(N537),"00000")="NULL", "Missing/Unknown",
  OR(TEXT(TRIM(N537),"00000")="89101", TEXT(TRIM(N537),"00000")="89104", TEXT(TRIM(N537),"00000")="89106", TEXT(TRIM(N537),"00000")="89102", TEXT(TRIM(N537),"00000")="89107", TEXT(TRIM(N537),"00000")="89108"), "Urban Core",
  OR(TEXT(TRIM(N537),"00000")="89110", TEXT(TRIM(N537),"00000")="89115", TEXT(TRIM(N537),"00000")="89121", TEXT(TRIM(N537),"00000")="89122", TEXT(TRIM(N537),"00000")="89142", TEXT(TRIM(N537),"00000")="89156"), "East Valley",
  OR(TEXT(TRIM(N537),"00000")="89030", TEXT(TRIM(N537),"00000")="89031", TEXT(TRIM(N537),"00000")="89032", TEXT(TRIM(N537),"00000")="89086", TEXT(TRIM(N537),"00000")="89084", TEXT(TRIM(N537),"00000")="89081"), "North LV",
  OR(TEXT(TRIM(N537),"00000")="89109", TEXT(TRIM(N537),"00000")="89103", TEXT(TRIM(N537),"00000")="89119", TEXT(TRIM(N537),"00000")="89123", TEXT(TRIM(N537),"00000")="89169", TEXT(TRIM(N537),"00000")="89118"), "South/Strip",
  OR(TEXT(TRIM(N537),"00000")="89074", TEXT(TRIM(N537),"00000")="89014", TEXT(TRIM(N537),"00000")="89015", TEXT(TRIM(N537),"00000")="89011", TEXT(TRIM(N537),"00000")="89012"), "Suburban SE",
  OR(TEXT(TRIM(N537),"00000")="89117", TEXT(TRIM(N537),"00000")="89128", TEXT(TRIM(N537),"00000")="89135", TEXT(TRIM(N537),"00000")="89144", TEXT(TRIM(N537),"00000")="89145", TEXT(TRIM(N537),"00000")="89147"), "West Valley",
  TRUE, "Other"
)</f>
        <v>East Valley</v>
      </c>
      <c r="P537" t="s">
        <v>38</v>
      </c>
      <c r="Q537" t="str">
        <f t="shared" si="34"/>
        <v>Home/Residence</v>
      </c>
      <c r="R537" t="s">
        <v>4365</v>
      </c>
      <c r="S537" t="s">
        <v>5105</v>
      </c>
      <c r="T537" t="str" cm="1">
        <f t="array" ref="T537">_xlfn.IFS(
  TEXT(TRIM(S537),"00000")="NULL", "Missing/Unknown",
  OR(TEXT(TRIM(S537),"00000")="89101", TEXT(TRIM(S537),"00000")="89104", TEXT(TRIM(S537),"00000")="89106", TEXT(TRIM(S537),"00000")="89102", TEXT(TRIM(S537),"00000")="89107", TEXT(TRIM(S537),"00000")="89108"), "Urban Core",
  OR(TEXT(TRIM(S537),"00000")="89110", TEXT(TRIM(S537),"00000")="89115", TEXT(TRIM(S537),"00000")="89121", TEXT(TRIM(S537),"00000")="89122", TEXT(TRIM(S537),"00000")="89142", TEXT(TRIM(S537),"00000")="89156"), "East Valley",
  OR(TEXT(TRIM(S537),"00000")="89030", TEXT(TRIM(S537),"00000")="89031", TEXT(TRIM(S537),"00000")="89032", TEXT(TRIM(S537),"00000")="89086", TEXT(TRIM(S537),"00000")="89084", TEXT(TRIM(S537),"00000")="89081"), "North LV",
  OR(TEXT(TRIM(S537),"00000")="89109", TEXT(TRIM(S537),"00000")="89103", TEXT(TRIM(S537),"00000")="89119", TEXT(TRIM(S537),"00000")="89123", TEXT(TRIM(S537),"00000")="89169", TEXT(TRIM(S537),"00000")="89118"), "South/Strip",
  OR(TEXT(TRIM(S537),"00000")="89074", TEXT(TRIM(S537),"00000")="89014", TEXT(TRIM(S537),"00000")="89015", TEXT(TRIM(S537),"00000")="89011", TEXT(TRIM(S537),"00000")="89012"), "Suburban SE",
  OR(TEXT(TRIM(S537),"00000")="89117", TEXT(TRIM(S537),"00000")="89128", TEXT(TRIM(S537),"00000")="89135", TEXT(TRIM(S537),"00000")="89144", TEXT(TRIM(S537),"00000")="89145", TEXT(TRIM(S537),"00000")="89147"), "West Valley",
  TRUE, "Other"
)</f>
        <v>East Valley</v>
      </c>
      <c r="U537" t="s">
        <v>38</v>
      </c>
      <c r="V537" t="str">
        <f t="shared" si="35"/>
        <v>Home/Residence</v>
      </c>
    </row>
    <row r="538" spans="1:22">
      <c r="A538" t="s">
        <v>876</v>
      </c>
      <c r="B538" t="s">
        <v>877</v>
      </c>
      <c r="C538" s="1">
        <v>45137</v>
      </c>
      <c r="D538" s="4">
        <v>109.04</v>
      </c>
      <c r="E538">
        <v>33</v>
      </c>
      <c r="F538" t="str">
        <f t="shared" si="32"/>
        <v>30's</v>
      </c>
      <c r="G538" t="str" cm="1">
        <f t="array" ref="G538">_xlfn.IFS(
  F538="10's", "Child (5–12)",
  OR(F538="20's", F538="30's"), "Young Adult (20–39)",
  OR(F538="40's", F538="50's"), "Adult (40–59)",
  OR(F538="60's", F538="70's", F538="80's", F538="90's"), "Senior (60+)",
  TRUE, "Unknown"
)</f>
        <v>Young Adult (20–39)</v>
      </c>
      <c r="H538" t="s">
        <v>778</v>
      </c>
      <c r="I538" t="s">
        <v>54</v>
      </c>
      <c r="J538" t="str">
        <f t="shared" si="33"/>
        <v>Environmental Heat</v>
      </c>
      <c r="K538" t="s">
        <v>800</v>
      </c>
      <c r="L538" t="s">
        <v>250</v>
      </c>
      <c r="M538" t="s">
        <v>4736</v>
      </c>
      <c r="N538" t="s">
        <v>5119</v>
      </c>
      <c r="O538" t="str" cm="1">
        <f t="array" ref="O538">_xlfn.IFS(
  TEXT(TRIM(N538),"00000")="NULL", "Missing/Unknown",
  OR(TEXT(TRIM(N538),"00000")="89101", TEXT(TRIM(N538),"00000")="89104", TEXT(TRIM(N538),"00000")="89106", TEXT(TRIM(N538),"00000")="89102", TEXT(TRIM(N538),"00000")="89107", TEXT(TRIM(N538),"00000")="89108"), "Urban Core",
  OR(TEXT(TRIM(N538),"00000")="89110", TEXT(TRIM(N538),"00000")="89115", TEXT(TRIM(N538),"00000")="89121", TEXT(TRIM(N538),"00000")="89122", TEXT(TRIM(N538),"00000")="89142", TEXT(TRIM(N538),"00000")="89156"), "East Valley",
  OR(TEXT(TRIM(N538),"00000")="89030", TEXT(TRIM(N538),"00000")="89031", TEXT(TRIM(N538),"00000")="89032", TEXT(TRIM(N538),"00000")="89086", TEXT(TRIM(N538),"00000")="89084", TEXT(TRIM(N538),"00000")="89081"), "North LV",
  OR(TEXT(TRIM(N538),"00000")="89109", TEXT(TRIM(N538),"00000")="89103", TEXT(TRIM(N538),"00000")="89119", TEXT(TRIM(N538),"00000")="89123", TEXT(TRIM(N538),"00000")="89169", TEXT(TRIM(N538),"00000")="89118"), "South/Strip",
  OR(TEXT(TRIM(N538),"00000")="89074", TEXT(TRIM(N538),"00000")="89014", TEXT(TRIM(N538),"00000")="89015", TEXT(TRIM(N538),"00000")="89011", TEXT(TRIM(N538),"00000")="89012"), "Suburban SE",
  OR(TEXT(TRIM(N538),"00000")="89117", TEXT(TRIM(N538),"00000")="89128", TEXT(TRIM(N538),"00000")="89135", TEXT(TRIM(N538),"00000")="89144", TEXT(TRIM(N538),"00000")="89145", TEXT(TRIM(N538),"00000")="89147"), "West Valley",
  TRUE, "Other"
)</f>
        <v>Urban Core</v>
      </c>
      <c r="P538" t="s">
        <v>3298</v>
      </c>
      <c r="Q538" t="str">
        <f t="shared" si="34"/>
        <v>Outdoors/Public</v>
      </c>
      <c r="R538" t="s">
        <v>4736</v>
      </c>
      <c r="S538" t="s">
        <v>5119</v>
      </c>
      <c r="T538" t="str" cm="1">
        <f t="array" ref="T538">_xlfn.IFS(
  TEXT(TRIM(S538),"00000")="NULL", "Missing/Unknown",
  OR(TEXT(TRIM(S538),"00000")="89101", TEXT(TRIM(S538),"00000")="89104", TEXT(TRIM(S538),"00000")="89106", TEXT(TRIM(S538),"00000")="89102", TEXT(TRIM(S538),"00000")="89107", TEXT(TRIM(S538),"00000")="89108"), "Urban Core",
  OR(TEXT(TRIM(S538),"00000")="89110", TEXT(TRIM(S538),"00000")="89115", TEXT(TRIM(S538),"00000")="89121", TEXT(TRIM(S538),"00000")="89122", TEXT(TRIM(S538),"00000")="89142", TEXT(TRIM(S538),"00000")="89156"), "East Valley",
  OR(TEXT(TRIM(S538),"00000")="89030", TEXT(TRIM(S538),"00000")="89031", TEXT(TRIM(S538),"00000")="89032", TEXT(TRIM(S538),"00000")="89086", TEXT(TRIM(S538),"00000")="89084", TEXT(TRIM(S538),"00000")="89081"), "North LV",
  OR(TEXT(TRIM(S538),"00000")="89109", TEXT(TRIM(S538),"00000")="89103", TEXT(TRIM(S538),"00000")="89119", TEXT(TRIM(S538),"00000")="89123", TEXT(TRIM(S538),"00000")="89169", TEXT(TRIM(S538),"00000")="89118"), "South/Strip",
  OR(TEXT(TRIM(S538),"00000")="89074", TEXT(TRIM(S538),"00000")="89014", TEXT(TRIM(S538),"00000")="89015", TEXT(TRIM(S538),"00000")="89011", TEXT(TRIM(S538),"00000")="89012"), "Suburban SE",
  OR(TEXT(TRIM(S538),"00000")="89117", TEXT(TRIM(S538),"00000")="89128", TEXT(TRIM(S538),"00000")="89135", TEXT(TRIM(S538),"00000")="89144", TEXT(TRIM(S538),"00000")="89145", TEXT(TRIM(S538),"00000")="89147"), "West Valley",
  TRUE, "Other"
)</f>
        <v>Urban Core</v>
      </c>
      <c r="U538" t="s">
        <v>3298</v>
      </c>
      <c r="V538" t="str">
        <f t="shared" si="35"/>
        <v>Outdoors/Public</v>
      </c>
    </row>
    <row r="539" spans="1:22">
      <c r="A539" t="s">
        <v>846</v>
      </c>
      <c r="B539" t="s">
        <v>847</v>
      </c>
      <c r="C539" s="1">
        <v>45136</v>
      </c>
      <c r="D539" s="4">
        <v>111.02</v>
      </c>
      <c r="E539">
        <v>56</v>
      </c>
      <c r="F539" t="str">
        <f t="shared" si="32"/>
        <v>50's</v>
      </c>
      <c r="G539" t="str" cm="1">
        <f t="array" ref="G539">_xlfn.IFS(
  F539="10's", "Child (5–12)",
  OR(F539="20's", F539="30's"), "Young Adult (20–39)",
  OR(F539="40's", F539="50's"), "Adult (40–59)",
  OR(F539="60's", F539="70's", F539="80's", F539="90's"), "Senior (60+)",
  TRUE, "Unknown"
)</f>
        <v>Adult (40–59)</v>
      </c>
      <c r="H539" t="s">
        <v>841</v>
      </c>
      <c r="I539" t="s">
        <v>35</v>
      </c>
      <c r="J539" t="str">
        <f t="shared" si="33"/>
        <v>Environmental Heat</v>
      </c>
      <c r="K539" t="s">
        <v>28</v>
      </c>
      <c r="L539" t="s">
        <v>250</v>
      </c>
      <c r="N539" t="s">
        <v>5095</v>
      </c>
      <c r="O539" t="str" cm="1">
        <f t="array" ref="O539">_xlfn.IFS(
  TEXT(TRIM(N539),"00000")="NULL", "Missing/Unknown",
  OR(TEXT(TRIM(N539),"00000")="89101", TEXT(TRIM(N539),"00000")="89104", TEXT(TRIM(N539),"00000")="89106", TEXT(TRIM(N539),"00000")="89102", TEXT(TRIM(N539),"00000")="89107", TEXT(TRIM(N539),"00000")="89108"), "Urban Core",
  OR(TEXT(TRIM(N539),"00000")="89110", TEXT(TRIM(N539),"00000")="89115", TEXT(TRIM(N539),"00000")="89121", TEXT(TRIM(N539),"00000")="89122", TEXT(TRIM(N539),"00000")="89142", TEXT(TRIM(N539),"00000")="89156"), "East Valley",
  OR(TEXT(TRIM(N539),"00000")="89030", TEXT(TRIM(N539),"00000")="89031", TEXT(TRIM(N539),"00000")="89032", TEXT(TRIM(N539),"00000")="89086", TEXT(TRIM(N539),"00000")="89084", TEXT(TRIM(N539),"00000")="89081"), "North LV",
  OR(TEXT(TRIM(N539),"00000")="89109", TEXT(TRIM(N539),"00000")="89103", TEXT(TRIM(N539),"00000")="89119", TEXT(TRIM(N539),"00000")="89123", TEXT(TRIM(N539),"00000")="89169", TEXT(TRIM(N539),"00000")="89118"), "South/Strip",
  OR(TEXT(TRIM(N539),"00000")="89074", TEXT(TRIM(N539),"00000")="89014", TEXT(TRIM(N539),"00000")="89015", TEXT(TRIM(N539),"00000")="89011", TEXT(TRIM(N539),"00000")="89012"), "Suburban SE",
  OR(TEXT(TRIM(N539),"00000")="89117", TEXT(TRIM(N539),"00000")="89128", TEXT(TRIM(N539),"00000")="89135", TEXT(TRIM(N539),"00000")="89144", TEXT(TRIM(N539),"00000")="89145", TEXT(TRIM(N539),"00000")="89147"), "West Valley",
  TRUE, "Other"
)</f>
        <v>Missing/Unknown</v>
      </c>
      <c r="P539" t="s">
        <v>3298</v>
      </c>
      <c r="Q539" t="str">
        <f t="shared" si="34"/>
        <v>Outdoors/Public</v>
      </c>
      <c r="R539" t="s">
        <v>5053</v>
      </c>
      <c r="S539" t="s">
        <v>5110</v>
      </c>
      <c r="T539" t="str" cm="1">
        <f t="array" ref="T539">_xlfn.IFS(
  TEXT(TRIM(S539),"00000")="NULL", "Missing/Unknown",
  OR(TEXT(TRIM(S539),"00000")="89101", TEXT(TRIM(S539),"00000")="89104", TEXT(TRIM(S539),"00000")="89106", TEXT(TRIM(S539),"00000")="89102", TEXT(TRIM(S539),"00000")="89107", TEXT(TRIM(S539),"00000")="89108"), "Urban Core",
  OR(TEXT(TRIM(S539),"00000")="89110", TEXT(TRIM(S539),"00000")="89115", TEXT(TRIM(S539),"00000")="89121", TEXT(TRIM(S539),"00000")="89122", TEXT(TRIM(S539),"00000")="89142", TEXT(TRIM(S539),"00000")="89156"), "East Valley",
  OR(TEXT(TRIM(S539),"00000")="89030", TEXT(TRIM(S539),"00000")="89031", TEXT(TRIM(S539),"00000")="89032", TEXT(TRIM(S539),"00000")="89086", TEXT(TRIM(S539),"00000")="89084", TEXT(TRIM(S539),"00000")="89081"), "North LV",
  OR(TEXT(TRIM(S539),"00000")="89109", TEXT(TRIM(S539),"00000")="89103", TEXT(TRIM(S539),"00000")="89119", TEXT(TRIM(S539),"00000")="89123", TEXT(TRIM(S539),"00000")="89169", TEXT(TRIM(S539),"00000")="89118"), "South/Strip",
  OR(TEXT(TRIM(S539),"00000")="89074", TEXT(TRIM(S539),"00000")="89014", TEXT(TRIM(S539),"00000")="89015", TEXT(TRIM(S539),"00000")="89011", TEXT(TRIM(S539),"00000")="89012"), "Suburban SE",
  OR(TEXT(TRIM(S539),"00000")="89117", TEXT(TRIM(S539),"00000")="89128", TEXT(TRIM(S539),"00000")="89135", TEXT(TRIM(S539),"00000")="89144", TEXT(TRIM(S539),"00000")="89145", TEXT(TRIM(S539),"00000")="89147"), "West Valley",
  TRUE, "Other"
)</f>
        <v>Suburban SE</v>
      </c>
      <c r="U539" t="s">
        <v>4301</v>
      </c>
      <c r="V539" t="str">
        <f t="shared" si="35"/>
        <v>Medical Facility</v>
      </c>
    </row>
    <row r="540" spans="1:22">
      <c r="A540" t="s">
        <v>848</v>
      </c>
      <c r="B540" t="s">
        <v>849</v>
      </c>
      <c r="C540" s="1">
        <v>45136</v>
      </c>
      <c r="D540" s="4">
        <v>111.02</v>
      </c>
      <c r="E540">
        <v>72</v>
      </c>
      <c r="F540" t="str">
        <f t="shared" si="32"/>
        <v>70's</v>
      </c>
      <c r="G540" t="str" cm="1">
        <f t="array" ref="G540">_xlfn.IFS(
  F540="10's", "Child (5–12)",
  OR(F540="20's", F540="30's"), "Young Adult (20–39)",
  OR(F540="40's", F540="50's"), "Adult (40–59)",
  OR(F540="60's", F540="70's", F540="80's", F540="90's"), "Senior (60+)",
  TRUE, "Unknown"
)</f>
        <v>Senior (60+)</v>
      </c>
      <c r="H540" t="s">
        <v>841</v>
      </c>
      <c r="I540" t="s">
        <v>35</v>
      </c>
      <c r="J540" t="str">
        <f t="shared" si="33"/>
        <v>Environmental Heat</v>
      </c>
      <c r="K540" t="s">
        <v>850</v>
      </c>
      <c r="L540" t="s">
        <v>250</v>
      </c>
      <c r="M540" t="s">
        <v>4738</v>
      </c>
      <c r="N540" t="s">
        <v>5123</v>
      </c>
      <c r="O540" t="str" cm="1">
        <f t="array" ref="O540">_xlfn.IFS(
  TEXT(TRIM(N540),"00000")="NULL", "Missing/Unknown",
  OR(TEXT(TRIM(N540),"00000")="89101", TEXT(TRIM(N540),"00000")="89104", TEXT(TRIM(N540),"00000")="89106", TEXT(TRIM(N540),"00000")="89102", TEXT(TRIM(N540),"00000")="89107", TEXT(TRIM(N540),"00000")="89108"), "Urban Core",
  OR(TEXT(TRIM(N540),"00000")="89110", TEXT(TRIM(N540),"00000")="89115", TEXT(TRIM(N540),"00000")="89121", TEXT(TRIM(N540),"00000")="89122", TEXT(TRIM(N540),"00000")="89142", TEXT(TRIM(N540),"00000")="89156"), "East Valley",
  OR(TEXT(TRIM(N540),"00000")="89030", TEXT(TRIM(N540),"00000")="89031", TEXT(TRIM(N540),"00000")="89032", TEXT(TRIM(N540),"00000")="89086", TEXT(TRIM(N540),"00000")="89084", TEXT(TRIM(N540),"00000")="89081"), "North LV",
  OR(TEXT(TRIM(N540),"00000")="89109", TEXT(TRIM(N540),"00000")="89103", TEXT(TRIM(N540),"00000")="89119", TEXT(TRIM(N540),"00000")="89123", TEXT(TRIM(N540),"00000")="89169", TEXT(TRIM(N540),"00000")="89118"), "South/Strip",
  OR(TEXT(TRIM(N540),"00000")="89074", TEXT(TRIM(N540),"00000")="89014", TEXT(TRIM(N540),"00000")="89015", TEXT(TRIM(N540),"00000")="89011", TEXT(TRIM(N540),"00000")="89012"), "Suburban SE",
  OR(TEXT(TRIM(N540),"00000")="89117", TEXT(TRIM(N540),"00000")="89128", TEXT(TRIM(N540),"00000")="89135", TEXT(TRIM(N540),"00000")="89144", TEXT(TRIM(N540),"00000")="89145", TEXT(TRIM(N540),"00000")="89147"), "West Valley",
  TRUE, "Other"
)</f>
        <v>South/Strip</v>
      </c>
      <c r="P540" t="s">
        <v>3298</v>
      </c>
      <c r="Q540" t="str">
        <f t="shared" si="34"/>
        <v>Outdoors/Public</v>
      </c>
      <c r="R540" t="s">
        <v>4738</v>
      </c>
      <c r="S540" t="s">
        <v>5123</v>
      </c>
      <c r="T540" t="str" cm="1">
        <f t="array" ref="T540">_xlfn.IFS(
  TEXT(TRIM(S540),"00000")="NULL", "Missing/Unknown",
  OR(TEXT(TRIM(S540),"00000")="89101", TEXT(TRIM(S540),"00000")="89104", TEXT(TRIM(S540),"00000")="89106", TEXT(TRIM(S540),"00000")="89102", TEXT(TRIM(S540),"00000")="89107", TEXT(TRIM(S540),"00000")="89108"), "Urban Core",
  OR(TEXT(TRIM(S540),"00000")="89110", TEXT(TRIM(S540),"00000")="89115", TEXT(TRIM(S540),"00000")="89121", TEXT(TRIM(S540),"00000")="89122", TEXT(TRIM(S540),"00000")="89142", TEXT(TRIM(S540),"00000")="89156"), "East Valley",
  OR(TEXT(TRIM(S540),"00000")="89030", TEXT(TRIM(S540),"00000")="89031", TEXT(TRIM(S540),"00000")="89032", TEXT(TRIM(S540),"00000")="89086", TEXT(TRIM(S540),"00000")="89084", TEXT(TRIM(S540),"00000")="89081"), "North LV",
  OR(TEXT(TRIM(S540),"00000")="89109", TEXT(TRIM(S540),"00000")="89103", TEXT(TRIM(S540),"00000")="89119", TEXT(TRIM(S540),"00000")="89123", TEXT(TRIM(S540),"00000")="89169", TEXT(TRIM(S540),"00000")="89118"), "South/Strip",
  OR(TEXT(TRIM(S540),"00000")="89074", TEXT(TRIM(S540),"00000")="89014", TEXT(TRIM(S540),"00000")="89015", TEXT(TRIM(S540),"00000")="89011", TEXT(TRIM(S540),"00000")="89012"), "Suburban SE",
  OR(TEXT(TRIM(S540),"00000")="89117", TEXT(TRIM(S540),"00000")="89128", TEXT(TRIM(S540),"00000")="89135", TEXT(TRIM(S540),"00000")="89144", TEXT(TRIM(S540),"00000")="89145", TEXT(TRIM(S540),"00000")="89147"), "West Valley",
  TRUE, "Other"
)</f>
        <v>South/Strip</v>
      </c>
      <c r="U540" t="s">
        <v>3298</v>
      </c>
      <c r="V540" t="str">
        <f t="shared" si="35"/>
        <v>Outdoors/Public</v>
      </c>
    </row>
    <row r="541" spans="1:22">
      <c r="A541" t="s">
        <v>836</v>
      </c>
      <c r="B541" t="s">
        <v>837</v>
      </c>
      <c r="C541" s="1">
        <v>45136</v>
      </c>
      <c r="D541" s="4">
        <v>111.02</v>
      </c>
      <c r="E541">
        <v>62</v>
      </c>
      <c r="F541" t="str">
        <f t="shared" si="32"/>
        <v>60's</v>
      </c>
      <c r="G541" t="str" cm="1">
        <f t="array" ref="G541">_xlfn.IFS(
  F541="10's", "Child (5–12)",
  OR(F541="20's", F541="30's"), "Young Adult (20–39)",
  OR(F541="40's", F541="50's"), "Adult (40–59)",
  OR(F541="60's", F541="70's", F541="80's", F541="90's"), "Senior (60+)",
  TRUE, "Unknown"
)</f>
        <v>Senior (60+)</v>
      </c>
      <c r="H541" t="s">
        <v>778</v>
      </c>
      <c r="I541" t="s">
        <v>54</v>
      </c>
      <c r="J541" t="str">
        <f t="shared" si="33"/>
        <v>Environmental Heat</v>
      </c>
      <c r="K541" t="s">
        <v>63</v>
      </c>
      <c r="L541" t="s">
        <v>250</v>
      </c>
      <c r="M541" t="s">
        <v>4756</v>
      </c>
      <c r="N541" t="s">
        <v>5119</v>
      </c>
      <c r="O541" t="str" cm="1">
        <f t="array" ref="O541">_xlfn.IFS(
  TEXT(TRIM(N541),"00000")="NULL", "Missing/Unknown",
  OR(TEXT(TRIM(N541),"00000")="89101", TEXT(TRIM(N541),"00000")="89104", TEXT(TRIM(N541),"00000")="89106", TEXT(TRIM(N541),"00000")="89102", TEXT(TRIM(N541),"00000")="89107", TEXT(TRIM(N541),"00000")="89108"), "Urban Core",
  OR(TEXT(TRIM(N541),"00000")="89110", TEXT(TRIM(N541),"00000")="89115", TEXT(TRIM(N541),"00000")="89121", TEXT(TRIM(N541),"00000")="89122", TEXT(TRIM(N541),"00000")="89142", TEXT(TRIM(N541),"00000")="89156"), "East Valley",
  OR(TEXT(TRIM(N541),"00000")="89030", TEXT(TRIM(N541),"00000")="89031", TEXT(TRIM(N541),"00000")="89032", TEXT(TRIM(N541),"00000")="89086", TEXT(TRIM(N541),"00000")="89084", TEXT(TRIM(N541),"00000")="89081"), "North LV",
  OR(TEXT(TRIM(N541),"00000")="89109", TEXT(TRIM(N541),"00000")="89103", TEXT(TRIM(N541),"00000")="89119", TEXT(TRIM(N541),"00000")="89123", TEXT(TRIM(N541),"00000")="89169", TEXT(TRIM(N541),"00000")="89118"), "South/Strip",
  OR(TEXT(TRIM(N541),"00000")="89074", TEXT(TRIM(N541),"00000")="89014", TEXT(TRIM(N541),"00000")="89015", TEXT(TRIM(N541),"00000")="89011", TEXT(TRIM(N541),"00000")="89012"), "Suburban SE",
  OR(TEXT(TRIM(N541),"00000")="89117", TEXT(TRIM(N541),"00000")="89128", TEXT(TRIM(N541),"00000")="89135", TEXT(TRIM(N541),"00000")="89144", TEXT(TRIM(N541),"00000")="89145", TEXT(TRIM(N541),"00000")="89147"), "West Valley",
  TRUE, "Other"
)</f>
        <v>Urban Core</v>
      </c>
      <c r="P541" t="s">
        <v>3298</v>
      </c>
      <c r="Q541" t="str">
        <f t="shared" si="34"/>
        <v>Outdoors/Public</v>
      </c>
      <c r="R541" t="s">
        <v>4756</v>
      </c>
      <c r="S541" t="s">
        <v>5119</v>
      </c>
      <c r="T541" t="str" cm="1">
        <f t="array" ref="T541">_xlfn.IFS(
  TEXT(TRIM(S541),"00000")="NULL", "Missing/Unknown",
  OR(TEXT(TRIM(S541),"00000")="89101", TEXT(TRIM(S541),"00000")="89104", TEXT(TRIM(S541),"00000")="89106", TEXT(TRIM(S541),"00000")="89102", TEXT(TRIM(S541),"00000")="89107", TEXT(TRIM(S541),"00000")="89108"), "Urban Core",
  OR(TEXT(TRIM(S541),"00000")="89110", TEXT(TRIM(S541),"00000")="89115", TEXT(TRIM(S541),"00000")="89121", TEXT(TRIM(S541),"00000")="89122", TEXT(TRIM(S541),"00000")="89142", TEXT(TRIM(S541),"00000")="89156"), "East Valley",
  OR(TEXT(TRIM(S541),"00000")="89030", TEXT(TRIM(S541),"00000")="89031", TEXT(TRIM(S541),"00000")="89032", TEXT(TRIM(S541),"00000")="89086", TEXT(TRIM(S541),"00000")="89084", TEXT(TRIM(S541),"00000")="89081"), "North LV",
  OR(TEXT(TRIM(S541),"00000")="89109", TEXT(TRIM(S541),"00000")="89103", TEXT(TRIM(S541),"00000")="89119", TEXT(TRIM(S541),"00000")="89123", TEXT(TRIM(S541),"00000")="89169", TEXT(TRIM(S541),"00000")="89118"), "South/Strip",
  OR(TEXT(TRIM(S541),"00000")="89074", TEXT(TRIM(S541),"00000")="89014", TEXT(TRIM(S541),"00000")="89015", TEXT(TRIM(S541),"00000")="89011", TEXT(TRIM(S541),"00000")="89012"), "Suburban SE",
  OR(TEXT(TRIM(S541),"00000")="89117", TEXT(TRIM(S541),"00000")="89128", TEXT(TRIM(S541),"00000")="89135", TEXT(TRIM(S541),"00000")="89144", TEXT(TRIM(S541),"00000")="89145", TEXT(TRIM(S541),"00000")="89147"), "West Valley",
  TRUE, "Other"
)</f>
        <v>Urban Core</v>
      </c>
      <c r="U541" t="s">
        <v>3298</v>
      </c>
      <c r="V541" t="str">
        <f t="shared" si="35"/>
        <v>Outdoors/Public</v>
      </c>
    </row>
    <row r="542" spans="1:22">
      <c r="A542" t="s">
        <v>839</v>
      </c>
      <c r="B542" t="s">
        <v>840</v>
      </c>
      <c r="C542" s="1">
        <v>45136</v>
      </c>
      <c r="D542" s="4">
        <v>111.02</v>
      </c>
      <c r="E542">
        <v>78</v>
      </c>
      <c r="F542" t="str">
        <f t="shared" si="32"/>
        <v>70's</v>
      </c>
      <c r="G542" t="str" cm="1">
        <f t="array" ref="G542">_xlfn.IFS(
  F542="10's", "Child (5–12)",
  OR(F542="20's", F542="30's"), "Young Adult (20–39)",
  OR(F542="40's", F542="50's"), "Adult (40–59)",
  OR(F542="60's", F542="70's", F542="80's", F542="90's"), "Senior (60+)",
  TRUE, "Unknown"
)</f>
        <v>Senior (60+)</v>
      </c>
      <c r="H542" t="s">
        <v>841</v>
      </c>
      <c r="I542" t="s">
        <v>35</v>
      </c>
      <c r="J542" t="str">
        <f t="shared" si="33"/>
        <v>Environmental Heat</v>
      </c>
      <c r="K542" t="s">
        <v>28</v>
      </c>
      <c r="L542" t="s">
        <v>1071</v>
      </c>
      <c r="M542" t="s">
        <v>4349</v>
      </c>
      <c r="N542" t="s">
        <v>5108</v>
      </c>
      <c r="O542" t="str" cm="1">
        <f t="array" ref="O542">_xlfn.IFS(
  TEXT(TRIM(N542),"00000")="NULL", "Missing/Unknown",
  OR(TEXT(TRIM(N542),"00000")="89101", TEXT(TRIM(N542),"00000")="89104", TEXT(TRIM(N542),"00000")="89106", TEXT(TRIM(N542),"00000")="89102", TEXT(TRIM(N542),"00000")="89107", TEXT(TRIM(N542),"00000")="89108"), "Urban Core",
  OR(TEXT(TRIM(N542),"00000")="89110", TEXT(TRIM(N542),"00000")="89115", TEXT(TRIM(N542),"00000")="89121", TEXT(TRIM(N542),"00000")="89122", TEXT(TRIM(N542),"00000")="89142", TEXT(TRIM(N542),"00000")="89156"), "East Valley",
  OR(TEXT(TRIM(N542),"00000")="89030", TEXT(TRIM(N542),"00000")="89031", TEXT(TRIM(N542),"00000")="89032", TEXT(TRIM(N542),"00000")="89086", TEXT(TRIM(N542),"00000")="89084", TEXT(TRIM(N542),"00000")="89081"), "North LV",
  OR(TEXT(TRIM(N542),"00000")="89109", TEXT(TRIM(N542),"00000")="89103", TEXT(TRIM(N542),"00000")="89119", TEXT(TRIM(N542),"00000")="89123", TEXT(TRIM(N542),"00000")="89169", TEXT(TRIM(N542),"00000")="89118"), "South/Strip",
  OR(TEXT(TRIM(N542),"00000")="89074", TEXT(TRIM(N542),"00000")="89014", TEXT(TRIM(N542),"00000")="89015", TEXT(TRIM(N542),"00000")="89011", TEXT(TRIM(N542),"00000")="89012"), "Suburban SE",
  OR(TEXT(TRIM(N542),"00000")="89117", TEXT(TRIM(N542),"00000")="89128", TEXT(TRIM(N542),"00000")="89135", TEXT(TRIM(N542),"00000")="89144", TEXT(TRIM(N542),"00000")="89145", TEXT(TRIM(N542),"00000")="89147"), "West Valley",
  TRUE, "Other"
)</f>
        <v>East Valley</v>
      </c>
      <c r="P542" t="s">
        <v>38</v>
      </c>
      <c r="Q542" t="str">
        <f t="shared" si="34"/>
        <v>Home/Residence</v>
      </c>
      <c r="R542" t="s">
        <v>4349</v>
      </c>
      <c r="S542" t="s">
        <v>5108</v>
      </c>
      <c r="T542" t="str" cm="1">
        <f t="array" ref="T542">_xlfn.IFS(
  TEXT(TRIM(S542),"00000")="NULL", "Missing/Unknown",
  OR(TEXT(TRIM(S542),"00000")="89101", TEXT(TRIM(S542),"00000")="89104", TEXT(TRIM(S542),"00000")="89106", TEXT(TRIM(S542),"00000")="89102", TEXT(TRIM(S542),"00000")="89107", TEXT(TRIM(S542),"00000")="89108"), "Urban Core",
  OR(TEXT(TRIM(S542),"00000")="89110", TEXT(TRIM(S542),"00000")="89115", TEXT(TRIM(S542),"00000")="89121", TEXT(TRIM(S542),"00000")="89122", TEXT(TRIM(S542),"00000")="89142", TEXT(TRIM(S542),"00000")="89156"), "East Valley",
  OR(TEXT(TRIM(S542),"00000")="89030", TEXT(TRIM(S542),"00000")="89031", TEXT(TRIM(S542),"00000")="89032", TEXT(TRIM(S542),"00000")="89086", TEXT(TRIM(S542),"00000")="89084", TEXT(TRIM(S542),"00000")="89081"), "North LV",
  OR(TEXT(TRIM(S542),"00000")="89109", TEXT(TRIM(S542),"00000")="89103", TEXT(TRIM(S542),"00000")="89119", TEXT(TRIM(S542),"00000")="89123", TEXT(TRIM(S542),"00000")="89169", TEXT(TRIM(S542),"00000")="89118"), "South/Strip",
  OR(TEXT(TRIM(S542),"00000")="89074", TEXT(TRIM(S542),"00000")="89014", TEXT(TRIM(S542),"00000")="89015", TEXT(TRIM(S542),"00000")="89011", TEXT(TRIM(S542),"00000")="89012"), "Suburban SE",
  OR(TEXT(TRIM(S542),"00000")="89117", TEXT(TRIM(S542),"00000")="89128", TEXT(TRIM(S542),"00000")="89135", TEXT(TRIM(S542),"00000")="89144", TEXT(TRIM(S542),"00000")="89145", TEXT(TRIM(S542),"00000")="89147"), "West Valley",
  TRUE, "Other"
)</f>
        <v>East Valley</v>
      </c>
      <c r="U542" t="s">
        <v>38</v>
      </c>
      <c r="V542" t="str">
        <f t="shared" si="35"/>
        <v>Home/Residence</v>
      </c>
    </row>
    <row r="543" spans="1:22">
      <c r="A543" t="s">
        <v>843</v>
      </c>
      <c r="B543" t="s">
        <v>844</v>
      </c>
      <c r="C543" s="1">
        <v>45136</v>
      </c>
      <c r="D543" s="4">
        <v>111.02</v>
      </c>
      <c r="E543">
        <v>79</v>
      </c>
      <c r="F543" t="str">
        <f t="shared" si="32"/>
        <v>70's</v>
      </c>
      <c r="G543" t="str" cm="1">
        <f t="array" ref="G543">_xlfn.IFS(
  F543="10's", "Child (5–12)",
  OR(F543="20's", F543="30's"), "Young Adult (20–39)",
  OR(F543="40's", F543="50's"), "Adult (40–59)",
  OR(F543="60's", F543="70's", F543="80's", F543="90's"), "Senior (60+)",
  TRUE, "Unknown"
)</f>
        <v>Senior (60+)</v>
      </c>
      <c r="H543" t="s">
        <v>841</v>
      </c>
      <c r="I543" t="s">
        <v>54</v>
      </c>
      <c r="J543" t="str">
        <f t="shared" si="33"/>
        <v>Environmental Heat</v>
      </c>
      <c r="K543" t="s">
        <v>793</v>
      </c>
      <c r="L543" t="s">
        <v>1071</v>
      </c>
      <c r="M543" t="s">
        <v>4366</v>
      </c>
      <c r="N543" t="s">
        <v>5109</v>
      </c>
      <c r="O543" t="str" cm="1">
        <f t="array" ref="O543">_xlfn.IFS(
  TEXT(TRIM(N543),"00000")="NULL", "Missing/Unknown",
  OR(TEXT(TRIM(N543),"00000")="89101", TEXT(TRIM(N543),"00000")="89104", TEXT(TRIM(N543),"00000")="89106", TEXT(TRIM(N543),"00000")="89102", TEXT(TRIM(N543),"00000")="89107", TEXT(TRIM(N543),"00000")="89108"), "Urban Core",
  OR(TEXT(TRIM(N543),"00000")="89110", TEXT(TRIM(N543),"00000")="89115", TEXT(TRIM(N543),"00000")="89121", TEXT(TRIM(N543),"00000")="89122", TEXT(TRIM(N543),"00000")="89142", TEXT(TRIM(N543),"00000")="89156"), "East Valley",
  OR(TEXT(TRIM(N543),"00000")="89030", TEXT(TRIM(N543),"00000")="89031", TEXT(TRIM(N543),"00000")="89032", TEXT(TRIM(N543),"00000")="89086", TEXT(TRIM(N543),"00000")="89084", TEXT(TRIM(N543),"00000")="89081"), "North LV",
  OR(TEXT(TRIM(N543),"00000")="89109", TEXT(TRIM(N543),"00000")="89103", TEXT(TRIM(N543),"00000")="89119", TEXT(TRIM(N543),"00000")="89123", TEXT(TRIM(N543),"00000")="89169", TEXT(TRIM(N543),"00000")="89118"), "South/Strip",
  OR(TEXT(TRIM(N543),"00000")="89074", TEXT(TRIM(N543),"00000")="89014", TEXT(TRIM(N543),"00000")="89015", TEXT(TRIM(N543),"00000")="89011", TEXT(TRIM(N543),"00000")="89012"), "Suburban SE",
  OR(TEXT(TRIM(N543),"00000")="89117", TEXT(TRIM(N543),"00000")="89128", TEXT(TRIM(N543),"00000")="89135", TEXT(TRIM(N543),"00000")="89144", TEXT(TRIM(N543),"00000")="89145", TEXT(TRIM(N543),"00000")="89147"), "West Valley",
  TRUE, "Other"
)</f>
        <v>South/Strip</v>
      </c>
      <c r="P543" t="s">
        <v>38</v>
      </c>
      <c r="Q543" t="str">
        <f t="shared" si="34"/>
        <v>Home/Residence</v>
      </c>
      <c r="R543" t="s">
        <v>4366</v>
      </c>
      <c r="S543" t="s">
        <v>5109</v>
      </c>
      <c r="T543" t="str" cm="1">
        <f t="array" ref="T543">_xlfn.IFS(
  TEXT(TRIM(S543),"00000")="NULL", "Missing/Unknown",
  OR(TEXT(TRIM(S543),"00000")="89101", TEXT(TRIM(S543),"00000")="89104", TEXT(TRIM(S543),"00000")="89106", TEXT(TRIM(S543),"00000")="89102", TEXT(TRIM(S543),"00000")="89107", TEXT(TRIM(S543),"00000")="89108"), "Urban Core",
  OR(TEXT(TRIM(S543),"00000")="89110", TEXT(TRIM(S543),"00000")="89115", TEXT(TRIM(S543),"00000")="89121", TEXT(TRIM(S543),"00000")="89122", TEXT(TRIM(S543),"00000")="89142", TEXT(TRIM(S543),"00000")="89156"), "East Valley",
  OR(TEXT(TRIM(S543),"00000")="89030", TEXT(TRIM(S543),"00000")="89031", TEXT(TRIM(S543),"00000")="89032", TEXT(TRIM(S543),"00000")="89086", TEXT(TRIM(S543),"00000")="89084", TEXT(TRIM(S543),"00000")="89081"), "North LV",
  OR(TEXT(TRIM(S543),"00000")="89109", TEXT(TRIM(S543),"00000")="89103", TEXT(TRIM(S543),"00000")="89119", TEXT(TRIM(S543),"00000")="89123", TEXT(TRIM(S543),"00000")="89169", TEXT(TRIM(S543),"00000")="89118"), "South/Strip",
  OR(TEXT(TRIM(S543),"00000")="89074", TEXT(TRIM(S543),"00000")="89014", TEXT(TRIM(S543),"00000")="89015", TEXT(TRIM(S543),"00000")="89011", TEXT(TRIM(S543),"00000")="89012"), "Suburban SE",
  OR(TEXT(TRIM(S543),"00000")="89117", TEXT(TRIM(S543),"00000")="89128", TEXT(TRIM(S543),"00000")="89135", TEXT(TRIM(S543),"00000")="89144", TEXT(TRIM(S543),"00000")="89145", TEXT(TRIM(S543),"00000")="89147"), "West Valley",
  TRUE, "Other"
)</f>
        <v>South/Strip</v>
      </c>
      <c r="U543" t="s">
        <v>38</v>
      </c>
      <c r="V543" t="str">
        <f t="shared" si="35"/>
        <v>Home/Residence</v>
      </c>
    </row>
    <row r="544" spans="1:22">
      <c r="A544" t="s">
        <v>858</v>
      </c>
      <c r="B544" t="s">
        <v>859</v>
      </c>
      <c r="C544" s="1">
        <v>45136</v>
      </c>
      <c r="D544" s="4">
        <v>111.02</v>
      </c>
      <c r="E544">
        <v>53</v>
      </c>
      <c r="F544" t="str">
        <f t="shared" si="32"/>
        <v>50's</v>
      </c>
      <c r="G544" t="str" cm="1">
        <f t="array" ref="G544">_xlfn.IFS(
  F544="10's", "Child (5–12)",
  OR(F544="20's", F544="30's"), "Young Adult (20–39)",
  OR(F544="40's", F544="50's"), "Adult (40–59)",
  OR(F544="60's", F544="70's", F544="80's", F544="90's"), "Senior (60+)",
  TRUE, "Unknown"
)</f>
        <v>Adult (40–59)</v>
      </c>
      <c r="H544" t="s">
        <v>841</v>
      </c>
      <c r="I544" t="s">
        <v>35</v>
      </c>
      <c r="J544" t="str">
        <f t="shared" si="33"/>
        <v>Environmental Heat</v>
      </c>
      <c r="K544" t="s">
        <v>4212</v>
      </c>
      <c r="L544" t="s">
        <v>250</v>
      </c>
      <c r="M544" t="s">
        <v>4739</v>
      </c>
      <c r="N544" t="s">
        <v>5111</v>
      </c>
      <c r="O544" t="str" cm="1">
        <f t="array" ref="O544">_xlfn.IFS(
  TEXT(TRIM(N544),"00000")="NULL", "Missing/Unknown",
  OR(TEXT(TRIM(N544),"00000")="89101", TEXT(TRIM(N544),"00000")="89104", TEXT(TRIM(N544),"00000")="89106", TEXT(TRIM(N544),"00000")="89102", TEXT(TRIM(N544),"00000")="89107", TEXT(TRIM(N544),"00000")="89108"), "Urban Core",
  OR(TEXT(TRIM(N544),"00000")="89110", TEXT(TRIM(N544),"00000")="89115", TEXT(TRIM(N544),"00000")="89121", TEXT(TRIM(N544),"00000")="89122", TEXT(TRIM(N544),"00000")="89142", TEXT(TRIM(N544),"00000")="89156"), "East Valley",
  OR(TEXT(TRIM(N544),"00000")="89030", TEXT(TRIM(N544),"00000")="89031", TEXT(TRIM(N544),"00000")="89032", TEXT(TRIM(N544),"00000")="89086", TEXT(TRIM(N544),"00000")="89084", TEXT(TRIM(N544),"00000")="89081"), "North LV",
  OR(TEXT(TRIM(N544),"00000")="89109", TEXT(TRIM(N544),"00000")="89103", TEXT(TRIM(N544),"00000")="89119", TEXT(TRIM(N544),"00000")="89123", TEXT(TRIM(N544),"00000")="89169", TEXT(TRIM(N544),"00000")="89118"), "South/Strip",
  OR(TEXT(TRIM(N544),"00000")="89074", TEXT(TRIM(N544),"00000")="89014", TEXT(TRIM(N544),"00000")="89015", TEXT(TRIM(N544),"00000")="89011", TEXT(TRIM(N544),"00000")="89012"), "Suburban SE",
  OR(TEXT(TRIM(N544),"00000")="89117", TEXT(TRIM(N544),"00000")="89128", TEXT(TRIM(N544),"00000")="89135", TEXT(TRIM(N544),"00000")="89144", TEXT(TRIM(N544),"00000")="89145", TEXT(TRIM(N544),"00000")="89147"), "West Valley",
  TRUE, "Other"
)</f>
        <v>West Valley</v>
      </c>
      <c r="P544" t="s">
        <v>3298</v>
      </c>
      <c r="Q544" t="str">
        <f t="shared" si="34"/>
        <v>Outdoors/Public</v>
      </c>
      <c r="R544" t="s">
        <v>4739</v>
      </c>
      <c r="S544" t="s">
        <v>5111</v>
      </c>
      <c r="T544" t="str" cm="1">
        <f t="array" ref="T544">_xlfn.IFS(
  TEXT(TRIM(S544),"00000")="NULL", "Missing/Unknown",
  OR(TEXT(TRIM(S544),"00000")="89101", TEXT(TRIM(S544),"00000")="89104", TEXT(TRIM(S544),"00000")="89106", TEXT(TRIM(S544),"00000")="89102", TEXT(TRIM(S544),"00000")="89107", TEXT(TRIM(S544),"00000")="89108"), "Urban Core",
  OR(TEXT(TRIM(S544),"00000")="89110", TEXT(TRIM(S544),"00000")="89115", TEXT(TRIM(S544),"00000")="89121", TEXT(TRIM(S544),"00000")="89122", TEXT(TRIM(S544),"00000")="89142", TEXT(TRIM(S544),"00000")="89156"), "East Valley",
  OR(TEXT(TRIM(S544),"00000")="89030", TEXT(TRIM(S544),"00000")="89031", TEXT(TRIM(S544),"00000")="89032", TEXT(TRIM(S544),"00000")="89086", TEXT(TRIM(S544),"00000")="89084", TEXT(TRIM(S544),"00000")="89081"), "North LV",
  OR(TEXT(TRIM(S544),"00000")="89109", TEXT(TRIM(S544),"00000")="89103", TEXT(TRIM(S544),"00000")="89119", TEXT(TRIM(S544),"00000")="89123", TEXT(TRIM(S544),"00000")="89169", TEXT(TRIM(S544),"00000")="89118"), "South/Strip",
  OR(TEXT(TRIM(S544),"00000")="89074", TEXT(TRIM(S544),"00000")="89014", TEXT(TRIM(S544),"00000")="89015", TEXT(TRIM(S544),"00000")="89011", TEXT(TRIM(S544),"00000")="89012"), "Suburban SE",
  OR(TEXT(TRIM(S544),"00000")="89117", TEXT(TRIM(S544),"00000")="89128", TEXT(TRIM(S544),"00000")="89135", TEXT(TRIM(S544),"00000")="89144", TEXT(TRIM(S544),"00000")="89145", TEXT(TRIM(S544),"00000")="89147"), "West Valley",
  TRUE, "Other"
)</f>
        <v>West Valley</v>
      </c>
      <c r="U544" t="s">
        <v>3298</v>
      </c>
      <c r="V544" t="str">
        <f t="shared" si="35"/>
        <v>Outdoors/Public</v>
      </c>
    </row>
    <row r="545" spans="1:22">
      <c r="A545" t="s">
        <v>828</v>
      </c>
      <c r="B545" t="s">
        <v>829</v>
      </c>
      <c r="C545" s="1">
        <v>45136</v>
      </c>
      <c r="D545" s="4">
        <v>111.02</v>
      </c>
      <c r="E545">
        <v>43</v>
      </c>
      <c r="F545" t="str">
        <f t="shared" si="32"/>
        <v>40's</v>
      </c>
      <c r="G545" t="str" cm="1">
        <f t="array" ref="G545">_xlfn.IFS(
  F545="10's", "Child (5–12)",
  OR(F545="20's", F545="30's"), "Young Adult (20–39)",
  OR(F545="40's", F545="50's"), "Adult (40–59)",
  OR(F545="60's", F545="70's", F545="80's", F545="90's"), "Senior (60+)",
  TRUE, "Unknown"
)</f>
        <v>Adult (40–59)</v>
      </c>
      <c r="H545" t="s">
        <v>841</v>
      </c>
      <c r="I545" t="s">
        <v>830</v>
      </c>
      <c r="J545" t="str">
        <f t="shared" si="33"/>
        <v>Methamphetamine-related</v>
      </c>
      <c r="K545" t="s">
        <v>831</v>
      </c>
      <c r="L545" t="s">
        <v>250</v>
      </c>
      <c r="M545" t="s">
        <v>4326</v>
      </c>
      <c r="N545" t="s">
        <v>5098</v>
      </c>
      <c r="O545" t="str" cm="1">
        <f t="array" ref="O545">_xlfn.IFS(
  TEXT(TRIM(N545),"00000")="NULL", "Missing/Unknown",
  OR(TEXT(TRIM(N545),"00000")="89101", TEXT(TRIM(N545),"00000")="89104", TEXT(TRIM(N545),"00000")="89106", TEXT(TRIM(N545),"00000")="89102", TEXT(TRIM(N545),"00000")="89107", TEXT(TRIM(N545),"00000")="89108"), "Urban Core",
  OR(TEXT(TRIM(N545),"00000")="89110", TEXT(TRIM(N545),"00000")="89115", TEXT(TRIM(N545),"00000")="89121", TEXT(TRIM(N545),"00000")="89122", TEXT(TRIM(N545),"00000")="89142", TEXT(TRIM(N545),"00000")="89156"), "East Valley",
  OR(TEXT(TRIM(N545),"00000")="89030", TEXT(TRIM(N545),"00000")="89031", TEXT(TRIM(N545),"00000")="89032", TEXT(TRIM(N545),"00000")="89086", TEXT(TRIM(N545),"00000")="89084", TEXT(TRIM(N545),"00000")="89081"), "North LV",
  OR(TEXT(TRIM(N545),"00000")="89109", TEXT(TRIM(N545),"00000")="89103", TEXT(TRIM(N545),"00000")="89119", TEXT(TRIM(N545),"00000")="89123", TEXT(TRIM(N545),"00000")="89169", TEXT(TRIM(N545),"00000")="89118"), "South/Strip",
  OR(TEXT(TRIM(N545),"00000")="89074", TEXT(TRIM(N545),"00000")="89014", TEXT(TRIM(N545),"00000")="89015", TEXT(TRIM(N545),"00000")="89011", TEXT(TRIM(N545),"00000")="89012"), "Suburban SE",
  OR(TEXT(TRIM(N545),"00000")="89117", TEXT(TRIM(N545),"00000")="89128", TEXT(TRIM(N545),"00000")="89135", TEXT(TRIM(N545),"00000")="89144", TEXT(TRIM(N545),"00000")="89145", TEXT(TRIM(N545),"00000")="89147"), "West Valley",
  TRUE, "Other"
)</f>
        <v>Urban Core</v>
      </c>
      <c r="P545" t="s">
        <v>3298</v>
      </c>
      <c r="Q545" t="str">
        <f t="shared" si="34"/>
        <v>Outdoors/Public</v>
      </c>
      <c r="R545" t="s">
        <v>4326</v>
      </c>
      <c r="S545" t="s">
        <v>5098</v>
      </c>
      <c r="T545" t="str" cm="1">
        <f t="array" ref="T545">_xlfn.IFS(
  TEXT(TRIM(S545),"00000")="NULL", "Missing/Unknown",
  OR(TEXT(TRIM(S545),"00000")="89101", TEXT(TRIM(S545),"00000")="89104", TEXT(TRIM(S545),"00000")="89106", TEXT(TRIM(S545),"00000")="89102", TEXT(TRIM(S545),"00000")="89107", TEXT(TRIM(S545),"00000")="89108"), "Urban Core",
  OR(TEXT(TRIM(S545),"00000")="89110", TEXT(TRIM(S545),"00000")="89115", TEXT(TRIM(S545),"00000")="89121", TEXT(TRIM(S545),"00000")="89122", TEXT(TRIM(S545),"00000")="89142", TEXT(TRIM(S545),"00000")="89156"), "East Valley",
  OR(TEXT(TRIM(S545),"00000")="89030", TEXT(TRIM(S545),"00000")="89031", TEXT(TRIM(S545),"00000")="89032", TEXT(TRIM(S545),"00000")="89086", TEXT(TRIM(S545),"00000")="89084", TEXT(TRIM(S545),"00000")="89081"), "North LV",
  OR(TEXT(TRIM(S545),"00000")="89109", TEXT(TRIM(S545),"00000")="89103", TEXT(TRIM(S545),"00000")="89119", TEXT(TRIM(S545),"00000")="89123", TEXT(TRIM(S545),"00000")="89169", TEXT(TRIM(S545),"00000")="89118"), "South/Strip",
  OR(TEXT(TRIM(S545),"00000")="89074", TEXT(TRIM(S545),"00000")="89014", TEXT(TRIM(S545),"00000")="89015", TEXT(TRIM(S545),"00000")="89011", TEXT(TRIM(S545),"00000")="89012"), "Suburban SE",
  OR(TEXT(TRIM(S545),"00000")="89117", TEXT(TRIM(S545),"00000")="89128", TEXT(TRIM(S545),"00000")="89135", TEXT(TRIM(S545),"00000")="89144", TEXT(TRIM(S545),"00000")="89145", TEXT(TRIM(S545),"00000")="89147"), "West Valley",
  TRUE, "Other"
)</f>
        <v>Urban Core</v>
      </c>
      <c r="U545" t="s">
        <v>3298</v>
      </c>
      <c r="V545" t="str">
        <f t="shared" si="35"/>
        <v>Outdoors/Public</v>
      </c>
    </row>
    <row r="546" spans="1:22">
      <c r="A546" t="s">
        <v>856</v>
      </c>
      <c r="B546" t="s">
        <v>857</v>
      </c>
      <c r="C546" s="1">
        <v>45136</v>
      </c>
      <c r="D546" s="4">
        <v>111.02</v>
      </c>
      <c r="E546">
        <v>45</v>
      </c>
      <c r="F546" t="str">
        <f t="shared" si="32"/>
        <v>40's</v>
      </c>
      <c r="G546" t="str" cm="1">
        <f t="array" ref="G546">_xlfn.IFS(
  F546="10's", "Child (5–12)",
  OR(F546="20's", F546="30's"), "Young Adult (20–39)",
  OR(F546="40's", F546="50's"), "Adult (40–59)",
  OR(F546="60's", F546="70's", F546="80's", F546="90's"), "Senior (60+)",
  TRUE, "Unknown"
)</f>
        <v>Adult (40–59)</v>
      </c>
      <c r="H546" t="s">
        <v>841</v>
      </c>
      <c r="I546" t="s">
        <v>97</v>
      </c>
      <c r="J546" t="str">
        <f t="shared" si="33"/>
        <v>Environmental Heat</v>
      </c>
      <c r="K546" t="s">
        <v>98</v>
      </c>
      <c r="L546" t="s">
        <v>250</v>
      </c>
      <c r="N546" t="s">
        <v>5095</v>
      </c>
      <c r="O546" t="str" cm="1">
        <f t="array" ref="O546">_xlfn.IFS(
  TEXT(TRIM(N546),"00000")="NULL", "Missing/Unknown",
  OR(TEXT(TRIM(N546),"00000")="89101", TEXT(TRIM(N546),"00000")="89104", TEXT(TRIM(N546),"00000")="89106", TEXT(TRIM(N546),"00000")="89102", TEXT(TRIM(N546),"00000")="89107", TEXT(TRIM(N546),"00000")="89108"), "Urban Core",
  OR(TEXT(TRIM(N546),"00000")="89110", TEXT(TRIM(N546),"00000")="89115", TEXT(TRIM(N546),"00000")="89121", TEXT(TRIM(N546),"00000")="89122", TEXT(TRIM(N546),"00000")="89142", TEXT(TRIM(N546),"00000")="89156"), "East Valley",
  OR(TEXT(TRIM(N546),"00000")="89030", TEXT(TRIM(N546),"00000")="89031", TEXT(TRIM(N546),"00000")="89032", TEXT(TRIM(N546),"00000")="89086", TEXT(TRIM(N546),"00000")="89084", TEXT(TRIM(N546),"00000")="89081"), "North LV",
  OR(TEXT(TRIM(N546),"00000")="89109", TEXT(TRIM(N546),"00000")="89103", TEXT(TRIM(N546),"00000")="89119", TEXT(TRIM(N546),"00000")="89123", TEXT(TRIM(N546),"00000")="89169", TEXT(TRIM(N546),"00000")="89118"), "South/Strip",
  OR(TEXT(TRIM(N546),"00000")="89074", TEXT(TRIM(N546),"00000")="89014", TEXT(TRIM(N546),"00000")="89015", TEXT(TRIM(N546),"00000")="89011", TEXT(TRIM(N546),"00000")="89012"), "Suburban SE",
  OR(TEXT(TRIM(N546),"00000")="89117", TEXT(TRIM(N546),"00000")="89128", TEXT(TRIM(N546),"00000")="89135", TEXT(TRIM(N546),"00000")="89144", TEXT(TRIM(N546),"00000")="89145", TEXT(TRIM(N546),"00000")="89147"), "West Valley",
  TRUE, "Other"
)</f>
        <v>Missing/Unknown</v>
      </c>
      <c r="P546" t="s">
        <v>38</v>
      </c>
      <c r="Q546" t="str">
        <f t="shared" si="34"/>
        <v>Home/Residence</v>
      </c>
      <c r="R546" t="s">
        <v>4713</v>
      </c>
      <c r="S546" t="s">
        <v>5125</v>
      </c>
      <c r="T546" t="str" cm="1">
        <f t="array" ref="T546">_xlfn.IFS(
  TEXT(TRIM(S546),"00000")="NULL", "Missing/Unknown",
  OR(TEXT(TRIM(S546),"00000")="89101", TEXT(TRIM(S546),"00000")="89104", TEXT(TRIM(S546),"00000")="89106", TEXT(TRIM(S546),"00000")="89102", TEXT(TRIM(S546),"00000")="89107", TEXT(TRIM(S546),"00000")="89108"), "Urban Core",
  OR(TEXT(TRIM(S546),"00000")="89110", TEXT(TRIM(S546),"00000")="89115", TEXT(TRIM(S546),"00000")="89121", TEXT(TRIM(S546),"00000")="89122", TEXT(TRIM(S546),"00000")="89142", TEXT(TRIM(S546),"00000")="89156"), "East Valley",
  OR(TEXT(TRIM(S546),"00000")="89030", TEXT(TRIM(S546),"00000")="89031", TEXT(TRIM(S546),"00000")="89032", TEXT(TRIM(S546),"00000")="89086", TEXT(TRIM(S546),"00000")="89084", TEXT(TRIM(S546),"00000")="89081"), "North LV",
  OR(TEXT(TRIM(S546),"00000")="89109", TEXT(TRIM(S546),"00000")="89103", TEXT(TRIM(S546),"00000")="89119", TEXT(TRIM(S546),"00000")="89123", TEXT(TRIM(S546),"00000")="89169", TEXT(TRIM(S546),"00000")="89118"), "South/Strip",
  OR(TEXT(TRIM(S546),"00000")="89074", TEXT(TRIM(S546),"00000")="89014", TEXT(TRIM(S546),"00000")="89015", TEXT(TRIM(S546),"00000")="89011", TEXT(TRIM(S546),"00000")="89012"), "Suburban SE",
  OR(TEXT(TRIM(S546),"00000")="89117", TEXT(TRIM(S546),"00000")="89128", TEXT(TRIM(S546),"00000")="89135", TEXT(TRIM(S546),"00000")="89144", TEXT(TRIM(S546),"00000")="89145", TEXT(TRIM(S546),"00000")="89147"), "West Valley",
  TRUE, "Other"
)</f>
        <v>South/Strip</v>
      </c>
      <c r="U546" t="s">
        <v>4305</v>
      </c>
      <c r="V546" t="str">
        <f t="shared" si="35"/>
        <v>Medical Facility</v>
      </c>
    </row>
    <row r="547" spans="1:22">
      <c r="A547" t="s">
        <v>852</v>
      </c>
      <c r="B547" t="s">
        <v>853</v>
      </c>
      <c r="C547" s="1">
        <v>45136</v>
      </c>
      <c r="D547" s="4">
        <v>111.02</v>
      </c>
      <c r="E547">
        <v>45</v>
      </c>
      <c r="F547" t="str">
        <f t="shared" si="32"/>
        <v>40's</v>
      </c>
      <c r="G547" t="str" cm="1">
        <f t="array" ref="G547">_xlfn.IFS(
  F547="10's", "Child (5–12)",
  OR(F547="20's", F547="30's"), "Young Adult (20–39)",
  OR(F547="40's", F547="50's"), "Adult (40–59)",
  OR(F547="60's", F547="70's", F547="80's", F547="90's"), "Senior (60+)",
  TRUE, "Unknown"
)</f>
        <v>Adult (40–59)</v>
      </c>
      <c r="H547" t="s">
        <v>4310</v>
      </c>
      <c r="I547" t="s">
        <v>97</v>
      </c>
      <c r="J547" t="str">
        <f t="shared" si="33"/>
        <v>Environmental Heat</v>
      </c>
      <c r="K547" t="s">
        <v>854</v>
      </c>
      <c r="L547" t="s">
        <v>250</v>
      </c>
      <c r="N547" t="s">
        <v>5095</v>
      </c>
      <c r="O547" t="str" cm="1">
        <f t="array" ref="O547">_xlfn.IFS(
  TEXT(TRIM(N547),"00000")="NULL", "Missing/Unknown",
  OR(TEXT(TRIM(N547),"00000")="89101", TEXT(TRIM(N547),"00000")="89104", TEXT(TRIM(N547),"00000")="89106", TEXT(TRIM(N547),"00000")="89102", TEXT(TRIM(N547),"00000")="89107", TEXT(TRIM(N547),"00000")="89108"), "Urban Core",
  OR(TEXT(TRIM(N547),"00000")="89110", TEXT(TRIM(N547),"00000")="89115", TEXT(TRIM(N547),"00000")="89121", TEXT(TRIM(N547),"00000")="89122", TEXT(TRIM(N547),"00000")="89142", TEXT(TRIM(N547),"00000")="89156"), "East Valley",
  OR(TEXT(TRIM(N547),"00000")="89030", TEXT(TRIM(N547),"00000")="89031", TEXT(TRIM(N547),"00000")="89032", TEXT(TRIM(N547),"00000")="89086", TEXT(TRIM(N547),"00000")="89084", TEXT(TRIM(N547),"00000")="89081"), "North LV",
  OR(TEXT(TRIM(N547),"00000")="89109", TEXT(TRIM(N547),"00000")="89103", TEXT(TRIM(N547),"00000")="89119", TEXT(TRIM(N547),"00000")="89123", TEXT(TRIM(N547),"00000")="89169", TEXT(TRIM(N547),"00000")="89118"), "South/Strip",
  OR(TEXT(TRIM(N547),"00000")="89074", TEXT(TRIM(N547),"00000")="89014", TEXT(TRIM(N547),"00000")="89015", TEXT(TRIM(N547),"00000")="89011", TEXT(TRIM(N547),"00000")="89012"), "Suburban SE",
  OR(TEXT(TRIM(N547),"00000")="89117", TEXT(TRIM(N547),"00000")="89128", TEXT(TRIM(N547),"00000")="89135", TEXT(TRIM(N547),"00000")="89144", TEXT(TRIM(N547),"00000")="89145", TEXT(TRIM(N547),"00000")="89147"), "West Valley",
  TRUE, "Other"
)</f>
        <v>Missing/Unknown</v>
      </c>
      <c r="P547" t="s">
        <v>3298</v>
      </c>
      <c r="Q547" t="str">
        <f t="shared" si="34"/>
        <v>Outdoors/Public</v>
      </c>
      <c r="R547" t="s">
        <v>5055</v>
      </c>
      <c r="S547" t="s">
        <v>5119</v>
      </c>
      <c r="T547" t="str" cm="1">
        <f t="array" ref="T547">_xlfn.IFS(
  TEXT(TRIM(S547),"00000")="NULL", "Missing/Unknown",
  OR(TEXT(TRIM(S547),"00000")="89101", TEXT(TRIM(S547),"00000")="89104", TEXT(TRIM(S547),"00000")="89106", TEXT(TRIM(S547),"00000")="89102", TEXT(TRIM(S547),"00000")="89107", TEXT(TRIM(S547),"00000")="89108"), "Urban Core",
  OR(TEXT(TRIM(S547),"00000")="89110", TEXT(TRIM(S547),"00000")="89115", TEXT(TRIM(S547),"00000")="89121", TEXT(TRIM(S547),"00000")="89122", TEXT(TRIM(S547),"00000")="89142", TEXT(TRIM(S547),"00000")="89156"), "East Valley",
  OR(TEXT(TRIM(S547),"00000")="89030", TEXT(TRIM(S547),"00000")="89031", TEXT(TRIM(S547),"00000")="89032", TEXT(TRIM(S547),"00000")="89086", TEXT(TRIM(S547),"00000")="89084", TEXT(TRIM(S547),"00000")="89081"), "North LV",
  OR(TEXT(TRIM(S547),"00000")="89109", TEXT(TRIM(S547),"00000")="89103", TEXT(TRIM(S547),"00000")="89119", TEXT(TRIM(S547),"00000")="89123", TEXT(TRIM(S547),"00000")="89169", TEXT(TRIM(S547),"00000")="89118"), "South/Strip",
  OR(TEXT(TRIM(S547),"00000")="89074", TEXT(TRIM(S547),"00000")="89014", TEXT(TRIM(S547),"00000")="89015", TEXT(TRIM(S547),"00000")="89011", TEXT(TRIM(S547),"00000")="89012"), "Suburban SE",
  OR(TEXT(TRIM(S547),"00000")="89117", TEXT(TRIM(S547),"00000")="89128", TEXT(TRIM(S547),"00000")="89135", TEXT(TRIM(S547),"00000")="89144", TEXT(TRIM(S547),"00000")="89145", TEXT(TRIM(S547),"00000")="89147"), "West Valley",
  TRUE, "Other"
)</f>
        <v>Urban Core</v>
      </c>
      <c r="U547" t="s">
        <v>855</v>
      </c>
      <c r="V547" t="str">
        <f t="shared" si="35"/>
        <v>Medical Facility</v>
      </c>
    </row>
    <row r="548" spans="1:22">
      <c r="A548" t="s">
        <v>833</v>
      </c>
      <c r="B548" t="s">
        <v>834</v>
      </c>
      <c r="C548" s="1">
        <v>45136</v>
      </c>
      <c r="D548" s="4">
        <v>111.02</v>
      </c>
      <c r="E548">
        <v>57</v>
      </c>
      <c r="F548" t="str">
        <f t="shared" si="32"/>
        <v>50's</v>
      </c>
      <c r="G548" t="str" cm="1">
        <f t="array" ref="G548">_xlfn.IFS(
  F548="10's", "Child (5–12)",
  OR(F548="20's", F548="30's"), "Young Adult (20–39)",
  OR(F548="40's", F548="50's"), "Adult (40–59)",
  OR(F548="60's", F548="70's", F548="80's", F548="90's"), "Senior (60+)",
  TRUE, "Unknown"
)</f>
        <v>Adult (40–59)</v>
      </c>
      <c r="H548" t="s">
        <v>841</v>
      </c>
      <c r="I548" t="s">
        <v>54</v>
      </c>
      <c r="J548" t="str">
        <f t="shared" si="33"/>
        <v>Environmental Heat</v>
      </c>
      <c r="K548" t="s">
        <v>34</v>
      </c>
      <c r="L548" t="s">
        <v>250</v>
      </c>
      <c r="M548" t="s">
        <v>4326</v>
      </c>
      <c r="N548" t="s">
        <v>5098</v>
      </c>
      <c r="O548" t="str" cm="1">
        <f t="array" ref="O548">_xlfn.IFS(
  TEXT(TRIM(N548),"00000")="NULL", "Missing/Unknown",
  OR(TEXT(TRIM(N548),"00000")="89101", TEXT(TRIM(N548),"00000")="89104", TEXT(TRIM(N548),"00000")="89106", TEXT(TRIM(N548),"00000")="89102", TEXT(TRIM(N548),"00000")="89107", TEXT(TRIM(N548),"00000")="89108"), "Urban Core",
  OR(TEXT(TRIM(N548),"00000")="89110", TEXT(TRIM(N548),"00000")="89115", TEXT(TRIM(N548),"00000")="89121", TEXT(TRIM(N548),"00000")="89122", TEXT(TRIM(N548),"00000")="89142", TEXT(TRIM(N548),"00000")="89156"), "East Valley",
  OR(TEXT(TRIM(N548),"00000")="89030", TEXT(TRIM(N548),"00000")="89031", TEXT(TRIM(N548),"00000")="89032", TEXT(TRIM(N548),"00000")="89086", TEXT(TRIM(N548),"00000")="89084", TEXT(TRIM(N548),"00000")="89081"), "North LV",
  OR(TEXT(TRIM(N548),"00000")="89109", TEXT(TRIM(N548),"00000")="89103", TEXT(TRIM(N548),"00000")="89119", TEXT(TRIM(N548),"00000")="89123", TEXT(TRIM(N548),"00000")="89169", TEXT(TRIM(N548),"00000")="89118"), "South/Strip",
  OR(TEXT(TRIM(N548),"00000")="89074", TEXT(TRIM(N548),"00000")="89014", TEXT(TRIM(N548),"00000")="89015", TEXT(TRIM(N548),"00000")="89011", TEXT(TRIM(N548),"00000")="89012"), "Suburban SE",
  OR(TEXT(TRIM(N548),"00000")="89117", TEXT(TRIM(N548),"00000")="89128", TEXT(TRIM(N548),"00000")="89135", TEXT(TRIM(N548),"00000")="89144", TEXT(TRIM(N548),"00000")="89145", TEXT(TRIM(N548),"00000")="89147"), "West Valley",
  TRUE, "Other"
)</f>
        <v>Urban Core</v>
      </c>
      <c r="P548" t="s">
        <v>3298</v>
      </c>
      <c r="Q548" t="str">
        <f t="shared" si="34"/>
        <v>Outdoors/Public</v>
      </c>
      <c r="R548" t="s">
        <v>5070</v>
      </c>
      <c r="S548" t="s">
        <v>5127</v>
      </c>
      <c r="T548" t="str" cm="1">
        <f t="array" ref="T548">_xlfn.IFS(
  TEXT(TRIM(S548),"00000")="NULL", "Missing/Unknown",
  OR(TEXT(TRIM(S548),"00000")="89101", TEXT(TRIM(S548),"00000")="89104", TEXT(TRIM(S548),"00000")="89106", TEXT(TRIM(S548),"00000")="89102", TEXT(TRIM(S548),"00000")="89107", TEXT(TRIM(S548),"00000")="89108"), "Urban Core",
  OR(TEXT(TRIM(S548),"00000")="89110", TEXT(TRIM(S548),"00000")="89115", TEXT(TRIM(S548),"00000")="89121", TEXT(TRIM(S548),"00000")="89122", TEXT(TRIM(S548),"00000")="89142", TEXT(TRIM(S548),"00000")="89156"), "East Valley",
  OR(TEXT(TRIM(S548),"00000")="89030", TEXT(TRIM(S548),"00000")="89031", TEXT(TRIM(S548),"00000")="89032", TEXT(TRIM(S548),"00000")="89086", TEXT(TRIM(S548),"00000")="89084", TEXT(TRIM(S548),"00000")="89081"), "North LV",
  OR(TEXT(TRIM(S548),"00000")="89109", TEXT(TRIM(S548),"00000")="89103", TEXT(TRIM(S548),"00000")="89119", TEXT(TRIM(S548),"00000")="89123", TEXT(TRIM(S548),"00000")="89169", TEXT(TRIM(S548),"00000")="89118"), "South/Strip",
  OR(TEXT(TRIM(S548),"00000")="89074", TEXT(TRIM(S548),"00000")="89014", TEXT(TRIM(S548),"00000")="89015", TEXT(TRIM(S548),"00000")="89011", TEXT(TRIM(S548),"00000")="89012"), "Suburban SE",
  OR(TEXT(TRIM(S548),"00000")="89117", TEXT(TRIM(S548),"00000")="89128", TEXT(TRIM(S548),"00000")="89135", TEXT(TRIM(S548),"00000")="89144", TEXT(TRIM(S548),"00000")="89145", TEXT(TRIM(S548),"00000")="89147"), "West Valley",
  TRUE, "Other"
)</f>
        <v>Other</v>
      </c>
      <c r="U548" t="s">
        <v>3298</v>
      </c>
      <c r="V548" t="str">
        <f t="shared" si="35"/>
        <v>Outdoors/Public</v>
      </c>
    </row>
    <row r="549" spans="1:22">
      <c r="A549" t="s">
        <v>812</v>
      </c>
      <c r="B549" t="s">
        <v>813</v>
      </c>
      <c r="C549" s="1">
        <v>45135</v>
      </c>
      <c r="D549" s="4">
        <v>113</v>
      </c>
      <c r="E549">
        <v>62</v>
      </c>
      <c r="F549" t="str">
        <f t="shared" si="32"/>
        <v>60's</v>
      </c>
      <c r="G549" t="str" cm="1">
        <f t="array" ref="G549">_xlfn.IFS(
  F549="10's", "Child (5–12)",
  OR(F549="20's", F549="30's"), "Young Adult (20–39)",
  OR(F549="40's", F549="50's"), "Adult (40–59)",
  OR(F549="60's", F549="70's", F549="80's", F549="90's"), "Senior (60+)",
  TRUE, "Unknown"
)</f>
        <v>Senior (60+)</v>
      </c>
      <c r="H549" t="s">
        <v>841</v>
      </c>
      <c r="I549" t="s">
        <v>135</v>
      </c>
      <c r="J549" t="str">
        <f t="shared" si="33"/>
        <v>Methamphetamine-related</v>
      </c>
      <c r="K549" t="s">
        <v>35</v>
      </c>
      <c r="L549" t="s">
        <v>250</v>
      </c>
      <c r="M549" t="s">
        <v>4341</v>
      </c>
      <c r="N549" t="s">
        <v>5100</v>
      </c>
      <c r="O549" t="str" cm="1">
        <f t="array" ref="O549">_xlfn.IFS(
  TEXT(TRIM(N549),"00000")="NULL", "Missing/Unknown",
  OR(TEXT(TRIM(N549),"00000")="89101", TEXT(TRIM(N549),"00000")="89104", TEXT(TRIM(N549),"00000")="89106", TEXT(TRIM(N549),"00000")="89102", TEXT(TRIM(N549),"00000")="89107", TEXT(TRIM(N549),"00000")="89108"), "Urban Core",
  OR(TEXT(TRIM(N549),"00000")="89110", TEXT(TRIM(N549),"00000")="89115", TEXT(TRIM(N549),"00000")="89121", TEXT(TRIM(N549),"00000")="89122", TEXT(TRIM(N549),"00000")="89142", TEXT(TRIM(N549),"00000")="89156"), "East Valley",
  OR(TEXT(TRIM(N549),"00000")="89030", TEXT(TRIM(N549),"00000")="89031", TEXT(TRIM(N549),"00000")="89032", TEXT(TRIM(N549),"00000")="89086", TEXT(TRIM(N549),"00000")="89084", TEXT(TRIM(N549),"00000")="89081"), "North LV",
  OR(TEXT(TRIM(N549),"00000")="89109", TEXT(TRIM(N549),"00000")="89103", TEXT(TRIM(N549),"00000")="89119", TEXT(TRIM(N549),"00000")="89123", TEXT(TRIM(N549),"00000")="89169", TEXT(TRIM(N549),"00000")="89118"), "South/Strip",
  OR(TEXT(TRIM(N549),"00000")="89074", TEXT(TRIM(N549),"00000")="89014", TEXT(TRIM(N549),"00000")="89015", TEXT(TRIM(N549),"00000")="89011", TEXT(TRIM(N549),"00000")="89012"), "Suburban SE",
  OR(TEXT(TRIM(N549),"00000")="89117", TEXT(TRIM(N549),"00000")="89128", TEXT(TRIM(N549),"00000")="89135", TEXT(TRIM(N549),"00000")="89144", TEXT(TRIM(N549),"00000")="89145", TEXT(TRIM(N549),"00000")="89147"), "West Valley",
  TRUE, "Other"
)</f>
        <v>North LV</v>
      </c>
      <c r="P549" t="s">
        <v>3298</v>
      </c>
      <c r="Q549" t="str">
        <f t="shared" si="34"/>
        <v>Outdoors/Public</v>
      </c>
      <c r="R549" t="s">
        <v>4341</v>
      </c>
      <c r="S549" t="s">
        <v>5100</v>
      </c>
      <c r="T549" t="str" cm="1">
        <f t="array" ref="T549">_xlfn.IFS(
  TEXT(TRIM(S549),"00000")="NULL", "Missing/Unknown",
  OR(TEXT(TRIM(S549),"00000")="89101", TEXT(TRIM(S549),"00000")="89104", TEXT(TRIM(S549),"00000")="89106", TEXT(TRIM(S549),"00000")="89102", TEXT(TRIM(S549),"00000")="89107", TEXT(TRIM(S549),"00000")="89108"), "Urban Core",
  OR(TEXT(TRIM(S549),"00000")="89110", TEXT(TRIM(S549),"00000")="89115", TEXT(TRIM(S549),"00000")="89121", TEXT(TRIM(S549),"00000")="89122", TEXT(TRIM(S549),"00000")="89142", TEXT(TRIM(S549),"00000")="89156"), "East Valley",
  OR(TEXT(TRIM(S549),"00000")="89030", TEXT(TRIM(S549),"00000")="89031", TEXT(TRIM(S549),"00000")="89032", TEXT(TRIM(S549),"00000")="89086", TEXT(TRIM(S549),"00000")="89084", TEXT(TRIM(S549),"00000")="89081"), "North LV",
  OR(TEXT(TRIM(S549),"00000")="89109", TEXT(TRIM(S549),"00000")="89103", TEXT(TRIM(S549),"00000")="89119", TEXT(TRIM(S549),"00000")="89123", TEXT(TRIM(S549),"00000")="89169", TEXT(TRIM(S549),"00000")="89118"), "South/Strip",
  OR(TEXT(TRIM(S549),"00000")="89074", TEXT(TRIM(S549),"00000")="89014", TEXT(TRIM(S549),"00000")="89015", TEXT(TRIM(S549),"00000")="89011", TEXT(TRIM(S549),"00000")="89012"), "Suburban SE",
  OR(TEXT(TRIM(S549),"00000")="89117", TEXT(TRIM(S549),"00000")="89128", TEXT(TRIM(S549),"00000")="89135", TEXT(TRIM(S549),"00000")="89144", TEXT(TRIM(S549),"00000")="89145", TEXT(TRIM(S549),"00000")="89147"), "West Valley",
  TRUE, "Other"
)</f>
        <v>North LV</v>
      </c>
      <c r="U549" t="s">
        <v>4305</v>
      </c>
      <c r="V549" t="str">
        <f t="shared" si="35"/>
        <v>Medical Facility</v>
      </c>
    </row>
    <row r="550" spans="1:22">
      <c r="A550" t="s">
        <v>780</v>
      </c>
      <c r="B550" t="s">
        <v>781</v>
      </c>
      <c r="C550" s="1">
        <v>45135</v>
      </c>
      <c r="D550" s="4">
        <v>113</v>
      </c>
      <c r="E550">
        <v>47</v>
      </c>
      <c r="F550" t="str">
        <f t="shared" si="32"/>
        <v>40's</v>
      </c>
      <c r="G550" t="str" cm="1">
        <f t="array" ref="G550">_xlfn.IFS(
  F550="10's", "Child (5–12)",
  OR(F550="20's", F550="30's"), "Young Adult (20–39)",
  OR(F550="40's", F550="50's"), "Adult (40–59)",
  OR(F550="60's", F550="70's", F550="80's", F550="90's"), "Senior (60+)",
  TRUE, "Unknown"
)</f>
        <v>Adult (40–59)</v>
      </c>
      <c r="H550" t="s">
        <v>4309</v>
      </c>
      <c r="I550" t="s">
        <v>54</v>
      </c>
      <c r="J550" t="str">
        <f t="shared" si="33"/>
        <v>Environmental Heat</v>
      </c>
      <c r="K550" t="s">
        <v>782</v>
      </c>
      <c r="L550" t="s">
        <v>250</v>
      </c>
      <c r="M550" t="s">
        <v>4636</v>
      </c>
      <c r="N550" t="s">
        <v>5101</v>
      </c>
      <c r="O550" t="str" cm="1">
        <f t="array" ref="O550">_xlfn.IFS(
  TEXT(TRIM(N550),"00000")="NULL", "Missing/Unknown",
  OR(TEXT(TRIM(N550),"00000")="89101", TEXT(TRIM(N550),"00000")="89104", TEXT(TRIM(N550),"00000")="89106", TEXT(TRIM(N550),"00000")="89102", TEXT(TRIM(N550),"00000")="89107", TEXT(TRIM(N550),"00000")="89108"), "Urban Core",
  OR(TEXT(TRIM(N550),"00000")="89110", TEXT(TRIM(N550),"00000")="89115", TEXT(TRIM(N550),"00000")="89121", TEXT(TRIM(N550),"00000")="89122", TEXT(TRIM(N550),"00000")="89142", TEXT(TRIM(N550),"00000")="89156"), "East Valley",
  OR(TEXT(TRIM(N550),"00000")="89030", TEXT(TRIM(N550),"00000")="89031", TEXT(TRIM(N550),"00000")="89032", TEXT(TRIM(N550),"00000")="89086", TEXT(TRIM(N550),"00000")="89084", TEXT(TRIM(N550),"00000")="89081"), "North LV",
  OR(TEXT(TRIM(N550),"00000")="89109", TEXT(TRIM(N550),"00000")="89103", TEXT(TRIM(N550),"00000")="89119", TEXT(TRIM(N550),"00000")="89123", TEXT(TRIM(N550),"00000")="89169", TEXT(TRIM(N550),"00000")="89118"), "South/Strip",
  OR(TEXT(TRIM(N550),"00000")="89074", TEXT(TRIM(N550),"00000")="89014", TEXT(TRIM(N550),"00000")="89015", TEXT(TRIM(N550),"00000")="89011", TEXT(TRIM(N550),"00000")="89012"), "Suburban SE",
  OR(TEXT(TRIM(N550),"00000")="89117", TEXT(TRIM(N550),"00000")="89128", TEXT(TRIM(N550),"00000")="89135", TEXT(TRIM(N550),"00000")="89144", TEXT(TRIM(N550),"00000")="89145", TEXT(TRIM(N550),"00000")="89147"), "West Valley",
  TRUE, "Other"
)</f>
        <v>Urban Core</v>
      </c>
      <c r="P550" t="s">
        <v>3298</v>
      </c>
      <c r="Q550" t="str">
        <f t="shared" si="34"/>
        <v>Outdoors/Public</v>
      </c>
      <c r="R550" t="s">
        <v>4636</v>
      </c>
      <c r="S550" t="s">
        <v>5101</v>
      </c>
      <c r="T550" t="str" cm="1">
        <f t="array" ref="T550">_xlfn.IFS(
  TEXT(TRIM(S550),"00000")="NULL", "Missing/Unknown",
  OR(TEXT(TRIM(S550),"00000")="89101", TEXT(TRIM(S550),"00000")="89104", TEXT(TRIM(S550),"00000")="89106", TEXT(TRIM(S550),"00000")="89102", TEXT(TRIM(S550),"00000")="89107", TEXT(TRIM(S550),"00000")="89108"), "Urban Core",
  OR(TEXT(TRIM(S550),"00000")="89110", TEXT(TRIM(S550),"00000")="89115", TEXT(TRIM(S550),"00000")="89121", TEXT(TRIM(S550),"00000")="89122", TEXT(TRIM(S550),"00000")="89142", TEXT(TRIM(S550),"00000")="89156"), "East Valley",
  OR(TEXT(TRIM(S550),"00000")="89030", TEXT(TRIM(S550),"00000")="89031", TEXT(TRIM(S550),"00000")="89032", TEXT(TRIM(S550),"00000")="89086", TEXT(TRIM(S550),"00000")="89084", TEXT(TRIM(S550),"00000")="89081"), "North LV",
  OR(TEXT(TRIM(S550),"00000")="89109", TEXT(TRIM(S550),"00000")="89103", TEXT(TRIM(S550),"00000")="89119", TEXT(TRIM(S550),"00000")="89123", TEXT(TRIM(S550),"00000")="89169", TEXT(TRIM(S550),"00000")="89118"), "South/Strip",
  OR(TEXT(TRIM(S550),"00000")="89074", TEXT(TRIM(S550),"00000")="89014", TEXT(TRIM(S550),"00000")="89015", TEXT(TRIM(S550),"00000")="89011", TEXT(TRIM(S550),"00000")="89012"), "Suburban SE",
  OR(TEXT(TRIM(S550),"00000")="89117", TEXT(TRIM(S550),"00000")="89128", TEXT(TRIM(S550),"00000")="89135", TEXT(TRIM(S550),"00000")="89144", TEXT(TRIM(S550),"00000")="89145", TEXT(TRIM(S550),"00000")="89147"), "West Valley",
  TRUE, "Other"
)</f>
        <v>Urban Core</v>
      </c>
      <c r="U550" t="s">
        <v>3298</v>
      </c>
      <c r="V550" t="str">
        <f t="shared" si="35"/>
        <v>Outdoors/Public</v>
      </c>
    </row>
    <row r="551" spans="1:22">
      <c r="A551" t="s">
        <v>825</v>
      </c>
      <c r="B551" t="s">
        <v>826</v>
      </c>
      <c r="C551" s="1">
        <v>45135</v>
      </c>
      <c r="D551" s="4">
        <v>113</v>
      </c>
      <c r="E551">
        <v>68</v>
      </c>
      <c r="F551" t="str">
        <f t="shared" si="32"/>
        <v>60's</v>
      </c>
      <c r="G551" t="str" cm="1">
        <f t="array" ref="G551">_xlfn.IFS(
  F551="10's", "Child (5–12)",
  OR(F551="20's", F551="30's"), "Young Adult (20–39)",
  OR(F551="40's", F551="50's"), "Adult (40–59)",
  OR(F551="60's", F551="70's", F551="80's", F551="90's"), "Senior (60+)",
  TRUE, "Unknown"
)</f>
        <v>Senior (60+)</v>
      </c>
      <c r="H551" t="s">
        <v>841</v>
      </c>
      <c r="I551" t="s">
        <v>135</v>
      </c>
      <c r="J551" t="str">
        <f t="shared" si="33"/>
        <v>Methamphetamine-related</v>
      </c>
      <c r="K551" t="s">
        <v>35</v>
      </c>
      <c r="L551" t="s">
        <v>250</v>
      </c>
      <c r="M551" t="s">
        <v>4743</v>
      </c>
      <c r="N551" t="s">
        <v>5119</v>
      </c>
      <c r="O551" t="str" cm="1">
        <f t="array" ref="O551">_xlfn.IFS(
  TEXT(TRIM(N551),"00000")="NULL", "Missing/Unknown",
  OR(TEXT(TRIM(N551),"00000")="89101", TEXT(TRIM(N551),"00000")="89104", TEXT(TRIM(N551),"00000")="89106", TEXT(TRIM(N551),"00000")="89102", TEXT(TRIM(N551),"00000")="89107", TEXT(TRIM(N551),"00000")="89108"), "Urban Core",
  OR(TEXT(TRIM(N551),"00000")="89110", TEXT(TRIM(N551),"00000")="89115", TEXT(TRIM(N551),"00000")="89121", TEXT(TRIM(N551),"00000")="89122", TEXT(TRIM(N551),"00000")="89142", TEXT(TRIM(N551),"00000")="89156"), "East Valley",
  OR(TEXT(TRIM(N551),"00000")="89030", TEXT(TRIM(N551),"00000")="89031", TEXT(TRIM(N551),"00000")="89032", TEXT(TRIM(N551),"00000")="89086", TEXT(TRIM(N551),"00000")="89084", TEXT(TRIM(N551),"00000")="89081"), "North LV",
  OR(TEXT(TRIM(N551),"00000")="89109", TEXT(TRIM(N551),"00000")="89103", TEXT(TRIM(N551),"00000")="89119", TEXT(TRIM(N551),"00000")="89123", TEXT(TRIM(N551),"00000")="89169", TEXT(TRIM(N551),"00000")="89118"), "South/Strip",
  OR(TEXT(TRIM(N551),"00000")="89074", TEXT(TRIM(N551),"00000")="89014", TEXT(TRIM(N551),"00000")="89015", TEXT(TRIM(N551),"00000")="89011", TEXT(TRIM(N551),"00000")="89012"), "Suburban SE",
  OR(TEXT(TRIM(N551),"00000")="89117", TEXT(TRIM(N551),"00000")="89128", TEXT(TRIM(N551),"00000")="89135", TEXT(TRIM(N551),"00000")="89144", TEXT(TRIM(N551),"00000")="89145", TEXT(TRIM(N551),"00000")="89147"), "West Valley",
  TRUE, "Other"
)</f>
        <v>Urban Core</v>
      </c>
      <c r="P551" t="s">
        <v>3298</v>
      </c>
      <c r="Q551" t="str">
        <f t="shared" si="34"/>
        <v>Outdoors/Public</v>
      </c>
      <c r="R551" t="s">
        <v>4743</v>
      </c>
      <c r="S551" t="s">
        <v>5119</v>
      </c>
      <c r="T551" t="str" cm="1">
        <f t="array" ref="T551">_xlfn.IFS(
  TEXT(TRIM(S551),"00000")="NULL", "Missing/Unknown",
  OR(TEXT(TRIM(S551),"00000")="89101", TEXT(TRIM(S551),"00000")="89104", TEXT(TRIM(S551),"00000")="89106", TEXT(TRIM(S551),"00000")="89102", TEXT(TRIM(S551),"00000")="89107", TEXT(TRIM(S551),"00000")="89108"), "Urban Core",
  OR(TEXT(TRIM(S551),"00000")="89110", TEXT(TRIM(S551),"00000")="89115", TEXT(TRIM(S551),"00000")="89121", TEXT(TRIM(S551),"00000")="89122", TEXT(TRIM(S551),"00000")="89142", TEXT(TRIM(S551),"00000")="89156"), "East Valley",
  OR(TEXT(TRIM(S551),"00000")="89030", TEXT(TRIM(S551),"00000")="89031", TEXT(TRIM(S551),"00000")="89032", TEXT(TRIM(S551),"00000")="89086", TEXT(TRIM(S551),"00000")="89084", TEXT(TRIM(S551),"00000")="89081"), "North LV",
  OR(TEXT(TRIM(S551),"00000")="89109", TEXT(TRIM(S551),"00000")="89103", TEXT(TRIM(S551),"00000")="89119", TEXT(TRIM(S551),"00000")="89123", TEXT(TRIM(S551),"00000")="89169", TEXT(TRIM(S551),"00000")="89118"), "South/Strip",
  OR(TEXT(TRIM(S551),"00000")="89074", TEXT(TRIM(S551),"00000")="89014", TEXT(TRIM(S551),"00000")="89015", TEXT(TRIM(S551),"00000")="89011", TEXT(TRIM(S551),"00000")="89012"), "Suburban SE",
  OR(TEXT(TRIM(S551),"00000")="89117", TEXT(TRIM(S551),"00000")="89128", TEXT(TRIM(S551),"00000")="89135", TEXT(TRIM(S551),"00000")="89144", TEXT(TRIM(S551),"00000")="89145", TEXT(TRIM(S551),"00000")="89147"), "West Valley",
  TRUE, "Other"
)</f>
        <v>Urban Core</v>
      </c>
      <c r="U551" t="s">
        <v>3298</v>
      </c>
      <c r="V551" t="str">
        <f t="shared" si="35"/>
        <v>Outdoors/Public</v>
      </c>
    </row>
    <row r="552" spans="1:22">
      <c r="A552" t="s">
        <v>798</v>
      </c>
      <c r="B552" t="s">
        <v>799</v>
      </c>
      <c r="C552" s="1">
        <v>45135</v>
      </c>
      <c r="D552" s="4">
        <v>113</v>
      </c>
      <c r="E552">
        <v>56</v>
      </c>
      <c r="F552" t="str">
        <f t="shared" si="32"/>
        <v>50's</v>
      </c>
      <c r="G552" t="str" cm="1">
        <f t="array" ref="G552">_xlfn.IFS(
  F552="10's", "Child (5–12)",
  OR(F552="20's", F552="30's"), "Young Adult (20–39)",
  OR(F552="40's", F552="50's"), "Adult (40–59)",
  OR(F552="60's", F552="70's", F552="80's", F552="90's"), "Senior (60+)",
  TRUE, "Unknown"
)</f>
        <v>Adult (40–59)</v>
      </c>
      <c r="H552" t="s">
        <v>4309</v>
      </c>
      <c r="I552" t="s">
        <v>54</v>
      </c>
      <c r="J552" t="str">
        <f t="shared" si="33"/>
        <v>Environmental Heat</v>
      </c>
      <c r="K552" t="s">
        <v>800</v>
      </c>
      <c r="L552" t="s">
        <v>250</v>
      </c>
      <c r="M552" t="s">
        <v>4741</v>
      </c>
      <c r="N552" t="s">
        <v>5108</v>
      </c>
      <c r="O552" t="str" cm="1">
        <f t="array" ref="O552">_xlfn.IFS(
  TEXT(TRIM(N552),"00000")="NULL", "Missing/Unknown",
  OR(TEXT(TRIM(N552),"00000")="89101", TEXT(TRIM(N552),"00000")="89104", TEXT(TRIM(N552),"00000")="89106", TEXT(TRIM(N552),"00000")="89102", TEXT(TRIM(N552),"00000")="89107", TEXT(TRIM(N552),"00000")="89108"), "Urban Core",
  OR(TEXT(TRIM(N552),"00000")="89110", TEXT(TRIM(N552),"00000")="89115", TEXT(TRIM(N552),"00000")="89121", TEXT(TRIM(N552),"00000")="89122", TEXT(TRIM(N552),"00000")="89142", TEXT(TRIM(N552),"00000")="89156"), "East Valley",
  OR(TEXT(TRIM(N552),"00000")="89030", TEXT(TRIM(N552),"00000")="89031", TEXT(TRIM(N552),"00000")="89032", TEXT(TRIM(N552),"00000")="89086", TEXT(TRIM(N552),"00000")="89084", TEXT(TRIM(N552),"00000")="89081"), "North LV",
  OR(TEXT(TRIM(N552),"00000")="89109", TEXT(TRIM(N552),"00000")="89103", TEXT(TRIM(N552),"00000")="89119", TEXT(TRIM(N552),"00000")="89123", TEXT(TRIM(N552),"00000")="89169", TEXT(TRIM(N552),"00000")="89118"), "South/Strip",
  OR(TEXT(TRIM(N552),"00000")="89074", TEXT(TRIM(N552),"00000")="89014", TEXT(TRIM(N552),"00000")="89015", TEXT(TRIM(N552),"00000")="89011", TEXT(TRIM(N552),"00000")="89012"), "Suburban SE",
  OR(TEXT(TRIM(N552),"00000")="89117", TEXT(TRIM(N552),"00000")="89128", TEXT(TRIM(N552),"00000")="89135", TEXT(TRIM(N552),"00000")="89144", TEXT(TRIM(N552),"00000")="89145", TEXT(TRIM(N552),"00000")="89147"), "West Valley",
  TRUE, "Other"
)</f>
        <v>East Valley</v>
      </c>
      <c r="P552" t="s">
        <v>3298</v>
      </c>
      <c r="Q552" t="str">
        <f t="shared" si="34"/>
        <v>Outdoors/Public</v>
      </c>
      <c r="R552" t="s">
        <v>4741</v>
      </c>
      <c r="S552" t="s">
        <v>5108</v>
      </c>
      <c r="T552" t="str" cm="1">
        <f t="array" ref="T552">_xlfn.IFS(
  TEXT(TRIM(S552),"00000")="NULL", "Missing/Unknown",
  OR(TEXT(TRIM(S552),"00000")="89101", TEXT(TRIM(S552),"00000")="89104", TEXT(TRIM(S552),"00000")="89106", TEXT(TRIM(S552),"00000")="89102", TEXT(TRIM(S552),"00000")="89107", TEXT(TRIM(S552),"00000")="89108"), "Urban Core",
  OR(TEXT(TRIM(S552),"00000")="89110", TEXT(TRIM(S552),"00000")="89115", TEXT(TRIM(S552),"00000")="89121", TEXT(TRIM(S552),"00000")="89122", TEXT(TRIM(S552),"00000")="89142", TEXT(TRIM(S552),"00000")="89156"), "East Valley",
  OR(TEXT(TRIM(S552),"00000")="89030", TEXT(TRIM(S552),"00000")="89031", TEXT(TRIM(S552),"00000")="89032", TEXT(TRIM(S552),"00000")="89086", TEXT(TRIM(S552),"00000")="89084", TEXT(TRIM(S552),"00000")="89081"), "North LV",
  OR(TEXT(TRIM(S552),"00000")="89109", TEXT(TRIM(S552),"00000")="89103", TEXT(TRIM(S552),"00000")="89119", TEXT(TRIM(S552),"00000")="89123", TEXT(TRIM(S552),"00000")="89169", TEXT(TRIM(S552),"00000")="89118"), "South/Strip",
  OR(TEXT(TRIM(S552),"00000")="89074", TEXT(TRIM(S552),"00000")="89014", TEXT(TRIM(S552),"00000")="89015", TEXT(TRIM(S552),"00000")="89011", TEXT(TRIM(S552),"00000")="89012"), "Suburban SE",
  OR(TEXT(TRIM(S552),"00000")="89117", TEXT(TRIM(S552),"00000")="89128", TEXT(TRIM(S552),"00000")="89135", TEXT(TRIM(S552),"00000")="89144", TEXT(TRIM(S552),"00000")="89145", TEXT(TRIM(S552),"00000")="89147"), "West Valley",
  TRUE, "Other"
)</f>
        <v>East Valley</v>
      </c>
      <c r="U552" t="s">
        <v>3298</v>
      </c>
      <c r="V552" t="str">
        <f t="shared" si="35"/>
        <v>Outdoors/Public</v>
      </c>
    </row>
    <row r="553" spans="1:22">
      <c r="A553" t="s">
        <v>802</v>
      </c>
      <c r="B553" t="s">
        <v>803</v>
      </c>
      <c r="C553" s="1">
        <v>45135</v>
      </c>
      <c r="D553" s="4">
        <v>113</v>
      </c>
      <c r="E553">
        <v>72</v>
      </c>
      <c r="F553" t="str">
        <f t="shared" si="32"/>
        <v>70's</v>
      </c>
      <c r="G553" t="str" cm="1">
        <f t="array" ref="G553">_xlfn.IFS(
  F553="10's", "Child (5–12)",
  OR(F553="20's", F553="30's"), "Young Adult (20–39)",
  OR(F553="40's", F553="50's"), "Adult (40–59)",
  OR(F553="60's", F553="70's", F553="80's", F553="90's"), "Senior (60+)",
  TRUE, "Unknown"
)</f>
        <v>Senior (60+)</v>
      </c>
      <c r="H553" t="s">
        <v>841</v>
      </c>
      <c r="I553" t="s">
        <v>54</v>
      </c>
      <c r="J553" t="str">
        <f t="shared" si="33"/>
        <v>Environmental Heat</v>
      </c>
      <c r="K553" t="s">
        <v>804</v>
      </c>
      <c r="L553" t="s">
        <v>1071</v>
      </c>
      <c r="M553" t="s">
        <v>4370</v>
      </c>
      <c r="N553" t="s">
        <v>5098</v>
      </c>
      <c r="O553" t="str" cm="1">
        <f t="array" ref="O553">_xlfn.IFS(
  TEXT(TRIM(N553),"00000")="NULL", "Missing/Unknown",
  OR(TEXT(TRIM(N553),"00000")="89101", TEXT(TRIM(N553),"00000")="89104", TEXT(TRIM(N553),"00000")="89106", TEXT(TRIM(N553),"00000")="89102", TEXT(TRIM(N553),"00000")="89107", TEXT(TRIM(N553),"00000")="89108"), "Urban Core",
  OR(TEXT(TRIM(N553),"00000")="89110", TEXT(TRIM(N553),"00000")="89115", TEXT(TRIM(N553),"00000")="89121", TEXT(TRIM(N553),"00000")="89122", TEXT(TRIM(N553),"00000")="89142", TEXT(TRIM(N553),"00000")="89156"), "East Valley",
  OR(TEXT(TRIM(N553),"00000")="89030", TEXT(TRIM(N553),"00000")="89031", TEXT(TRIM(N553),"00000")="89032", TEXT(TRIM(N553),"00000")="89086", TEXT(TRIM(N553),"00000")="89084", TEXT(TRIM(N553),"00000")="89081"), "North LV",
  OR(TEXT(TRIM(N553),"00000")="89109", TEXT(TRIM(N553),"00000")="89103", TEXT(TRIM(N553),"00000")="89119", TEXT(TRIM(N553),"00000")="89123", TEXT(TRIM(N553),"00000")="89169", TEXT(TRIM(N553),"00000")="89118"), "South/Strip",
  OR(TEXT(TRIM(N553),"00000")="89074", TEXT(TRIM(N553),"00000")="89014", TEXT(TRIM(N553),"00000")="89015", TEXT(TRIM(N553),"00000")="89011", TEXT(TRIM(N553),"00000")="89012"), "Suburban SE",
  OR(TEXT(TRIM(N553),"00000")="89117", TEXT(TRIM(N553),"00000")="89128", TEXT(TRIM(N553),"00000")="89135", TEXT(TRIM(N553),"00000")="89144", TEXT(TRIM(N553),"00000")="89145", TEXT(TRIM(N553),"00000")="89147"), "West Valley",
  TRUE, "Other"
)</f>
        <v>Urban Core</v>
      </c>
      <c r="P553" t="s">
        <v>38</v>
      </c>
      <c r="Q553" t="str">
        <f t="shared" si="34"/>
        <v>Home/Residence</v>
      </c>
      <c r="R553" t="s">
        <v>4370</v>
      </c>
      <c r="S553" t="s">
        <v>5098</v>
      </c>
      <c r="T553" t="str" cm="1">
        <f t="array" ref="T553">_xlfn.IFS(
  TEXT(TRIM(S553),"00000")="NULL", "Missing/Unknown",
  OR(TEXT(TRIM(S553),"00000")="89101", TEXT(TRIM(S553),"00000")="89104", TEXT(TRIM(S553),"00000")="89106", TEXT(TRIM(S553),"00000")="89102", TEXT(TRIM(S553),"00000")="89107", TEXT(TRIM(S553),"00000")="89108"), "Urban Core",
  OR(TEXT(TRIM(S553),"00000")="89110", TEXT(TRIM(S553),"00000")="89115", TEXT(TRIM(S553),"00000")="89121", TEXT(TRIM(S553),"00000")="89122", TEXT(TRIM(S553),"00000")="89142", TEXT(TRIM(S553),"00000")="89156"), "East Valley",
  OR(TEXT(TRIM(S553),"00000")="89030", TEXT(TRIM(S553),"00000")="89031", TEXT(TRIM(S553),"00000")="89032", TEXT(TRIM(S553),"00000")="89086", TEXT(TRIM(S553),"00000")="89084", TEXT(TRIM(S553),"00000")="89081"), "North LV",
  OR(TEXT(TRIM(S553),"00000")="89109", TEXT(TRIM(S553),"00000")="89103", TEXT(TRIM(S553),"00000")="89119", TEXT(TRIM(S553),"00000")="89123", TEXT(TRIM(S553),"00000")="89169", TEXT(TRIM(S553),"00000")="89118"), "South/Strip",
  OR(TEXT(TRIM(S553),"00000")="89074", TEXT(TRIM(S553),"00000")="89014", TEXT(TRIM(S553),"00000")="89015", TEXT(TRIM(S553),"00000")="89011", TEXT(TRIM(S553),"00000")="89012"), "Suburban SE",
  OR(TEXT(TRIM(S553),"00000")="89117", TEXT(TRIM(S553),"00000")="89128", TEXT(TRIM(S553),"00000")="89135", TEXT(TRIM(S553),"00000")="89144", TEXT(TRIM(S553),"00000")="89145", TEXT(TRIM(S553),"00000")="89147"), "West Valley",
  TRUE, "Other"
)</f>
        <v>Urban Core</v>
      </c>
      <c r="U553" t="s">
        <v>38</v>
      </c>
      <c r="V553" t="str">
        <f t="shared" si="35"/>
        <v>Home/Residence</v>
      </c>
    </row>
    <row r="554" spans="1:22">
      <c r="A554" t="s">
        <v>814</v>
      </c>
      <c r="B554" t="s">
        <v>815</v>
      </c>
      <c r="C554" s="1">
        <v>45135</v>
      </c>
      <c r="D554" s="4">
        <v>113</v>
      </c>
      <c r="E554">
        <v>49</v>
      </c>
      <c r="F554" t="str">
        <f t="shared" si="32"/>
        <v>40's</v>
      </c>
      <c r="G554" t="str" cm="1">
        <f t="array" ref="G554">_xlfn.IFS(
  F554="10's", "Child (5–12)",
  OR(F554="20's", F554="30's"), "Young Adult (20–39)",
  OR(F554="40's", F554="50's"), "Adult (40–59)",
  OR(F554="60's", F554="70's", F554="80's", F554="90's"), "Senior (60+)",
  TRUE, "Unknown"
)</f>
        <v>Adult (40–59)</v>
      </c>
      <c r="H554" t="s">
        <v>841</v>
      </c>
      <c r="I554" t="s">
        <v>816</v>
      </c>
      <c r="J554" t="str">
        <f t="shared" si="33"/>
        <v>Methamphetamine-related</v>
      </c>
      <c r="K554" t="s">
        <v>35</v>
      </c>
      <c r="L554" t="s">
        <v>250</v>
      </c>
      <c r="M554" t="s">
        <v>4742</v>
      </c>
      <c r="N554" t="s">
        <v>5098</v>
      </c>
      <c r="O554" t="str" cm="1">
        <f t="array" ref="O554">_xlfn.IFS(
  TEXT(TRIM(N554),"00000")="NULL", "Missing/Unknown",
  OR(TEXT(TRIM(N554),"00000")="89101", TEXT(TRIM(N554),"00000")="89104", TEXT(TRIM(N554),"00000")="89106", TEXT(TRIM(N554),"00000")="89102", TEXT(TRIM(N554),"00000")="89107", TEXT(TRIM(N554),"00000")="89108"), "Urban Core",
  OR(TEXT(TRIM(N554),"00000")="89110", TEXT(TRIM(N554),"00000")="89115", TEXT(TRIM(N554),"00000")="89121", TEXT(TRIM(N554),"00000")="89122", TEXT(TRIM(N554),"00000")="89142", TEXT(TRIM(N554),"00000")="89156"), "East Valley",
  OR(TEXT(TRIM(N554),"00000")="89030", TEXT(TRIM(N554),"00000")="89031", TEXT(TRIM(N554),"00000")="89032", TEXT(TRIM(N554),"00000")="89086", TEXT(TRIM(N554),"00000")="89084", TEXT(TRIM(N554),"00000")="89081"), "North LV",
  OR(TEXT(TRIM(N554),"00000")="89109", TEXT(TRIM(N554),"00000")="89103", TEXT(TRIM(N554),"00000")="89119", TEXT(TRIM(N554),"00000")="89123", TEXT(TRIM(N554),"00000")="89169", TEXT(TRIM(N554),"00000")="89118"), "South/Strip",
  OR(TEXT(TRIM(N554),"00000")="89074", TEXT(TRIM(N554),"00000")="89014", TEXT(TRIM(N554),"00000")="89015", TEXT(TRIM(N554),"00000")="89011", TEXT(TRIM(N554),"00000")="89012"), "Suburban SE",
  OR(TEXT(TRIM(N554),"00000")="89117", TEXT(TRIM(N554),"00000")="89128", TEXT(TRIM(N554),"00000")="89135", TEXT(TRIM(N554),"00000")="89144", TEXT(TRIM(N554),"00000")="89145", TEXT(TRIM(N554),"00000")="89147"), "West Valley",
  TRUE, "Other"
)</f>
        <v>Urban Core</v>
      </c>
      <c r="P554" t="s">
        <v>3298</v>
      </c>
      <c r="Q554" t="str">
        <f t="shared" si="34"/>
        <v>Outdoors/Public</v>
      </c>
      <c r="R554" t="s">
        <v>4742</v>
      </c>
      <c r="S554" t="s">
        <v>5098</v>
      </c>
      <c r="T554" t="str" cm="1">
        <f t="array" ref="T554">_xlfn.IFS(
  TEXT(TRIM(S554),"00000")="NULL", "Missing/Unknown",
  OR(TEXT(TRIM(S554),"00000")="89101", TEXT(TRIM(S554),"00000")="89104", TEXT(TRIM(S554),"00000")="89106", TEXT(TRIM(S554),"00000")="89102", TEXT(TRIM(S554),"00000")="89107", TEXT(TRIM(S554),"00000")="89108"), "Urban Core",
  OR(TEXT(TRIM(S554),"00000")="89110", TEXT(TRIM(S554),"00000")="89115", TEXT(TRIM(S554),"00000")="89121", TEXT(TRIM(S554),"00000")="89122", TEXT(TRIM(S554),"00000")="89142", TEXT(TRIM(S554),"00000")="89156"), "East Valley",
  OR(TEXT(TRIM(S554),"00000")="89030", TEXT(TRIM(S554),"00000")="89031", TEXT(TRIM(S554),"00000")="89032", TEXT(TRIM(S554),"00000")="89086", TEXT(TRIM(S554),"00000")="89084", TEXT(TRIM(S554),"00000")="89081"), "North LV",
  OR(TEXT(TRIM(S554),"00000")="89109", TEXT(TRIM(S554),"00000")="89103", TEXT(TRIM(S554),"00000")="89119", TEXT(TRIM(S554),"00000")="89123", TEXT(TRIM(S554),"00000")="89169", TEXT(TRIM(S554),"00000")="89118"), "South/Strip",
  OR(TEXT(TRIM(S554),"00000")="89074", TEXT(TRIM(S554),"00000")="89014", TEXT(TRIM(S554),"00000")="89015", TEXT(TRIM(S554),"00000")="89011", TEXT(TRIM(S554),"00000")="89012"), "Suburban SE",
  OR(TEXT(TRIM(S554),"00000")="89117", TEXT(TRIM(S554),"00000")="89128", TEXT(TRIM(S554),"00000")="89135", TEXT(TRIM(S554),"00000")="89144", TEXT(TRIM(S554),"00000")="89145", TEXT(TRIM(S554),"00000")="89147"), "West Valley",
  TRUE, "Other"
)</f>
        <v>Urban Core</v>
      </c>
      <c r="U554" t="s">
        <v>3298</v>
      </c>
      <c r="V554" t="str">
        <f t="shared" si="35"/>
        <v>Outdoors/Public</v>
      </c>
    </row>
    <row r="555" spans="1:22">
      <c r="A555" t="s">
        <v>791</v>
      </c>
      <c r="B555" t="s">
        <v>792</v>
      </c>
      <c r="C555" s="1">
        <v>45135</v>
      </c>
      <c r="D555" s="4">
        <v>113</v>
      </c>
      <c r="E555">
        <v>64</v>
      </c>
      <c r="F555" t="str">
        <f t="shared" si="32"/>
        <v>60's</v>
      </c>
      <c r="G555" t="str" cm="1">
        <f t="array" ref="G555">_xlfn.IFS(
  F555="10's", "Child (5–12)",
  OR(F555="20's", F555="30's"), "Young Adult (20–39)",
  OR(F555="40's", F555="50's"), "Adult (40–59)",
  OR(F555="60's", F555="70's", F555="80's", F555="90's"), "Senior (60+)",
  TRUE, "Unknown"
)</f>
        <v>Senior (60+)</v>
      </c>
      <c r="H555" t="s">
        <v>778</v>
      </c>
      <c r="I555" t="s">
        <v>54</v>
      </c>
      <c r="J555" t="str">
        <f t="shared" si="33"/>
        <v>Environmental Heat</v>
      </c>
      <c r="K555" t="s">
        <v>793</v>
      </c>
      <c r="L555" t="s">
        <v>1071</v>
      </c>
      <c r="M555" t="s">
        <v>4369</v>
      </c>
      <c r="N555" t="s">
        <v>5106</v>
      </c>
      <c r="O555" t="str" cm="1">
        <f t="array" ref="O555">_xlfn.IFS(
  TEXT(TRIM(N555),"00000")="NULL", "Missing/Unknown",
  OR(TEXT(TRIM(N555),"00000")="89101", TEXT(TRIM(N555),"00000")="89104", TEXT(TRIM(N555),"00000")="89106", TEXT(TRIM(N555),"00000")="89102", TEXT(TRIM(N555),"00000")="89107", TEXT(TRIM(N555),"00000")="89108"), "Urban Core",
  OR(TEXT(TRIM(N555),"00000")="89110", TEXT(TRIM(N555),"00000")="89115", TEXT(TRIM(N555),"00000")="89121", TEXT(TRIM(N555),"00000")="89122", TEXT(TRIM(N555),"00000")="89142", TEXT(TRIM(N555),"00000")="89156"), "East Valley",
  OR(TEXT(TRIM(N555),"00000")="89030", TEXT(TRIM(N555),"00000")="89031", TEXT(TRIM(N555),"00000")="89032", TEXT(TRIM(N555),"00000")="89086", TEXT(TRIM(N555),"00000")="89084", TEXT(TRIM(N555),"00000")="89081"), "North LV",
  OR(TEXT(TRIM(N555),"00000")="89109", TEXT(TRIM(N555),"00000")="89103", TEXT(TRIM(N555),"00000")="89119", TEXT(TRIM(N555),"00000")="89123", TEXT(TRIM(N555),"00000")="89169", TEXT(TRIM(N555),"00000")="89118"), "South/Strip",
  OR(TEXT(TRIM(N555),"00000")="89074", TEXT(TRIM(N555),"00000")="89014", TEXT(TRIM(N555),"00000")="89015", TEXT(TRIM(N555),"00000")="89011", TEXT(TRIM(N555),"00000")="89012"), "Suburban SE",
  OR(TEXT(TRIM(N555),"00000")="89117", TEXT(TRIM(N555),"00000")="89128", TEXT(TRIM(N555),"00000")="89135", TEXT(TRIM(N555),"00000")="89144", TEXT(TRIM(N555),"00000")="89145", TEXT(TRIM(N555),"00000")="89147"), "West Valley",
  TRUE, "Other"
)</f>
        <v>East Valley</v>
      </c>
      <c r="P555" t="s">
        <v>38</v>
      </c>
      <c r="Q555" t="str">
        <f t="shared" si="34"/>
        <v>Home/Residence</v>
      </c>
      <c r="R555" t="s">
        <v>4369</v>
      </c>
      <c r="S555" t="s">
        <v>5106</v>
      </c>
      <c r="T555" t="str" cm="1">
        <f t="array" ref="T555">_xlfn.IFS(
  TEXT(TRIM(S555),"00000")="NULL", "Missing/Unknown",
  OR(TEXT(TRIM(S555),"00000")="89101", TEXT(TRIM(S555),"00000")="89104", TEXT(TRIM(S555),"00000")="89106", TEXT(TRIM(S555),"00000")="89102", TEXT(TRIM(S555),"00000")="89107", TEXT(TRIM(S555),"00000")="89108"), "Urban Core",
  OR(TEXT(TRIM(S555),"00000")="89110", TEXT(TRIM(S555),"00000")="89115", TEXT(TRIM(S555),"00000")="89121", TEXT(TRIM(S555),"00000")="89122", TEXT(TRIM(S555),"00000")="89142", TEXT(TRIM(S555),"00000")="89156"), "East Valley",
  OR(TEXT(TRIM(S555),"00000")="89030", TEXT(TRIM(S555),"00000")="89031", TEXT(TRIM(S555),"00000")="89032", TEXT(TRIM(S555),"00000")="89086", TEXT(TRIM(S555),"00000")="89084", TEXT(TRIM(S555),"00000")="89081"), "North LV",
  OR(TEXT(TRIM(S555),"00000")="89109", TEXT(TRIM(S555),"00000")="89103", TEXT(TRIM(S555),"00000")="89119", TEXT(TRIM(S555),"00000")="89123", TEXT(TRIM(S555),"00000")="89169", TEXT(TRIM(S555),"00000")="89118"), "South/Strip",
  OR(TEXT(TRIM(S555),"00000")="89074", TEXT(TRIM(S555),"00000")="89014", TEXT(TRIM(S555),"00000")="89015", TEXT(TRIM(S555),"00000")="89011", TEXT(TRIM(S555),"00000")="89012"), "Suburban SE",
  OR(TEXT(TRIM(S555),"00000")="89117", TEXT(TRIM(S555),"00000")="89128", TEXT(TRIM(S555),"00000")="89135", TEXT(TRIM(S555),"00000")="89144", TEXT(TRIM(S555),"00000")="89145", TEXT(TRIM(S555),"00000")="89147"), "West Valley",
  TRUE, "Other"
)</f>
        <v>East Valley</v>
      </c>
      <c r="U555" t="s">
        <v>38</v>
      </c>
      <c r="V555" t="str">
        <f t="shared" si="35"/>
        <v>Home/Residence</v>
      </c>
    </row>
    <row r="556" spans="1:22">
      <c r="A556" t="s">
        <v>808</v>
      </c>
      <c r="B556" t="s">
        <v>809</v>
      </c>
      <c r="C556" s="1">
        <v>45135</v>
      </c>
      <c r="D556" s="4">
        <v>113</v>
      </c>
      <c r="E556">
        <v>71</v>
      </c>
      <c r="F556" t="str">
        <f t="shared" si="32"/>
        <v>70's</v>
      </c>
      <c r="G556" t="str" cm="1">
        <f t="array" ref="G556">_xlfn.IFS(
  F556="10's", "Child (5–12)",
  OR(F556="20's", F556="30's"), "Young Adult (20–39)",
  OR(F556="40's", F556="50's"), "Adult (40–59)",
  OR(F556="60's", F556="70's", F556="80's", F556="90's"), "Senior (60+)",
  TRUE, "Unknown"
)</f>
        <v>Senior (60+)</v>
      </c>
      <c r="H556" t="s">
        <v>841</v>
      </c>
      <c r="I556" t="s">
        <v>54</v>
      </c>
      <c r="J556" t="str">
        <f t="shared" si="33"/>
        <v>Environmental Heat</v>
      </c>
      <c r="K556" t="s">
        <v>810</v>
      </c>
      <c r="L556" t="s">
        <v>1071</v>
      </c>
      <c r="M556" t="s">
        <v>4371</v>
      </c>
      <c r="N556" t="s">
        <v>5099</v>
      </c>
      <c r="O556" t="str" cm="1">
        <f t="array" ref="O556">_xlfn.IFS(
  TEXT(TRIM(N556),"00000")="NULL", "Missing/Unknown",
  OR(TEXT(TRIM(N556),"00000")="89101", TEXT(TRIM(N556),"00000")="89104", TEXT(TRIM(N556),"00000")="89106", TEXT(TRIM(N556),"00000")="89102", TEXT(TRIM(N556),"00000")="89107", TEXT(TRIM(N556),"00000")="89108"), "Urban Core",
  OR(TEXT(TRIM(N556),"00000")="89110", TEXT(TRIM(N556),"00000")="89115", TEXT(TRIM(N556),"00000")="89121", TEXT(TRIM(N556),"00000")="89122", TEXT(TRIM(N556),"00000")="89142", TEXT(TRIM(N556),"00000")="89156"), "East Valley",
  OR(TEXT(TRIM(N556),"00000")="89030", TEXT(TRIM(N556),"00000")="89031", TEXT(TRIM(N556),"00000")="89032", TEXT(TRIM(N556),"00000")="89086", TEXT(TRIM(N556),"00000")="89084", TEXT(TRIM(N556),"00000")="89081"), "North LV",
  OR(TEXT(TRIM(N556),"00000")="89109", TEXT(TRIM(N556),"00000")="89103", TEXT(TRIM(N556),"00000")="89119", TEXT(TRIM(N556),"00000")="89123", TEXT(TRIM(N556),"00000")="89169", TEXT(TRIM(N556),"00000")="89118"), "South/Strip",
  OR(TEXT(TRIM(N556),"00000")="89074", TEXT(TRIM(N556),"00000")="89014", TEXT(TRIM(N556),"00000")="89015", TEXT(TRIM(N556),"00000")="89011", TEXT(TRIM(N556),"00000")="89012"), "Suburban SE",
  OR(TEXT(TRIM(N556),"00000")="89117", TEXT(TRIM(N556),"00000")="89128", TEXT(TRIM(N556),"00000")="89135", TEXT(TRIM(N556),"00000")="89144", TEXT(TRIM(N556),"00000")="89145", TEXT(TRIM(N556),"00000")="89147"), "West Valley",
  TRUE, "Other"
)</f>
        <v>Urban Core</v>
      </c>
      <c r="P556" t="s">
        <v>38</v>
      </c>
      <c r="Q556" t="str">
        <f t="shared" si="34"/>
        <v>Home/Residence</v>
      </c>
      <c r="R556" t="s">
        <v>4371</v>
      </c>
      <c r="S556" t="s">
        <v>5099</v>
      </c>
      <c r="T556" t="str" cm="1">
        <f t="array" ref="T556">_xlfn.IFS(
  TEXT(TRIM(S556),"00000")="NULL", "Missing/Unknown",
  OR(TEXT(TRIM(S556),"00000")="89101", TEXT(TRIM(S556),"00000")="89104", TEXT(TRIM(S556),"00000")="89106", TEXT(TRIM(S556),"00000")="89102", TEXT(TRIM(S556),"00000")="89107", TEXT(TRIM(S556),"00000")="89108"), "Urban Core",
  OR(TEXT(TRIM(S556),"00000")="89110", TEXT(TRIM(S556),"00000")="89115", TEXT(TRIM(S556),"00000")="89121", TEXT(TRIM(S556),"00000")="89122", TEXT(TRIM(S556),"00000")="89142", TEXT(TRIM(S556),"00000")="89156"), "East Valley",
  OR(TEXT(TRIM(S556),"00000")="89030", TEXT(TRIM(S556),"00000")="89031", TEXT(TRIM(S556),"00000")="89032", TEXT(TRIM(S556),"00000")="89086", TEXT(TRIM(S556),"00000")="89084", TEXT(TRIM(S556),"00000")="89081"), "North LV",
  OR(TEXT(TRIM(S556),"00000")="89109", TEXT(TRIM(S556),"00000")="89103", TEXT(TRIM(S556),"00000")="89119", TEXT(TRIM(S556),"00000")="89123", TEXT(TRIM(S556),"00000")="89169", TEXT(TRIM(S556),"00000")="89118"), "South/Strip",
  OR(TEXT(TRIM(S556),"00000")="89074", TEXT(TRIM(S556),"00000")="89014", TEXT(TRIM(S556),"00000")="89015", TEXT(TRIM(S556),"00000")="89011", TEXT(TRIM(S556),"00000")="89012"), "Suburban SE",
  OR(TEXT(TRIM(S556),"00000")="89117", TEXT(TRIM(S556),"00000")="89128", TEXT(TRIM(S556),"00000")="89135", TEXT(TRIM(S556),"00000")="89144", TEXT(TRIM(S556),"00000")="89145", TEXT(TRIM(S556),"00000")="89147"), "West Valley",
  TRUE, "Other"
)</f>
        <v>Urban Core</v>
      </c>
      <c r="U556" t="s">
        <v>38</v>
      </c>
      <c r="V556" t="str">
        <f t="shared" si="35"/>
        <v>Home/Residence</v>
      </c>
    </row>
    <row r="557" spans="1:22">
      <c r="A557" t="s">
        <v>822</v>
      </c>
      <c r="B557" t="s">
        <v>823</v>
      </c>
      <c r="C557" s="1">
        <v>45135</v>
      </c>
      <c r="D557" s="4">
        <v>113</v>
      </c>
      <c r="E557">
        <v>32</v>
      </c>
      <c r="F557" t="str">
        <f t="shared" si="32"/>
        <v>30's</v>
      </c>
      <c r="G557" t="str" cm="1">
        <f t="array" ref="G557">_xlfn.IFS(
  F557="10's", "Child (5–12)",
  OR(F557="20's", F557="30's"), "Young Adult (20–39)",
  OR(F557="40's", F557="50's"), "Adult (40–59)",
  OR(F557="60's", F557="70's", F557="80's", F557="90's"), "Senior (60+)",
  TRUE, "Unknown"
)</f>
        <v>Young Adult (20–39)</v>
      </c>
      <c r="H557" t="s">
        <v>841</v>
      </c>
      <c r="I557" t="s">
        <v>54</v>
      </c>
      <c r="J557" t="str">
        <f t="shared" si="33"/>
        <v>Environmental Heat</v>
      </c>
      <c r="K557" t="s">
        <v>468</v>
      </c>
      <c r="L557" t="s">
        <v>1071</v>
      </c>
      <c r="M557" t="s">
        <v>4617</v>
      </c>
      <c r="N557" t="s">
        <v>5147</v>
      </c>
      <c r="O557" t="str" cm="1">
        <f t="array" ref="O557">_xlfn.IFS(
  TEXT(TRIM(N557),"00000")="NULL", "Missing/Unknown",
  OR(TEXT(TRIM(N557),"00000")="89101", TEXT(TRIM(N557),"00000")="89104", TEXT(TRIM(N557),"00000")="89106", TEXT(TRIM(N557),"00000")="89102", TEXT(TRIM(N557),"00000")="89107", TEXT(TRIM(N557),"00000")="89108"), "Urban Core",
  OR(TEXT(TRIM(N557),"00000")="89110", TEXT(TRIM(N557),"00000")="89115", TEXT(TRIM(N557),"00000")="89121", TEXT(TRIM(N557),"00000")="89122", TEXT(TRIM(N557),"00000")="89142", TEXT(TRIM(N557),"00000")="89156"), "East Valley",
  OR(TEXT(TRIM(N557),"00000")="89030", TEXT(TRIM(N557),"00000")="89031", TEXT(TRIM(N557),"00000")="89032", TEXT(TRIM(N557),"00000")="89086", TEXT(TRIM(N557),"00000")="89084", TEXT(TRIM(N557),"00000")="89081"), "North LV",
  OR(TEXT(TRIM(N557),"00000")="89109", TEXT(TRIM(N557),"00000")="89103", TEXT(TRIM(N557),"00000")="89119", TEXT(TRIM(N557),"00000")="89123", TEXT(TRIM(N557),"00000")="89169", TEXT(TRIM(N557),"00000")="89118"), "South/Strip",
  OR(TEXT(TRIM(N557),"00000")="89074", TEXT(TRIM(N557),"00000")="89014", TEXT(TRIM(N557),"00000")="89015", TEXT(TRIM(N557),"00000")="89011", TEXT(TRIM(N557),"00000")="89012"), "Suburban SE",
  OR(TEXT(TRIM(N557),"00000")="89117", TEXT(TRIM(N557),"00000")="89128", TEXT(TRIM(N557),"00000")="89135", TEXT(TRIM(N557),"00000")="89144", TEXT(TRIM(N557),"00000")="89145", TEXT(TRIM(N557),"00000")="89147"), "West Valley",
  TRUE, "Other"
)</f>
        <v>Other</v>
      </c>
      <c r="P557" t="s">
        <v>271</v>
      </c>
      <c r="Q557" t="str">
        <f t="shared" si="34"/>
        <v>Home/Residence</v>
      </c>
      <c r="R557" t="s">
        <v>4617</v>
      </c>
      <c r="S557" t="s">
        <v>5147</v>
      </c>
      <c r="T557" t="str" cm="1">
        <f t="array" ref="T557">_xlfn.IFS(
  TEXT(TRIM(S557),"00000")="NULL", "Missing/Unknown",
  OR(TEXT(TRIM(S557),"00000")="89101", TEXT(TRIM(S557),"00000")="89104", TEXT(TRIM(S557),"00000")="89106", TEXT(TRIM(S557),"00000")="89102", TEXT(TRIM(S557),"00000")="89107", TEXT(TRIM(S557),"00000")="89108"), "Urban Core",
  OR(TEXT(TRIM(S557),"00000")="89110", TEXT(TRIM(S557),"00000")="89115", TEXT(TRIM(S557),"00000")="89121", TEXT(TRIM(S557),"00000")="89122", TEXT(TRIM(S557),"00000")="89142", TEXT(TRIM(S557),"00000")="89156"), "East Valley",
  OR(TEXT(TRIM(S557),"00000")="89030", TEXT(TRIM(S557),"00000")="89031", TEXT(TRIM(S557),"00000")="89032", TEXT(TRIM(S557),"00000")="89086", TEXT(TRIM(S557),"00000")="89084", TEXT(TRIM(S557),"00000")="89081"), "North LV",
  OR(TEXT(TRIM(S557),"00000")="89109", TEXT(TRIM(S557),"00000")="89103", TEXT(TRIM(S557),"00000")="89119", TEXT(TRIM(S557),"00000")="89123", TEXT(TRIM(S557),"00000")="89169", TEXT(TRIM(S557),"00000")="89118"), "South/Strip",
  OR(TEXT(TRIM(S557),"00000")="89074", TEXT(TRIM(S557),"00000")="89014", TEXT(TRIM(S557),"00000")="89015", TEXT(TRIM(S557),"00000")="89011", TEXT(TRIM(S557),"00000")="89012"), "Suburban SE",
  OR(TEXT(TRIM(S557),"00000")="89117", TEXT(TRIM(S557),"00000")="89128", TEXT(TRIM(S557),"00000")="89135", TEXT(TRIM(S557),"00000")="89144", TEXT(TRIM(S557),"00000")="89145", TEXT(TRIM(S557),"00000")="89147"), "West Valley",
  TRUE, "Other"
)</f>
        <v>Other</v>
      </c>
      <c r="U557" t="s">
        <v>271</v>
      </c>
      <c r="V557" t="str">
        <f t="shared" si="35"/>
        <v>Home/Residence</v>
      </c>
    </row>
    <row r="558" spans="1:22">
      <c r="A558" t="s">
        <v>795</v>
      </c>
      <c r="B558" t="s">
        <v>796</v>
      </c>
      <c r="C558" s="1">
        <v>45135</v>
      </c>
      <c r="D558" s="4">
        <v>113</v>
      </c>
      <c r="E558">
        <v>31</v>
      </c>
      <c r="F558" t="str">
        <f t="shared" si="32"/>
        <v>30's</v>
      </c>
      <c r="G558" t="str" cm="1">
        <f t="array" ref="G558">_xlfn.IFS(
  F558="10's", "Child (5–12)",
  OR(F558="20's", F558="30's"), "Young Adult (20–39)",
  OR(F558="40's", F558="50's"), "Adult (40–59)",
  OR(F558="60's", F558="70's", F558="80's", F558="90's"), "Senior (60+)",
  TRUE, "Unknown"
)</f>
        <v>Young Adult (20–39)</v>
      </c>
      <c r="H558" t="s">
        <v>27</v>
      </c>
      <c r="I558" t="s">
        <v>135</v>
      </c>
      <c r="J558" t="str">
        <f t="shared" si="33"/>
        <v>Methamphetamine-related</v>
      </c>
      <c r="K558" t="s">
        <v>35</v>
      </c>
      <c r="L558" t="s">
        <v>250</v>
      </c>
      <c r="M558" t="s">
        <v>4740</v>
      </c>
      <c r="N558" t="s">
        <v>5115</v>
      </c>
      <c r="O558" t="str" cm="1">
        <f t="array" ref="O558">_xlfn.IFS(
  TEXT(TRIM(N558),"00000")="NULL", "Missing/Unknown",
  OR(TEXT(TRIM(N558),"00000")="89101", TEXT(TRIM(N558),"00000")="89104", TEXT(TRIM(N558),"00000")="89106", TEXT(TRIM(N558),"00000")="89102", TEXT(TRIM(N558),"00000")="89107", TEXT(TRIM(N558),"00000")="89108"), "Urban Core",
  OR(TEXT(TRIM(N558),"00000")="89110", TEXT(TRIM(N558),"00000")="89115", TEXT(TRIM(N558),"00000")="89121", TEXT(TRIM(N558),"00000")="89122", TEXT(TRIM(N558),"00000")="89142", TEXT(TRIM(N558),"00000")="89156"), "East Valley",
  OR(TEXT(TRIM(N558),"00000")="89030", TEXT(TRIM(N558),"00000")="89031", TEXT(TRIM(N558),"00000")="89032", TEXT(TRIM(N558),"00000")="89086", TEXT(TRIM(N558),"00000")="89084", TEXT(TRIM(N558),"00000")="89081"), "North LV",
  OR(TEXT(TRIM(N558),"00000")="89109", TEXT(TRIM(N558),"00000")="89103", TEXT(TRIM(N558),"00000")="89119", TEXT(TRIM(N558),"00000")="89123", TEXT(TRIM(N558),"00000")="89169", TEXT(TRIM(N558),"00000")="89118"), "South/Strip",
  OR(TEXT(TRIM(N558),"00000")="89074", TEXT(TRIM(N558),"00000")="89014", TEXT(TRIM(N558),"00000")="89015", TEXT(TRIM(N558),"00000")="89011", TEXT(TRIM(N558),"00000")="89012"), "Suburban SE",
  OR(TEXT(TRIM(N558),"00000")="89117", TEXT(TRIM(N558),"00000")="89128", TEXT(TRIM(N558),"00000")="89135", TEXT(TRIM(N558),"00000")="89144", TEXT(TRIM(N558),"00000")="89145", TEXT(TRIM(N558),"00000")="89147"), "West Valley",
  TRUE, "Other"
)</f>
        <v>Other</v>
      </c>
      <c r="P558" t="s">
        <v>3298</v>
      </c>
      <c r="Q558" t="str">
        <f t="shared" si="34"/>
        <v>Outdoors/Public</v>
      </c>
      <c r="R558" t="s">
        <v>4740</v>
      </c>
      <c r="S558" t="s">
        <v>5115</v>
      </c>
      <c r="T558" t="str" cm="1">
        <f t="array" ref="T558">_xlfn.IFS(
  TEXT(TRIM(S558),"00000")="NULL", "Missing/Unknown",
  OR(TEXT(TRIM(S558),"00000")="89101", TEXT(TRIM(S558),"00000")="89104", TEXT(TRIM(S558),"00000")="89106", TEXT(TRIM(S558),"00000")="89102", TEXT(TRIM(S558),"00000")="89107", TEXT(TRIM(S558),"00000")="89108"), "Urban Core",
  OR(TEXT(TRIM(S558),"00000")="89110", TEXT(TRIM(S558),"00000")="89115", TEXT(TRIM(S558),"00000")="89121", TEXT(TRIM(S558),"00000")="89122", TEXT(TRIM(S558),"00000")="89142", TEXT(TRIM(S558),"00000")="89156"), "East Valley",
  OR(TEXT(TRIM(S558),"00000")="89030", TEXT(TRIM(S558),"00000")="89031", TEXT(TRIM(S558),"00000")="89032", TEXT(TRIM(S558),"00000")="89086", TEXT(TRIM(S558),"00000")="89084", TEXT(TRIM(S558),"00000")="89081"), "North LV",
  OR(TEXT(TRIM(S558),"00000")="89109", TEXT(TRIM(S558),"00000")="89103", TEXT(TRIM(S558),"00000")="89119", TEXT(TRIM(S558),"00000")="89123", TEXT(TRIM(S558),"00000")="89169", TEXT(TRIM(S558),"00000")="89118"), "South/Strip",
  OR(TEXT(TRIM(S558),"00000")="89074", TEXT(TRIM(S558),"00000")="89014", TEXT(TRIM(S558),"00000")="89015", TEXT(TRIM(S558),"00000")="89011", TEXT(TRIM(S558),"00000")="89012"), "Suburban SE",
  OR(TEXT(TRIM(S558),"00000")="89117", TEXT(TRIM(S558),"00000")="89128", TEXT(TRIM(S558),"00000")="89135", TEXT(TRIM(S558),"00000")="89144", TEXT(TRIM(S558),"00000")="89145", TEXT(TRIM(S558),"00000")="89147"), "West Valley",
  TRUE, "Other"
)</f>
        <v>Other</v>
      </c>
      <c r="U558" t="s">
        <v>3298</v>
      </c>
      <c r="V558" t="str">
        <f t="shared" si="35"/>
        <v>Outdoors/Public</v>
      </c>
    </row>
    <row r="559" spans="1:22">
      <c r="A559" t="s">
        <v>787</v>
      </c>
      <c r="B559" t="s">
        <v>788</v>
      </c>
      <c r="C559" s="1">
        <v>45135</v>
      </c>
      <c r="D559" s="4">
        <v>113</v>
      </c>
      <c r="E559">
        <v>56</v>
      </c>
      <c r="F559" t="str">
        <f t="shared" si="32"/>
        <v>50's</v>
      </c>
      <c r="G559" t="str" cm="1">
        <f t="array" ref="G559">_xlfn.IFS(
  F559="10's", "Child (5–12)",
  OR(F559="20's", F559="30's"), "Young Adult (20–39)",
  OR(F559="40's", F559="50's"), "Adult (40–59)",
  OR(F559="60's", F559="70's", F559="80's", F559="90's"), "Senior (60+)",
  TRUE, "Unknown"
)</f>
        <v>Adult (40–59)</v>
      </c>
      <c r="H559" t="s">
        <v>27</v>
      </c>
      <c r="I559" t="s">
        <v>54</v>
      </c>
      <c r="J559" t="str">
        <f t="shared" si="33"/>
        <v>Environmental Heat</v>
      </c>
      <c r="K559" t="s">
        <v>789</v>
      </c>
      <c r="L559" t="s">
        <v>250</v>
      </c>
      <c r="M559" t="s">
        <v>4878</v>
      </c>
      <c r="N559" t="s">
        <v>5105</v>
      </c>
      <c r="O559" t="str" cm="1">
        <f t="array" ref="O559">_xlfn.IFS(
  TEXT(TRIM(N559),"00000")="NULL", "Missing/Unknown",
  OR(TEXT(TRIM(N559),"00000")="89101", TEXT(TRIM(N559),"00000")="89104", TEXT(TRIM(N559),"00000")="89106", TEXT(TRIM(N559),"00000")="89102", TEXT(TRIM(N559),"00000")="89107", TEXT(TRIM(N559),"00000")="89108"), "Urban Core",
  OR(TEXT(TRIM(N559),"00000")="89110", TEXT(TRIM(N559),"00000")="89115", TEXT(TRIM(N559),"00000")="89121", TEXT(TRIM(N559),"00000")="89122", TEXT(TRIM(N559),"00000")="89142", TEXT(TRIM(N559),"00000")="89156"), "East Valley",
  OR(TEXT(TRIM(N559),"00000")="89030", TEXT(TRIM(N559),"00000")="89031", TEXT(TRIM(N559),"00000")="89032", TEXT(TRIM(N559),"00000")="89086", TEXT(TRIM(N559),"00000")="89084", TEXT(TRIM(N559),"00000")="89081"), "North LV",
  OR(TEXT(TRIM(N559),"00000")="89109", TEXT(TRIM(N559),"00000")="89103", TEXT(TRIM(N559),"00000")="89119", TEXT(TRIM(N559),"00000")="89123", TEXT(TRIM(N559),"00000")="89169", TEXT(TRIM(N559),"00000")="89118"), "South/Strip",
  OR(TEXT(TRIM(N559),"00000")="89074", TEXT(TRIM(N559),"00000")="89014", TEXT(TRIM(N559),"00000")="89015", TEXT(TRIM(N559),"00000")="89011", TEXT(TRIM(N559),"00000")="89012"), "Suburban SE",
  OR(TEXT(TRIM(N559),"00000")="89117", TEXT(TRIM(N559),"00000")="89128", TEXT(TRIM(N559),"00000")="89135", TEXT(TRIM(N559),"00000")="89144", TEXT(TRIM(N559),"00000")="89145", TEXT(TRIM(N559),"00000")="89147"), "West Valley",
  TRUE, "Other"
)</f>
        <v>East Valley</v>
      </c>
      <c r="P559" t="s">
        <v>24</v>
      </c>
      <c r="Q559" t="str">
        <f t="shared" si="34"/>
        <v>Outdoors/Public</v>
      </c>
      <c r="R559" t="s">
        <v>4878</v>
      </c>
      <c r="S559" t="s">
        <v>5105</v>
      </c>
      <c r="T559" t="str" cm="1">
        <f t="array" ref="T559">_xlfn.IFS(
  TEXT(TRIM(S559),"00000")="NULL", "Missing/Unknown",
  OR(TEXT(TRIM(S559),"00000")="89101", TEXT(TRIM(S559),"00000")="89104", TEXT(TRIM(S559),"00000")="89106", TEXT(TRIM(S559),"00000")="89102", TEXT(TRIM(S559),"00000")="89107", TEXT(TRIM(S559),"00000")="89108"), "Urban Core",
  OR(TEXT(TRIM(S559),"00000")="89110", TEXT(TRIM(S559),"00000")="89115", TEXT(TRIM(S559),"00000")="89121", TEXT(TRIM(S559),"00000")="89122", TEXT(TRIM(S559),"00000")="89142", TEXT(TRIM(S559),"00000")="89156"), "East Valley",
  OR(TEXT(TRIM(S559),"00000")="89030", TEXT(TRIM(S559),"00000")="89031", TEXT(TRIM(S559),"00000")="89032", TEXT(TRIM(S559),"00000")="89086", TEXT(TRIM(S559),"00000")="89084", TEXT(TRIM(S559),"00000")="89081"), "North LV",
  OR(TEXT(TRIM(S559),"00000")="89109", TEXT(TRIM(S559),"00000")="89103", TEXT(TRIM(S559),"00000")="89119", TEXT(TRIM(S559),"00000")="89123", TEXT(TRIM(S559),"00000")="89169", TEXT(TRIM(S559),"00000")="89118"), "South/Strip",
  OR(TEXT(TRIM(S559),"00000")="89074", TEXT(TRIM(S559),"00000")="89014", TEXT(TRIM(S559),"00000")="89015", TEXT(TRIM(S559),"00000")="89011", TEXT(TRIM(S559),"00000")="89012"), "Suburban SE",
  OR(TEXT(TRIM(S559),"00000")="89117", TEXT(TRIM(S559),"00000")="89128", TEXT(TRIM(S559),"00000")="89135", TEXT(TRIM(S559),"00000")="89144", TEXT(TRIM(S559),"00000")="89145", TEXT(TRIM(S559),"00000")="89147"), "West Valley",
  TRUE, "Other"
)</f>
        <v>East Valley</v>
      </c>
      <c r="U559" t="s">
        <v>24</v>
      </c>
      <c r="V559" t="str">
        <f t="shared" si="35"/>
        <v>Outdoors/Public</v>
      </c>
    </row>
    <row r="560" spans="1:22">
      <c r="A560" t="s">
        <v>818</v>
      </c>
      <c r="B560" t="s">
        <v>819</v>
      </c>
      <c r="C560" s="1">
        <v>45135</v>
      </c>
      <c r="D560" s="4">
        <v>113</v>
      </c>
      <c r="E560">
        <v>76</v>
      </c>
      <c r="F560" t="str">
        <f t="shared" si="32"/>
        <v>70's</v>
      </c>
      <c r="G560" t="str" cm="1">
        <f t="array" ref="G560">_xlfn.IFS(
  F560="10's", "Child (5–12)",
  OR(F560="20's", F560="30's"), "Young Adult (20–39)",
  OR(F560="40's", F560="50's"), "Adult (40–59)",
  OR(F560="60's", F560="70's", F560="80's", F560="90's"), "Senior (60+)",
  TRUE, "Unknown"
)</f>
        <v>Senior (60+)</v>
      </c>
      <c r="H560" t="s">
        <v>841</v>
      </c>
      <c r="I560" t="s">
        <v>54</v>
      </c>
      <c r="J560" t="str">
        <f t="shared" si="33"/>
        <v>Environmental Heat</v>
      </c>
      <c r="K560" t="s">
        <v>4213</v>
      </c>
      <c r="L560" t="s">
        <v>1071</v>
      </c>
      <c r="N560" t="s">
        <v>5095</v>
      </c>
      <c r="O560" t="str" cm="1">
        <f t="array" ref="O560">_xlfn.IFS(
  TEXT(TRIM(N560),"00000")="NULL", "Missing/Unknown",
  OR(TEXT(TRIM(N560),"00000")="89101", TEXT(TRIM(N560),"00000")="89104", TEXT(TRIM(N560),"00000")="89106", TEXT(TRIM(N560),"00000")="89102", TEXT(TRIM(N560),"00000")="89107", TEXT(TRIM(N560),"00000")="89108"), "Urban Core",
  OR(TEXT(TRIM(N560),"00000")="89110", TEXT(TRIM(N560),"00000")="89115", TEXT(TRIM(N560),"00000")="89121", TEXT(TRIM(N560),"00000")="89122", TEXT(TRIM(N560),"00000")="89142", TEXT(TRIM(N560),"00000")="89156"), "East Valley",
  OR(TEXT(TRIM(N560),"00000")="89030", TEXT(TRIM(N560),"00000")="89031", TEXT(TRIM(N560),"00000")="89032", TEXT(TRIM(N560),"00000")="89086", TEXT(TRIM(N560),"00000")="89084", TEXT(TRIM(N560),"00000")="89081"), "North LV",
  OR(TEXT(TRIM(N560),"00000")="89109", TEXT(TRIM(N560),"00000")="89103", TEXT(TRIM(N560),"00000")="89119", TEXT(TRIM(N560),"00000")="89123", TEXT(TRIM(N560),"00000")="89169", TEXT(TRIM(N560),"00000")="89118"), "South/Strip",
  OR(TEXT(TRIM(N560),"00000")="89074", TEXT(TRIM(N560),"00000")="89014", TEXT(TRIM(N560),"00000")="89015", TEXT(TRIM(N560),"00000")="89011", TEXT(TRIM(N560),"00000")="89012"), "Suburban SE",
  OR(TEXT(TRIM(N560),"00000")="89117", TEXT(TRIM(N560),"00000")="89128", TEXT(TRIM(N560),"00000")="89135", TEXT(TRIM(N560),"00000")="89144", TEXT(TRIM(N560),"00000")="89145", TEXT(TRIM(N560),"00000")="89147"), "West Valley",
  TRUE, "Other"
)</f>
        <v>Missing/Unknown</v>
      </c>
      <c r="P560" t="s">
        <v>3298</v>
      </c>
      <c r="Q560" t="str">
        <f t="shared" si="34"/>
        <v>Outdoors/Public</v>
      </c>
      <c r="S560" t="s">
        <v>5095</v>
      </c>
      <c r="T560" t="str" cm="1">
        <f t="array" ref="T560">_xlfn.IFS(
  TEXT(TRIM(S560),"00000")="NULL", "Missing/Unknown",
  OR(TEXT(TRIM(S560),"00000")="89101", TEXT(TRIM(S560),"00000")="89104", TEXT(TRIM(S560),"00000")="89106", TEXT(TRIM(S560),"00000")="89102", TEXT(TRIM(S560),"00000")="89107", TEXT(TRIM(S560),"00000")="89108"), "Urban Core",
  OR(TEXT(TRIM(S560),"00000")="89110", TEXT(TRIM(S560),"00000")="89115", TEXT(TRIM(S560),"00000")="89121", TEXT(TRIM(S560),"00000")="89122", TEXT(TRIM(S560),"00000")="89142", TEXT(TRIM(S560),"00000")="89156"), "East Valley",
  OR(TEXT(TRIM(S560),"00000")="89030", TEXT(TRIM(S560),"00000")="89031", TEXT(TRIM(S560),"00000")="89032", TEXT(TRIM(S560),"00000")="89086", TEXT(TRIM(S560),"00000")="89084", TEXT(TRIM(S560),"00000")="89081"), "North LV",
  OR(TEXT(TRIM(S560),"00000")="89109", TEXT(TRIM(S560),"00000")="89103", TEXT(TRIM(S560),"00000")="89119", TEXT(TRIM(S560),"00000")="89123", TEXT(TRIM(S560),"00000")="89169", TEXT(TRIM(S560),"00000")="89118"), "South/Strip",
  OR(TEXT(TRIM(S560),"00000")="89074", TEXT(TRIM(S560),"00000")="89014", TEXT(TRIM(S560),"00000")="89015", TEXT(TRIM(S560),"00000")="89011", TEXT(TRIM(S560),"00000")="89012"), "Suburban SE",
  OR(TEXT(TRIM(S560),"00000")="89117", TEXT(TRIM(S560),"00000")="89128", TEXT(TRIM(S560),"00000")="89135", TEXT(TRIM(S560),"00000")="89144", TEXT(TRIM(S560),"00000")="89145", TEXT(TRIM(S560),"00000")="89147"), "West Valley",
  TRUE, "Other"
)</f>
        <v>Missing/Unknown</v>
      </c>
      <c r="U560" t="s">
        <v>3298</v>
      </c>
      <c r="V560" t="str">
        <f t="shared" si="35"/>
        <v>Outdoors/Public</v>
      </c>
    </row>
    <row r="561" spans="1:22">
      <c r="A561" t="s">
        <v>763</v>
      </c>
      <c r="B561" t="s">
        <v>764</v>
      </c>
      <c r="C561" s="1">
        <v>45134</v>
      </c>
      <c r="D561" s="4">
        <v>113</v>
      </c>
      <c r="E561">
        <v>30</v>
      </c>
      <c r="F561" t="str">
        <f t="shared" si="32"/>
        <v>30's</v>
      </c>
      <c r="G561" t="str" cm="1">
        <f t="array" ref="G561">_xlfn.IFS(
  F561="10's", "Child (5–12)",
  OR(F561="20's", F561="30's"), "Young Adult (20–39)",
  OR(F561="40's", F561="50's"), "Adult (40–59)",
  OR(F561="60's", F561="70's", F561="80's", F561="90's"), "Senior (60+)",
  TRUE, "Unknown"
)</f>
        <v>Young Adult (20–39)</v>
      </c>
      <c r="H561" t="s">
        <v>841</v>
      </c>
      <c r="I561" t="s">
        <v>97</v>
      </c>
      <c r="J561" t="str">
        <f t="shared" si="33"/>
        <v>Environmental Heat</v>
      </c>
      <c r="K561" t="s">
        <v>4214</v>
      </c>
      <c r="L561" t="s">
        <v>250</v>
      </c>
      <c r="M561" t="s">
        <v>4336</v>
      </c>
      <c r="N561" t="s">
        <v>5101</v>
      </c>
      <c r="O561" t="str" cm="1">
        <f t="array" ref="O561">_xlfn.IFS(
  TEXT(TRIM(N561),"00000")="NULL", "Missing/Unknown",
  OR(TEXT(TRIM(N561),"00000")="89101", TEXT(TRIM(N561),"00000")="89104", TEXT(TRIM(N561),"00000")="89106", TEXT(TRIM(N561),"00000")="89102", TEXT(TRIM(N561),"00000")="89107", TEXT(TRIM(N561),"00000")="89108"), "Urban Core",
  OR(TEXT(TRIM(N561),"00000")="89110", TEXT(TRIM(N561),"00000")="89115", TEXT(TRIM(N561),"00000")="89121", TEXT(TRIM(N561),"00000")="89122", TEXT(TRIM(N561),"00000")="89142", TEXT(TRIM(N561),"00000")="89156"), "East Valley",
  OR(TEXT(TRIM(N561),"00000")="89030", TEXT(TRIM(N561),"00000")="89031", TEXT(TRIM(N561),"00000")="89032", TEXT(TRIM(N561),"00000")="89086", TEXT(TRIM(N561),"00000")="89084", TEXT(TRIM(N561),"00000")="89081"), "North LV",
  OR(TEXT(TRIM(N561),"00000")="89109", TEXT(TRIM(N561),"00000")="89103", TEXT(TRIM(N561),"00000")="89119", TEXT(TRIM(N561),"00000")="89123", TEXT(TRIM(N561),"00000")="89169", TEXT(TRIM(N561),"00000")="89118"), "South/Strip",
  OR(TEXT(TRIM(N561),"00000")="89074", TEXT(TRIM(N561),"00000")="89014", TEXT(TRIM(N561),"00000")="89015", TEXT(TRIM(N561),"00000")="89011", TEXT(TRIM(N561),"00000")="89012"), "Suburban SE",
  OR(TEXT(TRIM(N561),"00000")="89117", TEXT(TRIM(N561),"00000")="89128", TEXT(TRIM(N561),"00000")="89135", TEXT(TRIM(N561),"00000")="89144", TEXT(TRIM(N561),"00000")="89145", TEXT(TRIM(N561),"00000")="89147"), "West Valley",
  TRUE, "Other"
)</f>
        <v>Urban Core</v>
      </c>
      <c r="P561" t="s">
        <v>3298</v>
      </c>
      <c r="Q561" t="str">
        <f t="shared" si="34"/>
        <v>Outdoors/Public</v>
      </c>
      <c r="R561" t="s">
        <v>4341</v>
      </c>
      <c r="S561" t="s">
        <v>5100</v>
      </c>
      <c r="T561" t="str" cm="1">
        <f t="array" ref="T561">_xlfn.IFS(
  TEXT(TRIM(S561),"00000")="NULL", "Missing/Unknown",
  OR(TEXT(TRIM(S561),"00000")="89101", TEXT(TRIM(S561),"00000")="89104", TEXT(TRIM(S561),"00000")="89106", TEXT(TRIM(S561),"00000")="89102", TEXT(TRIM(S561),"00000")="89107", TEXT(TRIM(S561),"00000")="89108"), "Urban Core",
  OR(TEXT(TRIM(S561),"00000")="89110", TEXT(TRIM(S561),"00000")="89115", TEXT(TRIM(S561),"00000")="89121", TEXT(TRIM(S561),"00000")="89122", TEXT(TRIM(S561),"00000")="89142", TEXT(TRIM(S561),"00000")="89156"), "East Valley",
  OR(TEXT(TRIM(S561),"00000")="89030", TEXT(TRIM(S561),"00000")="89031", TEXT(TRIM(S561),"00000")="89032", TEXT(TRIM(S561),"00000")="89086", TEXT(TRIM(S561),"00000")="89084", TEXT(TRIM(S561),"00000")="89081"), "North LV",
  OR(TEXT(TRIM(S561),"00000")="89109", TEXT(TRIM(S561),"00000")="89103", TEXT(TRIM(S561),"00000")="89119", TEXT(TRIM(S561),"00000")="89123", TEXT(TRIM(S561),"00000")="89169", TEXT(TRIM(S561),"00000")="89118"), "South/Strip",
  OR(TEXT(TRIM(S561),"00000")="89074", TEXT(TRIM(S561),"00000")="89014", TEXT(TRIM(S561),"00000")="89015", TEXT(TRIM(S561),"00000")="89011", TEXT(TRIM(S561),"00000")="89012"), "Suburban SE",
  OR(TEXT(TRIM(S561),"00000")="89117", TEXT(TRIM(S561),"00000")="89128", TEXT(TRIM(S561),"00000")="89135", TEXT(TRIM(S561),"00000")="89144", TEXT(TRIM(S561),"00000")="89145", TEXT(TRIM(S561),"00000")="89147"), "West Valley",
  TRUE, "Other"
)</f>
        <v>North LV</v>
      </c>
      <c r="U561" t="s">
        <v>4301</v>
      </c>
      <c r="V561" t="str">
        <f t="shared" si="35"/>
        <v>Medical Facility</v>
      </c>
    </row>
    <row r="562" spans="1:22">
      <c r="A562" t="s">
        <v>773</v>
      </c>
      <c r="B562" t="s">
        <v>774</v>
      </c>
      <c r="C562" s="1">
        <v>45134</v>
      </c>
      <c r="D562" s="4">
        <v>113</v>
      </c>
      <c r="E562">
        <v>60</v>
      </c>
      <c r="F562" t="str">
        <f t="shared" si="32"/>
        <v>60's</v>
      </c>
      <c r="G562" t="str" cm="1">
        <f t="array" ref="G562">_xlfn.IFS(
  F562="10's", "Child (5–12)",
  OR(F562="20's", F562="30's"), "Young Adult (20–39)",
  OR(F562="40's", F562="50's"), "Adult (40–59)",
  OR(F562="60's", F562="70's", F562="80's", F562="90's"), "Senior (60+)",
  TRUE, "Unknown"
)</f>
        <v>Senior (60+)</v>
      </c>
      <c r="H562" t="s">
        <v>841</v>
      </c>
      <c r="I562" t="s">
        <v>97</v>
      </c>
      <c r="J562" t="str">
        <f t="shared" si="33"/>
        <v>Environmental Heat</v>
      </c>
      <c r="K562" t="s">
        <v>379</v>
      </c>
      <c r="L562" t="s">
        <v>250</v>
      </c>
      <c r="M562" t="s">
        <v>4578</v>
      </c>
      <c r="N562" t="s">
        <v>5102</v>
      </c>
      <c r="O562" t="str" cm="1">
        <f t="array" ref="O562">_xlfn.IFS(
  TEXT(TRIM(N562),"00000")="NULL", "Missing/Unknown",
  OR(TEXT(TRIM(N562),"00000")="89101", TEXT(TRIM(N562),"00000")="89104", TEXT(TRIM(N562),"00000")="89106", TEXT(TRIM(N562),"00000")="89102", TEXT(TRIM(N562),"00000")="89107", TEXT(TRIM(N562),"00000")="89108"), "Urban Core",
  OR(TEXT(TRIM(N562),"00000")="89110", TEXT(TRIM(N562),"00000")="89115", TEXT(TRIM(N562),"00000")="89121", TEXT(TRIM(N562),"00000")="89122", TEXT(TRIM(N562),"00000")="89142", TEXT(TRIM(N562),"00000")="89156"), "East Valley",
  OR(TEXT(TRIM(N562),"00000")="89030", TEXT(TRIM(N562),"00000")="89031", TEXT(TRIM(N562),"00000")="89032", TEXT(TRIM(N562),"00000")="89086", TEXT(TRIM(N562),"00000")="89084", TEXT(TRIM(N562),"00000")="89081"), "North LV",
  OR(TEXT(TRIM(N562),"00000")="89109", TEXT(TRIM(N562),"00000")="89103", TEXT(TRIM(N562),"00000")="89119", TEXT(TRIM(N562),"00000")="89123", TEXT(TRIM(N562),"00000")="89169", TEXT(TRIM(N562),"00000")="89118"), "South/Strip",
  OR(TEXT(TRIM(N562),"00000")="89074", TEXT(TRIM(N562),"00000")="89014", TEXT(TRIM(N562),"00000")="89015", TEXT(TRIM(N562),"00000")="89011", TEXT(TRIM(N562),"00000")="89012"), "Suburban SE",
  OR(TEXT(TRIM(N562),"00000")="89117", TEXT(TRIM(N562),"00000")="89128", TEXT(TRIM(N562),"00000")="89135", TEXT(TRIM(N562),"00000")="89144", TEXT(TRIM(N562),"00000")="89145", TEXT(TRIM(N562),"00000")="89147"), "West Valley",
  TRUE, "Other"
)</f>
        <v>Urban Core</v>
      </c>
      <c r="P562" t="s">
        <v>3298</v>
      </c>
      <c r="Q562" t="str">
        <f t="shared" si="34"/>
        <v>Outdoors/Public</v>
      </c>
      <c r="R562" t="s">
        <v>4500</v>
      </c>
      <c r="S562" t="s">
        <v>5116</v>
      </c>
      <c r="T562" t="str" cm="1">
        <f t="array" ref="T562">_xlfn.IFS(
  TEXT(TRIM(S562),"00000")="NULL", "Missing/Unknown",
  OR(TEXT(TRIM(S562),"00000")="89101", TEXT(TRIM(S562),"00000")="89104", TEXT(TRIM(S562),"00000")="89106", TEXT(TRIM(S562),"00000")="89102", TEXT(TRIM(S562),"00000")="89107", TEXT(TRIM(S562),"00000")="89108"), "Urban Core",
  OR(TEXT(TRIM(S562),"00000")="89110", TEXT(TRIM(S562),"00000")="89115", TEXT(TRIM(S562),"00000")="89121", TEXT(TRIM(S562),"00000")="89122", TEXT(TRIM(S562),"00000")="89142", TEXT(TRIM(S562),"00000")="89156"), "East Valley",
  OR(TEXT(TRIM(S562),"00000")="89030", TEXT(TRIM(S562),"00000")="89031", TEXT(TRIM(S562),"00000")="89032", TEXT(TRIM(S562),"00000")="89086", TEXT(TRIM(S562),"00000")="89084", TEXT(TRIM(S562),"00000")="89081"), "North LV",
  OR(TEXT(TRIM(S562),"00000")="89109", TEXT(TRIM(S562),"00000")="89103", TEXT(TRIM(S562),"00000")="89119", TEXT(TRIM(S562),"00000")="89123", TEXT(TRIM(S562),"00000")="89169", TEXT(TRIM(S562),"00000")="89118"), "South/Strip",
  OR(TEXT(TRIM(S562),"00000")="89074", TEXT(TRIM(S562),"00000")="89014", TEXT(TRIM(S562),"00000")="89015", TEXT(TRIM(S562),"00000")="89011", TEXT(TRIM(S562),"00000")="89012"), "Suburban SE",
  OR(TEXT(TRIM(S562),"00000")="89117", TEXT(TRIM(S562),"00000")="89128", TEXT(TRIM(S562),"00000")="89135", TEXT(TRIM(S562),"00000")="89144", TEXT(TRIM(S562),"00000")="89145", TEXT(TRIM(S562),"00000")="89147"), "West Valley",
  TRUE, "Other"
)</f>
        <v>West Valley</v>
      </c>
      <c r="U562" t="s">
        <v>4305</v>
      </c>
      <c r="V562" t="str">
        <f t="shared" si="35"/>
        <v>Medical Facility</v>
      </c>
    </row>
    <row r="563" spans="1:22">
      <c r="A563" t="s">
        <v>760</v>
      </c>
      <c r="B563" t="s">
        <v>761</v>
      </c>
      <c r="C563" s="1">
        <v>45134</v>
      </c>
      <c r="D563" s="4">
        <v>113</v>
      </c>
      <c r="E563">
        <v>56</v>
      </c>
      <c r="F563" t="str">
        <f t="shared" si="32"/>
        <v>50's</v>
      </c>
      <c r="G563" t="str" cm="1">
        <f t="array" ref="G563">_xlfn.IFS(
  F563="10's", "Child (5–12)",
  OR(F563="20's", F563="30's"), "Young Adult (20–39)",
  OR(F563="40's", F563="50's"), "Adult (40–59)",
  OR(F563="60's", F563="70's", F563="80's", F563="90's"), "Senior (60+)",
  TRUE, "Unknown"
)</f>
        <v>Adult (40–59)</v>
      </c>
      <c r="H563" t="s">
        <v>841</v>
      </c>
      <c r="I563" t="s">
        <v>54</v>
      </c>
      <c r="J563" t="str">
        <f t="shared" si="33"/>
        <v>Environmental Heat</v>
      </c>
      <c r="K563" t="s">
        <v>98</v>
      </c>
      <c r="L563" t="s">
        <v>250</v>
      </c>
      <c r="M563" t="s">
        <v>4744</v>
      </c>
      <c r="N563" t="s">
        <v>5105</v>
      </c>
      <c r="O563" t="str" cm="1">
        <f t="array" ref="O563">_xlfn.IFS(
  TEXT(TRIM(N563),"00000")="NULL", "Missing/Unknown",
  OR(TEXT(TRIM(N563),"00000")="89101", TEXT(TRIM(N563),"00000")="89104", TEXT(TRIM(N563),"00000")="89106", TEXT(TRIM(N563),"00000")="89102", TEXT(TRIM(N563),"00000")="89107", TEXT(TRIM(N563),"00000")="89108"), "Urban Core",
  OR(TEXT(TRIM(N563),"00000")="89110", TEXT(TRIM(N563),"00000")="89115", TEXT(TRIM(N563),"00000")="89121", TEXT(TRIM(N563),"00000")="89122", TEXT(TRIM(N563),"00000")="89142", TEXT(TRIM(N563),"00000")="89156"), "East Valley",
  OR(TEXT(TRIM(N563),"00000")="89030", TEXT(TRIM(N563),"00000")="89031", TEXT(TRIM(N563),"00000")="89032", TEXT(TRIM(N563),"00000")="89086", TEXT(TRIM(N563),"00000")="89084", TEXT(TRIM(N563),"00000")="89081"), "North LV",
  OR(TEXT(TRIM(N563),"00000")="89109", TEXT(TRIM(N563),"00000")="89103", TEXT(TRIM(N563),"00000")="89119", TEXT(TRIM(N563),"00000")="89123", TEXT(TRIM(N563),"00000")="89169", TEXT(TRIM(N563),"00000")="89118"), "South/Strip",
  OR(TEXT(TRIM(N563),"00000")="89074", TEXT(TRIM(N563),"00000")="89014", TEXT(TRIM(N563),"00000")="89015", TEXT(TRIM(N563),"00000")="89011", TEXT(TRIM(N563),"00000")="89012"), "Suburban SE",
  OR(TEXT(TRIM(N563),"00000")="89117", TEXT(TRIM(N563),"00000")="89128", TEXT(TRIM(N563),"00000")="89135", TEXT(TRIM(N563),"00000")="89144", TEXT(TRIM(N563),"00000")="89145", TEXT(TRIM(N563),"00000")="89147"), "West Valley",
  TRUE, "Other"
)</f>
        <v>East Valley</v>
      </c>
      <c r="P563" t="s">
        <v>3298</v>
      </c>
      <c r="Q563" t="str">
        <f t="shared" si="34"/>
        <v>Outdoors/Public</v>
      </c>
      <c r="R563" t="s">
        <v>4744</v>
      </c>
      <c r="S563" t="s">
        <v>5105</v>
      </c>
      <c r="T563" t="str" cm="1">
        <f t="array" ref="T563">_xlfn.IFS(
  TEXT(TRIM(S563),"00000")="NULL", "Missing/Unknown",
  OR(TEXT(TRIM(S563),"00000")="89101", TEXT(TRIM(S563),"00000")="89104", TEXT(TRIM(S563),"00000")="89106", TEXT(TRIM(S563),"00000")="89102", TEXT(TRIM(S563),"00000")="89107", TEXT(TRIM(S563),"00000")="89108"), "Urban Core",
  OR(TEXT(TRIM(S563),"00000")="89110", TEXT(TRIM(S563),"00000")="89115", TEXT(TRIM(S563),"00000")="89121", TEXT(TRIM(S563),"00000")="89122", TEXT(TRIM(S563),"00000")="89142", TEXT(TRIM(S563),"00000")="89156"), "East Valley",
  OR(TEXT(TRIM(S563),"00000")="89030", TEXT(TRIM(S563),"00000")="89031", TEXT(TRIM(S563),"00000")="89032", TEXT(TRIM(S563),"00000")="89086", TEXT(TRIM(S563),"00000")="89084", TEXT(TRIM(S563),"00000")="89081"), "North LV",
  OR(TEXT(TRIM(S563),"00000")="89109", TEXT(TRIM(S563),"00000")="89103", TEXT(TRIM(S563),"00000")="89119", TEXT(TRIM(S563),"00000")="89123", TEXT(TRIM(S563),"00000")="89169", TEXT(TRIM(S563),"00000")="89118"), "South/Strip",
  OR(TEXT(TRIM(S563),"00000")="89074", TEXT(TRIM(S563),"00000")="89014", TEXT(TRIM(S563),"00000")="89015", TEXT(TRIM(S563),"00000")="89011", TEXT(TRIM(S563),"00000")="89012"), "Suburban SE",
  OR(TEXT(TRIM(S563),"00000")="89117", TEXT(TRIM(S563),"00000")="89128", TEXT(TRIM(S563),"00000")="89135", TEXT(TRIM(S563),"00000")="89144", TEXT(TRIM(S563),"00000")="89145", TEXT(TRIM(S563),"00000")="89147"), "West Valley",
  TRUE, "Other"
)</f>
        <v>East Valley</v>
      </c>
      <c r="U563" t="s">
        <v>3298</v>
      </c>
      <c r="V563" t="str">
        <f t="shared" si="35"/>
        <v>Outdoors/Public</v>
      </c>
    </row>
    <row r="564" spans="1:22">
      <c r="A564" t="s">
        <v>776</v>
      </c>
      <c r="B564" t="s">
        <v>777</v>
      </c>
      <c r="C564" s="1">
        <v>45134</v>
      </c>
      <c r="D564" s="4">
        <v>113</v>
      </c>
      <c r="E564">
        <v>71</v>
      </c>
      <c r="F564" t="str">
        <f t="shared" si="32"/>
        <v>70's</v>
      </c>
      <c r="G564" t="str" cm="1">
        <f t="array" ref="G564">_xlfn.IFS(
  F564="10's", "Child (5–12)",
  OR(F564="20's", F564="30's"), "Young Adult (20–39)",
  OR(F564="40's", F564="50's"), "Adult (40–59)",
  OR(F564="60's", F564="70's", F564="80's", F564="90's"), "Senior (60+)",
  TRUE, "Unknown"
)</f>
        <v>Senior (60+)</v>
      </c>
      <c r="H564" t="s">
        <v>778</v>
      </c>
      <c r="I564" t="s">
        <v>54</v>
      </c>
      <c r="J564" t="str">
        <f t="shared" si="33"/>
        <v>Environmental Heat</v>
      </c>
      <c r="K564" t="s">
        <v>4012</v>
      </c>
      <c r="L564" t="s">
        <v>1071</v>
      </c>
      <c r="M564" t="s">
        <v>4373</v>
      </c>
      <c r="N564" t="s">
        <v>5151</v>
      </c>
      <c r="O564" t="str" cm="1">
        <f t="array" ref="O564">_xlfn.IFS(
  TEXT(TRIM(N564),"00000")="NULL", "Missing/Unknown",
  OR(TEXT(TRIM(N564),"00000")="89101", TEXT(TRIM(N564),"00000")="89104", TEXT(TRIM(N564),"00000")="89106", TEXT(TRIM(N564),"00000")="89102", TEXT(TRIM(N564),"00000")="89107", TEXT(TRIM(N564),"00000")="89108"), "Urban Core",
  OR(TEXT(TRIM(N564),"00000")="89110", TEXT(TRIM(N564),"00000")="89115", TEXT(TRIM(N564),"00000")="89121", TEXT(TRIM(N564),"00000")="89122", TEXT(TRIM(N564),"00000")="89142", TEXT(TRIM(N564),"00000")="89156"), "East Valley",
  OR(TEXT(TRIM(N564),"00000")="89030", TEXT(TRIM(N564),"00000")="89031", TEXT(TRIM(N564),"00000")="89032", TEXT(TRIM(N564),"00000")="89086", TEXT(TRIM(N564),"00000")="89084", TEXT(TRIM(N564),"00000")="89081"), "North LV",
  OR(TEXT(TRIM(N564),"00000")="89109", TEXT(TRIM(N564),"00000")="89103", TEXT(TRIM(N564),"00000")="89119", TEXT(TRIM(N564),"00000")="89123", TEXT(TRIM(N564),"00000")="89169", TEXT(TRIM(N564),"00000")="89118"), "South/Strip",
  OR(TEXT(TRIM(N564),"00000")="89074", TEXT(TRIM(N564),"00000")="89014", TEXT(TRIM(N564),"00000")="89015", TEXT(TRIM(N564),"00000")="89011", TEXT(TRIM(N564),"00000")="89012"), "Suburban SE",
  OR(TEXT(TRIM(N564),"00000")="89117", TEXT(TRIM(N564),"00000")="89128", TEXT(TRIM(N564),"00000")="89135", TEXT(TRIM(N564),"00000")="89144", TEXT(TRIM(N564),"00000")="89145", TEXT(TRIM(N564),"00000")="89147"), "West Valley",
  TRUE, "Other"
)</f>
        <v>Other</v>
      </c>
      <c r="P564" t="s">
        <v>38</v>
      </c>
      <c r="Q564" t="str">
        <f t="shared" si="34"/>
        <v>Home/Residence</v>
      </c>
      <c r="R564" t="s">
        <v>4373</v>
      </c>
      <c r="S564" t="s">
        <v>5151</v>
      </c>
      <c r="T564" t="str" cm="1">
        <f t="array" ref="T564">_xlfn.IFS(
  TEXT(TRIM(S564),"00000")="NULL", "Missing/Unknown",
  OR(TEXT(TRIM(S564),"00000")="89101", TEXT(TRIM(S564),"00000")="89104", TEXT(TRIM(S564),"00000")="89106", TEXT(TRIM(S564),"00000")="89102", TEXT(TRIM(S564),"00000")="89107", TEXT(TRIM(S564),"00000")="89108"), "Urban Core",
  OR(TEXT(TRIM(S564),"00000")="89110", TEXT(TRIM(S564),"00000")="89115", TEXT(TRIM(S564),"00000")="89121", TEXT(TRIM(S564),"00000")="89122", TEXT(TRIM(S564),"00000")="89142", TEXT(TRIM(S564),"00000")="89156"), "East Valley",
  OR(TEXT(TRIM(S564),"00000")="89030", TEXT(TRIM(S564),"00000")="89031", TEXT(TRIM(S564),"00000")="89032", TEXT(TRIM(S564),"00000")="89086", TEXT(TRIM(S564),"00000")="89084", TEXT(TRIM(S564),"00000")="89081"), "North LV",
  OR(TEXT(TRIM(S564),"00000")="89109", TEXT(TRIM(S564),"00000")="89103", TEXT(TRIM(S564),"00000")="89119", TEXT(TRIM(S564),"00000")="89123", TEXT(TRIM(S564),"00000")="89169", TEXT(TRIM(S564),"00000")="89118"), "South/Strip",
  OR(TEXT(TRIM(S564),"00000")="89074", TEXT(TRIM(S564),"00000")="89014", TEXT(TRIM(S564),"00000")="89015", TEXT(TRIM(S564),"00000")="89011", TEXT(TRIM(S564),"00000")="89012"), "Suburban SE",
  OR(TEXT(TRIM(S564),"00000")="89117", TEXT(TRIM(S564),"00000")="89128", TEXT(TRIM(S564),"00000")="89135", TEXT(TRIM(S564),"00000")="89144", TEXT(TRIM(S564),"00000")="89145", TEXT(TRIM(S564),"00000")="89147"), "West Valley",
  TRUE, "Other"
)</f>
        <v>Other</v>
      </c>
      <c r="U564" t="s">
        <v>38</v>
      </c>
      <c r="V564" t="str">
        <f t="shared" si="35"/>
        <v>Home/Residence</v>
      </c>
    </row>
    <row r="565" spans="1:22">
      <c r="A565" t="s">
        <v>770</v>
      </c>
      <c r="B565" t="s">
        <v>771</v>
      </c>
      <c r="C565" s="1">
        <v>45134</v>
      </c>
      <c r="D565" s="4">
        <v>113</v>
      </c>
      <c r="E565">
        <v>55</v>
      </c>
      <c r="F565" t="str">
        <f t="shared" si="32"/>
        <v>50's</v>
      </c>
      <c r="G565" t="str" cm="1">
        <f t="array" ref="G565">_xlfn.IFS(
  F565="10's", "Child (5–12)",
  OR(F565="20's", F565="30's"), "Young Adult (20–39)",
  OR(F565="40's", F565="50's"), "Adult (40–59)",
  OR(F565="60's", F565="70's", F565="80's", F565="90's"), "Senior (60+)",
  TRUE, "Unknown"
)</f>
        <v>Adult (40–59)</v>
      </c>
      <c r="H565" t="s">
        <v>841</v>
      </c>
      <c r="I565" t="s">
        <v>54</v>
      </c>
      <c r="J565" t="str">
        <f t="shared" si="33"/>
        <v>Environmental Heat</v>
      </c>
      <c r="K565" t="s">
        <v>4012</v>
      </c>
      <c r="L565" t="s">
        <v>1071</v>
      </c>
      <c r="M565" t="s">
        <v>4372</v>
      </c>
      <c r="N565" t="s">
        <v>5140</v>
      </c>
      <c r="O565" t="str" cm="1">
        <f t="array" ref="O565">_xlfn.IFS(
  TEXT(TRIM(N565),"00000")="NULL", "Missing/Unknown",
  OR(TEXT(TRIM(N565),"00000")="89101", TEXT(TRIM(N565),"00000")="89104", TEXT(TRIM(N565),"00000")="89106", TEXT(TRIM(N565),"00000")="89102", TEXT(TRIM(N565),"00000")="89107", TEXT(TRIM(N565),"00000")="89108"), "Urban Core",
  OR(TEXT(TRIM(N565),"00000")="89110", TEXT(TRIM(N565),"00000")="89115", TEXT(TRIM(N565),"00000")="89121", TEXT(TRIM(N565),"00000")="89122", TEXT(TRIM(N565),"00000")="89142", TEXT(TRIM(N565),"00000")="89156"), "East Valley",
  OR(TEXT(TRIM(N565),"00000")="89030", TEXT(TRIM(N565),"00000")="89031", TEXT(TRIM(N565),"00000")="89032", TEXT(TRIM(N565),"00000")="89086", TEXT(TRIM(N565),"00000")="89084", TEXT(TRIM(N565),"00000")="89081"), "North LV",
  OR(TEXT(TRIM(N565),"00000")="89109", TEXT(TRIM(N565),"00000")="89103", TEXT(TRIM(N565),"00000")="89119", TEXT(TRIM(N565),"00000")="89123", TEXT(TRIM(N565),"00000")="89169", TEXT(TRIM(N565),"00000")="89118"), "South/Strip",
  OR(TEXT(TRIM(N565),"00000")="89074", TEXT(TRIM(N565),"00000")="89014", TEXT(TRIM(N565),"00000")="89015", TEXT(TRIM(N565),"00000")="89011", TEXT(TRIM(N565),"00000")="89012"), "Suburban SE",
  OR(TEXT(TRIM(N565),"00000")="89117", TEXT(TRIM(N565),"00000")="89128", TEXT(TRIM(N565),"00000")="89135", TEXT(TRIM(N565),"00000")="89144", TEXT(TRIM(N565),"00000")="89145", TEXT(TRIM(N565),"00000")="89147"), "West Valley",
  TRUE, "Other"
)</f>
        <v>Other</v>
      </c>
      <c r="P565" t="s">
        <v>38</v>
      </c>
      <c r="Q565" t="str">
        <f t="shared" si="34"/>
        <v>Home/Residence</v>
      </c>
      <c r="R565" t="s">
        <v>4372</v>
      </c>
      <c r="S565" t="s">
        <v>5140</v>
      </c>
      <c r="T565" t="str" cm="1">
        <f t="array" ref="T565">_xlfn.IFS(
  TEXT(TRIM(S565),"00000")="NULL", "Missing/Unknown",
  OR(TEXT(TRIM(S565),"00000")="89101", TEXT(TRIM(S565),"00000")="89104", TEXT(TRIM(S565),"00000")="89106", TEXT(TRIM(S565),"00000")="89102", TEXT(TRIM(S565),"00000")="89107", TEXT(TRIM(S565),"00000")="89108"), "Urban Core",
  OR(TEXT(TRIM(S565),"00000")="89110", TEXT(TRIM(S565),"00000")="89115", TEXT(TRIM(S565),"00000")="89121", TEXT(TRIM(S565),"00000")="89122", TEXT(TRIM(S565),"00000")="89142", TEXT(TRIM(S565),"00000")="89156"), "East Valley",
  OR(TEXT(TRIM(S565),"00000")="89030", TEXT(TRIM(S565),"00000")="89031", TEXT(TRIM(S565),"00000")="89032", TEXT(TRIM(S565),"00000")="89086", TEXT(TRIM(S565),"00000")="89084", TEXT(TRIM(S565),"00000")="89081"), "North LV",
  OR(TEXT(TRIM(S565),"00000")="89109", TEXT(TRIM(S565),"00000")="89103", TEXT(TRIM(S565),"00000")="89119", TEXT(TRIM(S565),"00000")="89123", TEXT(TRIM(S565),"00000")="89169", TEXT(TRIM(S565),"00000")="89118"), "South/Strip",
  OR(TEXT(TRIM(S565),"00000")="89074", TEXT(TRIM(S565),"00000")="89014", TEXT(TRIM(S565),"00000")="89015", TEXT(TRIM(S565),"00000")="89011", TEXT(TRIM(S565),"00000")="89012"), "Suburban SE",
  OR(TEXT(TRIM(S565),"00000")="89117", TEXT(TRIM(S565),"00000")="89128", TEXT(TRIM(S565),"00000")="89135", TEXT(TRIM(S565),"00000")="89144", TEXT(TRIM(S565),"00000")="89145", TEXT(TRIM(S565),"00000")="89147"), "West Valley",
  TRUE, "Other"
)</f>
        <v>Other</v>
      </c>
      <c r="U565" t="s">
        <v>38</v>
      </c>
      <c r="V565" t="str">
        <f t="shared" si="35"/>
        <v>Home/Residence</v>
      </c>
    </row>
    <row r="566" spans="1:22">
      <c r="A566" t="s">
        <v>784</v>
      </c>
      <c r="B566" t="s">
        <v>785</v>
      </c>
      <c r="C566" s="1">
        <v>45134</v>
      </c>
      <c r="D566" s="4">
        <v>113</v>
      </c>
      <c r="E566">
        <v>27</v>
      </c>
      <c r="F566" t="str">
        <f t="shared" si="32"/>
        <v>20's</v>
      </c>
      <c r="G566" t="str" cm="1">
        <f t="array" ref="G566">_xlfn.IFS(
  F566="10's", "Child (5–12)",
  OR(F566="20's", F566="30's"), "Young Adult (20–39)",
  OR(F566="40's", F566="50's"), "Adult (40–59)",
  OR(F566="60's", F566="70's", F566="80's", F566="90's"), "Senior (60+)",
  TRUE, "Unknown"
)</f>
        <v>Young Adult (20–39)</v>
      </c>
      <c r="H566" t="s">
        <v>841</v>
      </c>
      <c r="I566" t="s">
        <v>4025</v>
      </c>
      <c r="J566" t="str">
        <f t="shared" si="33"/>
        <v>Methamphetamine-related</v>
      </c>
      <c r="K566" t="s">
        <v>54</v>
      </c>
      <c r="L566" t="s">
        <v>250</v>
      </c>
      <c r="M566" t="s">
        <v>4745</v>
      </c>
      <c r="N566" t="s">
        <v>5106</v>
      </c>
      <c r="O566" t="str" cm="1">
        <f t="array" ref="O566">_xlfn.IFS(
  TEXT(TRIM(N566),"00000")="NULL", "Missing/Unknown",
  OR(TEXT(TRIM(N566),"00000")="89101", TEXT(TRIM(N566),"00000")="89104", TEXT(TRIM(N566),"00000")="89106", TEXT(TRIM(N566),"00000")="89102", TEXT(TRIM(N566),"00000")="89107", TEXT(TRIM(N566),"00000")="89108"), "Urban Core",
  OR(TEXT(TRIM(N566),"00000")="89110", TEXT(TRIM(N566),"00000")="89115", TEXT(TRIM(N566),"00000")="89121", TEXT(TRIM(N566),"00000")="89122", TEXT(TRIM(N566),"00000")="89142", TEXT(TRIM(N566),"00000")="89156"), "East Valley",
  OR(TEXT(TRIM(N566),"00000")="89030", TEXT(TRIM(N566),"00000")="89031", TEXT(TRIM(N566),"00000")="89032", TEXT(TRIM(N566),"00000")="89086", TEXT(TRIM(N566),"00000")="89084", TEXT(TRIM(N566),"00000")="89081"), "North LV",
  OR(TEXT(TRIM(N566),"00000")="89109", TEXT(TRIM(N566),"00000")="89103", TEXT(TRIM(N566),"00000")="89119", TEXT(TRIM(N566),"00000")="89123", TEXT(TRIM(N566),"00000")="89169", TEXT(TRIM(N566),"00000")="89118"), "South/Strip",
  OR(TEXT(TRIM(N566),"00000")="89074", TEXT(TRIM(N566),"00000")="89014", TEXT(TRIM(N566),"00000")="89015", TEXT(TRIM(N566),"00000")="89011", TEXT(TRIM(N566),"00000")="89012"), "Suburban SE",
  OR(TEXT(TRIM(N566),"00000")="89117", TEXT(TRIM(N566),"00000")="89128", TEXT(TRIM(N566),"00000")="89135", TEXT(TRIM(N566),"00000")="89144", TEXT(TRIM(N566),"00000")="89145", TEXT(TRIM(N566),"00000")="89147"), "West Valley",
  TRUE, "Other"
)</f>
        <v>East Valley</v>
      </c>
      <c r="P566" t="s">
        <v>3298</v>
      </c>
      <c r="Q566" t="str">
        <f t="shared" si="34"/>
        <v>Outdoors/Public</v>
      </c>
      <c r="R566" t="s">
        <v>4745</v>
      </c>
      <c r="S566" t="s">
        <v>5106</v>
      </c>
      <c r="T566" t="str" cm="1">
        <f t="array" ref="T566">_xlfn.IFS(
  TEXT(TRIM(S566),"00000")="NULL", "Missing/Unknown",
  OR(TEXT(TRIM(S566),"00000")="89101", TEXT(TRIM(S566),"00000")="89104", TEXT(TRIM(S566),"00000")="89106", TEXT(TRIM(S566),"00000")="89102", TEXT(TRIM(S566),"00000")="89107", TEXT(TRIM(S566),"00000")="89108"), "Urban Core",
  OR(TEXT(TRIM(S566),"00000")="89110", TEXT(TRIM(S566),"00000")="89115", TEXT(TRIM(S566),"00000")="89121", TEXT(TRIM(S566),"00000")="89122", TEXT(TRIM(S566),"00000")="89142", TEXT(TRIM(S566),"00000")="89156"), "East Valley",
  OR(TEXT(TRIM(S566),"00000")="89030", TEXT(TRIM(S566),"00000")="89031", TEXT(TRIM(S566),"00000")="89032", TEXT(TRIM(S566),"00000")="89086", TEXT(TRIM(S566),"00000")="89084", TEXT(TRIM(S566),"00000")="89081"), "North LV",
  OR(TEXT(TRIM(S566),"00000")="89109", TEXT(TRIM(S566),"00000")="89103", TEXT(TRIM(S566),"00000")="89119", TEXT(TRIM(S566),"00000")="89123", TEXT(TRIM(S566),"00000")="89169", TEXT(TRIM(S566),"00000")="89118"), "South/Strip",
  OR(TEXT(TRIM(S566),"00000")="89074", TEXT(TRIM(S566),"00000")="89014", TEXT(TRIM(S566),"00000")="89015", TEXT(TRIM(S566),"00000")="89011", TEXT(TRIM(S566),"00000")="89012"), "Suburban SE",
  OR(TEXT(TRIM(S566),"00000")="89117", TEXT(TRIM(S566),"00000")="89128", TEXT(TRIM(S566),"00000")="89135", TEXT(TRIM(S566),"00000")="89144", TEXT(TRIM(S566),"00000")="89145", TEXT(TRIM(S566),"00000")="89147"), "West Valley",
  TRUE, "Other"
)</f>
        <v>East Valley</v>
      </c>
      <c r="U566" t="s">
        <v>3298</v>
      </c>
      <c r="V566" t="str">
        <f t="shared" si="35"/>
        <v>Outdoors/Public</v>
      </c>
    </row>
    <row r="567" spans="1:22">
      <c r="A567" t="s">
        <v>948</v>
      </c>
      <c r="B567" t="s">
        <v>949</v>
      </c>
      <c r="C567" s="1">
        <v>45134</v>
      </c>
      <c r="D567" s="4">
        <v>113</v>
      </c>
      <c r="E567">
        <v>73</v>
      </c>
      <c r="F567" t="str">
        <f t="shared" si="32"/>
        <v>70's</v>
      </c>
      <c r="G567" t="str" cm="1">
        <f t="array" ref="G567">_xlfn.IFS(
  F567="10's", "Child (5–12)",
  OR(F567="20's", F567="30's"), "Young Adult (20–39)",
  OR(F567="40's", F567="50's"), "Adult (40–59)",
  OR(F567="60's", F567="70's", F567="80's", F567="90's"), "Senior (60+)",
  TRUE, "Unknown"
)</f>
        <v>Senior (60+)</v>
      </c>
      <c r="H567" t="s">
        <v>841</v>
      </c>
      <c r="I567" t="s">
        <v>97</v>
      </c>
      <c r="J567" t="str">
        <f t="shared" si="33"/>
        <v>Environmental Heat</v>
      </c>
      <c r="K567" t="s">
        <v>950</v>
      </c>
      <c r="L567" t="s">
        <v>1071</v>
      </c>
      <c r="M567" t="s">
        <v>4588</v>
      </c>
      <c r="N567" t="s">
        <v>5121</v>
      </c>
      <c r="O567" t="str" cm="1">
        <f t="array" ref="O567">_xlfn.IFS(
  TEXT(TRIM(N567),"00000")="NULL", "Missing/Unknown",
  OR(TEXT(TRIM(N567),"00000")="89101", TEXT(TRIM(N567),"00000")="89104", TEXT(TRIM(N567),"00000")="89106", TEXT(TRIM(N567),"00000")="89102", TEXT(TRIM(N567),"00000")="89107", TEXT(TRIM(N567),"00000")="89108"), "Urban Core",
  OR(TEXT(TRIM(N567),"00000")="89110", TEXT(TRIM(N567),"00000")="89115", TEXT(TRIM(N567),"00000")="89121", TEXT(TRIM(N567),"00000")="89122", TEXT(TRIM(N567),"00000")="89142", TEXT(TRIM(N567),"00000")="89156"), "East Valley",
  OR(TEXT(TRIM(N567),"00000")="89030", TEXT(TRIM(N567),"00000")="89031", TEXT(TRIM(N567),"00000")="89032", TEXT(TRIM(N567),"00000")="89086", TEXT(TRIM(N567),"00000")="89084", TEXT(TRIM(N567),"00000")="89081"), "North LV",
  OR(TEXT(TRIM(N567),"00000")="89109", TEXT(TRIM(N567),"00000")="89103", TEXT(TRIM(N567),"00000")="89119", TEXT(TRIM(N567),"00000")="89123", TEXT(TRIM(N567),"00000")="89169", TEXT(TRIM(N567),"00000")="89118"), "South/Strip",
  OR(TEXT(TRIM(N567),"00000")="89074", TEXT(TRIM(N567),"00000")="89014", TEXT(TRIM(N567),"00000")="89015", TEXT(TRIM(N567),"00000")="89011", TEXT(TRIM(N567),"00000")="89012"), "Suburban SE",
  OR(TEXT(TRIM(N567),"00000")="89117", TEXT(TRIM(N567),"00000")="89128", TEXT(TRIM(N567),"00000")="89135", TEXT(TRIM(N567),"00000")="89144", TEXT(TRIM(N567),"00000")="89145", TEXT(TRIM(N567),"00000")="89147"), "West Valley",
  TRUE, "Other"
)</f>
        <v>East Valley</v>
      </c>
      <c r="P567" t="s">
        <v>38</v>
      </c>
      <c r="Q567" t="str">
        <f t="shared" si="34"/>
        <v>Home/Residence</v>
      </c>
      <c r="R567" t="s">
        <v>4713</v>
      </c>
      <c r="S567" t="s">
        <v>5125</v>
      </c>
      <c r="T567" t="str" cm="1">
        <f t="array" ref="T567">_xlfn.IFS(
  TEXT(TRIM(S567),"00000")="NULL", "Missing/Unknown",
  OR(TEXT(TRIM(S567),"00000")="89101", TEXT(TRIM(S567),"00000")="89104", TEXT(TRIM(S567),"00000")="89106", TEXT(TRIM(S567),"00000")="89102", TEXT(TRIM(S567),"00000")="89107", TEXT(TRIM(S567),"00000")="89108"), "Urban Core",
  OR(TEXT(TRIM(S567),"00000")="89110", TEXT(TRIM(S567),"00000")="89115", TEXT(TRIM(S567),"00000")="89121", TEXT(TRIM(S567),"00000")="89122", TEXT(TRIM(S567),"00000")="89142", TEXT(TRIM(S567),"00000")="89156"), "East Valley",
  OR(TEXT(TRIM(S567),"00000")="89030", TEXT(TRIM(S567),"00000")="89031", TEXT(TRIM(S567),"00000")="89032", TEXT(TRIM(S567),"00000")="89086", TEXT(TRIM(S567),"00000")="89084", TEXT(TRIM(S567),"00000")="89081"), "North LV",
  OR(TEXT(TRIM(S567),"00000")="89109", TEXT(TRIM(S567),"00000")="89103", TEXT(TRIM(S567),"00000")="89119", TEXT(TRIM(S567),"00000")="89123", TEXT(TRIM(S567),"00000")="89169", TEXT(TRIM(S567),"00000")="89118"), "South/Strip",
  OR(TEXT(TRIM(S567),"00000")="89074", TEXT(TRIM(S567),"00000")="89014", TEXT(TRIM(S567),"00000")="89015", TEXT(TRIM(S567),"00000")="89011", TEXT(TRIM(S567),"00000")="89012"), "Suburban SE",
  OR(TEXT(TRIM(S567),"00000")="89117", TEXT(TRIM(S567),"00000")="89128", TEXT(TRIM(S567),"00000")="89135", TEXT(TRIM(S567),"00000")="89144", TEXT(TRIM(S567),"00000")="89145", TEXT(TRIM(S567),"00000")="89147"), "West Valley",
  TRUE, "Other"
)</f>
        <v>South/Strip</v>
      </c>
      <c r="U567" t="s">
        <v>228</v>
      </c>
      <c r="V567" t="str">
        <f t="shared" si="35"/>
        <v>Medical Facility</v>
      </c>
    </row>
    <row r="568" spans="1:22">
      <c r="A568" t="s">
        <v>767</v>
      </c>
      <c r="B568" t="s">
        <v>768</v>
      </c>
      <c r="C568" s="1">
        <v>45134</v>
      </c>
      <c r="D568" s="4">
        <v>113</v>
      </c>
      <c r="E568">
        <v>66</v>
      </c>
      <c r="F568" t="str">
        <f t="shared" si="32"/>
        <v>60's</v>
      </c>
      <c r="G568" t="str" cm="1">
        <f t="array" ref="G568">_xlfn.IFS(
  F568="10's", "Child (5–12)",
  OR(F568="20's", F568="30's"), "Young Adult (20–39)",
  OR(F568="40's", F568="50's"), "Adult (40–59)",
  OR(F568="60's", F568="70's", F568="80's", F568="90's"), "Senior (60+)",
  TRUE, "Unknown"
)</f>
        <v>Senior (60+)</v>
      </c>
      <c r="H568" t="s">
        <v>841</v>
      </c>
      <c r="I568" t="s">
        <v>54</v>
      </c>
      <c r="J568" t="str">
        <f t="shared" si="33"/>
        <v>Environmental Heat</v>
      </c>
      <c r="K568" t="s">
        <v>769</v>
      </c>
      <c r="L568" t="s">
        <v>250</v>
      </c>
      <c r="N568" t="s">
        <v>5095</v>
      </c>
      <c r="O568" t="str" cm="1">
        <f t="array" ref="O568">_xlfn.IFS(
  TEXT(TRIM(N568),"00000")="NULL", "Missing/Unknown",
  OR(TEXT(TRIM(N568),"00000")="89101", TEXT(TRIM(N568),"00000")="89104", TEXT(TRIM(N568),"00000")="89106", TEXT(TRIM(N568),"00000")="89102", TEXT(TRIM(N568),"00000")="89107", TEXT(TRIM(N568),"00000")="89108"), "Urban Core",
  OR(TEXT(TRIM(N568),"00000")="89110", TEXT(TRIM(N568),"00000")="89115", TEXT(TRIM(N568),"00000")="89121", TEXT(TRIM(N568),"00000")="89122", TEXT(TRIM(N568),"00000")="89142", TEXT(TRIM(N568),"00000")="89156"), "East Valley",
  OR(TEXT(TRIM(N568),"00000")="89030", TEXT(TRIM(N568),"00000")="89031", TEXT(TRIM(N568),"00000")="89032", TEXT(TRIM(N568),"00000")="89086", TEXT(TRIM(N568),"00000")="89084", TEXT(TRIM(N568),"00000")="89081"), "North LV",
  OR(TEXT(TRIM(N568),"00000")="89109", TEXT(TRIM(N568),"00000")="89103", TEXT(TRIM(N568),"00000")="89119", TEXT(TRIM(N568),"00000")="89123", TEXT(TRIM(N568),"00000")="89169", TEXT(TRIM(N568),"00000")="89118"), "South/Strip",
  OR(TEXT(TRIM(N568),"00000")="89074", TEXT(TRIM(N568),"00000")="89014", TEXT(TRIM(N568),"00000")="89015", TEXT(TRIM(N568),"00000")="89011", TEXT(TRIM(N568),"00000")="89012"), "Suburban SE",
  OR(TEXT(TRIM(N568),"00000")="89117", TEXT(TRIM(N568),"00000")="89128", TEXT(TRIM(N568),"00000")="89135", TEXT(TRIM(N568),"00000")="89144", TEXT(TRIM(N568),"00000")="89145", TEXT(TRIM(N568),"00000")="89147"), "West Valley",
  TRUE, "Other"
)</f>
        <v>Missing/Unknown</v>
      </c>
      <c r="P568" t="s">
        <v>3298</v>
      </c>
      <c r="Q568" t="str">
        <f t="shared" si="34"/>
        <v>Outdoors/Public</v>
      </c>
      <c r="S568" t="s">
        <v>5095</v>
      </c>
      <c r="T568" t="str" cm="1">
        <f t="array" ref="T568">_xlfn.IFS(
  TEXT(TRIM(S568),"00000")="NULL", "Missing/Unknown",
  OR(TEXT(TRIM(S568),"00000")="89101", TEXT(TRIM(S568),"00000")="89104", TEXT(TRIM(S568),"00000")="89106", TEXT(TRIM(S568),"00000")="89102", TEXT(TRIM(S568),"00000")="89107", TEXT(TRIM(S568),"00000")="89108"), "Urban Core",
  OR(TEXT(TRIM(S568),"00000")="89110", TEXT(TRIM(S568),"00000")="89115", TEXT(TRIM(S568),"00000")="89121", TEXT(TRIM(S568),"00000")="89122", TEXT(TRIM(S568),"00000")="89142", TEXT(TRIM(S568),"00000")="89156"), "East Valley",
  OR(TEXT(TRIM(S568),"00000")="89030", TEXT(TRIM(S568),"00000")="89031", TEXT(TRIM(S568),"00000")="89032", TEXT(TRIM(S568),"00000")="89086", TEXT(TRIM(S568),"00000")="89084", TEXT(TRIM(S568),"00000")="89081"), "North LV",
  OR(TEXT(TRIM(S568),"00000")="89109", TEXT(TRIM(S568),"00000")="89103", TEXT(TRIM(S568),"00000")="89119", TEXT(TRIM(S568),"00000")="89123", TEXT(TRIM(S568),"00000")="89169", TEXT(TRIM(S568),"00000")="89118"), "South/Strip",
  OR(TEXT(TRIM(S568),"00000")="89074", TEXT(TRIM(S568),"00000")="89014", TEXT(TRIM(S568),"00000")="89015", TEXT(TRIM(S568),"00000")="89011", TEXT(TRIM(S568),"00000")="89012"), "Suburban SE",
  OR(TEXT(TRIM(S568),"00000")="89117", TEXT(TRIM(S568),"00000")="89128", TEXT(TRIM(S568),"00000")="89135", TEXT(TRIM(S568),"00000")="89144", TEXT(TRIM(S568),"00000")="89145", TEXT(TRIM(S568),"00000")="89147"), "West Valley",
  TRUE, "Other"
)</f>
        <v>Missing/Unknown</v>
      </c>
      <c r="U568" t="s">
        <v>3298</v>
      </c>
      <c r="V568" t="str">
        <f t="shared" si="35"/>
        <v>Outdoors/Public</v>
      </c>
    </row>
    <row r="569" spans="1:22">
      <c r="A569" t="s">
        <v>757</v>
      </c>
      <c r="B569" t="s">
        <v>758</v>
      </c>
      <c r="C569" s="1">
        <v>45133</v>
      </c>
      <c r="D569" s="4">
        <v>113</v>
      </c>
      <c r="E569">
        <v>60</v>
      </c>
      <c r="F569" t="str">
        <f t="shared" si="32"/>
        <v>60's</v>
      </c>
      <c r="G569" t="str" cm="1">
        <f t="array" ref="G569">_xlfn.IFS(
  F569="10's", "Child (5–12)",
  OR(F569="20's", F569="30's"), "Young Adult (20–39)",
  OR(F569="40's", F569="50's"), "Adult (40–59)",
  OR(F569="60's", F569="70's", F569="80's", F569="90's"), "Senior (60+)",
  TRUE, "Unknown"
)</f>
        <v>Senior (60+)</v>
      </c>
      <c r="H569" t="s">
        <v>4310</v>
      </c>
      <c r="I569" t="s">
        <v>97</v>
      </c>
      <c r="J569" t="str">
        <f t="shared" si="33"/>
        <v>Environmental Heat</v>
      </c>
      <c r="K569" t="s">
        <v>166</v>
      </c>
      <c r="L569" t="s">
        <v>250</v>
      </c>
      <c r="M569" t="s">
        <v>4534</v>
      </c>
      <c r="N569" t="s">
        <v>5100</v>
      </c>
      <c r="O569" t="str" cm="1">
        <f t="array" ref="O569">_xlfn.IFS(
  TEXT(TRIM(N569),"00000")="NULL", "Missing/Unknown",
  OR(TEXT(TRIM(N569),"00000")="89101", TEXT(TRIM(N569),"00000")="89104", TEXT(TRIM(N569),"00000")="89106", TEXT(TRIM(N569),"00000")="89102", TEXT(TRIM(N569),"00000")="89107", TEXT(TRIM(N569),"00000")="89108"), "Urban Core",
  OR(TEXT(TRIM(N569),"00000")="89110", TEXT(TRIM(N569),"00000")="89115", TEXT(TRIM(N569),"00000")="89121", TEXT(TRIM(N569),"00000")="89122", TEXT(TRIM(N569),"00000")="89142", TEXT(TRIM(N569),"00000")="89156"), "East Valley",
  OR(TEXT(TRIM(N569),"00000")="89030", TEXT(TRIM(N569),"00000")="89031", TEXT(TRIM(N569),"00000")="89032", TEXT(TRIM(N569),"00000")="89086", TEXT(TRIM(N569),"00000")="89084", TEXT(TRIM(N569),"00000")="89081"), "North LV",
  OR(TEXT(TRIM(N569),"00000")="89109", TEXT(TRIM(N569),"00000")="89103", TEXT(TRIM(N569),"00000")="89119", TEXT(TRIM(N569),"00000")="89123", TEXT(TRIM(N569),"00000")="89169", TEXT(TRIM(N569),"00000")="89118"), "South/Strip",
  OR(TEXT(TRIM(N569),"00000")="89074", TEXT(TRIM(N569),"00000")="89014", TEXT(TRIM(N569),"00000")="89015", TEXT(TRIM(N569),"00000")="89011", TEXT(TRIM(N569),"00000")="89012"), "Suburban SE",
  OR(TEXT(TRIM(N569),"00000")="89117", TEXT(TRIM(N569),"00000")="89128", TEXT(TRIM(N569),"00000")="89135", TEXT(TRIM(N569),"00000")="89144", TEXT(TRIM(N569),"00000")="89145", TEXT(TRIM(N569),"00000")="89147"), "West Valley",
  TRUE, "Other"
)</f>
        <v>North LV</v>
      </c>
      <c r="P569" t="s">
        <v>3298</v>
      </c>
      <c r="Q569" t="str">
        <f t="shared" si="34"/>
        <v>Outdoors/Public</v>
      </c>
      <c r="R569" t="s">
        <v>4341</v>
      </c>
      <c r="S569" t="s">
        <v>5100</v>
      </c>
      <c r="T569" t="str" cm="1">
        <f t="array" ref="T569">_xlfn.IFS(
  TEXT(TRIM(S569),"00000")="NULL", "Missing/Unknown",
  OR(TEXT(TRIM(S569),"00000")="89101", TEXT(TRIM(S569),"00000")="89104", TEXT(TRIM(S569),"00000")="89106", TEXT(TRIM(S569),"00000")="89102", TEXT(TRIM(S569),"00000")="89107", TEXT(TRIM(S569),"00000")="89108"), "Urban Core",
  OR(TEXT(TRIM(S569),"00000")="89110", TEXT(TRIM(S569),"00000")="89115", TEXT(TRIM(S569),"00000")="89121", TEXT(TRIM(S569),"00000")="89122", TEXT(TRIM(S569),"00000")="89142", TEXT(TRIM(S569),"00000")="89156"), "East Valley",
  OR(TEXT(TRIM(S569),"00000")="89030", TEXT(TRIM(S569),"00000")="89031", TEXT(TRIM(S569),"00000")="89032", TEXT(TRIM(S569),"00000")="89086", TEXT(TRIM(S569),"00000")="89084", TEXT(TRIM(S569),"00000")="89081"), "North LV",
  OR(TEXT(TRIM(S569),"00000")="89109", TEXT(TRIM(S569),"00000")="89103", TEXT(TRIM(S569),"00000")="89119", TEXT(TRIM(S569),"00000")="89123", TEXT(TRIM(S569),"00000")="89169", TEXT(TRIM(S569),"00000")="89118"), "South/Strip",
  OR(TEXT(TRIM(S569),"00000")="89074", TEXT(TRIM(S569),"00000")="89014", TEXT(TRIM(S569),"00000")="89015", TEXT(TRIM(S569),"00000")="89011", TEXT(TRIM(S569),"00000")="89012"), "Suburban SE",
  OR(TEXT(TRIM(S569),"00000")="89117", TEXT(TRIM(S569),"00000")="89128", TEXT(TRIM(S569),"00000")="89135", TEXT(TRIM(S569),"00000")="89144", TEXT(TRIM(S569),"00000")="89145", TEXT(TRIM(S569),"00000")="89147"), "West Valley",
  TRUE, "Other"
)</f>
        <v>North LV</v>
      </c>
      <c r="U569" t="s">
        <v>4301</v>
      </c>
      <c r="V569" t="str">
        <f t="shared" si="35"/>
        <v>Medical Facility</v>
      </c>
    </row>
    <row r="570" spans="1:22">
      <c r="A570" t="s">
        <v>727</v>
      </c>
      <c r="B570" t="s">
        <v>728</v>
      </c>
      <c r="C570" s="1">
        <v>45133</v>
      </c>
      <c r="D570" s="4">
        <v>113</v>
      </c>
      <c r="E570">
        <v>34</v>
      </c>
      <c r="F570" t="str">
        <f t="shared" si="32"/>
        <v>30's</v>
      </c>
      <c r="G570" t="str" cm="1">
        <f t="array" ref="G570">_xlfn.IFS(
  F570="10's", "Child (5–12)",
  OR(F570="20's", F570="30's"), "Young Adult (20–39)",
  OR(F570="40's", F570="50's"), "Adult (40–59)",
  OR(F570="60's", F570="70's", F570="80's", F570="90's"), "Senior (60+)",
  TRUE, "Unknown"
)</f>
        <v>Young Adult (20–39)</v>
      </c>
      <c r="H570" t="s">
        <v>27</v>
      </c>
      <c r="I570" t="s">
        <v>54</v>
      </c>
      <c r="J570" t="str">
        <f t="shared" si="33"/>
        <v>Environmental Heat</v>
      </c>
      <c r="K570" t="s">
        <v>379</v>
      </c>
      <c r="L570" t="s">
        <v>250</v>
      </c>
      <c r="M570" t="s">
        <v>4746</v>
      </c>
      <c r="N570" t="s">
        <v>5100</v>
      </c>
      <c r="O570" t="str" cm="1">
        <f t="array" ref="O570">_xlfn.IFS(
  TEXT(TRIM(N570),"00000")="NULL", "Missing/Unknown",
  OR(TEXT(TRIM(N570),"00000")="89101", TEXT(TRIM(N570),"00000")="89104", TEXT(TRIM(N570),"00000")="89106", TEXT(TRIM(N570),"00000")="89102", TEXT(TRIM(N570),"00000")="89107", TEXT(TRIM(N570),"00000")="89108"), "Urban Core",
  OR(TEXT(TRIM(N570),"00000")="89110", TEXT(TRIM(N570),"00000")="89115", TEXT(TRIM(N570),"00000")="89121", TEXT(TRIM(N570),"00000")="89122", TEXT(TRIM(N570),"00000")="89142", TEXT(TRIM(N570),"00000")="89156"), "East Valley",
  OR(TEXT(TRIM(N570),"00000")="89030", TEXT(TRIM(N570),"00000")="89031", TEXT(TRIM(N570),"00000")="89032", TEXT(TRIM(N570),"00000")="89086", TEXT(TRIM(N570),"00000")="89084", TEXT(TRIM(N570),"00000")="89081"), "North LV",
  OR(TEXT(TRIM(N570),"00000")="89109", TEXT(TRIM(N570),"00000")="89103", TEXT(TRIM(N570),"00000")="89119", TEXT(TRIM(N570),"00000")="89123", TEXT(TRIM(N570),"00000")="89169", TEXT(TRIM(N570),"00000")="89118"), "South/Strip",
  OR(TEXT(TRIM(N570),"00000")="89074", TEXT(TRIM(N570),"00000")="89014", TEXT(TRIM(N570),"00000")="89015", TEXT(TRIM(N570),"00000")="89011", TEXT(TRIM(N570),"00000")="89012"), "Suburban SE",
  OR(TEXT(TRIM(N570),"00000")="89117", TEXT(TRIM(N570),"00000")="89128", TEXT(TRIM(N570),"00000")="89135", TEXT(TRIM(N570),"00000")="89144", TEXT(TRIM(N570),"00000")="89145", TEXT(TRIM(N570),"00000")="89147"), "West Valley",
  TRUE, "Other"
)</f>
        <v>North LV</v>
      </c>
      <c r="P570" t="s">
        <v>3298</v>
      </c>
      <c r="Q570" t="str">
        <f t="shared" si="34"/>
        <v>Outdoors/Public</v>
      </c>
      <c r="R570" t="s">
        <v>4746</v>
      </c>
      <c r="S570" t="s">
        <v>5100</v>
      </c>
      <c r="T570" t="str" cm="1">
        <f t="array" ref="T570">_xlfn.IFS(
  TEXT(TRIM(S570),"00000")="NULL", "Missing/Unknown",
  OR(TEXT(TRIM(S570),"00000")="89101", TEXT(TRIM(S570),"00000")="89104", TEXT(TRIM(S570),"00000")="89106", TEXT(TRIM(S570),"00000")="89102", TEXT(TRIM(S570),"00000")="89107", TEXT(TRIM(S570),"00000")="89108"), "Urban Core",
  OR(TEXT(TRIM(S570),"00000")="89110", TEXT(TRIM(S570),"00000")="89115", TEXT(TRIM(S570),"00000")="89121", TEXT(TRIM(S570),"00000")="89122", TEXT(TRIM(S570),"00000")="89142", TEXT(TRIM(S570),"00000")="89156"), "East Valley",
  OR(TEXT(TRIM(S570),"00000")="89030", TEXT(TRIM(S570),"00000")="89031", TEXT(TRIM(S570),"00000")="89032", TEXT(TRIM(S570),"00000")="89086", TEXT(TRIM(S570),"00000")="89084", TEXT(TRIM(S570),"00000")="89081"), "North LV",
  OR(TEXT(TRIM(S570),"00000")="89109", TEXT(TRIM(S570),"00000")="89103", TEXT(TRIM(S570),"00000")="89119", TEXT(TRIM(S570),"00000")="89123", TEXT(TRIM(S570),"00000")="89169", TEXT(TRIM(S570),"00000")="89118"), "South/Strip",
  OR(TEXT(TRIM(S570),"00000")="89074", TEXT(TRIM(S570),"00000")="89014", TEXT(TRIM(S570),"00000")="89015", TEXT(TRIM(S570),"00000")="89011", TEXT(TRIM(S570),"00000")="89012"), "Suburban SE",
  OR(TEXT(TRIM(S570),"00000")="89117", TEXT(TRIM(S570),"00000")="89128", TEXT(TRIM(S570),"00000")="89135", TEXT(TRIM(S570),"00000")="89144", TEXT(TRIM(S570),"00000")="89145", TEXT(TRIM(S570),"00000")="89147"), "West Valley",
  TRUE, "Other"
)</f>
        <v>North LV</v>
      </c>
      <c r="U570" t="s">
        <v>3298</v>
      </c>
      <c r="V570" t="str">
        <f t="shared" si="35"/>
        <v>Outdoors/Public</v>
      </c>
    </row>
    <row r="571" spans="1:22">
      <c r="A571" t="s">
        <v>747</v>
      </c>
      <c r="B571" t="s">
        <v>748</v>
      </c>
      <c r="C571" s="1">
        <v>45133</v>
      </c>
      <c r="D571" s="4">
        <v>113</v>
      </c>
      <c r="E571">
        <v>30</v>
      </c>
      <c r="F571" t="str">
        <f t="shared" si="32"/>
        <v>30's</v>
      </c>
      <c r="G571" t="str" cm="1">
        <f t="array" ref="G571">_xlfn.IFS(
  F571="10's", "Child (5–12)",
  OR(F571="20's", F571="30's"), "Young Adult (20–39)",
  OR(F571="40's", F571="50's"), "Adult (40–59)",
  OR(F571="60's", F571="70's", F571="80's", F571="90's"), "Senior (60+)",
  TRUE, "Unknown"
)</f>
        <v>Young Adult (20–39)</v>
      </c>
      <c r="H571" t="s">
        <v>778</v>
      </c>
      <c r="I571" t="s">
        <v>4025</v>
      </c>
      <c r="J571" t="str">
        <f t="shared" si="33"/>
        <v>Methamphetamine-related</v>
      </c>
      <c r="K571" t="s">
        <v>54</v>
      </c>
      <c r="L571" t="s">
        <v>250</v>
      </c>
      <c r="M571" t="s">
        <v>4533</v>
      </c>
      <c r="N571" t="s">
        <v>5123</v>
      </c>
      <c r="O571" t="str" cm="1">
        <f t="array" ref="O571">_xlfn.IFS(
  TEXT(TRIM(N571),"00000")="NULL", "Missing/Unknown",
  OR(TEXT(TRIM(N571),"00000")="89101", TEXT(TRIM(N571),"00000")="89104", TEXT(TRIM(N571),"00000")="89106", TEXT(TRIM(N571),"00000")="89102", TEXT(TRIM(N571),"00000")="89107", TEXT(TRIM(N571),"00000")="89108"), "Urban Core",
  OR(TEXT(TRIM(N571),"00000")="89110", TEXT(TRIM(N571),"00000")="89115", TEXT(TRIM(N571),"00000")="89121", TEXT(TRIM(N571),"00000")="89122", TEXT(TRIM(N571),"00000")="89142", TEXT(TRIM(N571),"00000")="89156"), "East Valley",
  OR(TEXT(TRIM(N571),"00000")="89030", TEXT(TRIM(N571),"00000")="89031", TEXT(TRIM(N571),"00000")="89032", TEXT(TRIM(N571),"00000")="89086", TEXT(TRIM(N571),"00000")="89084", TEXT(TRIM(N571),"00000")="89081"), "North LV",
  OR(TEXT(TRIM(N571),"00000")="89109", TEXT(TRIM(N571),"00000")="89103", TEXT(TRIM(N571),"00000")="89119", TEXT(TRIM(N571),"00000")="89123", TEXT(TRIM(N571),"00000")="89169", TEXT(TRIM(N571),"00000")="89118"), "South/Strip",
  OR(TEXT(TRIM(N571),"00000")="89074", TEXT(TRIM(N571),"00000")="89014", TEXT(TRIM(N571),"00000")="89015", TEXT(TRIM(N571),"00000")="89011", TEXT(TRIM(N571),"00000")="89012"), "Suburban SE",
  OR(TEXT(TRIM(N571),"00000")="89117", TEXT(TRIM(N571),"00000")="89128", TEXT(TRIM(N571),"00000")="89135", TEXT(TRIM(N571),"00000")="89144", TEXT(TRIM(N571),"00000")="89145", TEXT(TRIM(N571),"00000")="89147"), "West Valley",
  TRUE, "Other"
)</f>
        <v>South/Strip</v>
      </c>
      <c r="P571" t="s">
        <v>3298</v>
      </c>
      <c r="Q571" t="str">
        <f t="shared" si="34"/>
        <v>Outdoors/Public</v>
      </c>
      <c r="R571" t="s">
        <v>4713</v>
      </c>
      <c r="S571" t="s">
        <v>5125</v>
      </c>
      <c r="T571" t="str" cm="1">
        <f t="array" ref="T571">_xlfn.IFS(
  TEXT(TRIM(S571),"00000")="NULL", "Missing/Unknown",
  OR(TEXT(TRIM(S571),"00000")="89101", TEXT(TRIM(S571),"00000")="89104", TEXT(TRIM(S571),"00000")="89106", TEXT(TRIM(S571),"00000")="89102", TEXT(TRIM(S571),"00000")="89107", TEXT(TRIM(S571),"00000")="89108"), "Urban Core",
  OR(TEXT(TRIM(S571),"00000")="89110", TEXT(TRIM(S571),"00000")="89115", TEXT(TRIM(S571),"00000")="89121", TEXT(TRIM(S571),"00000")="89122", TEXT(TRIM(S571),"00000")="89142", TEXT(TRIM(S571),"00000")="89156"), "East Valley",
  OR(TEXT(TRIM(S571),"00000")="89030", TEXT(TRIM(S571),"00000")="89031", TEXT(TRIM(S571),"00000")="89032", TEXT(TRIM(S571),"00000")="89086", TEXT(TRIM(S571),"00000")="89084", TEXT(TRIM(S571),"00000")="89081"), "North LV",
  OR(TEXT(TRIM(S571),"00000")="89109", TEXT(TRIM(S571),"00000")="89103", TEXT(TRIM(S571),"00000")="89119", TEXT(TRIM(S571),"00000")="89123", TEXT(TRIM(S571),"00000")="89169", TEXT(TRIM(S571),"00000")="89118"), "South/Strip",
  OR(TEXT(TRIM(S571),"00000")="89074", TEXT(TRIM(S571),"00000")="89014", TEXT(TRIM(S571),"00000")="89015", TEXT(TRIM(S571),"00000")="89011", TEXT(TRIM(S571),"00000")="89012"), "Suburban SE",
  OR(TEXT(TRIM(S571),"00000")="89117", TEXT(TRIM(S571),"00000")="89128", TEXT(TRIM(S571),"00000")="89135", TEXT(TRIM(S571),"00000")="89144", TEXT(TRIM(S571),"00000")="89145", TEXT(TRIM(S571),"00000")="89147"), "West Valley",
  TRUE, "Other"
)</f>
        <v>South/Strip</v>
      </c>
      <c r="U571" t="s">
        <v>4301</v>
      </c>
      <c r="V571" t="str">
        <f t="shared" si="35"/>
        <v>Medical Facility</v>
      </c>
    </row>
    <row r="572" spans="1:22">
      <c r="A572" t="s">
        <v>739</v>
      </c>
      <c r="B572" t="s">
        <v>740</v>
      </c>
      <c r="C572" s="1">
        <v>45133</v>
      </c>
      <c r="D572" s="4">
        <v>113</v>
      </c>
      <c r="E572">
        <v>83</v>
      </c>
      <c r="F572" t="str">
        <f t="shared" si="32"/>
        <v>80's</v>
      </c>
      <c r="G572" t="str" cm="1">
        <f t="array" ref="G572">_xlfn.IFS(
  F572="10's", "Child (5–12)",
  OR(F572="20's", F572="30's"), "Young Adult (20–39)",
  OR(F572="40's", F572="50's"), "Adult (40–59)",
  OR(F572="60's", F572="70's", F572="80's", F572="90's"), "Senior (60+)",
  TRUE, "Unknown"
)</f>
        <v>Senior (60+)</v>
      </c>
      <c r="H572" t="s">
        <v>778</v>
      </c>
      <c r="I572" t="s">
        <v>4012</v>
      </c>
      <c r="J572" t="str">
        <f t="shared" si="33"/>
        <v>Cardiovascular Disease</v>
      </c>
      <c r="K572" t="s">
        <v>54</v>
      </c>
      <c r="L572" t="s">
        <v>1071</v>
      </c>
      <c r="M572" t="s">
        <v>4374</v>
      </c>
      <c r="N572" t="s">
        <v>5108</v>
      </c>
      <c r="O572" t="str" cm="1">
        <f t="array" ref="O572">_xlfn.IFS(
  TEXT(TRIM(N572),"00000")="NULL", "Missing/Unknown",
  OR(TEXT(TRIM(N572),"00000")="89101", TEXT(TRIM(N572),"00000")="89104", TEXT(TRIM(N572),"00000")="89106", TEXT(TRIM(N572),"00000")="89102", TEXT(TRIM(N572),"00000")="89107", TEXT(TRIM(N572),"00000")="89108"), "Urban Core",
  OR(TEXT(TRIM(N572),"00000")="89110", TEXT(TRIM(N572),"00000")="89115", TEXT(TRIM(N572),"00000")="89121", TEXT(TRIM(N572),"00000")="89122", TEXT(TRIM(N572),"00000")="89142", TEXT(TRIM(N572),"00000")="89156"), "East Valley",
  OR(TEXT(TRIM(N572),"00000")="89030", TEXT(TRIM(N572),"00000")="89031", TEXT(TRIM(N572),"00000")="89032", TEXT(TRIM(N572),"00000")="89086", TEXT(TRIM(N572),"00000")="89084", TEXT(TRIM(N572),"00000")="89081"), "North LV",
  OR(TEXT(TRIM(N572),"00000")="89109", TEXT(TRIM(N572),"00000")="89103", TEXT(TRIM(N572),"00000")="89119", TEXT(TRIM(N572),"00000")="89123", TEXT(TRIM(N572),"00000")="89169", TEXT(TRIM(N572),"00000")="89118"), "South/Strip",
  OR(TEXT(TRIM(N572),"00000")="89074", TEXT(TRIM(N572),"00000")="89014", TEXT(TRIM(N572),"00000")="89015", TEXT(TRIM(N572),"00000")="89011", TEXT(TRIM(N572),"00000")="89012"), "Suburban SE",
  OR(TEXT(TRIM(N572),"00000")="89117", TEXT(TRIM(N572),"00000")="89128", TEXT(TRIM(N572),"00000")="89135", TEXT(TRIM(N572),"00000")="89144", TEXT(TRIM(N572),"00000")="89145", TEXT(TRIM(N572),"00000")="89147"), "West Valley",
  TRUE, "Other"
)</f>
        <v>East Valley</v>
      </c>
      <c r="P572" t="s">
        <v>38</v>
      </c>
      <c r="Q572" t="str">
        <f t="shared" si="34"/>
        <v>Home/Residence</v>
      </c>
      <c r="R572" t="s">
        <v>4374</v>
      </c>
      <c r="S572" t="s">
        <v>5108</v>
      </c>
      <c r="T572" t="str" cm="1">
        <f t="array" ref="T572">_xlfn.IFS(
  TEXT(TRIM(S572),"00000")="NULL", "Missing/Unknown",
  OR(TEXT(TRIM(S572),"00000")="89101", TEXT(TRIM(S572),"00000")="89104", TEXT(TRIM(S572),"00000")="89106", TEXT(TRIM(S572),"00000")="89102", TEXT(TRIM(S572),"00000")="89107", TEXT(TRIM(S572),"00000")="89108"), "Urban Core",
  OR(TEXT(TRIM(S572),"00000")="89110", TEXT(TRIM(S572),"00000")="89115", TEXT(TRIM(S572),"00000")="89121", TEXT(TRIM(S572),"00000")="89122", TEXT(TRIM(S572),"00000")="89142", TEXT(TRIM(S572),"00000")="89156"), "East Valley",
  OR(TEXT(TRIM(S572),"00000")="89030", TEXT(TRIM(S572),"00000")="89031", TEXT(TRIM(S572),"00000")="89032", TEXT(TRIM(S572),"00000")="89086", TEXT(TRIM(S572),"00000")="89084", TEXT(TRIM(S572),"00000")="89081"), "North LV",
  OR(TEXT(TRIM(S572),"00000")="89109", TEXT(TRIM(S572),"00000")="89103", TEXT(TRIM(S572),"00000")="89119", TEXT(TRIM(S572),"00000")="89123", TEXT(TRIM(S572),"00000")="89169", TEXT(TRIM(S572),"00000")="89118"), "South/Strip",
  OR(TEXT(TRIM(S572),"00000")="89074", TEXT(TRIM(S572),"00000")="89014", TEXT(TRIM(S572),"00000")="89015", TEXT(TRIM(S572),"00000")="89011", TEXT(TRIM(S572),"00000")="89012"), "Suburban SE",
  OR(TEXT(TRIM(S572),"00000")="89117", TEXT(TRIM(S572),"00000")="89128", TEXT(TRIM(S572),"00000")="89135", TEXT(TRIM(S572),"00000")="89144", TEXT(TRIM(S572),"00000")="89145", TEXT(TRIM(S572),"00000")="89147"), "West Valley",
  TRUE, "Other"
)</f>
        <v>East Valley</v>
      </c>
      <c r="U572" t="s">
        <v>38</v>
      </c>
      <c r="V572" t="str">
        <f t="shared" si="35"/>
        <v>Home/Residence</v>
      </c>
    </row>
    <row r="573" spans="1:22">
      <c r="A573" t="s">
        <v>753</v>
      </c>
      <c r="B573" t="s">
        <v>754</v>
      </c>
      <c r="C573" s="1">
        <v>45133</v>
      </c>
      <c r="D573" s="4">
        <v>113</v>
      </c>
      <c r="E573">
        <v>72</v>
      </c>
      <c r="F573" t="str">
        <f t="shared" si="32"/>
        <v>70's</v>
      </c>
      <c r="G573" t="str" cm="1">
        <f t="array" ref="G573">_xlfn.IFS(
  F573="10's", "Child (5–12)",
  OR(F573="20's", F573="30's"), "Young Adult (20–39)",
  OR(F573="40's", F573="50's"), "Adult (40–59)",
  OR(F573="60's", F573="70's", F573="80's", F573="90's"), "Senior (60+)",
  TRUE, "Unknown"
)</f>
        <v>Senior (60+)</v>
      </c>
      <c r="H573" t="s">
        <v>841</v>
      </c>
      <c r="I573" t="s">
        <v>80</v>
      </c>
      <c r="J573" t="str">
        <f t="shared" si="33"/>
        <v>Cardiovascular Disease</v>
      </c>
      <c r="K573" t="s">
        <v>4216</v>
      </c>
      <c r="L573" t="s">
        <v>1071</v>
      </c>
      <c r="M573" t="s">
        <v>4637</v>
      </c>
      <c r="N573" t="s">
        <v>5149</v>
      </c>
      <c r="O573" t="str" cm="1">
        <f t="array" ref="O573">_xlfn.IFS(
  TEXT(TRIM(N573),"00000")="NULL", "Missing/Unknown",
  OR(TEXT(TRIM(N573),"00000")="89101", TEXT(TRIM(N573),"00000")="89104", TEXT(TRIM(N573),"00000")="89106", TEXT(TRIM(N573),"00000")="89102", TEXT(TRIM(N573),"00000")="89107", TEXT(TRIM(N573),"00000")="89108"), "Urban Core",
  OR(TEXT(TRIM(N573),"00000")="89110", TEXT(TRIM(N573),"00000")="89115", TEXT(TRIM(N573),"00000")="89121", TEXT(TRIM(N573),"00000")="89122", TEXT(TRIM(N573),"00000")="89142", TEXT(TRIM(N573),"00000")="89156"), "East Valley",
  OR(TEXT(TRIM(N573),"00000")="89030", TEXT(TRIM(N573),"00000")="89031", TEXT(TRIM(N573),"00000")="89032", TEXT(TRIM(N573),"00000")="89086", TEXT(TRIM(N573),"00000")="89084", TEXT(TRIM(N573),"00000")="89081"), "North LV",
  OR(TEXT(TRIM(N573),"00000")="89109", TEXT(TRIM(N573),"00000")="89103", TEXT(TRIM(N573),"00000")="89119", TEXT(TRIM(N573),"00000")="89123", TEXT(TRIM(N573),"00000")="89169", TEXT(TRIM(N573),"00000")="89118"), "South/Strip",
  OR(TEXT(TRIM(N573),"00000")="89074", TEXT(TRIM(N573),"00000")="89014", TEXT(TRIM(N573),"00000")="89015", TEXT(TRIM(N573),"00000")="89011", TEXT(TRIM(N573),"00000")="89012"), "Suburban SE",
  OR(TEXT(TRIM(N573),"00000")="89117", TEXT(TRIM(N573),"00000")="89128", TEXT(TRIM(N573),"00000")="89135", TEXT(TRIM(N573),"00000")="89144", TEXT(TRIM(N573),"00000")="89145", TEXT(TRIM(N573),"00000")="89147"), "West Valley",
  TRUE, "Other"
)</f>
        <v>Other</v>
      </c>
      <c r="P573" t="s">
        <v>3298</v>
      </c>
      <c r="Q573" t="str">
        <f t="shared" si="34"/>
        <v>Outdoors/Public</v>
      </c>
      <c r="R573" t="s">
        <v>4637</v>
      </c>
      <c r="S573" t="s">
        <v>5149</v>
      </c>
      <c r="T573" t="str" cm="1">
        <f t="array" ref="T573">_xlfn.IFS(
  TEXT(TRIM(S573),"00000")="NULL", "Missing/Unknown",
  OR(TEXT(TRIM(S573),"00000")="89101", TEXT(TRIM(S573),"00000")="89104", TEXT(TRIM(S573),"00000")="89106", TEXT(TRIM(S573),"00000")="89102", TEXT(TRIM(S573),"00000")="89107", TEXT(TRIM(S573),"00000")="89108"), "Urban Core",
  OR(TEXT(TRIM(S573),"00000")="89110", TEXT(TRIM(S573),"00000")="89115", TEXT(TRIM(S573),"00000")="89121", TEXT(TRIM(S573),"00000")="89122", TEXT(TRIM(S573),"00000")="89142", TEXT(TRIM(S573),"00000")="89156"), "East Valley",
  OR(TEXT(TRIM(S573),"00000")="89030", TEXT(TRIM(S573),"00000")="89031", TEXT(TRIM(S573),"00000")="89032", TEXT(TRIM(S573),"00000")="89086", TEXT(TRIM(S573),"00000")="89084", TEXT(TRIM(S573),"00000")="89081"), "North LV",
  OR(TEXT(TRIM(S573),"00000")="89109", TEXT(TRIM(S573),"00000")="89103", TEXT(TRIM(S573),"00000")="89119", TEXT(TRIM(S573),"00000")="89123", TEXT(TRIM(S573),"00000")="89169", TEXT(TRIM(S573),"00000")="89118"), "South/Strip",
  OR(TEXT(TRIM(S573),"00000")="89074", TEXT(TRIM(S573),"00000")="89014", TEXT(TRIM(S573),"00000")="89015", TEXT(TRIM(S573),"00000")="89011", TEXT(TRIM(S573),"00000")="89012"), "Suburban SE",
  OR(TEXT(TRIM(S573),"00000")="89117", TEXT(TRIM(S573),"00000")="89128", TEXT(TRIM(S573),"00000")="89135", TEXT(TRIM(S573),"00000")="89144", TEXT(TRIM(S573),"00000")="89145", TEXT(TRIM(S573),"00000")="89147"), "West Valley",
  TRUE, "Other"
)</f>
        <v>Other</v>
      </c>
      <c r="U573" t="s">
        <v>3298</v>
      </c>
      <c r="V573" t="str">
        <f t="shared" si="35"/>
        <v>Outdoors/Public</v>
      </c>
    </row>
    <row r="574" spans="1:22">
      <c r="A574" t="s">
        <v>730</v>
      </c>
      <c r="B574" t="s">
        <v>731</v>
      </c>
      <c r="C574" s="1">
        <v>45133</v>
      </c>
      <c r="D574" s="4">
        <v>113</v>
      </c>
      <c r="E574">
        <v>45</v>
      </c>
      <c r="F574" t="str">
        <f t="shared" si="32"/>
        <v>40's</v>
      </c>
      <c r="G574" t="str" cm="1">
        <f t="array" ref="G574">_xlfn.IFS(
  F574="10's", "Child (5–12)",
  OR(F574="20's", F574="30's"), "Young Adult (20–39)",
  OR(F574="40's", F574="50's"), "Adult (40–59)",
  OR(F574="60's", F574="70's", F574="80's", F574="90's"), "Senior (60+)",
  TRUE, "Unknown"
)</f>
        <v>Adult (40–59)</v>
      </c>
      <c r="H574" t="s">
        <v>841</v>
      </c>
      <c r="I574" t="s">
        <v>172</v>
      </c>
      <c r="J574" t="str">
        <f t="shared" si="33"/>
        <v>Methamphetamine-related</v>
      </c>
      <c r="K574" t="s">
        <v>54</v>
      </c>
      <c r="L574" t="s">
        <v>250</v>
      </c>
      <c r="M574" t="s">
        <v>5044</v>
      </c>
      <c r="N574" t="s">
        <v>5105</v>
      </c>
      <c r="O574" t="str" cm="1">
        <f t="array" ref="O574">_xlfn.IFS(
  TEXT(TRIM(N574),"00000")="NULL", "Missing/Unknown",
  OR(TEXT(TRIM(N574),"00000")="89101", TEXT(TRIM(N574),"00000")="89104", TEXT(TRIM(N574),"00000")="89106", TEXT(TRIM(N574),"00000")="89102", TEXT(TRIM(N574),"00000")="89107", TEXT(TRIM(N574),"00000")="89108"), "Urban Core",
  OR(TEXT(TRIM(N574),"00000")="89110", TEXT(TRIM(N574),"00000")="89115", TEXT(TRIM(N574),"00000")="89121", TEXT(TRIM(N574),"00000")="89122", TEXT(TRIM(N574),"00000")="89142", TEXT(TRIM(N574),"00000")="89156"), "East Valley",
  OR(TEXT(TRIM(N574),"00000")="89030", TEXT(TRIM(N574),"00000")="89031", TEXT(TRIM(N574),"00000")="89032", TEXT(TRIM(N574),"00000")="89086", TEXT(TRIM(N574),"00000")="89084", TEXT(TRIM(N574),"00000")="89081"), "North LV",
  OR(TEXT(TRIM(N574),"00000")="89109", TEXT(TRIM(N574),"00000")="89103", TEXT(TRIM(N574),"00000")="89119", TEXT(TRIM(N574),"00000")="89123", TEXT(TRIM(N574),"00000")="89169", TEXT(TRIM(N574),"00000")="89118"), "South/Strip",
  OR(TEXT(TRIM(N574),"00000")="89074", TEXT(TRIM(N574),"00000")="89014", TEXT(TRIM(N574),"00000")="89015", TEXT(TRIM(N574),"00000")="89011", TEXT(TRIM(N574),"00000")="89012"), "Suburban SE",
  OR(TEXT(TRIM(N574),"00000")="89117", TEXT(TRIM(N574),"00000")="89128", TEXT(TRIM(N574),"00000")="89135", TEXT(TRIM(N574),"00000")="89144", TEXT(TRIM(N574),"00000")="89145", TEXT(TRIM(N574),"00000")="89147"), "West Valley",
  TRUE, "Other"
)</f>
        <v>East Valley</v>
      </c>
      <c r="P574" t="s">
        <v>3298</v>
      </c>
      <c r="Q574" t="str">
        <f t="shared" si="34"/>
        <v>Outdoors/Public</v>
      </c>
      <c r="R574" t="s">
        <v>5044</v>
      </c>
      <c r="S574" t="s">
        <v>5105</v>
      </c>
      <c r="T574" t="str" cm="1">
        <f t="array" ref="T574">_xlfn.IFS(
  TEXT(TRIM(S574),"00000")="NULL", "Missing/Unknown",
  OR(TEXT(TRIM(S574),"00000")="89101", TEXT(TRIM(S574),"00000")="89104", TEXT(TRIM(S574),"00000")="89106", TEXT(TRIM(S574),"00000")="89102", TEXT(TRIM(S574),"00000")="89107", TEXT(TRIM(S574),"00000")="89108"), "Urban Core",
  OR(TEXT(TRIM(S574),"00000")="89110", TEXT(TRIM(S574),"00000")="89115", TEXT(TRIM(S574),"00000")="89121", TEXT(TRIM(S574),"00000")="89122", TEXT(TRIM(S574),"00000")="89142", TEXT(TRIM(S574),"00000")="89156"), "East Valley",
  OR(TEXT(TRIM(S574),"00000")="89030", TEXT(TRIM(S574),"00000")="89031", TEXT(TRIM(S574),"00000")="89032", TEXT(TRIM(S574),"00000")="89086", TEXT(TRIM(S574),"00000")="89084", TEXT(TRIM(S574),"00000")="89081"), "North LV",
  OR(TEXT(TRIM(S574),"00000")="89109", TEXT(TRIM(S574),"00000")="89103", TEXT(TRIM(S574),"00000")="89119", TEXT(TRIM(S574),"00000")="89123", TEXT(TRIM(S574),"00000")="89169", TEXT(TRIM(S574),"00000")="89118"), "South/Strip",
  OR(TEXT(TRIM(S574),"00000")="89074", TEXT(TRIM(S574),"00000")="89014", TEXT(TRIM(S574),"00000")="89015", TEXT(TRIM(S574),"00000")="89011", TEXT(TRIM(S574),"00000")="89012"), "Suburban SE",
  OR(TEXT(TRIM(S574),"00000")="89117", TEXT(TRIM(S574),"00000")="89128", TEXT(TRIM(S574),"00000")="89135", TEXT(TRIM(S574),"00000")="89144", TEXT(TRIM(S574),"00000")="89145", TEXT(TRIM(S574),"00000")="89147"), "West Valley",
  TRUE, "Other"
)</f>
        <v>East Valley</v>
      </c>
      <c r="U574" t="s">
        <v>3298</v>
      </c>
      <c r="V574" t="str">
        <f t="shared" si="35"/>
        <v>Outdoors/Public</v>
      </c>
    </row>
    <row r="575" spans="1:22">
      <c r="A575" t="s">
        <v>733</v>
      </c>
      <c r="B575" t="s">
        <v>734</v>
      </c>
      <c r="C575" s="1">
        <v>45133</v>
      </c>
      <c r="D575" s="4">
        <v>113</v>
      </c>
      <c r="E575">
        <v>66</v>
      </c>
      <c r="F575" t="str">
        <f t="shared" si="32"/>
        <v>60's</v>
      </c>
      <c r="G575" t="str" cm="1">
        <f t="array" ref="G575">_xlfn.IFS(
  F575="10's", "Child (5–12)",
  OR(F575="20's", F575="30's"), "Young Adult (20–39)",
  OR(F575="40's", F575="50's"), "Adult (40–59)",
  OR(F575="60's", F575="70's", F575="80's", F575="90's"), "Senior (60+)",
  TRUE, "Unknown"
)</f>
        <v>Senior (60+)</v>
      </c>
      <c r="H575" t="s">
        <v>841</v>
      </c>
      <c r="I575" t="s">
        <v>172</v>
      </c>
      <c r="J575" t="str">
        <f t="shared" si="33"/>
        <v>Methamphetamine-related</v>
      </c>
      <c r="K575" t="s">
        <v>54</v>
      </c>
      <c r="L575" t="s">
        <v>250</v>
      </c>
      <c r="M575" t="s">
        <v>4747</v>
      </c>
      <c r="N575" t="s">
        <v>5105</v>
      </c>
      <c r="O575" t="str" cm="1">
        <f t="array" ref="O575">_xlfn.IFS(
  TEXT(TRIM(N575),"00000")="NULL", "Missing/Unknown",
  OR(TEXT(TRIM(N575),"00000")="89101", TEXT(TRIM(N575),"00000")="89104", TEXT(TRIM(N575),"00000")="89106", TEXT(TRIM(N575),"00000")="89102", TEXT(TRIM(N575),"00000")="89107", TEXT(TRIM(N575),"00000")="89108"), "Urban Core",
  OR(TEXT(TRIM(N575),"00000")="89110", TEXT(TRIM(N575),"00000")="89115", TEXT(TRIM(N575),"00000")="89121", TEXT(TRIM(N575),"00000")="89122", TEXT(TRIM(N575),"00000")="89142", TEXT(TRIM(N575),"00000")="89156"), "East Valley",
  OR(TEXT(TRIM(N575),"00000")="89030", TEXT(TRIM(N575),"00000")="89031", TEXT(TRIM(N575),"00000")="89032", TEXT(TRIM(N575),"00000")="89086", TEXT(TRIM(N575),"00000")="89084", TEXT(TRIM(N575),"00000")="89081"), "North LV",
  OR(TEXT(TRIM(N575),"00000")="89109", TEXT(TRIM(N575),"00000")="89103", TEXT(TRIM(N575),"00000")="89119", TEXT(TRIM(N575),"00000")="89123", TEXT(TRIM(N575),"00000")="89169", TEXT(TRIM(N575),"00000")="89118"), "South/Strip",
  OR(TEXT(TRIM(N575),"00000")="89074", TEXT(TRIM(N575),"00000")="89014", TEXT(TRIM(N575),"00000")="89015", TEXT(TRIM(N575),"00000")="89011", TEXT(TRIM(N575),"00000")="89012"), "Suburban SE",
  OR(TEXT(TRIM(N575),"00000")="89117", TEXT(TRIM(N575),"00000")="89128", TEXT(TRIM(N575),"00000")="89135", TEXT(TRIM(N575),"00000")="89144", TEXT(TRIM(N575),"00000")="89145", TEXT(TRIM(N575),"00000")="89147"), "West Valley",
  TRUE, "Other"
)</f>
        <v>East Valley</v>
      </c>
      <c r="P575" t="s">
        <v>3298</v>
      </c>
      <c r="Q575" t="str">
        <f t="shared" si="34"/>
        <v>Outdoors/Public</v>
      </c>
      <c r="R575" t="s">
        <v>4747</v>
      </c>
      <c r="S575" t="s">
        <v>5105</v>
      </c>
      <c r="T575" t="str" cm="1">
        <f t="array" ref="T575">_xlfn.IFS(
  TEXT(TRIM(S575),"00000")="NULL", "Missing/Unknown",
  OR(TEXT(TRIM(S575),"00000")="89101", TEXT(TRIM(S575),"00000")="89104", TEXT(TRIM(S575),"00000")="89106", TEXT(TRIM(S575),"00000")="89102", TEXT(TRIM(S575),"00000")="89107", TEXT(TRIM(S575),"00000")="89108"), "Urban Core",
  OR(TEXT(TRIM(S575),"00000")="89110", TEXT(TRIM(S575),"00000")="89115", TEXT(TRIM(S575),"00000")="89121", TEXT(TRIM(S575),"00000")="89122", TEXT(TRIM(S575),"00000")="89142", TEXT(TRIM(S575),"00000")="89156"), "East Valley",
  OR(TEXT(TRIM(S575),"00000")="89030", TEXT(TRIM(S575),"00000")="89031", TEXT(TRIM(S575),"00000")="89032", TEXT(TRIM(S575),"00000")="89086", TEXT(TRIM(S575),"00000")="89084", TEXT(TRIM(S575),"00000")="89081"), "North LV",
  OR(TEXT(TRIM(S575),"00000")="89109", TEXT(TRIM(S575),"00000")="89103", TEXT(TRIM(S575),"00000")="89119", TEXT(TRIM(S575),"00000")="89123", TEXT(TRIM(S575),"00000")="89169", TEXT(TRIM(S575),"00000")="89118"), "South/Strip",
  OR(TEXT(TRIM(S575),"00000")="89074", TEXT(TRIM(S575),"00000")="89014", TEXT(TRIM(S575),"00000")="89015", TEXT(TRIM(S575),"00000")="89011", TEXT(TRIM(S575),"00000")="89012"), "Suburban SE",
  OR(TEXT(TRIM(S575),"00000")="89117", TEXT(TRIM(S575),"00000")="89128", TEXT(TRIM(S575),"00000")="89135", TEXT(TRIM(S575),"00000")="89144", TEXT(TRIM(S575),"00000")="89145", TEXT(TRIM(S575),"00000")="89147"), "West Valley",
  TRUE, "Other"
)</f>
        <v>East Valley</v>
      </c>
      <c r="U575" t="s">
        <v>3298</v>
      </c>
      <c r="V575" t="str">
        <f t="shared" si="35"/>
        <v>Outdoors/Public</v>
      </c>
    </row>
    <row r="576" spans="1:22">
      <c r="A576" t="s">
        <v>742</v>
      </c>
      <c r="B576" t="s">
        <v>743</v>
      </c>
      <c r="C576" s="1">
        <v>45133</v>
      </c>
      <c r="D576" s="4">
        <v>113</v>
      </c>
      <c r="E576">
        <v>52</v>
      </c>
      <c r="F576" t="str">
        <f t="shared" si="32"/>
        <v>50's</v>
      </c>
      <c r="G576" t="str" cm="1">
        <f t="array" ref="G576">_xlfn.IFS(
  F576="10's", "Child (5–12)",
  OR(F576="20's", F576="30's"), "Young Adult (20–39)",
  OR(F576="40's", F576="50's"), "Adult (40–59)",
  OR(F576="60's", F576="70's", F576="80's", F576="90's"), "Senior (60+)",
  TRUE, "Unknown"
)</f>
        <v>Adult (40–59)</v>
      </c>
      <c r="H576" t="s">
        <v>778</v>
      </c>
      <c r="I576" t="s">
        <v>4025</v>
      </c>
      <c r="J576" t="str">
        <f t="shared" si="33"/>
        <v>Methamphetamine-related</v>
      </c>
      <c r="K576" t="s">
        <v>54</v>
      </c>
      <c r="L576" t="s">
        <v>1071</v>
      </c>
      <c r="M576" t="s">
        <v>5050</v>
      </c>
      <c r="N576" t="s">
        <v>5152</v>
      </c>
      <c r="O576" t="str" cm="1">
        <f t="array" ref="O576">_xlfn.IFS(
  TEXT(TRIM(N576),"00000")="NULL", "Missing/Unknown",
  OR(TEXT(TRIM(N576),"00000")="89101", TEXT(TRIM(N576),"00000")="89104", TEXT(TRIM(N576),"00000")="89106", TEXT(TRIM(N576),"00000")="89102", TEXT(TRIM(N576),"00000")="89107", TEXT(TRIM(N576),"00000")="89108"), "Urban Core",
  OR(TEXT(TRIM(N576),"00000")="89110", TEXT(TRIM(N576),"00000")="89115", TEXT(TRIM(N576),"00000")="89121", TEXT(TRIM(N576),"00000")="89122", TEXT(TRIM(N576),"00000")="89142", TEXT(TRIM(N576),"00000")="89156"), "East Valley",
  OR(TEXT(TRIM(N576),"00000")="89030", TEXT(TRIM(N576),"00000")="89031", TEXT(TRIM(N576),"00000")="89032", TEXT(TRIM(N576),"00000")="89086", TEXT(TRIM(N576),"00000")="89084", TEXT(TRIM(N576),"00000")="89081"), "North LV",
  OR(TEXT(TRIM(N576),"00000")="89109", TEXT(TRIM(N576),"00000")="89103", TEXT(TRIM(N576),"00000")="89119", TEXT(TRIM(N576),"00000")="89123", TEXT(TRIM(N576),"00000")="89169", TEXT(TRIM(N576),"00000")="89118"), "South/Strip",
  OR(TEXT(TRIM(N576),"00000")="89074", TEXT(TRIM(N576),"00000")="89014", TEXT(TRIM(N576),"00000")="89015", TEXT(TRIM(N576),"00000")="89011", TEXT(TRIM(N576),"00000")="89012"), "Suburban SE",
  OR(TEXT(TRIM(N576),"00000")="89117", TEXT(TRIM(N576),"00000")="89128", TEXT(TRIM(N576),"00000")="89135", TEXT(TRIM(N576),"00000")="89144", TEXT(TRIM(N576),"00000")="89145", TEXT(TRIM(N576),"00000")="89147"), "West Valley",
  TRUE, "Other"
)</f>
        <v>Other</v>
      </c>
      <c r="P576" t="s">
        <v>3298</v>
      </c>
      <c r="Q576" t="str">
        <f t="shared" si="34"/>
        <v>Outdoors/Public</v>
      </c>
      <c r="R576" t="s">
        <v>5050</v>
      </c>
      <c r="S576" t="s">
        <v>5152</v>
      </c>
      <c r="T576" t="str" cm="1">
        <f t="array" ref="T576">_xlfn.IFS(
  TEXT(TRIM(S576),"00000")="NULL", "Missing/Unknown",
  OR(TEXT(TRIM(S576),"00000")="89101", TEXT(TRIM(S576),"00000")="89104", TEXT(TRIM(S576),"00000")="89106", TEXT(TRIM(S576),"00000")="89102", TEXT(TRIM(S576),"00000")="89107", TEXT(TRIM(S576),"00000")="89108"), "Urban Core",
  OR(TEXT(TRIM(S576),"00000")="89110", TEXT(TRIM(S576),"00000")="89115", TEXT(TRIM(S576),"00000")="89121", TEXT(TRIM(S576),"00000")="89122", TEXT(TRIM(S576),"00000")="89142", TEXT(TRIM(S576),"00000")="89156"), "East Valley",
  OR(TEXT(TRIM(S576),"00000")="89030", TEXT(TRIM(S576),"00000")="89031", TEXT(TRIM(S576),"00000")="89032", TEXT(TRIM(S576),"00000")="89086", TEXT(TRIM(S576),"00000")="89084", TEXT(TRIM(S576),"00000")="89081"), "North LV",
  OR(TEXT(TRIM(S576),"00000")="89109", TEXT(TRIM(S576),"00000")="89103", TEXT(TRIM(S576),"00000")="89119", TEXT(TRIM(S576),"00000")="89123", TEXT(TRIM(S576),"00000")="89169", TEXT(TRIM(S576),"00000")="89118"), "South/Strip",
  OR(TEXT(TRIM(S576),"00000")="89074", TEXT(TRIM(S576),"00000")="89014", TEXT(TRIM(S576),"00000")="89015", TEXT(TRIM(S576),"00000")="89011", TEXT(TRIM(S576),"00000")="89012"), "Suburban SE",
  OR(TEXT(TRIM(S576),"00000")="89117", TEXT(TRIM(S576),"00000")="89128", TEXT(TRIM(S576),"00000")="89135", TEXT(TRIM(S576),"00000")="89144", TEXT(TRIM(S576),"00000")="89145", TEXT(TRIM(S576),"00000")="89147"), "West Valley",
  TRUE, "Other"
)</f>
        <v>Other</v>
      </c>
      <c r="U576" t="s">
        <v>3298</v>
      </c>
      <c r="V576" t="str">
        <f t="shared" si="35"/>
        <v>Outdoors/Public</v>
      </c>
    </row>
    <row r="577" spans="1:22">
      <c r="A577" t="s">
        <v>750</v>
      </c>
      <c r="B577" t="s">
        <v>751</v>
      </c>
      <c r="C577" s="1">
        <v>45133</v>
      </c>
      <c r="D577" s="4">
        <v>113</v>
      </c>
      <c r="E577">
        <v>26</v>
      </c>
      <c r="F577" t="str">
        <f t="shared" si="32"/>
        <v>20's</v>
      </c>
      <c r="G577" t="str" cm="1">
        <f t="array" ref="G577">_xlfn.IFS(
  F577="10's", "Child (5–12)",
  OR(F577="20's", F577="30's"), "Young Adult (20–39)",
  OR(F577="40's", F577="50's"), "Adult (40–59)",
  OR(F577="60's", F577="70's", F577="80's", F577="90's"), "Senior (60+)",
  TRUE, "Unknown"
)</f>
        <v>Young Adult (20–39)</v>
      </c>
      <c r="H577" t="s">
        <v>4310</v>
      </c>
      <c r="I577" t="s">
        <v>54</v>
      </c>
      <c r="J577" t="str">
        <f t="shared" si="33"/>
        <v>Environmental Heat</v>
      </c>
      <c r="K577" t="s">
        <v>4215</v>
      </c>
      <c r="L577" t="s">
        <v>250</v>
      </c>
      <c r="N577" t="s">
        <v>5095</v>
      </c>
      <c r="O577" t="str" cm="1">
        <f t="array" ref="O577">_xlfn.IFS(
  TEXT(TRIM(N577),"00000")="NULL", "Missing/Unknown",
  OR(TEXT(TRIM(N577),"00000")="89101", TEXT(TRIM(N577),"00000")="89104", TEXT(TRIM(N577),"00000")="89106", TEXT(TRIM(N577),"00000")="89102", TEXT(TRIM(N577),"00000")="89107", TEXT(TRIM(N577),"00000")="89108"), "Urban Core",
  OR(TEXT(TRIM(N577),"00000")="89110", TEXT(TRIM(N577),"00000")="89115", TEXT(TRIM(N577),"00000")="89121", TEXT(TRIM(N577),"00000")="89122", TEXT(TRIM(N577),"00000")="89142", TEXT(TRIM(N577),"00000")="89156"), "East Valley",
  OR(TEXT(TRIM(N577),"00000")="89030", TEXT(TRIM(N577),"00000")="89031", TEXT(TRIM(N577),"00000")="89032", TEXT(TRIM(N577),"00000")="89086", TEXT(TRIM(N577),"00000")="89084", TEXT(TRIM(N577),"00000")="89081"), "North LV",
  OR(TEXT(TRIM(N577),"00000")="89109", TEXT(TRIM(N577),"00000")="89103", TEXT(TRIM(N577),"00000")="89119", TEXT(TRIM(N577),"00000")="89123", TEXT(TRIM(N577),"00000")="89169", TEXT(TRIM(N577),"00000")="89118"), "South/Strip",
  OR(TEXT(TRIM(N577),"00000")="89074", TEXT(TRIM(N577),"00000")="89014", TEXT(TRIM(N577),"00000")="89015", TEXT(TRIM(N577),"00000")="89011", TEXT(TRIM(N577),"00000")="89012"), "Suburban SE",
  OR(TEXT(TRIM(N577),"00000")="89117", TEXT(TRIM(N577),"00000")="89128", TEXT(TRIM(N577),"00000")="89135", TEXT(TRIM(N577),"00000")="89144", TEXT(TRIM(N577),"00000")="89145", TEXT(TRIM(N577),"00000")="89147"), "West Valley",
  TRUE, "Other"
)</f>
        <v>Missing/Unknown</v>
      </c>
      <c r="P577" t="s">
        <v>38</v>
      </c>
      <c r="Q577" t="str">
        <f t="shared" si="34"/>
        <v>Home/Residence</v>
      </c>
      <c r="R577" t="s">
        <v>5055</v>
      </c>
      <c r="S577" t="s">
        <v>5119</v>
      </c>
      <c r="T577" t="str" cm="1">
        <f t="array" ref="T577">_xlfn.IFS(
  TEXT(TRIM(S577),"00000")="NULL", "Missing/Unknown",
  OR(TEXT(TRIM(S577),"00000")="89101", TEXT(TRIM(S577),"00000")="89104", TEXT(TRIM(S577),"00000")="89106", TEXT(TRIM(S577),"00000")="89102", TEXT(TRIM(S577),"00000")="89107", TEXT(TRIM(S577),"00000")="89108"), "Urban Core",
  OR(TEXT(TRIM(S577),"00000")="89110", TEXT(TRIM(S577),"00000")="89115", TEXT(TRIM(S577),"00000")="89121", TEXT(TRIM(S577),"00000")="89122", TEXT(TRIM(S577),"00000")="89142", TEXT(TRIM(S577),"00000")="89156"), "East Valley",
  OR(TEXT(TRIM(S577),"00000")="89030", TEXT(TRIM(S577),"00000")="89031", TEXT(TRIM(S577),"00000")="89032", TEXT(TRIM(S577),"00000")="89086", TEXT(TRIM(S577),"00000")="89084", TEXT(TRIM(S577),"00000")="89081"), "North LV",
  OR(TEXT(TRIM(S577),"00000")="89109", TEXT(TRIM(S577),"00000")="89103", TEXT(TRIM(S577),"00000")="89119", TEXT(TRIM(S577),"00000")="89123", TEXT(TRIM(S577),"00000")="89169", TEXT(TRIM(S577),"00000")="89118"), "South/Strip",
  OR(TEXT(TRIM(S577),"00000")="89074", TEXT(TRIM(S577),"00000")="89014", TEXT(TRIM(S577),"00000")="89015", TEXT(TRIM(S577),"00000")="89011", TEXT(TRIM(S577),"00000")="89012"), "Suburban SE",
  OR(TEXT(TRIM(S577),"00000")="89117", TEXT(TRIM(S577),"00000")="89128", TEXT(TRIM(S577),"00000")="89135", TEXT(TRIM(S577),"00000")="89144", TEXT(TRIM(S577),"00000")="89145", TEXT(TRIM(S577),"00000")="89147"), "West Valley",
  TRUE, "Other"
)</f>
        <v>Urban Core</v>
      </c>
      <c r="U577" t="s">
        <v>4301</v>
      </c>
      <c r="V577" t="str">
        <f t="shared" si="35"/>
        <v>Medical Facility</v>
      </c>
    </row>
    <row r="578" spans="1:22">
      <c r="A578" t="s">
        <v>736</v>
      </c>
      <c r="B578" t="s">
        <v>737</v>
      </c>
      <c r="C578" s="1">
        <v>45133</v>
      </c>
      <c r="D578" s="4">
        <v>113</v>
      </c>
      <c r="E578">
        <v>38</v>
      </c>
      <c r="F578" t="str">
        <f t="shared" ref="F578:F641" si="36">_xlfn.CONCAT(INT(E578/10)*10, "'s")</f>
        <v>30's</v>
      </c>
      <c r="G578" t="str" cm="1">
        <f t="array" ref="G578">_xlfn.IFS(
  F578="10's", "Child (5–12)",
  OR(F578="20's", F578="30's"), "Young Adult (20–39)",
  OR(F578="40's", F578="50's"), "Adult (40–59)",
  OR(F578="60's", F578="70's", F578="80's", F578="90's"), "Senior (60+)",
  TRUE, "Unknown"
)</f>
        <v>Young Adult (20–39)</v>
      </c>
      <c r="H578" t="s">
        <v>27</v>
      </c>
      <c r="I578" t="s">
        <v>363</v>
      </c>
      <c r="J578" t="str">
        <f t="shared" ref="J578:J641" si="37">IF(ISNUMBER(SEARCH("heat", I578)) + ISNUMBER(SEARCH("hyperthermia", I578)) + ISNUMBER(SEARCH("heat stroke", I578)) + ISNUMBER(SEARCH("environmental", I578)), "Environmental Heat",
IF(ISNUMBER(SEARCH("meth", I578)), "Methamphetamine-related",
IF(ISNUMBER(SEARCH("fentanyl", I578)), "Fentanyl-related",
IF(ISNUMBER(SEARCH("cardio", I578)) + ISNUMBER(SEARCH("heart", I578)) + ISNUMBER(SEARCH("atherosclerotic", I578)) + ISNUMBER(SEARCH("hypertensive", I578)) + ISNUMBER(SEARCH("myocardial", I578)) + ISNUMBER(SEARCH("infarction", I578)), "Cardiovascular Disease",
IF(ISNUMBER(SEARCH("ethanol", I578)) + ISNUMBER(SEARCH("alcohol", I578)), "Ethanol-related",
IF(ISNUMBER(SEARCH("dehydration", I578)) + ISNUMBER(SEARCH("hypernatrem", I578)) + ISNUMBER(SEARCH("hyponatrem", I578)), "Dehydration / Electrolyte",
IF(ISNUMBER(SEARCH("intoxication", I578)) + ISNUMBER(SEARCH("toxicity", I578)) + ISNUMBER(SEARCH("overdose", I578)), "Mixed Drug Toxicity",
"Other / Unknown")))))))</f>
        <v>Methamphetamine-related</v>
      </c>
      <c r="K578" t="s">
        <v>54</v>
      </c>
      <c r="L578" t="s">
        <v>250</v>
      </c>
      <c r="N578" t="s">
        <v>5095</v>
      </c>
      <c r="O578" t="str" cm="1">
        <f t="array" ref="O578">_xlfn.IFS(
  TEXT(TRIM(N578),"00000")="NULL", "Missing/Unknown",
  OR(TEXT(TRIM(N578),"00000")="89101", TEXT(TRIM(N578),"00000")="89104", TEXT(TRIM(N578),"00000")="89106", TEXT(TRIM(N578),"00000")="89102", TEXT(TRIM(N578),"00000")="89107", TEXT(TRIM(N578),"00000")="89108"), "Urban Core",
  OR(TEXT(TRIM(N578),"00000")="89110", TEXT(TRIM(N578),"00000")="89115", TEXT(TRIM(N578),"00000")="89121", TEXT(TRIM(N578),"00000")="89122", TEXT(TRIM(N578),"00000")="89142", TEXT(TRIM(N578),"00000")="89156"), "East Valley",
  OR(TEXT(TRIM(N578),"00000")="89030", TEXT(TRIM(N578),"00000")="89031", TEXT(TRIM(N578),"00000")="89032", TEXT(TRIM(N578),"00000")="89086", TEXT(TRIM(N578),"00000")="89084", TEXT(TRIM(N578),"00000")="89081"), "North LV",
  OR(TEXT(TRIM(N578),"00000")="89109", TEXT(TRIM(N578),"00000")="89103", TEXT(TRIM(N578),"00000")="89119", TEXT(TRIM(N578),"00000")="89123", TEXT(TRIM(N578),"00000")="89169", TEXT(TRIM(N578),"00000")="89118"), "South/Strip",
  OR(TEXT(TRIM(N578),"00000")="89074", TEXT(TRIM(N578),"00000")="89014", TEXT(TRIM(N578),"00000")="89015", TEXT(TRIM(N578),"00000")="89011", TEXT(TRIM(N578),"00000")="89012"), "Suburban SE",
  OR(TEXT(TRIM(N578),"00000")="89117", TEXT(TRIM(N578),"00000")="89128", TEXT(TRIM(N578),"00000")="89135", TEXT(TRIM(N578),"00000")="89144", TEXT(TRIM(N578),"00000")="89145", TEXT(TRIM(N578),"00000")="89147"), "West Valley",
  TRUE, "Other"
)</f>
        <v>Missing/Unknown</v>
      </c>
      <c r="P578" t="s">
        <v>3298</v>
      </c>
      <c r="Q578" t="str">
        <f t="shared" ref="Q578:Q641" si="38">IF(OR(ISNUMBER(SEARCH("outdoor", P578)), ISNUMBER(SEARCH("park", P578)), ISNUMBER(SEARCH("road", P578)), ISNUMBER(SEARCH("sidewalk", P578)), ISNUMBER(SEARCH("desert", P578)), ISNUMBER(SEARCH("tunnel", P578)), ISNUMBER(SEARCH("lot", P578)), ISNUMBER(SEARCH("lake", P578)), ISNUMBER(SEARCH("bus", P578)), ISNUMBER(SEARCH("shed", P578)), ISNUMBER(SEARCH("amusement", P578))), "Outdoors/Public",
IF(OR(ISNUMBER(SEARCH("home", P578)), ISNUMBER(SEARCH("residence", P578)), ISNUMBER(SEARCH("rv", P578)), ISNUMBER(SEARCH("tent", P578)), ISNUMBER(SEARCH("bedroom", P578)), ISNUMBER(SEARCH("garage", P578)), ISNUMBER(SEARCH("trailer", P578)), ISNUMBER(SEARCH("backyard", P578))), "Home/Residence",
IF(OR(ISNUMBER(SEARCH("vehicle", P578)), ISNUMBER(SEARCH("car", P578)), ISNUMBER(SEARCH("wash", P578))), "Vehicle-related",
IF(OR(ISNUMBER(SEARCH("business", P578)), ISNUMBER(SEARCH("school", P578)), ISNUMBER(SEARCH("hotel", P578)), ISNUMBER(SEARCH("construction", P578)), ISNUMBER(SEARCH("furniture", P578)), ISNUMBER(SEARCH("public", P578))), "Business/Commercial",
IF(OR(ISNUMBER(SEARCH("hospital", P578)), ISNUMBER(SEARCH("assisted", P578)), ISNUMBER(SEARCH("residential care", P578))), "Medical Facility",
IF(OR(ISNUMBER(SEARCH("shelter", P578)), ISNUMBER(SEARCH("jail", P578))), "Shelter/Temporary Housing",
"Other / Unknown"))))))</f>
        <v>Outdoors/Public</v>
      </c>
      <c r="S578" t="s">
        <v>5095</v>
      </c>
      <c r="T578" t="str" cm="1">
        <f t="array" ref="T578">_xlfn.IFS(
  TEXT(TRIM(S578),"00000")="NULL", "Missing/Unknown",
  OR(TEXT(TRIM(S578),"00000")="89101", TEXT(TRIM(S578),"00000")="89104", TEXT(TRIM(S578),"00000")="89106", TEXT(TRIM(S578),"00000")="89102", TEXT(TRIM(S578),"00000")="89107", TEXT(TRIM(S578),"00000")="89108"), "Urban Core",
  OR(TEXT(TRIM(S578),"00000")="89110", TEXT(TRIM(S578),"00000")="89115", TEXT(TRIM(S578),"00000")="89121", TEXT(TRIM(S578),"00000")="89122", TEXT(TRIM(S578),"00000")="89142", TEXT(TRIM(S578),"00000")="89156"), "East Valley",
  OR(TEXT(TRIM(S578),"00000")="89030", TEXT(TRIM(S578),"00000")="89031", TEXT(TRIM(S578),"00000")="89032", TEXT(TRIM(S578),"00000")="89086", TEXT(TRIM(S578),"00000")="89084", TEXT(TRIM(S578),"00000")="89081"), "North LV",
  OR(TEXT(TRIM(S578),"00000")="89109", TEXT(TRIM(S578),"00000")="89103", TEXT(TRIM(S578),"00000")="89119", TEXT(TRIM(S578),"00000")="89123", TEXT(TRIM(S578),"00000")="89169", TEXT(TRIM(S578),"00000")="89118"), "South/Strip",
  OR(TEXT(TRIM(S578),"00000")="89074", TEXT(TRIM(S578),"00000")="89014", TEXT(TRIM(S578),"00000")="89015", TEXT(TRIM(S578),"00000")="89011", TEXT(TRIM(S578),"00000")="89012"), "Suburban SE",
  OR(TEXT(TRIM(S578),"00000")="89117", TEXT(TRIM(S578),"00000")="89128", TEXT(TRIM(S578),"00000")="89135", TEXT(TRIM(S578),"00000")="89144", TEXT(TRIM(S578),"00000")="89145", TEXT(TRIM(S578),"00000")="89147"), "West Valley",
  TRUE, "Other"
)</f>
        <v>Missing/Unknown</v>
      </c>
      <c r="U578" t="s">
        <v>3298</v>
      </c>
      <c r="V578" t="str">
        <f t="shared" ref="V578:V641" si="39">IF(OR(ISNUMBER(SEARCH("outdoor", U578)), ISNUMBER(SEARCH("park", U578)), ISNUMBER(SEARCH("road", U578)), ISNUMBER(SEARCH("sidewalk", U578)), ISNUMBER(SEARCH("desert", U578)), ISNUMBER(SEARCH("tunnel", U578)), ISNUMBER(SEARCH("lot", U578)), ISNUMBER(SEARCH("lake", U578)), ISNUMBER(SEARCH("bus", U578)), ISNUMBER(SEARCH("shed", U578)), ISNUMBER(SEARCH("amusement", U578))), "Outdoors/Public",
IF(OR(ISNUMBER(SEARCH("home", U578)), ISNUMBER(SEARCH("residence", U578)), ISNUMBER(SEARCH("rv", U578)), ISNUMBER(SEARCH("tent", U578)), ISNUMBER(SEARCH("bedroom", U578)), ISNUMBER(SEARCH("garage", U578)), ISNUMBER(SEARCH("trailer", U578)), ISNUMBER(SEARCH("backyard", U578))), "Home/Residence",
IF(OR(ISNUMBER(SEARCH("vehicle", U578)), ISNUMBER(SEARCH("wash", U578))), "Vehicle-related",
IF(OR(ISNUMBER(SEARCH("business", U578)), ISNUMBER(SEARCH("school", U578)), ISNUMBER(SEARCH("hotel", U578)), ISNUMBER(SEARCH("construction", U578)), ISNUMBER(SEARCH("furniture", U578)), ISNUMBER(SEARCH("public", U578))), "Business/Commercial",
IF(OR(ISNUMBER(SEARCH("hospital", U578)), ISNUMBER(SEARCH("assisted", U578)), ISNUMBER(SEARCH("residential care", U578)), ISNUMBER(SEARCH("emergency room", U578)), ISNUMBER(SEARCH("emergency", U578)), ISNUMBER(SEARCH("intensive care unit", U578)), ISNUMBER(SEARCH("icu", U578))), "Medical Facility",
IF(OR(ISNUMBER(SEARCH("shelter", U578)), ISNUMBER(SEARCH("jail", U578))), "Shelter/Temporary Housing",
"Other / Unknown"))))))</f>
        <v>Outdoors/Public</v>
      </c>
    </row>
    <row r="579" spans="1:22">
      <c r="A579" t="s">
        <v>745</v>
      </c>
      <c r="B579" t="s">
        <v>746</v>
      </c>
      <c r="C579" s="1">
        <v>45133</v>
      </c>
      <c r="D579" s="4">
        <v>113</v>
      </c>
      <c r="E579">
        <v>51</v>
      </c>
      <c r="F579" t="str">
        <f t="shared" si="36"/>
        <v>50's</v>
      </c>
      <c r="G579" t="str" cm="1">
        <f t="array" ref="G579">_xlfn.IFS(
  F579="10's", "Child (5–12)",
  OR(F579="20's", F579="30's"), "Young Adult (20–39)",
  OR(F579="40's", F579="50's"), "Adult (40–59)",
  OR(F579="60's", F579="70's", F579="80's", F579="90's"), "Senior (60+)",
  TRUE, "Unknown"
)</f>
        <v>Adult (40–59)</v>
      </c>
      <c r="H579" t="s">
        <v>27</v>
      </c>
      <c r="I579" t="s">
        <v>4025</v>
      </c>
      <c r="J579" t="str">
        <f t="shared" si="37"/>
        <v>Methamphetamine-related</v>
      </c>
      <c r="K579" t="s">
        <v>54</v>
      </c>
      <c r="L579" t="s">
        <v>250</v>
      </c>
      <c r="N579" t="s">
        <v>5095</v>
      </c>
      <c r="O579" t="str" cm="1">
        <f t="array" ref="O579">_xlfn.IFS(
  TEXT(TRIM(N579),"00000")="NULL", "Missing/Unknown",
  OR(TEXT(TRIM(N579),"00000")="89101", TEXT(TRIM(N579),"00000")="89104", TEXT(TRIM(N579),"00000")="89106", TEXT(TRIM(N579),"00000")="89102", TEXT(TRIM(N579),"00000")="89107", TEXT(TRIM(N579),"00000")="89108"), "Urban Core",
  OR(TEXT(TRIM(N579),"00000")="89110", TEXT(TRIM(N579),"00000")="89115", TEXT(TRIM(N579),"00000")="89121", TEXT(TRIM(N579),"00000")="89122", TEXT(TRIM(N579),"00000")="89142", TEXT(TRIM(N579),"00000")="89156"), "East Valley",
  OR(TEXT(TRIM(N579),"00000")="89030", TEXT(TRIM(N579),"00000")="89031", TEXT(TRIM(N579),"00000")="89032", TEXT(TRIM(N579),"00000")="89086", TEXT(TRIM(N579),"00000")="89084", TEXT(TRIM(N579),"00000")="89081"), "North LV",
  OR(TEXT(TRIM(N579),"00000")="89109", TEXT(TRIM(N579),"00000")="89103", TEXT(TRIM(N579),"00000")="89119", TEXT(TRIM(N579),"00000")="89123", TEXT(TRIM(N579),"00000")="89169", TEXT(TRIM(N579),"00000")="89118"), "South/Strip",
  OR(TEXT(TRIM(N579),"00000")="89074", TEXT(TRIM(N579),"00000")="89014", TEXT(TRIM(N579),"00000")="89015", TEXT(TRIM(N579),"00000")="89011", TEXT(TRIM(N579),"00000")="89012"), "Suburban SE",
  OR(TEXT(TRIM(N579),"00000")="89117", TEXT(TRIM(N579),"00000")="89128", TEXT(TRIM(N579),"00000")="89135", TEXT(TRIM(N579),"00000")="89144", TEXT(TRIM(N579),"00000")="89145", TEXT(TRIM(N579),"00000")="89147"), "West Valley",
  TRUE, "Other"
)</f>
        <v>Missing/Unknown</v>
      </c>
      <c r="P579" t="s">
        <v>3298</v>
      </c>
      <c r="Q579" t="str">
        <f t="shared" si="38"/>
        <v>Outdoors/Public</v>
      </c>
      <c r="S579" t="s">
        <v>5095</v>
      </c>
      <c r="T579" t="str" cm="1">
        <f t="array" ref="T579">_xlfn.IFS(
  TEXT(TRIM(S579),"00000")="NULL", "Missing/Unknown",
  OR(TEXT(TRIM(S579),"00000")="89101", TEXT(TRIM(S579),"00000")="89104", TEXT(TRIM(S579),"00000")="89106", TEXT(TRIM(S579),"00000")="89102", TEXT(TRIM(S579),"00000")="89107", TEXT(TRIM(S579),"00000")="89108"), "Urban Core",
  OR(TEXT(TRIM(S579),"00000")="89110", TEXT(TRIM(S579),"00000")="89115", TEXT(TRIM(S579),"00000")="89121", TEXT(TRIM(S579),"00000")="89122", TEXT(TRIM(S579),"00000")="89142", TEXT(TRIM(S579),"00000")="89156"), "East Valley",
  OR(TEXT(TRIM(S579),"00000")="89030", TEXT(TRIM(S579),"00000")="89031", TEXT(TRIM(S579),"00000")="89032", TEXT(TRIM(S579),"00000")="89086", TEXT(TRIM(S579),"00000")="89084", TEXT(TRIM(S579),"00000")="89081"), "North LV",
  OR(TEXT(TRIM(S579),"00000")="89109", TEXT(TRIM(S579),"00000")="89103", TEXT(TRIM(S579),"00000")="89119", TEXT(TRIM(S579),"00000")="89123", TEXT(TRIM(S579),"00000")="89169", TEXT(TRIM(S579),"00000")="89118"), "South/Strip",
  OR(TEXT(TRIM(S579),"00000")="89074", TEXT(TRIM(S579),"00000")="89014", TEXT(TRIM(S579),"00000")="89015", TEXT(TRIM(S579),"00000")="89011", TEXT(TRIM(S579),"00000")="89012"), "Suburban SE",
  OR(TEXT(TRIM(S579),"00000")="89117", TEXT(TRIM(S579),"00000")="89128", TEXT(TRIM(S579),"00000")="89135", TEXT(TRIM(S579),"00000")="89144", TEXT(TRIM(S579),"00000")="89145", TEXT(TRIM(S579),"00000")="89147"), "West Valley",
  TRUE, "Other"
)</f>
        <v>Missing/Unknown</v>
      </c>
      <c r="U579" t="s">
        <v>3298</v>
      </c>
      <c r="V579" t="str">
        <f t="shared" si="39"/>
        <v>Outdoors/Public</v>
      </c>
    </row>
    <row r="580" spans="1:22">
      <c r="A580" t="s">
        <v>707</v>
      </c>
      <c r="B580" t="s">
        <v>708</v>
      </c>
      <c r="C580" s="1">
        <v>45132</v>
      </c>
      <c r="D580" s="4">
        <v>111.92</v>
      </c>
      <c r="E580">
        <v>33</v>
      </c>
      <c r="F580" t="str">
        <f t="shared" si="36"/>
        <v>30's</v>
      </c>
      <c r="G580" t="str" cm="1">
        <f t="array" ref="G580">_xlfn.IFS(
  F580="10's", "Child (5–12)",
  OR(F580="20's", F580="30's"), "Young Adult (20–39)",
  OR(F580="40's", F580="50's"), "Adult (40–59)",
  OR(F580="60's", F580="70's", F580="80's", F580="90's"), "Senior (60+)",
  TRUE, "Unknown"
)</f>
        <v>Young Adult (20–39)</v>
      </c>
      <c r="H580" t="s">
        <v>27</v>
      </c>
      <c r="I580" t="s">
        <v>4025</v>
      </c>
      <c r="J580" t="str">
        <f t="shared" si="37"/>
        <v>Methamphetamine-related</v>
      </c>
      <c r="K580" t="s">
        <v>54</v>
      </c>
      <c r="L580" t="s">
        <v>250</v>
      </c>
      <c r="M580" t="s">
        <v>4748</v>
      </c>
      <c r="N580" t="s">
        <v>5098</v>
      </c>
      <c r="O580" t="str" cm="1">
        <f t="array" ref="O580">_xlfn.IFS(
  TEXT(TRIM(N580),"00000")="NULL", "Missing/Unknown",
  OR(TEXT(TRIM(N580),"00000")="89101", TEXT(TRIM(N580),"00000")="89104", TEXT(TRIM(N580),"00000")="89106", TEXT(TRIM(N580),"00000")="89102", TEXT(TRIM(N580),"00000")="89107", TEXT(TRIM(N580),"00000")="89108"), "Urban Core",
  OR(TEXT(TRIM(N580),"00000")="89110", TEXT(TRIM(N580),"00000")="89115", TEXT(TRIM(N580),"00000")="89121", TEXT(TRIM(N580),"00000")="89122", TEXT(TRIM(N580),"00000")="89142", TEXT(TRIM(N580),"00000")="89156"), "East Valley",
  OR(TEXT(TRIM(N580),"00000")="89030", TEXT(TRIM(N580),"00000")="89031", TEXT(TRIM(N580),"00000")="89032", TEXT(TRIM(N580),"00000")="89086", TEXT(TRIM(N580),"00000")="89084", TEXT(TRIM(N580),"00000")="89081"), "North LV",
  OR(TEXT(TRIM(N580),"00000")="89109", TEXT(TRIM(N580),"00000")="89103", TEXT(TRIM(N580),"00000")="89119", TEXT(TRIM(N580),"00000")="89123", TEXT(TRIM(N580),"00000")="89169", TEXT(TRIM(N580),"00000")="89118"), "South/Strip",
  OR(TEXT(TRIM(N580),"00000")="89074", TEXT(TRIM(N580),"00000")="89014", TEXT(TRIM(N580),"00000")="89015", TEXT(TRIM(N580),"00000")="89011", TEXT(TRIM(N580),"00000")="89012"), "Suburban SE",
  OR(TEXT(TRIM(N580),"00000")="89117", TEXT(TRIM(N580),"00000")="89128", TEXT(TRIM(N580),"00000")="89135", TEXT(TRIM(N580),"00000")="89144", TEXT(TRIM(N580),"00000")="89145", TEXT(TRIM(N580),"00000")="89147"), "West Valley",
  TRUE, "Other"
)</f>
        <v>Urban Core</v>
      </c>
      <c r="P580" t="s">
        <v>3298</v>
      </c>
      <c r="Q580" t="str">
        <f t="shared" si="38"/>
        <v>Outdoors/Public</v>
      </c>
      <c r="R580" t="s">
        <v>4748</v>
      </c>
      <c r="S580" t="s">
        <v>5098</v>
      </c>
      <c r="T580" t="str" cm="1">
        <f t="array" ref="T580">_xlfn.IFS(
  TEXT(TRIM(S580),"00000")="NULL", "Missing/Unknown",
  OR(TEXT(TRIM(S580),"00000")="89101", TEXT(TRIM(S580),"00000")="89104", TEXT(TRIM(S580),"00000")="89106", TEXT(TRIM(S580),"00000")="89102", TEXT(TRIM(S580),"00000")="89107", TEXT(TRIM(S580),"00000")="89108"), "Urban Core",
  OR(TEXT(TRIM(S580),"00000")="89110", TEXT(TRIM(S580),"00000")="89115", TEXT(TRIM(S580),"00000")="89121", TEXT(TRIM(S580),"00000")="89122", TEXT(TRIM(S580),"00000")="89142", TEXT(TRIM(S580),"00000")="89156"), "East Valley",
  OR(TEXT(TRIM(S580),"00000")="89030", TEXT(TRIM(S580),"00000")="89031", TEXT(TRIM(S580),"00000")="89032", TEXT(TRIM(S580),"00000")="89086", TEXT(TRIM(S580),"00000")="89084", TEXT(TRIM(S580),"00000")="89081"), "North LV",
  OR(TEXT(TRIM(S580),"00000")="89109", TEXT(TRIM(S580),"00000")="89103", TEXT(TRIM(S580),"00000")="89119", TEXT(TRIM(S580),"00000")="89123", TEXT(TRIM(S580),"00000")="89169", TEXT(TRIM(S580),"00000")="89118"), "South/Strip",
  OR(TEXT(TRIM(S580),"00000")="89074", TEXT(TRIM(S580),"00000")="89014", TEXT(TRIM(S580),"00000")="89015", TEXT(TRIM(S580),"00000")="89011", TEXT(TRIM(S580),"00000")="89012"), "Suburban SE",
  OR(TEXT(TRIM(S580),"00000")="89117", TEXT(TRIM(S580),"00000")="89128", TEXT(TRIM(S580),"00000")="89135", TEXT(TRIM(S580),"00000")="89144", TEXT(TRIM(S580),"00000")="89145", TEXT(TRIM(S580),"00000")="89147"), "West Valley",
  TRUE, "Other"
)</f>
        <v>Urban Core</v>
      </c>
      <c r="U580" t="s">
        <v>3298</v>
      </c>
      <c r="V580" t="str">
        <f t="shared" si="39"/>
        <v>Outdoors/Public</v>
      </c>
    </row>
    <row r="581" spans="1:22">
      <c r="A581" t="s">
        <v>714</v>
      </c>
      <c r="B581" t="s">
        <v>715</v>
      </c>
      <c r="C581" s="1">
        <v>45132</v>
      </c>
      <c r="D581" s="4">
        <v>111.92</v>
      </c>
      <c r="E581">
        <v>68</v>
      </c>
      <c r="F581" t="str">
        <f t="shared" si="36"/>
        <v>60's</v>
      </c>
      <c r="G581" t="str" cm="1">
        <f t="array" ref="G581">_xlfn.IFS(
  F581="10's", "Child (5–12)",
  OR(F581="20's", F581="30's"), "Young Adult (20–39)",
  OR(F581="40's", F581="50's"), "Adult (40–59)",
  OR(F581="60's", F581="70's", F581="80's", F581="90's"), "Senior (60+)",
  TRUE, "Unknown"
)</f>
        <v>Senior (60+)</v>
      </c>
      <c r="H581" t="s">
        <v>841</v>
      </c>
      <c r="I581" t="s">
        <v>4040</v>
      </c>
      <c r="J581" t="str">
        <f t="shared" si="37"/>
        <v>Methamphetamine-related</v>
      </c>
      <c r="K581" t="s">
        <v>159</v>
      </c>
      <c r="L581" t="s">
        <v>250</v>
      </c>
      <c r="M581" t="s">
        <v>4749</v>
      </c>
      <c r="N581" t="s">
        <v>5100</v>
      </c>
      <c r="O581" t="str" cm="1">
        <f t="array" ref="O581">_xlfn.IFS(
  TEXT(TRIM(N581),"00000")="NULL", "Missing/Unknown",
  OR(TEXT(TRIM(N581),"00000")="89101", TEXT(TRIM(N581),"00000")="89104", TEXT(TRIM(N581),"00000")="89106", TEXT(TRIM(N581),"00000")="89102", TEXT(TRIM(N581),"00000")="89107", TEXT(TRIM(N581),"00000")="89108"), "Urban Core",
  OR(TEXT(TRIM(N581),"00000")="89110", TEXT(TRIM(N581),"00000")="89115", TEXT(TRIM(N581),"00000")="89121", TEXT(TRIM(N581),"00000")="89122", TEXT(TRIM(N581),"00000")="89142", TEXT(TRIM(N581),"00000")="89156"), "East Valley",
  OR(TEXT(TRIM(N581),"00000")="89030", TEXT(TRIM(N581),"00000")="89031", TEXT(TRIM(N581),"00000")="89032", TEXT(TRIM(N581),"00000")="89086", TEXT(TRIM(N581),"00000")="89084", TEXT(TRIM(N581),"00000")="89081"), "North LV",
  OR(TEXT(TRIM(N581),"00000")="89109", TEXT(TRIM(N581),"00000")="89103", TEXT(TRIM(N581),"00000")="89119", TEXT(TRIM(N581),"00000")="89123", TEXT(TRIM(N581),"00000")="89169", TEXT(TRIM(N581),"00000")="89118"), "South/Strip",
  OR(TEXT(TRIM(N581),"00000")="89074", TEXT(TRIM(N581),"00000")="89014", TEXT(TRIM(N581),"00000")="89015", TEXT(TRIM(N581),"00000")="89011", TEXT(TRIM(N581),"00000")="89012"), "Suburban SE",
  OR(TEXT(TRIM(N581),"00000")="89117", TEXT(TRIM(N581),"00000")="89128", TEXT(TRIM(N581),"00000")="89135", TEXT(TRIM(N581),"00000")="89144", TEXT(TRIM(N581),"00000")="89145", TEXT(TRIM(N581),"00000")="89147"), "West Valley",
  TRUE, "Other"
)</f>
        <v>North LV</v>
      </c>
      <c r="P581" t="s">
        <v>3298</v>
      </c>
      <c r="Q581" t="str">
        <f t="shared" si="38"/>
        <v>Outdoors/Public</v>
      </c>
      <c r="R581" t="s">
        <v>4749</v>
      </c>
      <c r="S581" t="s">
        <v>5100</v>
      </c>
      <c r="T581" t="str" cm="1">
        <f t="array" ref="T581">_xlfn.IFS(
  TEXT(TRIM(S581),"00000")="NULL", "Missing/Unknown",
  OR(TEXT(TRIM(S581),"00000")="89101", TEXT(TRIM(S581),"00000")="89104", TEXT(TRIM(S581),"00000")="89106", TEXT(TRIM(S581),"00000")="89102", TEXT(TRIM(S581),"00000")="89107", TEXT(TRIM(S581),"00000")="89108"), "Urban Core",
  OR(TEXT(TRIM(S581),"00000")="89110", TEXT(TRIM(S581),"00000")="89115", TEXT(TRIM(S581),"00000")="89121", TEXT(TRIM(S581),"00000")="89122", TEXT(TRIM(S581),"00000")="89142", TEXT(TRIM(S581),"00000")="89156"), "East Valley",
  OR(TEXT(TRIM(S581),"00000")="89030", TEXT(TRIM(S581),"00000")="89031", TEXT(TRIM(S581),"00000")="89032", TEXT(TRIM(S581),"00000")="89086", TEXT(TRIM(S581),"00000")="89084", TEXT(TRIM(S581),"00000")="89081"), "North LV",
  OR(TEXT(TRIM(S581),"00000")="89109", TEXT(TRIM(S581),"00000")="89103", TEXT(TRIM(S581),"00000")="89119", TEXT(TRIM(S581),"00000")="89123", TEXT(TRIM(S581),"00000")="89169", TEXT(TRIM(S581),"00000")="89118"), "South/Strip",
  OR(TEXT(TRIM(S581),"00000")="89074", TEXT(TRIM(S581),"00000")="89014", TEXT(TRIM(S581),"00000")="89015", TEXT(TRIM(S581),"00000")="89011", TEXT(TRIM(S581),"00000")="89012"), "Suburban SE",
  OR(TEXT(TRIM(S581),"00000")="89117", TEXT(TRIM(S581),"00000")="89128", TEXT(TRIM(S581),"00000")="89135", TEXT(TRIM(S581),"00000")="89144", TEXT(TRIM(S581),"00000")="89145", TEXT(TRIM(S581),"00000")="89147"), "West Valley",
  TRUE, "Other"
)</f>
        <v>North LV</v>
      </c>
      <c r="U581" t="s">
        <v>3298</v>
      </c>
      <c r="V581" t="str">
        <f t="shared" si="39"/>
        <v>Outdoors/Public</v>
      </c>
    </row>
    <row r="582" spans="1:22">
      <c r="A582" t="s">
        <v>722</v>
      </c>
      <c r="B582" t="s">
        <v>723</v>
      </c>
      <c r="C582" s="1">
        <v>45132</v>
      </c>
      <c r="D582" s="4">
        <v>111.92</v>
      </c>
      <c r="E582">
        <v>42</v>
      </c>
      <c r="F582" t="str">
        <f t="shared" si="36"/>
        <v>40's</v>
      </c>
      <c r="G582" t="str" cm="1">
        <f t="array" ref="G582">_xlfn.IFS(
  F582="10's", "Child (5–12)",
  OR(F582="20's", F582="30's"), "Young Adult (20–39)",
  OR(F582="40's", F582="50's"), "Adult (40–59)",
  OR(F582="60's", F582="70's", F582="80's", F582="90's"), "Senior (60+)",
  TRUE, "Unknown"
)</f>
        <v>Adult (40–59)</v>
      </c>
      <c r="H582" t="s">
        <v>841</v>
      </c>
      <c r="I582" t="s">
        <v>4040</v>
      </c>
      <c r="J582" t="str">
        <f t="shared" si="37"/>
        <v>Methamphetamine-related</v>
      </c>
      <c r="K582" t="s">
        <v>724</v>
      </c>
      <c r="L582" t="s">
        <v>250</v>
      </c>
      <c r="M582" t="s">
        <v>4966</v>
      </c>
      <c r="N582" t="s">
        <v>5100</v>
      </c>
      <c r="O582" t="str" cm="1">
        <f t="array" ref="O582">_xlfn.IFS(
  TEXT(TRIM(N582),"00000")="NULL", "Missing/Unknown",
  OR(TEXT(TRIM(N582),"00000")="89101", TEXT(TRIM(N582),"00000")="89104", TEXT(TRIM(N582),"00000")="89106", TEXT(TRIM(N582),"00000")="89102", TEXT(TRIM(N582),"00000")="89107", TEXT(TRIM(N582),"00000")="89108"), "Urban Core",
  OR(TEXT(TRIM(N582),"00000")="89110", TEXT(TRIM(N582),"00000")="89115", TEXT(TRIM(N582),"00000")="89121", TEXT(TRIM(N582),"00000")="89122", TEXT(TRIM(N582),"00000")="89142", TEXT(TRIM(N582),"00000")="89156"), "East Valley",
  OR(TEXT(TRIM(N582),"00000")="89030", TEXT(TRIM(N582),"00000")="89031", TEXT(TRIM(N582),"00000")="89032", TEXT(TRIM(N582),"00000")="89086", TEXT(TRIM(N582),"00000")="89084", TEXT(TRIM(N582),"00000")="89081"), "North LV",
  OR(TEXT(TRIM(N582),"00000")="89109", TEXT(TRIM(N582),"00000")="89103", TEXT(TRIM(N582),"00000")="89119", TEXT(TRIM(N582),"00000")="89123", TEXT(TRIM(N582),"00000")="89169", TEXT(TRIM(N582),"00000")="89118"), "South/Strip",
  OR(TEXT(TRIM(N582),"00000")="89074", TEXT(TRIM(N582),"00000")="89014", TEXT(TRIM(N582),"00000")="89015", TEXT(TRIM(N582),"00000")="89011", TEXT(TRIM(N582),"00000")="89012"), "Suburban SE",
  OR(TEXT(TRIM(N582),"00000")="89117", TEXT(TRIM(N582),"00000")="89128", TEXT(TRIM(N582),"00000")="89135", TEXT(TRIM(N582),"00000")="89144", TEXT(TRIM(N582),"00000")="89145", TEXT(TRIM(N582),"00000")="89147"), "West Valley",
  TRUE, "Other"
)</f>
        <v>North LV</v>
      </c>
      <c r="P582" t="s">
        <v>726</v>
      </c>
      <c r="Q582" t="str">
        <f t="shared" si="38"/>
        <v>Outdoors/Public</v>
      </c>
      <c r="R582" t="s">
        <v>4966</v>
      </c>
      <c r="S582" t="s">
        <v>5100</v>
      </c>
      <c r="T582" t="str" cm="1">
        <f t="array" ref="T582">_xlfn.IFS(
  TEXT(TRIM(S582),"00000")="NULL", "Missing/Unknown",
  OR(TEXT(TRIM(S582),"00000")="89101", TEXT(TRIM(S582),"00000")="89104", TEXT(TRIM(S582),"00000")="89106", TEXT(TRIM(S582),"00000")="89102", TEXT(TRIM(S582),"00000")="89107", TEXT(TRIM(S582),"00000")="89108"), "Urban Core",
  OR(TEXT(TRIM(S582),"00000")="89110", TEXT(TRIM(S582),"00000")="89115", TEXT(TRIM(S582),"00000")="89121", TEXT(TRIM(S582),"00000")="89122", TEXT(TRIM(S582),"00000")="89142", TEXT(TRIM(S582),"00000")="89156"), "East Valley",
  OR(TEXT(TRIM(S582),"00000")="89030", TEXT(TRIM(S582),"00000")="89031", TEXT(TRIM(S582),"00000")="89032", TEXT(TRIM(S582),"00000")="89086", TEXT(TRIM(S582),"00000")="89084", TEXT(TRIM(S582),"00000")="89081"), "North LV",
  OR(TEXT(TRIM(S582),"00000")="89109", TEXT(TRIM(S582),"00000")="89103", TEXT(TRIM(S582),"00000")="89119", TEXT(TRIM(S582),"00000")="89123", TEXT(TRIM(S582),"00000")="89169", TEXT(TRIM(S582),"00000")="89118"), "South/Strip",
  OR(TEXT(TRIM(S582),"00000")="89074", TEXT(TRIM(S582),"00000")="89014", TEXT(TRIM(S582),"00000")="89015", TEXT(TRIM(S582),"00000")="89011", TEXT(TRIM(S582),"00000")="89012"), "Suburban SE",
  OR(TEXT(TRIM(S582),"00000")="89117", TEXT(TRIM(S582),"00000")="89128", TEXT(TRIM(S582),"00000")="89135", TEXT(TRIM(S582),"00000")="89144", TEXT(TRIM(S582),"00000")="89145", TEXT(TRIM(S582),"00000")="89147"), "West Valley",
  TRUE, "Other"
)</f>
        <v>North LV</v>
      </c>
      <c r="U582" t="s">
        <v>726</v>
      </c>
      <c r="V582" t="str">
        <f t="shared" si="39"/>
        <v>Outdoors/Public</v>
      </c>
    </row>
    <row r="583" spans="1:22">
      <c r="A583" t="s">
        <v>710</v>
      </c>
      <c r="B583" t="s">
        <v>711</v>
      </c>
      <c r="C583" s="1">
        <v>45132</v>
      </c>
      <c r="D583" s="4">
        <v>111.92</v>
      </c>
      <c r="E583">
        <v>41</v>
      </c>
      <c r="F583" t="str">
        <f t="shared" si="36"/>
        <v>40's</v>
      </c>
      <c r="G583" t="str" cm="1">
        <f t="array" ref="G583">_xlfn.IFS(
  F583="10's", "Child (5–12)",
  OR(F583="20's", F583="30's"), "Young Adult (20–39)",
  OR(F583="40's", F583="50's"), "Adult (40–59)",
  OR(F583="60's", F583="70's", F583="80's", F583="90's"), "Senior (60+)",
  TRUE, "Unknown"
)</f>
        <v>Adult (40–59)</v>
      </c>
      <c r="H583" t="s">
        <v>4309</v>
      </c>
      <c r="I583" t="s">
        <v>97</v>
      </c>
      <c r="J583" t="str">
        <f t="shared" si="37"/>
        <v>Environmental Heat</v>
      </c>
      <c r="K583" t="s">
        <v>712</v>
      </c>
      <c r="L583" t="s">
        <v>1071</v>
      </c>
      <c r="M583" t="s">
        <v>4521</v>
      </c>
      <c r="N583" t="s">
        <v>5108</v>
      </c>
      <c r="O583" t="str" cm="1">
        <f t="array" ref="O583">_xlfn.IFS(
  TEXT(TRIM(N583),"00000")="NULL", "Missing/Unknown",
  OR(TEXT(TRIM(N583),"00000")="89101", TEXT(TRIM(N583),"00000")="89104", TEXT(TRIM(N583),"00000")="89106", TEXT(TRIM(N583),"00000")="89102", TEXT(TRIM(N583),"00000")="89107", TEXT(TRIM(N583),"00000")="89108"), "Urban Core",
  OR(TEXT(TRIM(N583),"00000")="89110", TEXT(TRIM(N583),"00000")="89115", TEXT(TRIM(N583),"00000")="89121", TEXT(TRIM(N583),"00000")="89122", TEXT(TRIM(N583),"00000")="89142", TEXT(TRIM(N583),"00000")="89156"), "East Valley",
  OR(TEXT(TRIM(N583),"00000")="89030", TEXT(TRIM(N583),"00000")="89031", TEXT(TRIM(N583),"00000")="89032", TEXT(TRIM(N583),"00000")="89086", TEXT(TRIM(N583),"00000")="89084", TEXT(TRIM(N583),"00000")="89081"), "North LV",
  OR(TEXT(TRIM(N583),"00000")="89109", TEXT(TRIM(N583),"00000")="89103", TEXT(TRIM(N583),"00000")="89119", TEXT(TRIM(N583),"00000")="89123", TEXT(TRIM(N583),"00000")="89169", TEXT(TRIM(N583),"00000")="89118"), "South/Strip",
  OR(TEXT(TRIM(N583),"00000")="89074", TEXT(TRIM(N583),"00000")="89014", TEXT(TRIM(N583),"00000")="89015", TEXT(TRIM(N583),"00000")="89011", TEXT(TRIM(N583),"00000")="89012"), "Suburban SE",
  OR(TEXT(TRIM(N583),"00000")="89117", TEXT(TRIM(N583),"00000")="89128", TEXT(TRIM(N583),"00000")="89135", TEXT(TRIM(N583),"00000")="89144", TEXT(TRIM(N583),"00000")="89145", TEXT(TRIM(N583),"00000")="89147"), "West Valley",
  TRUE, "Other"
)</f>
        <v>East Valley</v>
      </c>
      <c r="P583" t="s">
        <v>38</v>
      </c>
      <c r="Q583" t="str">
        <f t="shared" si="38"/>
        <v>Home/Residence</v>
      </c>
      <c r="R583" t="s">
        <v>4713</v>
      </c>
      <c r="S583" t="s">
        <v>5125</v>
      </c>
      <c r="T583" t="str" cm="1">
        <f t="array" ref="T583">_xlfn.IFS(
  TEXT(TRIM(S583),"00000")="NULL", "Missing/Unknown",
  OR(TEXT(TRIM(S583),"00000")="89101", TEXT(TRIM(S583),"00000")="89104", TEXT(TRIM(S583),"00000")="89106", TEXT(TRIM(S583),"00000")="89102", TEXT(TRIM(S583),"00000")="89107", TEXT(TRIM(S583),"00000")="89108"), "Urban Core",
  OR(TEXT(TRIM(S583),"00000")="89110", TEXT(TRIM(S583),"00000")="89115", TEXT(TRIM(S583),"00000")="89121", TEXT(TRIM(S583),"00000")="89122", TEXT(TRIM(S583),"00000")="89142", TEXT(TRIM(S583),"00000")="89156"), "East Valley",
  OR(TEXT(TRIM(S583),"00000")="89030", TEXT(TRIM(S583),"00000")="89031", TEXT(TRIM(S583),"00000")="89032", TEXT(TRIM(S583),"00000")="89086", TEXT(TRIM(S583),"00000")="89084", TEXT(TRIM(S583),"00000")="89081"), "North LV",
  OR(TEXT(TRIM(S583),"00000")="89109", TEXT(TRIM(S583),"00000")="89103", TEXT(TRIM(S583),"00000")="89119", TEXT(TRIM(S583),"00000")="89123", TEXT(TRIM(S583),"00000")="89169", TEXT(TRIM(S583),"00000")="89118"), "South/Strip",
  OR(TEXT(TRIM(S583),"00000")="89074", TEXT(TRIM(S583),"00000")="89014", TEXT(TRIM(S583),"00000")="89015", TEXT(TRIM(S583),"00000")="89011", TEXT(TRIM(S583),"00000")="89012"), "Suburban SE",
  OR(TEXT(TRIM(S583),"00000")="89117", TEXT(TRIM(S583),"00000")="89128", TEXT(TRIM(S583),"00000")="89135", TEXT(TRIM(S583),"00000")="89144", TEXT(TRIM(S583),"00000")="89145", TEXT(TRIM(S583),"00000")="89147"), "West Valley",
  TRUE, "Other"
)</f>
        <v>South/Strip</v>
      </c>
      <c r="U583" t="s">
        <v>4301</v>
      </c>
      <c r="V583" t="str">
        <f t="shared" si="39"/>
        <v>Medical Facility</v>
      </c>
    </row>
    <row r="584" spans="1:22">
      <c r="A584" t="s">
        <v>717</v>
      </c>
      <c r="B584" t="s">
        <v>718</v>
      </c>
      <c r="C584" s="1">
        <v>45132</v>
      </c>
      <c r="D584" s="4">
        <v>111.92</v>
      </c>
      <c r="E584">
        <v>52</v>
      </c>
      <c r="F584" t="str">
        <f t="shared" si="36"/>
        <v>50's</v>
      </c>
      <c r="G584" t="str" cm="1">
        <f t="array" ref="G584">_xlfn.IFS(
  F584="10's", "Child (5–12)",
  OR(F584="20's", F584="30's"), "Young Adult (20–39)",
  OR(F584="40's", F584="50's"), "Adult (40–59)",
  OR(F584="60's", F584="70's", F584="80's", F584="90's"), "Senior (60+)",
  TRUE, "Unknown"
)</f>
        <v>Adult (40–59)</v>
      </c>
      <c r="H584" t="s">
        <v>778</v>
      </c>
      <c r="I584" t="s">
        <v>54</v>
      </c>
      <c r="J584" t="str">
        <f t="shared" si="37"/>
        <v>Environmental Heat</v>
      </c>
      <c r="K584" t="s">
        <v>4217</v>
      </c>
      <c r="L584" t="s">
        <v>250</v>
      </c>
      <c r="N584" t="s">
        <v>5095</v>
      </c>
      <c r="O584" t="str" cm="1">
        <f t="array" ref="O584">_xlfn.IFS(
  TEXT(TRIM(N584),"00000")="NULL", "Missing/Unknown",
  OR(TEXT(TRIM(N584),"00000")="89101", TEXT(TRIM(N584),"00000")="89104", TEXT(TRIM(N584),"00000")="89106", TEXT(TRIM(N584),"00000")="89102", TEXT(TRIM(N584),"00000")="89107", TEXT(TRIM(N584),"00000")="89108"), "Urban Core",
  OR(TEXT(TRIM(N584),"00000")="89110", TEXT(TRIM(N584),"00000")="89115", TEXT(TRIM(N584),"00000")="89121", TEXT(TRIM(N584),"00000")="89122", TEXT(TRIM(N584),"00000")="89142", TEXT(TRIM(N584),"00000")="89156"), "East Valley",
  OR(TEXT(TRIM(N584),"00000")="89030", TEXT(TRIM(N584),"00000")="89031", TEXT(TRIM(N584),"00000")="89032", TEXT(TRIM(N584),"00000")="89086", TEXT(TRIM(N584),"00000")="89084", TEXT(TRIM(N584),"00000")="89081"), "North LV",
  OR(TEXT(TRIM(N584),"00000")="89109", TEXT(TRIM(N584),"00000")="89103", TEXT(TRIM(N584),"00000")="89119", TEXT(TRIM(N584),"00000")="89123", TEXT(TRIM(N584),"00000")="89169", TEXT(TRIM(N584),"00000")="89118"), "South/Strip",
  OR(TEXT(TRIM(N584),"00000")="89074", TEXT(TRIM(N584),"00000")="89014", TEXT(TRIM(N584),"00000")="89015", TEXT(TRIM(N584),"00000")="89011", TEXT(TRIM(N584),"00000")="89012"), "Suburban SE",
  OR(TEXT(TRIM(N584),"00000")="89117", TEXT(TRIM(N584),"00000")="89128", TEXT(TRIM(N584),"00000")="89135", TEXT(TRIM(N584),"00000")="89144", TEXT(TRIM(N584),"00000")="89145", TEXT(TRIM(N584),"00000")="89147"), "West Valley",
  TRUE, "Other"
)</f>
        <v>Missing/Unknown</v>
      </c>
      <c r="P584" t="s">
        <v>3298</v>
      </c>
      <c r="Q584" t="str">
        <f t="shared" si="38"/>
        <v>Outdoors/Public</v>
      </c>
      <c r="S584" t="s">
        <v>5095</v>
      </c>
      <c r="T584" t="str" cm="1">
        <f t="array" ref="T584">_xlfn.IFS(
  TEXT(TRIM(S584),"00000")="NULL", "Missing/Unknown",
  OR(TEXT(TRIM(S584),"00000")="89101", TEXT(TRIM(S584),"00000")="89104", TEXT(TRIM(S584),"00000")="89106", TEXT(TRIM(S584),"00000")="89102", TEXT(TRIM(S584),"00000")="89107", TEXT(TRIM(S584),"00000")="89108"), "Urban Core",
  OR(TEXT(TRIM(S584),"00000")="89110", TEXT(TRIM(S584),"00000")="89115", TEXT(TRIM(S584),"00000")="89121", TEXT(TRIM(S584),"00000")="89122", TEXT(TRIM(S584),"00000")="89142", TEXT(TRIM(S584),"00000")="89156"), "East Valley",
  OR(TEXT(TRIM(S584),"00000")="89030", TEXT(TRIM(S584),"00000")="89031", TEXT(TRIM(S584),"00000")="89032", TEXT(TRIM(S584),"00000")="89086", TEXT(TRIM(S584),"00000")="89084", TEXT(TRIM(S584),"00000")="89081"), "North LV",
  OR(TEXT(TRIM(S584),"00000")="89109", TEXT(TRIM(S584),"00000")="89103", TEXT(TRIM(S584),"00000")="89119", TEXT(TRIM(S584),"00000")="89123", TEXT(TRIM(S584),"00000")="89169", TEXT(TRIM(S584),"00000")="89118"), "South/Strip",
  OR(TEXT(TRIM(S584),"00000")="89074", TEXT(TRIM(S584),"00000")="89014", TEXT(TRIM(S584),"00000")="89015", TEXT(TRIM(S584),"00000")="89011", TEXT(TRIM(S584),"00000")="89012"), "Suburban SE",
  OR(TEXT(TRIM(S584),"00000")="89117", TEXT(TRIM(S584),"00000")="89128", TEXT(TRIM(S584),"00000")="89135", TEXT(TRIM(S584),"00000")="89144", TEXT(TRIM(S584),"00000")="89145", TEXT(TRIM(S584),"00000")="89147"), "West Valley",
  TRUE, "Other"
)</f>
        <v>Missing/Unknown</v>
      </c>
      <c r="U584" t="s">
        <v>3298</v>
      </c>
      <c r="V584" t="str">
        <f t="shared" si="39"/>
        <v>Outdoors/Public</v>
      </c>
    </row>
    <row r="585" spans="1:22">
      <c r="A585" t="s">
        <v>720</v>
      </c>
      <c r="B585" t="s">
        <v>721</v>
      </c>
      <c r="C585" s="1">
        <v>45132</v>
      </c>
      <c r="D585" s="4">
        <v>111.92</v>
      </c>
      <c r="E585">
        <v>52</v>
      </c>
      <c r="F585" t="str">
        <f t="shared" si="36"/>
        <v>50's</v>
      </c>
      <c r="G585" t="str" cm="1">
        <f t="array" ref="G585">_xlfn.IFS(
  F585="10's", "Child (5–12)",
  OR(F585="20's", F585="30's"), "Young Adult (20–39)",
  OR(F585="40's", F585="50's"), "Adult (40–59)",
  OR(F585="60's", F585="70's", F585="80's", F585="90's"), "Senior (60+)",
  TRUE, "Unknown"
)</f>
        <v>Adult (40–59)</v>
      </c>
      <c r="H585" t="s">
        <v>841</v>
      </c>
      <c r="I585" t="s">
        <v>172</v>
      </c>
      <c r="J585" t="str">
        <f t="shared" si="37"/>
        <v>Methamphetamine-related</v>
      </c>
      <c r="K585" t="s">
        <v>54</v>
      </c>
      <c r="L585" t="s">
        <v>1071</v>
      </c>
      <c r="N585" t="s">
        <v>5095</v>
      </c>
      <c r="O585" t="str" cm="1">
        <f t="array" ref="O585">_xlfn.IFS(
  TEXT(TRIM(N585),"00000")="NULL", "Missing/Unknown",
  OR(TEXT(TRIM(N585),"00000")="89101", TEXT(TRIM(N585),"00000")="89104", TEXT(TRIM(N585),"00000")="89106", TEXT(TRIM(N585),"00000")="89102", TEXT(TRIM(N585),"00000")="89107", TEXT(TRIM(N585),"00000")="89108"), "Urban Core",
  OR(TEXT(TRIM(N585),"00000")="89110", TEXT(TRIM(N585),"00000")="89115", TEXT(TRIM(N585),"00000")="89121", TEXT(TRIM(N585),"00000")="89122", TEXT(TRIM(N585),"00000")="89142", TEXT(TRIM(N585),"00000")="89156"), "East Valley",
  OR(TEXT(TRIM(N585),"00000")="89030", TEXT(TRIM(N585),"00000")="89031", TEXT(TRIM(N585),"00000")="89032", TEXT(TRIM(N585),"00000")="89086", TEXT(TRIM(N585),"00000")="89084", TEXT(TRIM(N585),"00000")="89081"), "North LV",
  OR(TEXT(TRIM(N585),"00000")="89109", TEXT(TRIM(N585),"00000")="89103", TEXT(TRIM(N585),"00000")="89119", TEXT(TRIM(N585),"00000")="89123", TEXT(TRIM(N585),"00000")="89169", TEXT(TRIM(N585),"00000")="89118"), "South/Strip",
  OR(TEXT(TRIM(N585),"00000")="89074", TEXT(TRIM(N585),"00000")="89014", TEXT(TRIM(N585),"00000")="89015", TEXT(TRIM(N585),"00000")="89011", TEXT(TRIM(N585),"00000")="89012"), "Suburban SE",
  OR(TEXT(TRIM(N585),"00000")="89117", TEXT(TRIM(N585),"00000")="89128", TEXT(TRIM(N585),"00000")="89135", TEXT(TRIM(N585),"00000")="89144", TEXT(TRIM(N585),"00000")="89145", TEXT(TRIM(N585),"00000")="89147"), "West Valley",
  TRUE, "Other"
)</f>
        <v>Missing/Unknown</v>
      </c>
      <c r="P585" t="s">
        <v>3298</v>
      </c>
      <c r="Q585" t="str">
        <f t="shared" si="38"/>
        <v>Outdoors/Public</v>
      </c>
      <c r="S585" t="s">
        <v>5095</v>
      </c>
      <c r="T585" t="str" cm="1">
        <f t="array" ref="T585">_xlfn.IFS(
  TEXT(TRIM(S585),"00000")="NULL", "Missing/Unknown",
  OR(TEXT(TRIM(S585),"00000")="89101", TEXT(TRIM(S585),"00000")="89104", TEXT(TRIM(S585),"00000")="89106", TEXT(TRIM(S585),"00000")="89102", TEXT(TRIM(S585),"00000")="89107", TEXT(TRIM(S585),"00000")="89108"), "Urban Core",
  OR(TEXT(TRIM(S585),"00000")="89110", TEXT(TRIM(S585),"00000")="89115", TEXT(TRIM(S585),"00000")="89121", TEXT(TRIM(S585),"00000")="89122", TEXT(TRIM(S585),"00000")="89142", TEXT(TRIM(S585),"00000")="89156"), "East Valley",
  OR(TEXT(TRIM(S585),"00000")="89030", TEXT(TRIM(S585),"00000")="89031", TEXT(TRIM(S585),"00000")="89032", TEXT(TRIM(S585),"00000")="89086", TEXT(TRIM(S585),"00000")="89084", TEXT(TRIM(S585),"00000")="89081"), "North LV",
  OR(TEXT(TRIM(S585),"00000")="89109", TEXT(TRIM(S585),"00000")="89103", TEXT(TRIM(S585),"00000")="89119", TEXT(TRIM(S585),"00000")="89123", TEXT(TRIM(S585),"00000")="89169", TEXT(TRIM(S585),"00000")="89118"), "South/Strip",
  OR(TEXT(TRIM(S585),"00000")="89074", TEXT(TRIM(S585),"00000")="89014", TEXT(TRIM(S585),"00000")="89015", TEXT(TRIM(S585),"00000")="89011", TEXT(TRIM(S585),"00000")="89012"), "Suburban SE",
  OR(TEXT(TRIM(S585),"00000")="89117", TEXT(TRIM(S585),"00000")="89128", TEXT(TRIM(S585),"00000")="89135", TEXT(TRIM(S585),"00000")="89144", TEXT(TRIM(S585),"00000")="89145", TEXT(TRIM(S585),"00000")="89147"), "West Valley",
  TRUE, "Other"
)</f>
        <v>Missing/Unknown</v>
      </c>
      <c r="U585" t="s">
        <v>3298</v>
      </c>
      <c r="V585" t="str">
        <f t="shared" si="39"/>
        <v>Outdoors/Public</v>
      </c>
    </row>
    <row r="586" spans="1:22">
      <c r="A586" t="s">
        <v>683</v>
      </c>
      <c r="B586" t="s">
        <v>684</v>
      </c>
      <c r="C586" s="1">
        <v>45131</v>
      </c>
      <c r="D586" s="4">
        <v>109.94</v>
      </c>
      <c r="E586">
        <v>48</v>
      </c>
      <c r="F586" t="str">
        <f t="shared" si="36"/>
        <v>40's</v>
      </c>
      <c r="G586" t="str" cm="1">
        <f t="array" ref="G586">_xlfn.IFS(
  F586="10's", "Child (5–12)",
  OR(F586="20's", F586="30's"), "Young Adult (20–39)",
  OR(F586="40's", F586="50's"), "Adult (40–59)",
  OR(F586="60's", F586="70's", F586="80's", F586="90's"), "Senior (60+)",
  TRUE, "Unknown"
)</f>
        <v>Adult (40–59)</v>
      </c>
      <c r="H586" t="s">
        <v>841</v>
      </c>
      <c r="I586" t="s">
        <v>97</v>
      </c>
      <c r="J586" t="str">
        <f t="shared" si="37"/>
        <v>Environmental Heat</v>
      </c>
      <c r="K586" t="s">
        <v>685</v>
      </c>
      <c r="L586" t="s">
        <v>250</v>
      </c>
      <c r="N586" t="s">
        <v>5095</v>
      </c>
      <c r="O586" t="str" cm="1">
        <f t="array" ref="O586">_xlfn.IFS(
  TEXT(TRIM(N586),"00000")="NULL", "Missing/Unknown",
  OR(TEXT(TRIM(N586),"00000")="89101", TEXT(TRIM(N586),"00000")="89104", TEXT(TRIM(N586),"00000")="89106", TEXT(TRIM(N586),"00000")="89102", TEXT(TRIM(N586),"00000")="89107", TEXT(TRIM(N586),"00000")="89108"), "Urban Core",
  OR(TEXT(TRIM(N586),"00000")="89110", TEXT(TRIM(N586),"00000")="89115", TEXT(TRIM(N586),"00000")="89121", TEXT(TRIM(N586),"00000")="89122", TEXT(TRIM(N586),"00000")="89142", TEXT(TRIM(N586),"00000")="89156"), "East Valley",
  OR(TEXT(TRIM(N586),"00000")="89030", TEXT(TRIM(N586),"00000")="89031", TEXT(TRIM(N586),"00000")="89032", TEXT(TRIM(N586),"00000")="89086", TEXT(TRIM(N586),"00000")="89084", TEXT(TRIM(N586),"00000")="89081"), "North LV",
  OR(TEXT(TRIM(N586),"00000")="89109", TEXT(TRIM(N586),"00000")="89103", TEXT(TRIM(N586),"00000")="89119", TEXT(TRIM(N586),"00000")="89123", TEXT(TRIM(N586),"00000")="89169", TEXT(TRIM(N586),"00000")="89118"), "South/Strip",
  OR(TEXT(TRIM(N586),"00000")="89074", TEXT(TRIM(N586),"00000")="89014", TEXT(TRIM(N586),"00000")="89015", TEXT(TRIM(N586),"00000")="89011", TEXT(TRIM(N586),"00000")="89012"), "Suburban SE",
  OR(TEXT(TRIM(N586),"00000")="89117", TEXT(TRIM(N586),"00000")="89128", TEXT(TRIM(N586),"00000")="89135", TEXT(TRIM(N586),"00000")="89144", TEXT(TRIM(N586),"00000")="89145", TEXT(TRIM(N586),"00000")="89147"), "West Valley",
  TRUE, "Other"
)</f>
        <v>Missing/Unknown</v>
      </c>
      <c r="P586" t="s">
        <v>3298</v>
      </c>
      <c r="Q586" t="str">
        <f t="shared" si="38"/>
        <v>Outdoors/Public</v>
      </c>
      <c r="R586" t="s">
        <v>4341</v>
      </c>
      <c r="S586" t="s">
        <v>5100</v>
      </c>
      <c r="T586" t="str" cm="1">
        <f t="array" ref="T586">_xlfn.IFS(
  TEXT(TRIM(S586),"00000")="NULL", "Missing/Unknown",
  OR(TEXT(TRIM(S586),"00000")="89101", TEXT(TRIM(S586),"00000")="89104", TEXT(TRIM(S586),"00000")="89106", TEXT(TRIM(S586),"00000")="89102", TEXT(TRIM(S586),"00000")="89107", TEXT(TRIM(S586),"00000")="89108"), "Urban Core",
  OR(TEXT(TRIM(S586),"00000")="89110", TEXT(TRIM(S586),"00000")="89115", TEXT(TRIM(S586),"00000")="89121", TEXT(TRIM(S586),"00000")="89122", TEXT(TRIM(S586),"00000")="89142", TEXT(TRIM(S586),"00000")="89156"), "East Valley",
  OR(TEXT(TRIM(S586),"00000")="89030", TEXT(TRIM(S586),"00000")="89031", TEXT(TRIM(S586),"00000")="89032", TEXT(TRIM(S586),"00000")="89086", TEXT(TRIM(S586),"00000")="89084", TEXT(TRIM(S586),"00000")="89081"), "North LV",
  OR(TEXT(TRIM(S586),"00000")="89109", TEXT(TRIM(S586),"00000")="89103", TEXT(TRIM(S586),"00000")="89119", TEXT(TRIM(S586),"00000")="89123", TEXT(TRIM(S586),"00000")="89169", TEXT(TRIM(S586),"00000")="89118"), "South/Strip",
  OR(TEXT(TRIM(S586),"00000")="89074", TEXT(TRIM(S586),"00000")="89014", TEXT(TRIM(S586),"00000")="89015", TEXT(TRIM(S586),"00000")="89011", TEXT(TRIM(S586),"00000")="89012"), "Suburban SE",
  OR(TEXT(TRIM(S586),"00000")="89117", TEXT(TRIM(S586),"00000")="89128", TEXT(TRIM(S586),"00000")="89135", TEXT(TRIM(S586),"00000")="89144", TEXT(TRIM(S586),"00000")="89145", TEXT(TRIM(S586),"00000")="89147"), "West Valley",
  TRUE, "Other"
)</f>
        <v>North LV</v>
      </c>
      <c r="U586" t="s">
        <v>4301</v>
      </c>
      <c r="V586" t="str">
        <f t="shared" si="39"/>
        <v>Medical Facility</v>
      </c>
    </row>
    <row r="587" spans="1:22">
      <c r="A587" t="s">
        <v>697</v>
      </c>
      <c r="B587" t="s">
        <v>698</v>
      </c>
      <c r="C587" s="1">
        <v>45131</v>
      </c>
      <c r="D587" s="4">
        <v>109.94</v>
      </c>
      <c r="E587">
        <v>78</v>
      </c>
      <c r="F587" t="str">
        <f t="shared" si="36"/>
        <v>70's</v>
      </c>
      <c r="G587" t="str" cm="1">
        <f t="array" ref="G587">_xlfn.IFS(
  F587="10's", "Child (5–12)",
  OR(F587="20's", F587="30's"), "Young Adult (20–39)",
  OR(F587="40's", F587="50's"), "Adult (40–59)",
  OR(F587="60's", F587="70's", F587="80's", F587="90's"), "Senior (60+)",
  TRUE, "Unknown"
)</f>
        <v>Senior (60+)</v>
      </c>
      <c r="H587" t="s">
        <v>27</v>
      </c>
      <c r="I587" t="s">
        <v>28</v>
      </c>
      <c r="J587" t="str">
        <f t="shared" si="37"/>
        <v>Cardiovascular Disease</v>
      </c>
      <c r="K587" t="s">
        <v>699</v>
      </c>
      <c r="L587" t="s">
        <v>1071</v>
      </c>
      <c r="M587" t="s">
        <v>4377</v>
      </c>
      <c r="N587" t="s">
        <v>5100</v>
      </c>
      <c r="O587" t="str" cm="1">
        <f t="array" ref="O587">_xlfn.IFS(
  TEXT(TRIM(N587),"00000")="NULL", "Missing/Unknown",
  OR(TEXT(TRIM(N587),"00000")="89101", TEXT(TRIM(N587),"00000")="89104", TEXT(TRIM(N587),"00000")="89106", TEXT(TRIM(N587),"00000")="89102", TEXT(TRIM(N587),"00000")="89107", TEXT(TRIM(N587),"00000")="89108"), "Urban Core",
  OR(TEXT(TRIM(N587),"00000")="89110", TEXT(TRIM(N587),"00000")="89115", TEXT(TRIM(N587),"00000")="89121", TEXT(TRIM(N587),"00000")="89122", TEXT(TRIM(N587),"00000")="89142", TEXT(TRIM(N587),"00000")="89156"), "East Valley",
  OR(TEXT(TRIM(N587),"00000")="89030", TEXT(TRIM(N587),"00000")="89031", TEXT(TRIM(N587),"00000")="89032", TEXT(TRIM(N587),"00000")="89086", TEXT(TRIM(N587),"00000")="89084", TEXT(TRIM(N587),"00000")="89081"), "North LV",
  OR(TEXT(TRIM(N587),"00000")="89109", TEXT(TRIM(N587),"00000")="89103", TEXT(TRIM(N587),"00000")="89119", TEXT(TRIM(N587),"00000")="89123", TEXT(TRIM(N587),"00000")="89169", TEXT(TRIM(N587),"00000")="89118"), "South/Strip",
  OR(TEXT(TRIM(N587),"00000")="89074", TEXT(TRIM(N587),"00000")="89014", TEXT(TRIM(N587),"00000")="89015", TEXT(TRIM(N587),"00000")="89011", TEXT(TRIM(N587),"00000")="89012"), "Suburban SE",
  OR(TEXT(TRIM(N587),"00000")="89117", TEXT(TRIM(N587),"00000")="89128", TEXT(TRIM(N587),"00000")="89135", TEXT(TRIM(N587),"00000")="89144", TEXT(TRIM(N587),"00000")="89145", TEXT(TRIM(N587),"00000")="89147"), "West Valley",
  TRUE, "Other"
)</f>
        <v>North LV</v>
      </c>
      <c r="P587" t="s">
        <v>38</v>
      </c>
      <c r="Q587" t="str">
        <f t="shared" si="38"/>
        <v>Home/Residence</v>
      </c>
      <c r="R587" t="s">
        <v>4377</v>
      </c>
      <c r="S587" t="s">
        <v>5100</v>
      </c>
      <c r="T587" t="str" cm="1">
        <f t="array" ref="T587">_xlfn.IFS(
  TEXT(TRIM(S587),"00000")="NULL", "Missing/Unknown",
  OR(TEXT(TRIM(S587),"00000")="89101", TEXT(TRIM(S587),"00000")="89104", TEXT(TRIM(S587),"00000")="89106", TEXT(TRIM(S587),"00000")="89102", TEXT(TRIM(S587),"00000")="89107", TEXT(TRIM(S587),"00000")="89108"), "Urban Core",
  OR(TEXT(TRIM(S587),"00000")="89110", TEXT(TRIM(S587),"00000")="89115", TEXT(TRIM(S587),"00000")="89121", TEXT(TRIM(S587),"00000")="89122", TEXT(TRIM(S587),"00000")="89142", TEXT(TRIM(S587),"00000")="89156"), "East Valley",
  OR(TEXT(TRIM(S587),"00000")="89030", TEXT(TRIM(S587),"00000")="89031", TEXT(TRIM(S587),"00000")="89032", TEXT(TRIM(S587),"00000")="89086", TEXT(TRIM(S587),"00000")="89084", TEXT(TRIM(S587),"00000")="89081"), "North LV",
  OR(TEXT(TRIM(S587),"00000")="89109", TEXT(TRIM(S587),"00000")="89103", TEXT(TRIM(S587),"00000")="89119", TEXT(TRIM(S587),"00000")="89123", TEXT(TRIM(S587),"00000")="89169", TEXT(TRIM(S587),"00000")="89118"), "South/Strip",
  OR(TEXT(TRIM(S587),"00000")="89074", TEXT(TRIM(S587),"00000")="89014", TEXT(TRIM(S587),"00000")="89015", TEXT(TRIM(S587),"00000")="89011", TEXT(TRIM(S587),"00000")="89012"), "Suburban SE",
  OR(TEXT(TRIM(S587),"00000")="89117", TEXT(TRIM(S587),"00000")="89128", TEXT(TRIM(S587),"00000")="89135", TEXT(TRIM(S587),"00000")="89144", TEXT(TRIM(S587),"00000")="89145", TEXT(TRIM(S587),"00000")="89147"), "West Valley",
  TRUE, "Other"
)</f>
        <v>North LV</v>
      </c>
      <c r="U587" t="s">
        <v>38</v>
      </c>
      <c r="V587" t="str">
        <f t="shared" si="39"/>
        <v>Home/Residence</v>
      </c>
    </row>
    <row r="588" spans="1:22">
      <c r="A588" t="s">
        <v>701</v>
      </c>
      <c r="B588" t="s">
        <v>702</v>
      </c>
      <c r="C588" s="1">
        <v>45131</v>
      </c>
      <c r="D588" s="4">
        <v>109.94</v>
      </c>
      <c r="E588">
        <v>73</v>
      </c>
      <c r="F588" t="str">
        <f t="shared" si="36"/>
        <v>70's</v>
      </c>
      <c r="G588" t="str" cm="1">
        <f t="array" ref="G588">_xlfn.IFS(
  F588="10's", "Child (5–12)",
  OR(F588="20's", F588="30's"), "Young Adult (20–39)",
  OR(F588="40's", F588="50's"), "Adult (40–59)",
  OR(F588="60's", F588="70's", F588="80's", F588="90's"), "Senior (60+)",
  TRUE, "Unknown"
)</f>
        <v>Senior (60+)</v>
      </c>
      <c r="H588" t="s">
        <v>27</v>
      </c>
      <c r="I588" t="s">
        <v>28</v>
      </c>
      <c r="J588" t="str">
        <f t="shared" si="37"/>
        <v>Cardiovascular Disease</v>
      </c>
      <c r="K588" t="s">
        <v>307</v>
      </c>
      <c r="L588" t="s">
        <v>1071</v>
      </c>
      <c r="M588" t="s">
        <v>4378</v>
      </c>
      <c r="N588" t="s">
        <v>5100</v>
      </c>
      <c r="O588" t="str" cm="1">
        <f t="array" ref="O588">_xlfn.IFS(
  TEXT(TRIM(N588),"00000")="NULL", "Missing/Unknown",
  OR(TEXT(TRIM(N588),"00000")="89101", TEXT(TRIM(N588),"00000")="89104", TEXT(TRIM(N588),"00000")="89106", TEXT(TRIM(N588),"00000")="89102", TEXT(TRIM(N588),"00000")="89107", TEXT(TRIM(N588),"00000")="89108"), "Urban Core",
  OR(TEXT(TRIM(N588),"00000")="89110", TEXT(TRIM(N588),"00000")="89115", TEXT(TRIM(N588),"00000")="89121", TEXT(TRIM(N588),"00000")="89122", TEXT(TRIM(N588),"00000")="89142", TEXT(TRIM(N588),"00000")="89156"), "East Valley",
  OR(TEXT(TRIM(N588),"00000")="89030", TEXT(TRIM(N588),"00000")="89031", TEXT(TRIM(N588),"00000")="89032", TEXT(TRIM(N588),"00000")="89086", TEXT(TRIM(N588),"00000")="89084", TEXT(TRIM(N588),"00000")="89081"), "North LV",
  OR(TEXT(TRIM(N588),"00000")="89109", TEXT(TRIM(N588),"00000")="89103", TEXT(TRIM(N588),"00000")="89119", TEXT(TRIM(N588),"00000")="89123", TEXT(TRIM(N588),"00000")="89169", TEXT(TRIM(N588),"00000")="89118"), "South/Strip",
  OR(TEXT(TRIM(N588),"00000")="89074", TEXT(TRIM(N588),"00000")="89014", TEXT(TRIM(N588),"00000")="89015", TEXT(TRIM(N588),"00000")="89011", TEXT(TRIM(N588),"00000")="89012"), "Suburban SE",
  OR(TEXT(TRIM(N588),"00000")="89117", TEXT(TRIM(N588),"00000")="89128", TEXT(TRIM(N588),"00000")="89135", TEXT(TRIM(N588),"00000")="89144", TEXT(TRIM(N588),"00000")="89145", TEXT(TRIM(N588),"00000")="89147"), "West Valley",
  TRUE, "Other"
)</f>
        <v>North LV</v>
      </c>
      <c r="P588" t="s">
        <v>38</v>
      </c>
      <c r="Q588" t="str">
        <f t="shared" si="38"/>
        <v>Home/Residence</v>
      </c>
      <c r="R588" t="s">
        <v>4378</v>
      </c>
      <c r="S588" t="s">
        <v>5100</v>
      </c>
      <c r="T588" t="str" cm="1">
        <f t="array" ref="T588">_xlfn.IFS(
  TEXT(TRIM(S588),"00000")="NULL", "Missing/Unknown",
  OR(TEXT(TRIM(S588),"00000")="89101", TEXT(TRIM(S588),"00000")="89104", TEXT(TRIM(S588),"00000")="89106", TEXT(TRIM(S588),"00000")="89102", TEXT(TRIM(S588),"00000")="89107", TEXT(TRIM(S588),"00000")="89108"), "Urban Core",
  OR(TEXT(TRIM(S588),"00000")="89110", TEXT(TRIM(S588),"00000")="89115", TEXT(TRIM(S588),"00000")="89121", TEXT(TRIM(S588),"00000")="89122", TEXT(TRIM(S588),"00000")="89142", TEXT(TRIM(S588),"00000")="89156"), "East Valley",
  OR(TEXT(TRIM(S588),"00000")="89030", TEXT(TRIM(S588),"00000")="89031", TEXT(TRIM(S588),"00000")="89032", TEXT(TRIM(S588),"00000")="89086", TEXT(TRIM(S588),"00000")="89084", TEXT(TRIM(S588),"00000")="89081"), "North LV",
  OR(TEXT(TRIM(S588),"00000")="89109", TEXT(TRIM(S588),"00000")="89103", TEXT(TRIM(S588),"00000")="89119", TEXT(TRIM(S588),"00000")="89123", TEXT(TRIM(S588),"00000")="89169", TEXT(TRIM(S588),"00000")="89118"), "South/Strip",
  OR(TEXT(TRIM(S588),"00000")="89074", TEXT(TRIM(S588),"00000")="89014", TEXT(TRIM(S588),"00000")="89015", TEXT(TRIM(S588),"00000")="89011", TEXT(TRIM(S588),"00000")="89012"), "Suburban SE",
  OR(TEXT(TRIM(S588),"00000")="89117", TEXT(TRIM(S588),"00000")="89128", TEXT(TRIM(S588),"00000")="89135", TEXT(TRIM(S588),"00000")="89144", TEXT(TRIM(S588),"00000")="89145", TEXT(TRIM(S588),"00000")="89147"), "West Valley",
  TRUE, "Other"
)</f>
        <v>North LV</v>
      </c>
      <c r="U588" t="s">
        <v>38</v>
      </c>
      <c r="V588" t="str">
        <f t="shared" si="39"/>
        <v>Home/Residence</v>
      </c>
    </row>
    <row r="589" spans="1:22">
      <c r="A589" t="s">
        <v>689</v>
      </c>
      <c r="B589" t="s">
        <v>690</v>
      </c>
      <c r="C589" s="1">
        <v>45131</v>
      </c>
      <c r="D589" s="4">
        <v>109.94</v>
      </c>
      <c r="E589">
        <v>82</v>
      </c>
      <c r="F589" t="str">
        <f t="shared" si="36"/>
        <v>80's</v>
      </c>
      <c r="G589" t="str" cm="1">
        <f t="array" ref="G589">_xlfn.IFS(
  F589="10's", "Child (5–12)",
  OR(F589="20's", F589="30's"), "Young Adult (20–39)",
  OR(F589="40's", F589="50's"), "Adult (40–59)",
  OR(F589="60's", F589="70's", F589="80's", F589="90's"), "Senior (60+)",
  TRUE, "Unknown"
)</f>
        <v>Senior (60+)</v>
      </c>
      <c r="H589" t="s">
        <v>841</v>
      </c>
      <c r="I589" t="s">
        <v>638</v>
      </c>
      <c r="J589" t="str">
        <f t="shared" si="37"/>
        <v>Dehydration / Electrolyte</v>
      </c>
      <c r="K589" t="s">
        <v>691</v>
      </c>
      <c r="L589" t="s">
        <v>1071</v>
      </c>
      <c r="N589" t="s">
        <v>5095</v>
      </c>
      <c r="O589" t="str" cm="1">
        <f t="array" ref="O589">_xlfn.IFS(
  TEXT(TRIM(N589),"00000")="NULL", "Missing/Unknown",
  OR(TEXT(TRIM(N589),"00000")="89101", TEXT(TRIM(N589),"00000")="89104", TEXT(TRIM(N589),"00000")="89106", TEXT(TRIM(N589),"00000")="89102", TEXT(TRIM(N589),"00000")="89107", TEXT(TRIM(N589),"00000")="89108"), "Urban Core",
  OR(TEXT(TRIM(N589),"00000")="89110", TEXT(TRIM(N589),"00000")="89115", TEXT(TRIM(N589),"00000")="89121", TEXT(TRIM(N589),"00000")="89122", TEXT(TRIM(N589),"00000")="89142", TEXT(TRIM(N589),"00000")="89156"), "East Valley",
  OR(TEXT(TRIM(N589),"00000")="89030", TEXT(TRIM(N589),"00000")="89031", TEXT(TRIM(N589),"00000")="89032", TEXT(TRIM(N589),"00000")="89086", TEXT(TRIM(N589),"00000")="89084", TEXT(TRIM(N589),"00000")="89081"), "North LV",
  OR(TEXT(TRIM(N589),"00000")="89109", TEXT(TRIM(N589),"00000")="89103", TEXT(TRIM(N589),"00000")="89119", TEXT(TRIM(N589),"00000")="89123", TEXT(TRIM(N589),"00000")="89169", TEXT(TRIM(N589),"00000")="89118"), "South/Strip",
  OR(TEXT(TRIM(N589),"00000")="89074", TEXT(TRIM(N589),"00000")="89014", TEXT(TRIM(N589),"00000")="89015", TEXT(TRIM(N589),"00000")="89011", TEXT(TRIM(N589),"00000")="89012"), "Suburban SE",
  OR(TEXT(TRIM(N589),"00000")="89117", TEXT(TRIM(N589),"00000")="89128", TEXT(TRIM(N589),"00000")="89135", TEXT(TRIM(N589),"00000")="89144", TEXT(TRIM(N589),"00000")="89145", TEXT(TRIM(N589),"00000")="89147"), "West Valley",
  TRUE, "Other"
)</f>
        <v>Missing/Unknown</v>
      </c>
      <c r="P589" t="s">
        <v>38</v>
      </c>
      <c r="Q589" t="str">
        <f t="shared" si="38"/>
        <v>Home/Residence</v>
      </c>
      <c r="R589" t="s">
        <v>5060</v>
      </c>
      <c r="S589" t="s">
        <v>5164</v>
      </c>
      <c r="T589" t="str" cm="1">
        <f t="array" ref="T589">_xlfn.IFS(
  TEXT(TRIM(S589),"00000")="NULL", "Missing/Unknown",
  OR(TEXT(TRIM(S589),"00000")="89101", TEXT(TRIM(S589),"00000")="89104", TEXT(TRIM(S589),"00000")="89106", TEXT(TRIM(S589),"00000")="89102", TEXT(TRIM(S589),"00000")="89107", TEXT(TRIM(S589),"00000")="89108"), "Urban Core",
  OR(TEXT(TRIM(S589),"00000")="89110", TEXT(TRIM(S589),"00000")="89115", TEXT(TRIM(S589),"00000")="89121", TEXT(TRIM(S589),"00000")="89122", TEXT(TRIM(S589),"00000")="89142", TEXT(TRIM(S589),"00000")="89156"), "East Valley",
  OR(TEXT(TRIM(S589),"00000")="89030", TEXT(TRIM(S589),"00000")="89031", TEXT(TRIM(S589),"00000")="89032", TEXT(TRIM(S589),"00000")="89086", TEXT(TRIM(S589),"00000")="89084", TEXT(TRIM(S589),"00000")="89081"), "North LV",
  OR(TEXT(TRIM(S589),"00000")="89109", TEXT(TRIM(S589),"00000")="89103", TEXT(TRIM(S589),"00000")="89119", TEXT(TRIM(S589),"00000")="89123", TEXT(TRIM(S589),"00000")="89169", TEXT(TRIM(S589),"00000")="89118"), "South/Strip",
  OR(TEXT(TRIM(S589),"00000")="89074", TEXT(TRIM(S589),"00000")="89014", TEXT(TRIM(S589),"00000")="89015", TEXT(TRIM(S589),"00000")="89011", TEXT(TRIM(S589),"00000")="89012"), "Suburban SE",
  OR(TEXT(TRIM(S589),"00000")="89117", TEXT(TRIM(S589),"00000")="89128", TEXT(TRIM(S589),"00000")="89135", TEXT(TRIM(S589),"00000")="89144", TEXT(TRIM(S589),"00000")="89145", TEXT(TRIM(S589),"00000")="89147"), "West Valley",
  TRUE, "Other"
)</f>
        <v>Other</v>
      </c>
      <c r="U589" t="s">
        <v>38</v>
      </c>
      <c r="V589" t="str">
        <f t="shared" si="39"/>
        <v>Home/Residence</v>
      </c>
    </row>
    <row r="590" spans="1:22">
      <c r="A590" t="s">
        <v>679</v>
      </c>
      <c r="B590" t="s">
        <v>680</v>
      </c>
      <c r="C590" s="1">
        <v>45131</v>
      </c>
      <c r="D590" s="4">
        <v>109.94</v>
      </c>
      <c r="E590">
        <v>29</v>
      </c>
      <c r="F590" t="str">
        <f t="shared" si="36"/>
        <v>20's</v>
      </c>
      <c r="G590" t="str" cm="1">
        <f t="array" ref="G590">_xlfn.IFS(
  F590="10's", "Child (5–12)",
  OR(F590="20's", F590="30's"), "Young Adult (20–39)",
  OR(F590="40's", F590="50's"), "Adult (40–59)",
  OR(F590="60's", F590="70's", F590="80's", F590="90's"), "Senior (60+)",
  TRUE, "Unknown"
)</f>
        <v>Young Adult (20–39)</v>
      </c>
      <c r="H590" t="s">
        <v>841</v>
      </c>
      <c r="I590" t="s">
        <v>97</v>
      </c>
      <c r="J590" t="str">
        <f t="shared" si="37"/>
        <v>Environmental Heat</v>
      </c>
      <c r="K590" t="s">
        <v>4066</v>
      </c>
      <c r="L590" t="s">
        <v>250</v>
      </c>
      <c r="M590" t="s">
        <v>4535</v>
      </c>
      <c r="N590" t="s">
        <v>5101</v>
      </c>
      <c r="O590" t="str" cm="1">
        <f t="array" ref="O590">_xlfn.IFS(
  TEXT(TRIM(N590),"00000")="NULL", "Missing/Unknown",
  OR(TEXT(TRIM(N590),"00000")="89101", TEXT(TRIM(N590),"00000")="89104", TEXT(TRIM(N590),"00000")="89106", TEXT(TRIM(N590),"00000")="89102", TEXT(TRIM(N590),"00000")="89107", TEXT(TRIM(N590),"00000")="89108"), "Urban Core",
  OR(TEXT(TRIM(N590),"00000")="89110", TEXT(TRIM(N590),"00000")="89115", TEXT(TRIM(N590),"00000")="89121", TEXT(TRIM(N590),"00000")="89122", TEXT(TRIM(N590),"00000")="89142", TEXT(TRIM(N590),"00000")="89156"), "East Valley",
  OR(TEXT(TRIM(N590),"00000")="89030", TEXT(TRIM(N590),"00000")="89031", TEXT(TRIM(N590),"00000")="89032", TEXT(TRIM(N590),"00000")="89086", TEXT(TRIM(N590),"00000")="89084", TEXT(TRIM(N590),"00000")="89081"), "North LV",
  OR(TEXT(TRIM(N590),"00000")="89109", TEXT(TRIM(N590),"00000")="89103", TEXT(TRIM(N590),"00000")="89119", TEXT(TRIM(N590),"00000")="89123", TEXT(TRIM(N590),"00000")="89169", TEXT(TRIM(N590),"00000")="89118"), "South/Strip",
  OR(TEXT(TRIM(N590),"00000")="89074", TEXT(TRIM(N590),"00000")="89014", TEXT(TRIM(N590),"00000")="89015", TEXT(TRIM(N590),"00000")="89011", TEXT(TRIM(N590),"00000")="89012"), "Suburban SE",
  OR(TEXT(TRIM(N590),"00000")="89117", TEXT(TRIM(N590),"00000")="89128", TEXT(TRIM(N590),"00000")="89135", TEXT(TRIM(N590),"00000")="89144", TEXT(TRIM(N590),"00000")="89145", TEXT(TRIM(N590),"00000")="89147"), "West Valley",
  TRUE, "Other"
)</f>
        <v>Urban Core</v>
      </c>
      <c r="P590" t="s">
        <v>3298</v>
      </c>
      <c r="Q590" t="str">
        <f t="shared" si="38"/>
        <v>Outdoors/Public</v>
      </c>
      <c r="R590" t="s">
        <v>4713</v>
      </c>
      <c r="S590" t="s">
        <v>5125</v>
      </c>
      <c r="T590" t="str" cm="1">
        <f t="array" ref="T590">_xlfn.IFS(
  TEXT(TRIM(S590),"00000")="NULL", "Missing/Unknown",
  OR(TEXT(TRIM(S590),"00000")="89101", TEXT(TRIM(S590),"00000")="89104", TEXT(TRIM(S590),"00000")="89106", TEXT(TRIM(S590),"00000")="89102", TEXT(TRIM(S590),"00000")="89107", TEXT(TRIM(S590),"00000")="89108"), "Urban Core",
  OR(TEXT(TRIM(S590),"00000")="89110", TEXT(TRIM(S590),"00000")="89115", TEXT(TRIM(S590),"00000")="89121", TEXT(TRIM(S590),"00000")="89122", TEXT(TRIM(S590),"00000")="89142", TEXT(TRIM(S590),"00000")="89156"), "East Valley",
  OR(TEXT(TRIM(S590),"00000")="89030", TEXT(TRIM(S590),"00000")="89031", TEXT(TRIM(S590),"00000")="89032", TEXT(TRIM(S590),"00000")="89086", TEXT(TRIM(S590),"00000")="89084", TEXT(TRIM(S590),"00000")="89081"), "North LV",
  OR(TEXT(TRIM(S590),"00000")="89109", TEXT(TRIM(S590),"00000")="89103", TEXT(TRIM(S590),"00000")="89119", TEXT(TRIM(S590),"00000")="89123", TEXT(TRIM(S590),"00000")="89169", TEXT(TRIM(S590),"00000")="89118"), "South/Strip",
  OR(TEXT(TRIM(S590),"00000")="89074", TEXT(TRIM(S590),"00000")="89014", TEXT(TRIM(S590),"00000")="89015", TEXT(TRIM(S590),"00000")="89011", TEXT(TRIM(S590),"00000")="89012"), "Suburban SE",
  OR(TEXT(TRIM(S590),"00000")="89117", TEXT(TRIM(S590),"00000")="89128", TEXT(TRIM(S590),"00000")="89135", TEXT(TRIM(S590),"00000")="89144", TEXT(TRIM(S590),"00000")="89145", TEXT(TRIM(S590),"00000")="89147"), "West Valley",
  TRUE, "Other"
)</f>
        <v>South/Strip</v>
      </c>
      <c r="U590" t="s">
        <v>4301</v>
      </c>
      <c r="V590" t="str">
        <f t="shared" si="39"/>
        <v>Medical Facility</v>
      </c>
    </row>
    <row r="591" spans="1:22">
      <c r="A591" t="s">
        <v>686</v>
      </c>
      <c r="B591" t="s">
        <v>687</v>
      </c>
      <c r="C591" s="1">
        <v>45131</v>
      </c>
      <c r="D591" s="4">
        <v>109.94</v>
      </c>
      <c r="E591">
        <v>41</v>
      </c>
      <c r="F591" t="str">
        <f t="shared" si="36"/>
        <v>40's</v>
      </c>
      <c r="G591" t="str" cm="1">
        <f t="array" ref="G591">_xlfn.IFS(
  F591="10's", "Child (5–12)",
  OR(F591="20's", F591="30's"), "Young Adult (20–39)",
  OR(F591="40's", F591="50's"), "Adult (40–59)",
  OR(F591="60's", F591="70's", F591="80's", F591="90's"), "Senior (60+)",
  TRUE, "Unknown"
)</f>
        <v>Adult (40–59)</v>
      </c>
      <c r="H591" t="s">
        <v>841</v>
      </c>
      <c r="I591" t="s">
        <v>54</v>
      </c>
      <c r="J591" t="str">
        <f t="shared" si="37"/>
        <v>Environmental Heat</v>
      </c>
      <c r="K591" t="s">
        <v>98</v>
      </c>
      <c r="L591" t="s">
        <v>250</v>
      </c>
      <c r="M591" t="s">
        <v>4750</v>
      </c>
      <c r="N591" t="s">
        <v>5108</v>
      </c>
      <c r="O591" t="str" cm="1">
        <f t="array" ref="O591">_xlfn.IFS(
  TEXT(TRIM(N591),"00000")="NULL", "Missing/Unknown",
  OR(TEXT(TRIM(N591),"00000")="89101", TEXT(TRIM(N591),"00000")="89104", TEXT(TRIM(N591),"00000")="89106", TEXT(TRIM(N591),"00000")="89102", TEXT(TRIM(N591),"00000")="89107", TEXT(TRIM(N591),"00000")="89108"), "Urban Core",
  OR(TEXT(TRIM(N591),"00000")="89110", TEXT(TRIM(N591),"00000")="89115", TEXT(TRIM(N591),"00000")="89121", TEXT(TRIM(N591),"00000")="89122", TEXT(TRIM(N591),"00000")="89142", TEXT(TRIM(N591),"00000")="89156"), "East Valley",
  OR(TEXT(TRIM(N591),"00000")="89030", TEXT(TRIM(N591),"00000")="89031", TEXT(TRIM(N591),"00000")="89032", TEXT(TRIM(N591),"00000")="89086", TEXT(TRIM(N591),"00000")="89084", TEXT(TRIM(N591),"00000")="89081"), "North LV",
  OR(TEXT(TRIM(N591),"00000")="89109", TEXT(TRIM(N591),"00000")="89103", TEXT(TRIM(N591),"00000")="89119", TEXT(TRIM(N591),"00000")="89123", TEXT(TRIM(N591),"00000")="89169", TEXT(TRIM(N591),"00000")="89118"), "South/Strip",
  OR(TEXT(TRIM(N591),"00000")="89074", TEXT(TRIM(N591),"00000")="89014", TEXT(TRIM(N591),"00000")="89015", TEXT(TRIM(N591),"00000")="89011", TEXT(TRIM(N591),"00000")="89012"), "Suburban SE",
  OR(TEXT(TRIM(N591),"00000")="89117", TEXT(TRIM(N591),"00000")="89128", TEXT(TRIM(N591),"00000")="89135", TEXT(TRIM(N591),"00000")="89144", TEXT(TRIM(N591),"00000")="89145", TEXT(TRIM(N591),"00000")="89147"), "West Valley",
  TRUE, "Other"
)</f>
        <v>East Valley</v>
      </c>
      <c r="P591" t="s">
        <v>3298</v>
      </c>
      <c r="Q591" t="str">
        <f t="shared" si="38"/>
        <v>Outdoors/Public</v>
      </c>
      <c r="R591" t="s">
        <v>4750</v>
      </c>
      <c r="S591" t="s">
        <v>5108</v>
      </c>
      <c r="T591" t="str" cm="1">
        <f t="array" ref="T591">_xlfn.IFS(
  TEXT(TRIM(S591),"00000")="NULL", "Missing/Unknown",
  OR(TEXT(TRIM(S591),"00000")="89101", TEXT(TRIM(S591),"00000")="89104", TEXT(TRIM(S591),"00000")="89106", TEXT(TRIM(S591),"00000")="89102", TEXT(TRIM(S591),"00000")="89107", TEXT(TRIM(S591),"00000")="89108"), "Urban Core",
  OR(TEXT(TRIM(S591),"00000")="89110", TEXT(TRIM(S591),"00000")="89115", TEXT(TRIM(S591),"00000")="89121", TEXT(TRIM(S591),"00000")="89122", TEXT(TRIM(S591),"00000")="89142", TEXT(TRIM(S591),"00000")="89156"), "East Valley",
  OR(TEXT(TRIM(S591),"00000")="89030", TEXT(TRIM(S591),"00000")="89031", TEXT(TRIM(S591),"00000")="89032", TEXT(TRIM(S591),"00000")="89086", TEXT(TRIM(S591),"00000")="89084", TEXT(TRIM(S591),"00000")="89081"), "North LV",
  OR(TEXT(TRIM(S591),"00000")="89109", TEXT(TRIM(S591),"00000")="89103", TEXT(TRIM(S591),"00000")="89119", TEXT(TRIM(S591),"00000")="89123", TEXT(TRIM(S591),"00000")="89169", TEXT(TRIM(S591),"00000")="89118"), "South/Strip",
  OR(TEXT(TRIM(S591),"00000")="89074", TEXT(TRIM(S591),"00000")="89014", TEXT(TRIM(S591),"00000")="89015", TEXT(TRIM(S591),"00000")="89011", TEXT(TRIM(S591),"00000")="89012"), "Suburban SE",
  OR(TEXT(TRIM(S591),"00000")="89117", TEXT(TRIM(S591),"00000")="89128", TEXT(TRIM(S591),"00000")="89135", TEXT(TRIM(S591),"00000")="89144", TEXT(TRIM(S591),"00000")="89145", TEXT(TRIM(S591),"00000")="89147"), "West Valley",
  TRUE, "Other"
)</f>
        <v>East Valley</v>
      </c>
      <c r="U591" t="s">
        <v>3298</v>
      </c>
      <c r="V591" t="str">
        <f t="shared" si="39"/>
        <v>Outdoors/Public</v>
      </c>
    </row>
    <row r="592" spans="1:22">
      <c r="A592" t="s">
        <v>666</v>
      </c>
      <c r="B592" t="s">
        <v>667</v>
      </c>
      <c r="C592" s="1">
        <v>45131</v>
      </c>
      <c r="D592" s="4">
        <v>109.94</v>
      </c>
      <c r="E592">
        <v>49</v>
      </c>
      <c r="F592" t="str">
        <f t="shared" si="36"/>
        <v>40's</v>
      </c>
      <c r="G592" t="str" cm="1">
        <f t="array" ref="G592">_xlfn.IFS(
  F592="10's", "Child (5–12)",
  OR(F592="20's", F592="30's"), "Young Adult (20–39)",
  OR(F592="40's", F592="50's"), "Adult (40–59)",
  OR(F592="60's", F592="70's", F592="80's", F592="90's"), "Senior (60+)",
  TRUE, "Unknown"
)</f>
        <v>Adult (40–59)</v>
      </c>
      <c r="H592" t="s">
        <v>778</v>
      </c>
      <c r="I592" t="s">
        <v>54</v>
      </c>
      <c r="J592" t="str">
        <f t="shared" si="37"/>
        <v>Environmental Heat</v>
      </c>
      <c r="K592" t="s">
        <v>668</v>
      </c>
      <c r="L592" t="s">
        <v>1071</v>
      </c>
      <c r="M592" t="s">
        <v>4375</v>
      </c>
      <c r="N592" t="s">
        <v>5125</v>
      </c>
      <c r="O592" t="str" cm="1">
        <f t="array" ref="O592">_xlfn.IFS(
  TEXT(TRIM(N592),"00000")="NULL", "Missing/Unknown",
  OR(TEXT(TRIM(N592),"00000")="89101", TEXT(TRIM(N592),"00000")="89104", TEXT(TRIM(N592),"00000")="89106", TEXT(TRIM(N592),"00000")="89102", TEXT(TRIM(N592),"00000")="89107", TEXT(TRIM(N592),"00000")="89108"), "Urban Core",
  OR(TEXT(TRIM(N592),"00000")="89110", TEXT(TRIM(N592),"00000")="89115", TEXT(TRIM(N592),"00000")="89121", TEXT(TRIM(N592),"00000")="89122", TEXT(TRIM(N592),"00000")="89142", TEXT(TRIM(N592),"00000")="89156"), "East Valley",
  OR(TEXT(TRIM(N592),"00000")="89030", TEXT(TRIM(N592),"00000")="89031", TEXT(TRIM(N592),"00000")="89032", TEXT(TRIM(N592),"00000")="89086", TEXT(TRIM(N592),"00000")="89084", TEXT(TRIM(N592),"00000")="89081"), "North LV",
  OR(TEXT(TRIM(N592),"00000")="89109", TEXT(TRIM(N592),"00000")="89103", TEXT(TRIM(N592),"00000")="89119", TEXT(TRIM(N592),"00000")="89123", TEXT(TRIM(N592),"00000")="89169", TEXT(TRIM(N592),"00000")="89118"), "South/Strip",
  OR(TEXT(TRIM(N592),"00000")="89074", TEXT(TRIM(N592),"00000")="89014", TEXT(TRIM(N592),"00000")="89015", TEXT(TRIM(N592),"00000")="89011", TEXT(TRIM(N592),"00000")="89012"), "Suburban SE",
  OR(TEXT(TRIM(N592),"00000")="89117", TEXT(TRIM(N592),"00000")="89128", TEXT(TRIM(N592),"00000")="89135", TEXT(TRIM(N592),"00000")="89144", TEXT(TRIM(N592),"00000")="89145", TEXT(TRIM(N592),"00000")="89147"), "West Valley",
  TRUE, "Other"
)</f>
        <v>South/Strip</v>
      </c>
      <c r="P592" t="s">
        <v>38</v>
      </c>
      <c r="Q592" t="str">
        <f t="shared" si="38"/>
        <v>Home/Residence</v>
      </c>
      <c r="R592" t="s">
        <v>4375</v>
      </c>
      <c r="S592" t="s">
        <v>5125</v>
      </c>
      <c r="T592" t="str" cm="1">
        <f t="array" ref="T592">_xlfn.IFS(
  TEXT(TRIM(S592),"00000")="NULL", "Missing/Unknown",
  OR(TEXT(TRIM(S592),"00000")="89101", TEXT(TRIM(S592),"00000")="89104", TEXT(TRIM(S592),"00000")="89106", TEXT(TRIM(S592),"00000")="89102", TEXT(TRIM(S592),"00000")="89107", TEXT(TRIM(S592),"00000")="89108"), "Urban Core",
  OR(TEXT(TRIM(S592),"00000")="89110", TEXT(TRIM(S592),"00000")="89115", TEXT(TRIM(S592),"00000")="89121", TEXT(TRIM(S592),"00000")="89122", TEXT(TRIM(S592),"00000")="89142", TEXT(TRIM(S592),"00000")="89156"), "East Valley",
  OR(TEXT(TRIM(S592),"00000")="89030", TEXT(TRIM(S592),"00000")="89031", TEXT(TRIM(S592),"00000")="89032", TEXT(TRIM(S592),"00000")="89086", TEXT(TRIM(S592),"00000")="89084", TEXT(TRIM(S592),"00000")="89081"), "North LV",
  OR(TEXT(TRIM(S592),"00000")="89109", TEXT(TRIM(S592),"00000")="89103", TEXT(TRIM(S592),"00000")="89119", TEXT(TRIM(S592),"00000")="89123", TEXT(TRIM(S592),"00000")="89169", TEXT(TRIM(S592),"00000")="89118"), "South/Strip",
  OR(TEXT(TRIM(S592),"00000")="89074", TEXT(TRIM(S592),"00000")="89014", TEXT(TRIM(S592),"00000")="89015", TEXT(TRIM(S592),"00000")="89011", TEXT(TRIM(S592),"00000")="89012"), "Suburban SE",
  OR(TEXT(TRIM(S592),"00000")="89117", TEXT(TRIM(S592),"00000")="89128", TEXT(TRIM(S592),"00000")="89135", TEXT(TRIM(S592),"00000")="89144", TEXT(TRIM(S592),"00000")="89145", TEXT(TRIM(S592),"00000")="89147"), "West Valley",
  TRUE, "Other"
)</f>
        <v>South/Strip</v>
      </c>
      <c r="U592" t="s">
        <v>38</v>
      </c>
      <c r="V592" t="str">
        <f t="shared" si="39"/>
        <v>Home/Residence</v>
      </c>
    </row>
    <row r="593" spans="1:22">
      <c r="A593" t="s">
        <v>672</v>
      </c>
      <c r="B593" t="s">
        <v>673</v>
      </c>
      <c r="C593" s="1">
        <v>45131</v>
      </c>
      <c r="D593" s="4">
        <v>109.94</v>
      </c>
      <c r="E593">
        <v>72</v>
      </c>
      <c r="F593" t="str">
        <f t="shared" si="36"/>
        <v>70's</v>
      </c>
      <c r="G593" t="str" cm="1">
        <f t="array" ref="G593">_xlfn.IFS(
  F593="10's", "Child (5–12)",
  OR(F593="20's", F593="30's"), "Young Adult (20–39)",
  OR(F593="40's", F593="50's"), "Adult (40–59)",
  OR(F593="60's", F593="70's", F593="80's", F593="90's"), "Senior (60+)",
  TRUE, "Unknown"
)</f>
        <v>Senior (60+)</v>
      </c>
      <c r="H593" t="s">
        <v>778</v>
      </c>
      <c r="I593" t="s">
        <v>4086</v>
      </c>
      <c r="J593" t="str">
        <f t="shared" si="37"/>
        <v>Other / Unknown</v>
      </c>
      <c r="K593" t="s">
        <v>54</v>
      </c>
      <c r="L593" t="s">
        <v>1071</v>
      </c>
      <c r="M593" t="s">
        <v>4376</v>
      </c>
      <c r="N593" t="s">
        <v>5122</v>
      </c>
      <c r="O593" t="str" cm="1">
        <f t="array" ref="O593">_xlfn.IFS(
  TEXT(TRIM(N593),"00000")="NULL", "Missing/Unknown",
  OR(TEXT(TRIM(N593),"00000")="89101", TEXT(TRIM(N593),"00000")="89104", TEXT(TRIM(N593),"00000")="89106", TEXT(TRIM(N593),"00000")="89102", TEXT(TRIM(N593),"00000")="89107", TEXT(TRIM(N593),"00000")="89108"), "Urban Core",
  OR(TEXT(TRIM(N593),"00000")="89110", TEXT(TRIM(N593),"00000")="89115", TEXT(TRIM(N593),"00000")="89121", TEXT(TRIM(N593),"00000")="89122", TEXT(TRIM(N593),"00000")="89142", TEXT(TRIM(N593),"00000")="89156"), "East Valley",
  OR(TEXT(TRIM(N593),"00000")="89030", TEXT(TRIM(N593),"00000")="89031", TEXT(TRIM(N593),"00000")="89032", TEXT(TRIM(N593),"00000")="89086", TEXT(TRIM(N593),"00000")="89084", TEXT(TRIM(N593),"00000")="89081"), "North LV",
  OR(TEXT(TRIM(N593),"00000")="89109", TEXT(TRIM(N593),"00000")="89103", TEXT(TRIM(N593),"00000")="89119", TEXT(TRIM(N593),"00000")="89123", TEXT(TRIM(N593),"00000")="89169", TEXT(TRIM(N593),"00000")="89118"), "South/Strip",
  OR(TEXT(TRIM(N593),"00000")="89074", TEXT(TRIM(N593),"00000")="89014", TEXT(TRIM(N593),"00000")="89015", TEXT(TRIM(N593),"00000")="89011", TEXT(TRIM(N593),"00000")="89012"), "Suburban SE",
  OR(TEXT(TRIM(N593),"00000")="89117", TEXT(TRIM(N593),"00000")="89128", TEXT(TRIM(N593),"00000")="89135", TEXT(TRIM(N593),"00000")="89144", TEXT(TRIM(N593),"00000")="89145", TEXT(TRIM(N593),"00000")="89147"), "West Valley",
  TRUE, "Other"
)</f>
        <v>East Valley</v>
      </c>
      <c r="P593" t="s">
        <v>38</v>
      </c>
      <c r="Q593" t="str">
        <f t="shared" si="38"/>
        <v>Home/Residence</v>
      </c>
      <c r="R593" t="s">
        <v>4376</v>
      </c>
      <c r="S593" t="s">
        <v>5122</v>
      </c>
      <c r="T593" t="str" cm="1">
        <f t="array" ref="T593">_xlfn.IFS(
  TEXT(TRIM(S593),"00000")="NULL", "Missing/Unknown",
  OR(TEXT(TRIM(S593),"00000")="89101", TEXT(TRIM(S593),"00000")="89104", TEXT(TRIM(S593),"00000")="89106", TEXT(TRIM(S593),"00000")="89102", TEXT(TRIM(S593),"00000")="89107", TEXT(TRIM(S593),"00000")="89108"), "Urban Core",
  OR(TEXT(TRIM(S593),"00000")="89110", TEXT(TRIM(S593),"00000")="89115", TEXT(TRIM(S593),"00000")="89121", TEXT(TRIM(S593),"00000")="89122", TEXT(TRIM(S593),"00000")="89142", TEXT(TRIM(S593),"00000")="89156"), "East Valley",
  OR(TEXT(TRIM(S593),"00000")="89030", TEXT(TRIM(S593),"00000")="89031", TEXT(TRIM(S593),"00000")="89032", TEXT(TRIM(S593),"00000")="89086", TEXT(TRIM(S593),"00000")="89084", TEXT(TRIM(S593),"00000")="89081"), "North LV",
  OR(TEXT(TRIM(S593),"00000")="89109", TEXT(TRIM(S593),"00000")="89103", TEXT(TRIM(S593),"00000")="89119", TEXT(TRIM(S593),"00000")="89123", TEXT(TRIM(S593),"00000")="89169", TEXT(TRIM(S593),"00000")="89118"), "South/Strip",
  OR(TEXT(TRIM(S593),"00000")="89074", TEXT(TRIM(S593),"00000")="89014", TEXT(TRIM(S593),"00000")="89015", TEXT(TRIM(S593),"00000")="89011", TEXT(TRIM(S593),"00000")="89012"), "Suburban SE",
  OR(TEXT(TRIM(S593),"00000")="89117", TEXT(TRIM(S593),"00000")="89128", TEXT(TRIM(S593),"00000")="89135", TEXT(TRIM(S593),"00000")="89144", TEXT(TRIM(S593),"00000")="89145", TEXT(TRIM(S593),"00000")="89147"), "West Valley",
  TRUE, "Other"
)</f>
        <v>East Valley</v>
      </c>
      <c r="U593" t="s">
        <v>38</v>
      </c>
      <c r="V593" t="str">
        <f t="shared" si="39"/>
        <v>Home/Residence</v>
      </c>
    </row>
    <row r="594" spans="1:22">
      <c r="A594" t="s">
        <v>704</v>
      </c>
      <c r="B594" t="s">
        <v>705</v>
      </c>
      <c r="C594" s="1">
        <v>45131</v>
      </c>
      <c r="D594" s="4">
        <v>109.94</v>
      </c>
      <c r="E594">
        <v>37</v>
      </c>
      <c r="F594" t="str">
        <f t="shared" si="36"/>
        <v>30's</v>
      </c>
      <c r="G594" t="str" cm="1">
        <f t="array" ref="G594">_xlfn.IFS(
  F594="10's", "Child (5–12)",
  OR(F594="20's", F594="30's"), "Young Adult (20–39)",
  OR(F594="40's", F594="50's"), "Adult (40–59)",
  OR(F594="60's", F594="70's", F594="80's", F594="90's"), "Senior (60+)",
  TRUE, "Unknown"
)</f>
        <v>Young Adult (20–39)</v>
      </c>
      <c r="H594" t="s">
        <v>4310</v>
      </c>
      <c r="I594" t="s">
        <v>54</v>
      </c>
      <c r="J594" t="str">
        <f t="shared" si="37"/>
        <v>Environmental Heat</v>
      </c>
      <c r="K594" t="s">
        <v>63</v>
      </c>
      <c r="L594" t="s">
        <v>250</v>
      </c>
      <c r="M594" t="s">
        <v>4758</v>
      </c>
      <c r="N594" t="s">
        <v>5101</v>
      </c>
      <c r="O594" t="str" cm="1">
        <f t="array" ref="O594">_xlfn.IFS(
  TEXT(TRIM(N594),"00000")="NULL", "Missing/Unknown",
  OR(TEXT(TRIM(N594),"00000")="89101", TEXT(TRIM(N594),"00000")="89104", TEXT(TRIM(N594),"00000")="89106", TEXT(TRIM(N594),"00000")="89102", TEXT(TRIM(N594),"00000")="89107", TEXT(TRIM(N594),"00000")="89108"), "Urban Core",
  OR(TEXT(TRIM(N594),"00000")="89110", TEXT(TRIM(N594),"00000")="89115", TEXT(TRIM(N594),"00000")="89121", TEXT(TRIM(N594),"00000")="89122", TEXT(TRIM(N594),"00000")="89142", TEXT(TRIM(N594),"00000")="89156"), "East Valley",
  OR(TEXT(TRIM(N594),"00000")="89030", TEXT(TRIM(N594),"00000")="89031", TEXT(TRIM(N594),"00000")="89032", TEXT(TRIM(N594),"00000")="89086", TEXT(TRIM(N594),"00000")="89084", TEXT(TRIM(N594),"00000")="89081"), "North LV",
  OR(TEXT(TRIM(N594),"00000")="89109", TEXT(TRIM(N594),"00000")="89103", TEXT(TRIM(N594),"00000")="89119", TEXT(TRIM(N594),"00000")="89123", TEXT(TRIM(N594),"00000")="89169", TEXT(TRIM(N594),"00000")="89118"), "South/Strip",
  OR(TEXT(TRIM(N594),"00000")="89074", TEXT(TRIM(N594),"00000")="89014", TEXT(TRIM(N594),"00000")="89015", TEXT(TRIM(N594),"00000")="89011", TEXT(TRIM(N594),"00000")="89012"), "Suburban SE",
  OR(TEXT(TRIM(N594),"00000")="89117", TEXT(TRIM(N594),"00000")="89128", TEXT(TRIM(N594),"00000")="89135", TEXT(TRIM(N594),"00000")="89144", TEXT(TRIM(N594),"00000")="89145", TEXT(TRIM(N594),"00000")="89147"), "West Valley",
  TRUE, "Other"
)</f>
        <v>Urban Core</v>
      </c>
      <c r="P594" t="s">
        <v>3298</v>
      </c>
      <c r="Q594" t="str">
        <f t="shared" si="38"/>
        <v>Outdoors/Public</v>
      </c>
      <c r="R594" t="s">
        <v>4758</v>
      </c>
      <c r="S594" t="s">
        <v>5101</v>
      </c>
      <c r="T594" t="str" cm="1">
        <f t="array" ref="T594">_xlfn.IFS(
  TEXT(TRIM(S594),"00000")="NULL", "Missing/Unknown",
  OR(TEXT(TRIM(S594),"00000")="89101", TEXT(TRIM(S594),"00000")="89104", TEXT(TRIM(S594),"00000")="89106", TEXT(TRIM(S594),"00000")="89102", TEXT(TRIM(S594),"00000")="89107", TEXT(TRIM(S594),"00000")="89108"), "Urban Core",
  OR(TEXT(TRIM(S594),"00000")="89110", TEXT(TRIM(S594),"00000")="89115", TEXT(TRIM(S594),"00000")="89121", TEXT(TRIM(S594),"00000")="89122", TEXT(TRIM(S594),"00000")="89142", TEXT(TRIM(S594),"00000")="89156"), "East Valley",
  OR(TEXT(TRIM(S594),"00000")="89030", TEXT(TRIM(S594),"00000")="89031", TEXT(TRIM(S594),"00000")="89032", TEXT(TRIM(S594),"00000")="89086", TEXT(TRIM(S594),"00000")="89084", TEXT(TRIM(S594),"00000")="89081"), "North LV",
  OR(TEXT(TRIM(S594),"00000")="89109", TEXT(TRIM(S594),"00000")="89103", TEXT(TRIM(S594),"00000")="89119", TEXT(TRIM(S594),"00000")="89123", TEXT(TRIM(S594),"00000")="89169", TEXT(TRIM(S594),"00000")="89118"), "South/Strip",
  OR(TEXT(TRIM(S594),"00000")="89074", TEXT(TRIM(S594),"00000")="89014", TEXT(TRIM(S594),"00000")="89015", TEXT(TRIM(S594),"00000")="89011", TEXT(TRIM(S594),"00000")="89012"), "Suburban SE",
  OR(TEXT(TRIM(S594),"00000")="89117", TEXT(TRIM(S594),"00000")="89128", TEXT(TRIM(S594),"00000")="89135", TEXT(TRIM(S594),"00000")="89144", TEXT(TRIM(S594),"00000")="89145", TEXT(TRIM(S594),"00000")="89147"), "West Valley",
  TRUE, "Other"
)</f>
        <v>Urban Core</v>
      </c>
      <c r="U594" t="s">
        <v>3298</v>
      </c>
      <c r="V594" t="str">
        <f t="shared" si="39"/>
        <v>Outdoors/Public</v>
      </c>
    </row>
    <row r="595" spans="1:22">
      <c r="A595" t="s">
        <v>693</v>
      </c>
      <c r="B595" t="s">
        <v>694</v>
      </c>
      <c r="C595" s="1">
        <v>45131</v>
      </c>
      <c r="D595" s="4">
        <v>109.94</v>
      </c>
      <c r="E595">
        <v>49</v>
      </c>
      <c r="F595" t="str">
        <f t="shared" si="36"/>
        <v>40's</v>
      </c>
      <c r="G595" t="str" cm="1">
        <f t="array" ref="G595">_xlfn.IFS(
  F595="10's", "Child (5–12)",
  OR(F595="20's", F595="30's"), "Young Adult (20–39)",
  OR(F595="40's", F595="50's"), "Adult (40–59)",
  OR(F595="60's", F595="70's", F595="80's", F595="90's"), "Senior (60+)",
  TRUE, "Unknown"
)</f>
        <v>Adult (40–59)</v>
      </c>
      <c r="H595" t="s">
        <v>841</v>
      </c>
      <c r="I595" t="s">
        <v>54</v>
      </c>
      <c r="J595" t="str">
        <f t="shared" si="37"/>
        <v>Environmental Heat</v>
      </c>
      <c r="K595" t="s">
        <v>695</v>
      </c>
      <c r="L595" t="s">
        <v>250</v>
      </c>
      <c r="M595" t="s">
        <v>4337</v>
      </c>
      <c r="N595" t="s">
        <v>5097</v>
      </c>
      <c r="O595" t="str" cm="1">
        <f t="array" ref="O595">_xlfn.IFS(
  TEXT(TRIM(N595),"00000")="NULL", "Missing/Unknown",
  OR(TEXT(TRIM(N595),"00000")="89101", TEXT(TRIM(N595),"00000")="89104", TEXT(TRIM(N595),"00000")="89106", TEXT(TRIM(N595),"00000")="89102", TEXT(TRIM(N595),"00000")="89107", TEXT(TRIM(N595),"00000")="89108"), "Urban Core",
  OR(TEXT(TRIM(N595),"00000")="89110", TEXT(TRIM(N595),"00000")="89115", TEXT(TRIM(N595),"00000")="89121", TEXT(TRIM(N595),"00000")="89122", TEXT(TRIM(N595),"00000")="89142", TEXT(TRIM(N595),"00000")="89156"), "East Valley",
  OR(TEXT(TRIM(N595),"00000")="89030", TEXT(TRIM(N595),"00000")="89031", TEXT(TRIM(N595),"00000")="89032", TEXT(TRIM(N595),"00000")="89086", TEXT(TRIM(N595),"00000")="89084", TEXT(TRIM(N595),"00000")="89081"), "North LV",
  OR(TEXT(TRIM(N595),"00000")="89109", TEXT(TRIM(N595),"00000")="89103", TEXT(TRIM(N595),"00000")="89119", TEXT(TRIM(N595),"00000")="89123", TEXT(TRIM(N595),"00000")="89169", TEXT(TRIM(N595),"00000")="89118"), "South/Strip",
  OR(TEXT(TRIM(N595),"00000")="89074", TEXT(TRIM(N595),"00000")="89014", TEXT(TRIM(N595),"00000")="89015", TEXT(TRIM(N595),"00000")="89011", TEXT(TRIM(N595),"00000")="89012"), "Suburban SE",
  OR(TEXT(TRIM(N595),"00000")="89117", TEXT(TRIM(N595),"00000")="89128", TEXT(TRIM(N595),"00000")="89135", TEXT(TRIM(N595),"00000")="89144", TEXT(TRIM(N595),"00000")="89145", TEXT(TRIM(N595),"00000")="89147"), "West Valley",
  TRUE, "Other"
)</f>
        <v>Urban Core</v>
      </c>
      <c r="P595" t="s">
        <v>3298</v>
      </c>
      <c r="Q595" t="str">
        <f t="shared" si="38"/>
        <v>Outdoors/Public</v>
      </c>
      <c r="R595" t="s">
        <v>4337</v>
      </c>
      <c r="S595" t="s">
        <v>5097</v>
      </c>
      <c r="T595" t="str" cm="1">
        <f t="array" ref="T595">_xlfn.IFS(
  TEXT(TRIM(S595),"00000")="NULL", "Missing/Unknown",
  OR(TEXT(TRIM(S595),"00000")="89101", TEXT(TRIM(S595),"00000")="89104", TEXT(TRIM(S595),"00000")="89106", TEXT(TRIM(S595),"00000")="89102", TEXT(TRIM(S595),"00000")="89107", TEXT(TRIM(S595),"00000")="89108"), "Urban Core",
  OR(TEXT(TRIM(S595),"00000")="89110", TEXT(TRIM(S595),"00000")="89115", TEXT(TRIM(S595),"00000")="89121", TEXT(TRIM(S595),"00000")="89122", TEXT(TRIM(S595),"00000")="89142", TEXT(TRIM(S595),"00000")="89156"), "East Valley",
  OR(TEXT(TRIM(S595),"00000")="89030", TEXT(TRIM(S595),"00000")="89031", TEXT(TRIM(S595),"00000")="89032", TEXT(TRIM(S595),"00000")="89086", TEXT(TRIM(S595),"00000")="89084", TEXT(TRIM(S595),"00000")="89081"), "North LV",
  OR(TEXT(TRIM(S595),"00000")="89109", TEXT(TRIM(S595),"00000")="89103", TEXT(TRIM(S595),"00000")="89119", TEXT(TRIM(S595),"00000")="89123", TEXT(TRIM(S595),"00000")="89169", TEXT(TRIM(S595),"00000")="89118"), "South/Strip",
  OR(TEXT(TRIM(S595),"00000")="89074", TEXT(TRIM(S595),"00000")="89014", TEXT(TRIM(S595),"00000")="89015", TEXT(TRIM(S595),"00000")="89011", TEXT(TRIM(S595),"00000")="89012"), "Suburban SE",
  OR(TEXT(TRIM(S595),"00000")="89117", TEXT(TRIM(S595),"00000")="89128", TEXT(TRIM(S595),"00000")="89135", TEXT(TRIM(S595),"00000")="89144", TEXT(TRIM(S595),"00000")="89145", TEXT(TRIM(S595),"00000")="89147"), "West Valley",
  TRUE, "Other"
)</f>
        <v>Urban Core</v>
      </c>
      <c r="U595" t="s">
        <v>3298</v>
      </c>
      <c r="V595" t="str">
        <f t="shared" si="39"/>
        <v>Outdoors/Public</v>
      </c>
    </row>
    <row r="596" spans="1:22">
      <c r="A596" t="s">
        <v>658</v>
      </c>
      <c r="B596" t="s">
        <v>659</v>
      </c>
      <c r="C596" s="1">
        <v>45131</v>
      </c>
      <c r="D596" s="4">
        <v>109.94</v>
      </c>
      <c r="E596">
        <v>57</v>
      </c>
      <c r="F596" t="str">
        <f t="shared" si="36"/>
        <v>50's</v>
      </c>
      <c r="G596" t="str" cm="1">
        <f t="array" ref="G596">_xlfn.IFS(
  F596="10's", "Child (5–12)",
  OR(F596="20's", F596="30's"), "Young Adult (20–39)",
  OR(F596="40's", F596="50's"), "Adult (40–59)",
  OR(F596="60's", F596="70's", F596="80's", F596="90's"), "Senior (60+)",
  TRUE, "Unknown"
)</f>
        <v>Adult (40–59)</v>
      </c>
      <c r="H596" t="s">
        <v>841</v>
      </c>
      <c r="I596" t="s">
        <v>660</v>
      </c>
      <c r="J596" t="str">
        <f t="shared" si="37"/>
        <v>Environmental Heat</v>
      </c>
      <c r="K596" t="s">
        <v>4218</v>
      </c>
      <c r="L596" t="s">
        <v>250</v>
      </c>
      <c r="N596" t="s">
        <v>5095</v>
      </c>
      <c r="O596" t="str" cm="1">
        <f t="array" ref="O596">_xlfn.IFS(
  TEXT(TRIM(N596),"00000")="NULL", "Missing/Unknown",
  OR(TEXT(TRIM(N596),"00000")="89101", TEXT(TRIM(N596),"00000")="89104", TEXT(TRIM(N596),"00000")="89106", TEXT(TRIM(N596),"00000")="89102", TEXT(TRIM(N596),"00000")="89107", TEXT(TRIM(N596),"00000")="89108"), "Urban Core",
  OR(TEXT(TRIM(N596),"00000")="89110", TEXT(TRIM(N596),"00000")="89115", TEXT(TRIM(N596),"00000")="89121", TEXT(TRIM(N596),"00000")="89122", TEXT(TRIM(N596),"00000")="89142", TEXT(TRIM(N596),"00000")="89156"), "East Valley",
  OR(TEXT(TRIM(N596),"00000")="89030", TEXT(TRIM(N596),"00000")="89031", TEXT(TRIM(N596),"00000")="89032", TEXT(TRIM(N596),"00000")="89086", TEXT(TRIM(N596),"00000")="89084", TEXT(TRIM(N596),"00000")="89081"), "North LV",
  OR(TEXT(TRIM(N596),"00000")="89109", TEXT(TRIM(N596),"00000")="89103", TEXT(TRIM(N596),"00000")="89119", TEXT(TRIM(N596),"00000")="89123", TEXT(TRIM(N596),"00000")="89169", TEXT(TRIM(N596),"00000")="89118"), "South/Strip",
  OR(TEXT(TRIM(N596),"00000")="89074", TEXT(TRIM(N596),"00000")="89014", TEXT(TRIM(N596),"00000")="89015", TEXT(TRIM(N596),"00000")="89011", TEXT(TRIM(N596),"00000")="89012"), "Suburban SE",
  OR(TEXT(TRIM(N596),"00000")="89117", TEXT(TRIM(N596),"00000")="89128", TEXT(TRIM(N596),"00000")="89135", TEXT(TRIM(N596),"00000")="89144", TEXT(TRIM(N596),"00000")="89145", TEXT(TRIM(N596),"00000")="89147"), "West Valley",
  TRUE, "Other"
)</f>
        <v>Missing/Unknown</v>
      </c>
      <c r="P596" t="s">
        <v>3298</v>
      </c>
      <c r="Q596" t="str">
        <f t="shared" si="38"/>
        <v>Outdoors/Public</v>
      </c>
      <c r="R596" t="s">
        <v>4713</v>
      </c>
      <c r="S596" t="s">
        <v>5125</v>
      </c>
      <c r="T596" t="str" cm="1">
        <f t="array" ref="T596">_xlfn.IFS(
  TEXT(TRIM(S596),"00000")="NULL", "Missing/Unknown",
  OR(TEXT(TRIM(S596),"00000")="89101", TEXT(TRIM(S596),"00000")="89104", TEXT(TRIM(S596),"00000")="89106", TEXT(TRIM(S596),"00000")="89102", TEXT(TRIM(S596),"00000")="89107", TEXT(TRIM(S596),"00000")="89108"), "Urban Core",
  OR(TEXT(TRIM(S596),"00000")="89110", TEXT(TRIM(S596),"00000")="89115", TEXT(TRIM(S596),"00000")="89121", TEXT(TRIM(S596),"00000")="89122", TEXT(TRIM(S596),"00000")="89142", TEXT(TRIM(S596),"00000")="89156"), "East Valley",
  OR(TEXT(TRIM(S596),"00000")="89030", TEXT(TRIM(S596),"00000")="89031", TEXT(TRIM(S596),"00000")="89032", TEXT(TRIM(S596),"00000")="89086", TEXT(TRIM(S596),"00000")="89084", TEXT(TRIM(S596),"00000")="89081"), "North LV",
  OR(TEXT(TRIM(S596),"00000")="89109", TEXT(TRIM(S596),"00000")="89103", TEXT(TRIM(S596),"00000")="89119", TEXT(TRIM(S596),"00000")="89123", TEXT(TRIM(S596),"00000")="89169", TEXT(TRIM(S596),"00000")="89118"), "South/Strip",
  OR(TEXT(TRIM(S596),"00000")="89074", TEXT(TRIM(S596),"00000")="89014", TEXT(TRIM(S596),"00000")="89015", TEXT(TRIM(S596),"00000")="89011", TEXT(TRIM(S596),"00000")="89012"), "Suburban SE",
  OR(TEXT(TRIM(S596),"00000")="89117", TEXT(TRIM(S596),"00000")="89128", TEXT(TRIM(S596),"00000")="89135", TEXT(TRIM(S596),"00000")="89144", TEXT(TRIM(S596),"00000")="89145", TEXT(TRIM(S596),"00000")="89147"), "West Valley",
  TRUE, "Other"
)</f>
        <v>South/Strip</v>
      </c>
      <c r="U596" t="s">
        <v>4305</v>
      </c>
      <c r="V596" t="str">
        <f t="shared" si="39"/>
        <v>Medical Facility</v>
      </c>
    </row>
    <row r="597" spans="1:22">
      <c r="A597" t="s">
        <v>663</v>
      </c>
      <c r="B597" t="s">
        <v>664</v>
      </c>
      <c r="C597" s="1">
        <v>45131</v>
      </c>
      <c r="D597" s="4">
        <v>109.94</v>
      </c>
      <c r="E597">
        <v>60</v>
      </c>
      <c r="F597" t="str">
        <f t="shared" si="36"/>
        <v>60's</v>
      </c>
      <c r="G597" t="str" cm="1">
        <f t="array" ref="G597">_xlfn.IFS(
  F597="10's", "Child (5–12)",
  OR(F597="20's", F597="30's"), "Young Adult (20–39)",
  OR(F597="40's", F597="50's"), "Adult (40–59)",
  OR(F597="60's", F597="70's", F597="80's", F597="90's"), "Senior (60+)",
  TRUE, "Unknown"
)</f>
        <v>Senior (60+)</v>
      </c>
      <c r="H597" t="s">
        <v>778</v>
      </c>
      <c r="I597" t="s">
        <v>54</v>
      </c>
      <c r="J597" t="str">
        <f t="shared" si="37"/>
        <v>Environmental Heat</v>
      </c>
      <c r="K597" t="s">
        <v>4219</v>
      </c>
      <c r="L597" t="s">
        <v>250</v>
      </c>
      <c r="N597" t="s">
        <v>5095</v>
      </c>
      <c r="O597" t="str" cm="1">
        <f t="array" ref="O597">_xlfn.IFS(
  TEXT(TRIM(N597),"00000")="NULL", "Missing/Unknown",
  OR(TEXT(TRIM(N597),"00000")="89101", TEXT(TRIM(N597),"00000")="89104", TEXT(TRIM(N597),"00000")="89106", TEXT(TRIM(N597),"00000")="89102", TEXT(TRIM(N597),"00000")="89107", TEXT(TRIM(N597),"00000")="89108"), "Urban Core",
  OR(TEXT(TRIM(N597),"00000")="89110", TEXT(TRIM(N597),"00000")="89115", TEXT(TRIM(N597),"00000")="89121", TEXT(TRIM(N597),"00000")="89122", TEXT(TRIM(N597),"00000")="89142", TEXT(TRIM(N597),"00000")="89156"), "East Valley",
  OR(TEXT(TRIM(N597),"00000")="89030", TEXT(TRIM(N597),"00000")="89031", TEXT(TRIM(N597),"00000")="89032", TEXT(TRIM(N597),"00000")="89086", TEXT(TRIM(N597),"00000")="89084", TEXT(TRIM(N597),"00000")="89081"), "North LV",
  OR(TEXT(TRIM(N597),"00000")="89109", TEXT(TRIM(N597),"00000")="89103", TEXT(TRIM(N597),"00000")="89119", TEXT(TRIM(N597),"00000")="89123", TEXT(TRIM(N597),"00000")="89169", TEXT(TRIM(N597),"00000")="89118"), "South/Strip",
  OR(TEXT(TRIM(N597),"00000")="89074", TEXT(TRIM(N597),"00000")="89014", TEXT(TRIM(N597),"00000")="89015", TEXT(TRIM(N597),"00000")="89011", TEXT(TRIM(N597),"00000")="89012"), "Suburban SE",
  OR(TEXT(TRIM(N597),"00000")="89117", TEXT(TRIM(N597),"00000")="89128", TEXT(TRIM(N597),"00000")="89135", TEXT(TRIM(N597),"00000")="89144", TEXT(TRIM(N597),"00000")="89145", TEXT(TRIM(N597),"00000")="89147"), "West Valley",
  TRUE, "Other"
)</f>
        <v>Missing/Unknown</v>
      </c>
      <c r="P597" t="s">
        <v>3298</v>
      </c>
      <c r="Q597" t="str">
        <f t="shared" si="38"/>
        <v>Outdoors/Public</v>
      </c>
      <c r="S597" t="s">
        <v>5095</v>
      </c>
      <c r="T597" t="str" cm="1">
        <f t="array" ref="T597">_xlfn.IFS(
  TEXT(TRIM(S597),"00000")="NULL", "Missing/Unknown",
  OR(TEXT(TRIM(S597),"00000")="89101", TEXT(TRIM(S597),"00000")="89104", TEXT(TRIM(S597),"00000")="89106", TEXT(TRIM(S597),"00000")="89102", TEXT(TRIM(S597),"00000")="89107", TEXT(TRIM(S597),"00000")="89108"), "Urban Core",
  OR(TEXT(TRIM(S597),"00000")="89110", TEXT(TRIM(S597),"00000")="89115", TEXT(TRIM(S597),"00000")="89121", TEXT(TRIM(S597),"00000")="89122", TEXT(TRIM(S597),"00000")="89142", TEXT(TRIM(S597),"00000")="89156"), "East Valley",
  OR(TEXT(TRIM(S597),"00000")="89030", TEXT(TRIM(S597),"00000")="89031", TEXT(TRIM(S597),"00000")="89032", TEXT(TRIM(S597),"00000")="89086", TEXT(TRIM(S597),"00000")="89084", TEXT(TRIM(S597),"00000")="89081"), "North LV",
  OR(TEXT(TRIM(S597),"00000")="89109", TEXT(TRIM(S597),"00000")="89103", TEXT(TRIM(S597),"00000")="89119", TEXT(TRIM(S597),"00000")="89123", TEXT(TRIM(S597),"00000")="89169", TEXT(TRIM(S597),"00000")="89118"), "South/Strip",
  OR(TEXT(TRIM(S597),"00000")="89074", TEXT(TRIM(S597),"00000")="89014", TEXT(TRIM(S597),"00000")="89015", TEXT(TRIM(S597),"00000")="89011", TEXT(TRIM(S597),"00000")="89012"), "Suburban SE",
  OR(TEXT(TRIM(S597),"00000")="89117", TEXT(TRIM(S597),"00000")="89128", TEXT(TRIM(S597),"00000")="89135", TEXT(TRIM(S597),"00000")="89144", TEXT(TRIM(S597),"00000")="89145", TEXT(TRIM(S597),"00000")="89147"), "West Valley",
  TRUE, "Other"
)</f>
        <v>Missing/Unknown</v>
      </c>
      <c r="U597" t="s">
        <v>3298</v>
      </c>
      <c r="V597" t="str">
        <f t="shared" si="39"/>
        <v>Outdoors/Public</v>
      </c>
    </row>
    <row r="598" spans="1:22">
      <c r="A598" t="s">
        <v>670</v>
      </c>
      <c r="B598" t="s">
        <v>671</v>
      </c>
      <c r="C598" s="1">
        <v>45131</v>
      </c>
      <c r="D598" s="4">
        <v>109.94</v>
      </c>
      <c r="E598">
        <v>35</v>
      </c>
      <c r="F598" t="str">
        <f t="shared" si="36"/>
        <v>30's</v>
      </c>
      <c r="G598" t="str" cm="1">
        <f t="array" ref="G598">_xlfn.IFS(
  F598="10's", "Child (5–12)",
  OR(F598="20's", F598="30's"), "Young Adult (20–39)",
  OR(F598="40's", F598="50's"), "Adult (40–59)",
  OR(F598="60's", F598="70's", F598="80's", F598="90's"), "Senior (60+)",
  TRUE, "Unknown"
)</f>
        <v>Young Adult (20–39)</v>
      </c>
      <c r="H598" t="s">
        <v>778</v>
      </c>
      <c r="I598" t="s">
        <v>4053</v>
      </c>
      <c r="J598" t="str">
        <f t="shared" si="37"/>
        <v>Methamphetamine-related</v>
      </c>
      <c r="K598" t="s">
        <v>54</v>
      </c>
      <c r="L598" t="s">
        <v>250</v>
      </c>
      <c r="N598" t="s">
        <v>5095</v>
      </c>
      <c r="O598" t="str" cm="1">
        <f t="array" ref="O598">_xlfn.IFS(
  TEXT(TRIM(N598),"00000")="NULL", "Missing/Unknown",
  OR(TEXT(TRIM(N598),"00000")="89101", TEXT(TRIM(N598),"00000")="89104", TEXT(TRIM(N598),"00000")="89106", TEXT(TRIM(N598),"00000")="89102", TEXT(TRIM(N598),"00000")="89107", TEXT(TRIM(N598),"00000")="89108"), "Urban Core",
  OR(TEXT(TRIM(N598),"00000")="89110", TEXT(TRIM(N598),"00000")="89115", TEXT(TRIM(N598),"00000")="89121", TEXT(TRIM(N598),"00000")="89122", TEXT(TRIM(N598),"00000")="89142", TEXT(TRIM(N598),"00000")="89156"), "East Valley",
  OR(TEXT(TRIM(N598),"00000")="89030", TEXT(TRIM(N598),"00000")="89031", TEXT(TRIM(N598),"00000")="89032", TEXT(TRIM(N598),"00000")="89086", TEXT(TRIM(N598),"00000")="89084", TEXT(TRIM(N598),"00000")="89081"), "North LV",
  OR(TEXT(TRIM(N598),"00000")="89109", TEXT(TRIM(N598),"00000")="89103", TEXT(TRIM(N598),"00000")="89119", TEXT(TRIM(N598),"00000")="89123", TEXT(TRIM(N598),"00000")="89169", TEXT(TRIM(N598),"00000")="89118"), "South/Strip",
  OR(TEXT(TRIM(N598),"00000")="89074", TEXT(TRIM(N598),"00000")="89014", TEXT(TRIM(N598),"00000")="89015", TEXT(TRIM(N598),"00000")="89011", TEXT(TRIM(N598),"00000")="89012"), "Suburban SE",
  OR(TEXT(TRIM(N598),"00000")="89117", TEXT(TRIM(N598),"00000")="89128", TEXT(TRIM(N598),"00000")="89135", TEXT(TRIM(N598),"00000")="89144", TEXT(TRIM(N598),"00000")="89145", TEXT(TRIM(N598),"00000")="89147"), "West Valley",
  TRUE, "Other"
)</f>
        <v>Missing/Unknown</v>
      </c>
      <c r="P598" t="s">
        <v>3298</v>
      </c>
      <c r="Q598" t="str">
        <f t="shared" si="38"/>
        <v>Outdoors/Public</v>
      </c>
      <c r="S598" t="s">
        <v>5095</v>
      </c>
      <c r="T598" t="str" cm="1">
        <f t="array" ref="T598">_xlfn.IFS(
  TEXT(TRIM(S598),"00000")="NULL", "Missing/Unknown",
  OR(TEXT(TRIM(S598),"00000")="89101", TEXT(TRIM(S598),"00000")="89104", TEXT(TRIM(S598),"00000")="89106", TEXT(TRIM(S598),"00000")="89102", TEXT(TRIM(S598),"00000")="89107", TEXT(TRIM(S598),"00000")="89108"), "Urban Core",
  OR(TEXT(TRIM(S598),"00000")="89110", TEXT(TRIM(S598),"00000")="89115", TEXT(TRIM(S598),"00000")="89121", TEXT(TRIM(S598),"00000")="89122", TEXT(TRIM(S598),"00000")="89142", TEXT(TRIM(S598),"00000")="89156"), "East Valley",
  OR(TEXT(TRIM(S598),"00000")="89030", TEXT(TRIM(S598),"00000")="89031", TEXT(TRIM(S598),"00000")="89032", TEXT(TRIM(S598),"00000")="89086", TEXT(TRIM(S598),"00000")="89084", TEXT(TRIM(S598),"00000")="89081"), "North LV",
  OR(TEXT(TRIM(S598),"00000")="89109", TEXT(TRIM(S598),"00000")="89103", TEXT(TRIM(S598),"00000")="89119", TEXT(TRIM(S598),"00000")="89123", TEXT(TRIM(S598),"00000")="89169", TEXT(TRIM(S598),"00000")="89118"), "South/Strip",
  OR(TEXT(TRIM(S598),"00000")="89074", TEXT(TRIM(S598),"00000")="89014", TEXT(TRIM(S598),"00000")="89015", TEXT(TRIM(S598),"00000")="89011", TEXT(TRIM(S598),"00000")="89012"), "Suburban SE",
  OR(TEXT(TRIM(S598),"00000")="89117", TEXT(TRIM(S598),"00000")="89128", TEXT(TRIM(S598),"00000")="89135", TEXT(TRIM(S598),"00000")="89144", TEXT(TRIM(S598),"00000")="89145", TEXT(TRIM(S598),"00000")="89147"), "West Valley",
  TRUE, "Other"
)</f>
        <v>Missing/Unknown</v>
      </c>
      <c r="U598" t="s">
        <v>3298</v>
      </c>
      <c r="V598" t="str">
        <f t="shared" si="39"/>
        <v>Outdoors/Public</v>
      </c>
    </row>
    <row r="599" spans="1:22">
      <c r="A599" t="s">
        <v>676</v>
      </c>
      <c r="B599" t="s">
        <v>677</v>
      </c>
      <c r="C599" s="1">
        <v>45131</v>
      </c>
      <c r="D599" s="4">
        <v>109.94</v>
      </c>
      <c r="E599">
        <v>62</v>
      </c>
      <c r="F599" t="str">
        <f t="shared" si="36"/>
        <v>60's</v>
      </c>
      <c r="G599" t="str" cm="1">
        <f t="array" ref="G599">_xlfn.IFS(
  F599="10's", "Child (5–12)",
  OR(F599="20's", F599="30's"), "Young Adult (20–39)",
  OR(F599="40's", F599="50's"), "Adult (40–59)",
  OR(F599="60's", F599="70's", F599="80's", F599="90's"), "Senior (60+)",
  TRUE, "Unknown"
)</f>
        <v>Senior (60+)</v>
      </c>
      <c r="H599" t="s">
        <v>778</v>
      </c>
      <c r="I599" t="s">
        <v>54</v>
      </c>
      <c r="J599" t="str">
        <f t="shared" si="37"/>
        <v>Environmental Heat</v>
      </c>
      <c r="K599" t="s">
        <v>34</v>
      </c>
      <c r="L599" t="s">
        <v>250</v>
      </c>
      <c r="N599" t="s">
        <v>5095</v>
      </c>
      <c r="O599" t="str" cm="1">
        <f t="array" ref="O599">_xlfn.IFS(
  TEXT(TRIM(N599),"00000")="NULL", "Missing/Unknown",
  OR(TEXT(TRIM(N599),"00000")="89101", TEXT(TRIM(N599),"00000")="89104", TEXT(TRIM(N599),"00000")="89106", TEXT(TRIM(N599),"00000")="89102", TEXT(TRIM(N599),"00000")="89107", TEXT(TRIM(N599),"00000")="89108"), "Urban Core",
  OR(TEXT(TRIM(N599),"00000")="89110", TEXT(TRIM(N599),"00000")="89115", TEXT(TRIM(N599),"00000")="89121", TEXT(TRIM(N599),"00000")="89122", TEXT(TRIM(N599),"00000")="89142", TEXT(TRIM(N599),"00000")="89156"), "East Valley",
  OR(TEXT(TRIM(N599),"00000")="89030", TEXT(TRIM(N599),"00000")="89031", TEXT(TRIM(N599),"00000")="89032", TEXT(TRIM(N599),"00000")="89086", TEXT(TRIM(N599),"00000")="89084", TEXT(TRIM(N599),"00000")="89081"), "North LV",
  OR(TEXT(TRIM(N599),"00000")="89109", TEXT(TRIM(N599),"00000")="89103", TEXT(TRIM(N599),"00000")="89119", TEXT(TRIM(N599),"00000")="89123", TEXT(TRIM(N599),"00000")="89169", TEXT(TRIM(N599),"00000")="89118"), "South/Strip",
  OR(TEXT(TRIM(N599),"00000")="89074", TEXT(TRIM(N599),"00000")="89014", TEXT(TRIM(N599),"00000")="89015", TEXT(TRIM(N599),"00000")="89011", TEXT(TRIM(N599),"00000")="89012"), "Suburban SE",
  OR(TEXT(TRIM(N599),"00000")="89117", TEXT(TRIM(N599),"00000")="89128", TEXT(TRIM(N599),"00000")="89135", TEXT(TRIM(N599),"00000")="89144", TEXT(TRIM(N599),"00000")="89145", TEXT(TRIM(N599),"00000")="89147"), "West Valley",
  TRUE, "Other"
)</f>
        <v>Missing/Unknown</v>
      </c>
      <c r="P599" t="s">
        <v>3298</v>
      </c>
      <c r="Q599" t="str">
        <f t="shared" si="38"/>
        <v>Outdoors/Public</v>
      </c>
      <c r="R599" t="s">
        <v>4620</v>
      </c>
      <c r="S599" t="s">
        <v>5122</v>
      </c>
      <c r="T599" t="str" cm="1">
        <f t="array" ref="T599">_xlfn.IFS(
  TEXT(TRIM(S599),"00000")="NULL", "Missing/Unknown",
  OR(TEXT(TRIM(S599),"00000")="89101", TEXT(TRIM(S599),"00000")="89104", TEXT(TRIM(S599),"00000")="89106", TEXT(TRIM(S599),"00000")="89102", TEXT(TRIM(S599),"00000")="89107", TEXT(TRIM(S599),"00000")="89108"), "Urban Core",
  OR(TEXT(TRIM(S599),"00000")="89110", TEXT(TRIM(S599),"00000")="89115", TEXT(TRIM(S599),"00000")="89121", TEXT(TRIM(S599),"00000")="89122", TEXT(TRIM(S599),"00000")="89142", TEXT(TRIM(S599),"00000")="89156"), "East Valley",
  OR(TEXT(TRIM(S599),"00000")="89030", TEXT(TRIM(S599),"00000")="89031", TEXT(TRIM(S599),"00000")="89032", TEXT(TRIM(S599),"00000")="89086", TEXT(TRIM(S599),"00000")="89084", TEXT(TRIM(S599),"00000")="89081"), "North LV",
  OR(TEXT(TRIM(S599),"00000")="89109", TEXT(TRIM(S599),"00000")="89103", TEXT(TRIM(S599),"00000")="89119", TEXT(TRIM(S599),"00000")="89123", TEXT(TRIM(S599),"00000")="89169", TEXT(TRIM(S599),"00000")="89118"), "South/Strip",
  OR(TEXT(TRIM(S599),"00000")="89074", TEXT(TRIM(S599),"00000")="89014", TEXT(TRIM(S599),"00000")="89015", TEXT(TRIM(S599),"00000")="89011", TEXT(TRIM(S599),"00000")="89012"), "Suburban SE",
  OR(TEXT(TRIM(S599),"00000")="89117", TEXT(TRIM(S599),"00000")="89128", TEXT(TRIM(S599),"00000")="89135", TEXT(TRIM(S599),"00000")="89144", TEXT(TRIM(S599),"00000")="89145", TEXT(TRIM(S599),"00000")="89147"), "West Valley",
  TRUE, "Other"
)</f>
        <v>East Valley</v>
      </c>
      <c r="U599" t="s">
        <v>3298</v>
      </c>
      <c r="V599" t="str">
        <f t="shared" si="39"/>
        <v>Outdoors/Public</v>
      </c>
    </row>
    <row r="600" spans="1:22">
      <c r="A600" t="s">
        <v>651</v>
      </c>
      <c r="B600" t="s">
        <v>652</v>
      </c>
      <c r="C600" s="1">
        <v>45130</v>
      </c>
      <c r="D600" s="4">
        <v>111.02</v>
      </c>
      <c r="E600">
        <v>31</v>
      </c>
      <c r="F600" t="str">
        <f t="shared" si="36"/>
        <v>30's</v>
      </c>
      <c r="G600" t="str" cm="1">
        <f t="array" ref="G600">_xlfn.IFS(
  F600="10's", "Child (5–12)",
  OR(F600="20's", F600="30's"), "Young Adult (20–39)",
  OR(F600="40's", F600="50's"), "Adult (40–59)",
  OR(F600="60's", F600="70's", F600="80's", F600="90's"), "Senior (60+)",
  TRUE, "Unknown"
)</f>
        <v>Young Adult (20–39)</v>
      </c>
      <c r="H600" t="s">
        <v>778</v>
      </c>
      <c r="I600" t="s">
        <v>54</v>
      </c>
      <c r="J600" t="str">
        <f t="shared" si="37"/>
        <v>Environmental Heat</v>
      </c>
      <c r="K600" t="s">
        <v>63</v>
      </c>
      <c r="L600" t="s">
        <v>250</v>
      </c>
      <c r="M600" t="s">
        <v>4759</v>
      </c>
      <c r="N600" t="s">
        <v>5153</v>
      </c>
      <c r="O600" t="str" cm="1">
        <f t="array" ref="O600">_xlfn.IFS(
  TEXT(TRIM(N600),"00000")="NULL", "Missing/Unknown",
  OR(TEXT(TRIM(N600),"00000")="89101", TEXT(TRIM(N600),"00000")="89104", TEXT(TRIM(N600),"00000")="89106", TEXT(TRIM(N600),"00000")="89102", TEXT(TRIM(N600),"00000")="89107", TEXT(TRIM(N600),"00000")="89108"), "Urban Core",
  OR(TEXT(TRIM(N600),"00000")="89110", TEXT(TRIM(N600),"00000")="89115", TEXT(TRIM(N600),"00000")="89121", TEXT(TRIM(N600),"00000")="89122", TEXT(TRIM(N600),"00000")="89142", TEXT(TRIM(N600),"00000")="89156"), "East Valley",
  OR(TEXT(TRIM(N600),"00000")="89030", TEXT(TRIM(N600),"00000")="89031", TEXT(TRIM(N600),"00000")="89032", TEXT(TRIM(N600),"00000")="89086", TEXT(TRIM(N600),"00000")="89084", TEXT(TRIM(N600),"00000")="89081"), "North LV",
  OR(TEXT(TRIM(N600),"00000")="89109", TEXT(TRIM(N600),"00000")="89103", TEXT(TRIM(N600),"00000")="89119", TEXT(TRIM(N600),"00000")="89123", TEXT(TRIM(N600),"00000")="89169", TEXT(TRIM(N600),"00000")="89118"), "South/Strip",
  OR(TEXT(TRIM(N600),"00000")="89074", TEXT(TRIM(N600),"00000")="89014", TEXT(TRIM(N600),"00000")="89015", TEXT(TRIM(N600),"00000")="89011", TEXT(TRIM(N600),"00000")="89012"), "Suburban SE",
  OR(TEXT(TRIM(N600),"00000")="89117", TEXT(TRIM(N600),"00000")="89128", TEXT(TRIM(N600),"00000")="89135", TEXT(TRIM(N600),"00000")="89144", TEXT(TRIM(N600),"00000")="89145", TEXT(TRIM(N600),"00000")="89147"), "West Valley",
  TRUE, "Other"
)</f>
        <v>Other</v>
      </c>
      <c r="P600" t="s">
        <v>3298</v>
      </c>
      <c r="Q600" t="str">
        <f t="shared" si="38"/>
        <v>Outdoors/Public</v>
      </c>
      <c r="R600" t="s">
        <v>4759</v>
      </c>
      <c r="S600" t="s">
        <v>5153</v>
      </c>
      <c r="T600" t="str" cm="1">
        <f t="array" ref="T600">_xlfn.IFS(
  TEXT(TRIM(S600),"00000")="NULL", "Missing/Unknown",
  OR(TEXT(TRIM(S600),"00000")="89101", TEXT(TRIM(S600),"00000")="89104", TEXT(TRIM(S600),"00000")="89106", TEXT(TRIM(S600),"00000")="89102", TEXT(TRIM(S600),"00000")="89107", TEXT(TRIM(S600),"00000")="89108"), "Urban Core",
  OR(TEXT(TRIM(S600),"00000")="89110", TEXT(TRIM(S600),"00000")="89115", TEXT(TRIM(S600),"00000")="89121", TEXT(TRIM(S600),"00000")="89122", TEXT(TRIM(S600),"00000")="89142", TEXT(TRIM(S600),"00000")="89156"), "East Valley",
  OR(TEXT(TRIM(S600),"00000")="89030", TEXT(TRIM(S600),"00000")="89031", TEXT(TRIM(S600),"00000")="89032", TEXT(TRIM(S600),"00000")="89086", TEXT(TRIM(S600),"00000")="89084", TEXT(TRIM(S600),"00000")="89081"), "North LV",
  OR(TEXT(TRIM(S600),"00000")="89109", TEXT(TRIM(S600),"00000")="89103", TEXT(TRIM(S600),"00000")="89119", TEXT(TRIM(S600),"00000")="89123", TEXT(TRIM(S600),"00000")="89169", TEXT(TRIM(S600),"00000")="89118"), "South/Strip",
  OR(TEXT(TRIM(S600),"00000")="89074", TEXT(TRIM(S600),"00000")="89014", TEXT(TRIM(S600),"00000")="89015", TEXT(TRIM(S600),"00000")="89011", TEXT(TRIM(S600),"00000")="89012"), "Suburban SE",
  OR(TEXT(TRIM(S600),"00000")="89117", TEXT(TRIM(S600),"00000")="89128", TEXT(TRIM(S600),"00000")="89135", TEXT(TRIM(S600),"00000")="89144", TEXT(TRIM(S600),"00000")="89145", TEXT(TRIM(S600),"00000")="89147"), "West Valley",
  TRUE, "Other"
)</f>
        <v>Other</v>
      </c>
      <c r="U600" t="s">
        <v>3298</v>
      </c>
      <c r="V600" t="str">
        <f t="shared" si="39"/>
        <v>Outdoors/Public</v>
      </c>
    </row>
    <row r="601" spans="1:22">
      <c r="A601" t="s">
        <v>645</v>
      </c>
      <c r="B601" t="s">
        <v>646</v>
      </c>
      <c r="C601" s="1">
        <v>45130</v>
      </c>
      <c r="D601" s="4">
        <v>111.02</v>
      </c>
      <c r="E601">
        <v>55</v>
      </c>
      <c r="F601" t="str">
        <f t="shared" si="36"/>
        <v>50's</v>
      </c>
      <c r="G601" t="str" cm="1">
        <f t="array" ref="G601">_xlfn.IFS(
  F601="10's", "Child (5–12)",
  OR(F601="20's", F601="30's"), "Young Adult (20–39)",
  OR(F601="40's", F601="50's"), "Adult (40–59)",
  OR(F601="60's", F601="70's", F601="80's", F601="90's"), "Senior (60+)",
  TRUE, "Unknown"
)</f>
        <v>Adult (40–59)</v>
      </c>
      <c r="H601" t="s">
        <v>4310</v>
      </c>
      <c r="I601" t="s">
        <v>97</v>
      </c>
      <c r="J601" t="str">
        <f t="shared" si="37"/>
        <v>Environmental Heat</v>
      </c>
      <c r="K601" t="s">
        <v>98</v>
      </c>
      <c r="L601" t="s">
        <v>250</v>
      </c>
      <c r="M601" t="s">
        <v>4536</v>
      </c>
      <c r="N601" t="s">
        <v>5128</v>
      </c>
      <c r="O601" t="str" cm="1">
        <f t="array" ref="O601">_xlfn.IFS(
  TEXT(TRIM(N601),"00000")="NULL", "Missing/Unknown",
  OR(TEXT(TRIM(N601),"00000")="89101", TEXT(TRIM(N601),"00000")="89104", TEXT(TRIM(N601),"00000")="89106", TEXT(TRIM(N601),"00000")="89102", TEXT(TRIM(N601),"00000")="89107", TEXT(TRIM(N601),"00000")="89108"), "Urban Core",
  OR(TEXT(TRIM(N601),"00000")="89110", TEXT(TRIM(N601),"00000")="89115", TEXT(TRIM(N601),"00000")="89121", TEXT(TRIM(N601),"00000")="89122", TEXT(TRIM(N601),"00000")="89142", TEXT(TRIM(N601),"00000")="89156"), "East Valley",
  OR(TEXT(TRIM(N601),"00000")="89030", TEXT(TRIM(N601),"00000")="89031", TEXT(TRIM(N601),"00000")="89032", TEXT(TRIM(N601),"00000")="89086", TEXT(TRIM(N601),"00000")="89084", TEXT(TRIM(N601),"00000")="89081"), "North LV",
  OR(TEXT(TRIM(N601),"00000")="89109", TEXT(TRIM(N601),"00000")="89103", TEXT(TRIM(N601),"00000")="89119", TEXT(TRIM(N601),"00000")="89123", TEXT(TRIM(N601),"00000")="89169", TEXT(TRIM(N601),"00000")="89118"), "South/Strip",
  OR(TEXT(TRIM(N601),"00000")="89074", TEXT(TRIM(N601),"00000")="89014", TEXT(TRIM(N601),"00000")="89015", TEXT(TRIM(N601),"00000")="89011", TEXT(TRIM(N601),"00000")="89012"), "Suburban SE",
  OR(TEXT(TRIM(N601),"00000")="89117", TEXT(TRIM(N601),"00000")="89128", TEXT(TRIM(N601),"00000")="89135", TEXT(TRIM(N601),"00000")="89144", TEXT(TRIM(N601),"00000")="89145", TEXT(TRIM(N601),"00000")="89147"), "West Valley",
  TRUE, "Other"
)</f>
        <v>East Valley</v>
      </c>
      <c r="P601" t="s">
        <v>3298</v>
      </c>
      <c r="Q601" t="str">
        <f t="shared" si="38"/>
        <v>Outdoors/Public</v>
      </c>
      <c r="R601" t="s">
        <v>4341</v>
      </c>
      <c r="S601" t="s">
        <v>5100</v>
      </c>
      <c r="T601" t="str" cm="1">
        <f t="array" ref="T601">_xlfn.IFS(
  TEXT(TRIM(S601),"00000")="NULL", "Missing/Unknown",
  OR(TEXT(TRIM(S601),"00000")="89101", TEXT(TRIM(S601),"00000")="89104", TEXT(TRIM(S601),"00000")="89106", TEXT(TRIM(S601),"00000")="89102", TEXT(TRIM(S601),"00000")="89107", TEXT(TRIM(S601),"00000")="89108"), "Urban Core",
  OR(TEXT(TRIM(S601),"00000")="89110", TEXT(TRIM(S601),"00000")="89115", TEXT(TRIM(S601),"00000")="89121", TEXT(TRIM(S601),"00000")="89122", TEXT(TRIM(S601),"00000")="89142", TEXT(TRIM(S601),"00000")="89156"), "East Valley",
  OR(TEXT(TRIM(S601),"00000")="89030", TEXT(TRIM(S601),"00000")="89031", TEXT(TRIM(S601),"00000")="89032", TEXT(TRIM(S601),"00000")="89086", TEXT(TRIM(S601),"00000")="89084", TEXT(TRIM(S601),"00000")="89081"), "North LV",
  OR(TEXT(TRIM(S601),"00000")="89109", TEXT(TRIM(S601),"00000")="89103", TEXT(TRIM(S601),"00000")="89119", TEXT(TRIM(S601),"00000")="89123", TEXT(TRIM(S601),"00000")="89169", TEXT(TRIM(S601),"00000")="89118"), "South/Strip",
  OR(TEXT(TRIM(S601),"00000")="89074", TEXT(TRIM(S601),"00000")="89014", TEXT(TRIM(S601),"00000")="89015", TEXT(TRIM(S601),"00000")="89011", TEXT(TRIM(S601),"00000")="89012"), "Suburban SE",
  OR(TEXT(TRIM(S601),"00000")="89117", TEXT(TRIM(S601),"00000")="89128", TEXT(TRIM(S601),"00000")="89135", TEXT(TRIM(S601),"00000")="89144", TEXT(TRIM(S601),"00000")="89145", TEXT(TRIM(S601),"00000")="89147"), "West Valley",
  TRUE, "Other"
)</f>
        <v>North LV</v>
      </c>
      <c r="U601" t="s">
        <v>4301</v>
      </c>
      <c r="V601" t="str">
        <f t="shared" si="39"/>
        <v>Medical Facility</v>
      </c>
    </row>
    <row r="602" spans="1:22">
      <c r="A602" t="s">
        <v>636</v>
      </c>
      <c r="B602" t="s">
        <v>637</v>
      </c>
      <c r="C602" s="1">
        <v>45130</v>
      </c>
      <c r="D602" s="4">
        <v>111.02</v>
      </c>
      <c r="E602">
        <v>72</v>
      </c>
      <c r="F602" t="str">
        <f t="shared" si="36"/>
        <v>70's</v>
      </c>
      <c r="G602" t="str" cm="1">
        <f t="array" ref="G602">_xlfn.IFS(
  F602="10's", "Child (5–12)",
  OR(F602="20's", F602="30's"), "Young Adult (20–39)",
  OR(F602="40's", F602="50's"), "Adult (40–59)",
  OR(F602="60's", F602="70's", F602="80's", F602="90's"), "Senior (60+)",
  TRUE, "Unknown"
)</f>
        <v>Senior (60+)</v>
      </c>
      <c r="H602" t="s">
        <v>841</v>
      </c>
      <c r="I602" t="s">
        <v>638</v>
      </c>
      <c r="J602" t="str">
        <f t="shared" si="37"/>
        <v>Dehydration / Electrolyte</v>
      </c>
      <c r="K602" t="s">
        <v>640</v>
      </c>
      <c r="L602" t="s">
        <v>1071</v>
      </c>
      <c r="M602" t="s">
        <v>4381</v>
      </c>
      <c r="N602" t="s">
        <v>5098</v>
      </c>
      <c r="O602" t="str" cm="1">
        <f t="array" ref="O602">_xlfn.IFS(
  TEXT(TRIM(N602),"00000")="NULL", "Missing/Unknown",
  OR(TEXT(TRIM(N602),"00000")="89101", TEXT(TRIM(N602),"00000")="89104", TEXT(TRIM(N602),"00000")="89106", TEXT(TRIM(N602),"00000")="89102", TEXT(TRIM(N602),"00000")="89107", TEXT(TRIM(N602),"00000")="89108"), "Urban Core",
  OR(TEXT(TRIM(N602),"00000")="89110", TEXT(TRIM(N602),"00000")="89115", TEXT(TRIM(N602),"00000")="89121", TEXT(TRIM(N602),"00000")="89122", TEXT(TRIM(N602),"00000")="89142", TEXT(TRIM(N602),"00000")="89156"), "East Valley",
  OR(TEXT(TRIM(N602),"00000")="89030", TEXT(TRIM(N602),"00000")="89031", TEXT(TRIM(N602),"00000")="89032", TEXT(TRIM(N602),"00000")="89086", TEXT(TRIM(N602),"00000")="89084", TEXT(TRIM(N602),"00000")="89081"), "North LV",
  OR(TEXT(TRIM(N602),"00000")="89109", TEXT(TRIM(N602),"00000")="89103", TEXT(TRIM(N602),"00000")="89119", TEXT(TRIM(N602),"00000")="89123", TEXT(TRIM(N602),"00000")="89169", TEXT(TRIM(N602),"00000")="89118"), "South/Strip",
  OR(TEXT(TRIM(N602),"00000")="89074", TEXT(TRIM(N602),"00000")="89014", TEXT(TRIM(N602),"00000")="89015", TEXT(TRIM(N602),"00000")="89011", TEXT(TRIM(N602),"00000")="89012"), "Suburban SE",
  OR(TEXT(TRIM(N602),"00000")="89117", TEXT(TRIM(N602),"00000")="89128", TEXT(TRIM(N602),"00000")="89135", TEXT(TRIM(N602),"00000")="89144", TEXT(TRIM(N602),"00000")="89145", TEXT(TRIM(N602),"00000")="89147"), "West Valley",
  TRUE, "Other"
)</f>
        <v>Urban Core</v>
      </c>
      <c r="P602" t="s">
        <v>38</v>
      </c>
      <c r="Q602" t="str">
        <f t="shared" si="38"/>
        <v>Home/Residence</v>
      </c>
      <c r="R602" t="s">
        <v>4381</v>
      </c>
      <c r="S602" t="s">
        <v>5098</v>
      </c>
      <c r="T602" t="str" cm="1">
        <f t="array" ref="T602">_xlfn.IFS(
  TEXT(TRIM(S602),"00000")="NULL", "Missing/Unknown",
  OR(TEXT(TRIM(S602),"00000")="89101", TEXT(TRIM(S602),"00000")="89104", TEXT(TRIM(S602),"00000")="89106", TEXT(TRIM(S602),"00000")="89102", TEXT(TRIM(S602),"00000")="89107", TEXT(TRIM(S602),"00000")="89108"), "Urban Core",
  OR(TEXT(TRIM(S602),"00000")="89110", TEXT(TRIM(S602),"00000")="89115", TEXT(TRIM(S602),"00000")="89121", TEXT(TRIM(S602),"00000")="89122", TEXT(TRIM(S602),"00000")="89142", TEXT(TRIM(S602),"00000")="89156"), "East Valley",
  OR(TEXT(TRIM(S602),"00000")="89030", TEXT(TRIM(S602),"00000")="89031", TEXT(TRIM(S602),"00000")="89032", TEXT(TRIM(S602),"00000")="89086", TEXT(TRIM(S602),"00000")="89084", TEXT(TRIM(S602),"00000")="89081"), "North LV",
  OR(TEXT(TRIM(S602),"00000")="89109", TEXT(TRIM(S602),"00000")="89103", TEXT(TRIM(S602),"00000")="89119", TEXT(TRIM(S602),"00000")="89123", TEXT(TRIM(S602),"00000")="89169", TEXT(TRIM(S602),"00000")="89118"), "South/Strip",
  OR(TEXT(TRIM(S602),"00000")="89074", TEXT(TRIM(S602),"00000")="89014", TEXT(TRIM(S602),"00000")="89015", TEXT(TRIM(S602),"00000")="89011", TEXT(TRIM(S602),"00000")="89012"), "Suburban SE",
  OR(TEXT(TRIM(S602),"00000")="89117", TEXT(TRIM(S602),"00000")="89128", TEXT(TRIM(S602),"00000")="89135", TEXT(TRIM(S602),"00000")="89144", TEXT(TRIM(S602),"00000")="89145", TEXT(TRIM(S602),"00000")="89147"), "West Valley",
  TRUE, "Other"
)</f>
        <v>Urban Core</v>
      </c>
      <c r="U602" t="s">
        <v>38</v>
      </c>
      <c r="V602" t="str">
        <f t="shared" si="39"/>
        <v>Home/Residence</v>
      </c>
    </row>
    <row r="603" spans="1:22">
      <c r="A603" t="s">
        <v>622</v>
      </c>
      <c r="B603" t="s">
        <v>623</v>
      </c>
      <c r="C603" s="1">
        <v>45130</v>
      </c>
      <c r="D603" s="4">
        <v>111.02</v>
      </c>
      <c r="E603">
        <v>51</v>
      </c>
      <c r="F603" t="str">
        <f t="shared" si="36"/>
        <v>50's</v>
      </c>
      <c r="G603" t="str" cm="1">
        <f t="array" ref="G603">_xlfn.IFS(
  F603="10's", "Child (5–12)",
  OR(F603="20's", F603="30's"), "Young Adult (20–39)",
  OR(F603="40's", F603="50's"), "Adult (40–59)",
  OR(F603="60's", F603="70's", F603="80's", F603="90's"), "Senior (60+)",
  TRUE, "Unknown"
)</f>
        <v>Adult (40–59)</v>
      </c>
      <c r="H603" t="s">
        <v>841</v>
      </c>
      <c r="I603" t="s">
        <v>4087</v>
      </c>
      <c r="J603" t="str">
        <f t="shared" si="37"/>
        <v>Methamphetamine-related</v>
      </c>
      <c r="K603" t="s">
        <v>307</v>
      </c>
      <c r="L603" t="s">
        <v>250</v>
      </c>
      <c r="M603" t="s">
        <v>4879</v>
      </c>
      <c r="N603" t="s">
        <v>5098</v>
      </c>
      <c r="O603" t="str" cm="1">
        <f t="array" ref="O603">_xlfn.IFS(
  TEXT(TRIM(N603),"00000")="NULL", "Missing/Unknown",
  OR(TEXT(TRIM(N603),"00000")="89101", TEXT(TRIM(N603),"00000")="89104", TEXT(TRIM(N603),"00000")="89106", TEXT(TRIM(N603),"00000")="89102", TEXT(TRIM(N603),"00000")="89107", TEXT(TRIM(N603),"00000")="89108"), "Urban Core",
  OR(TEXT(TRIM(N603),"00000")="89110", TEXT(TRIM(N603),"00000")="89115", TEXT(TRIM(N603),"00000")="89121", TEXT(TRIM(N603),"00000")="89122", TEXT(TRIM(N603),"00000")="89142", TEXT(TRIM(N603),"00000")="89156"), "East Valley",
  OR(TEXT(TRIM(N603),"00000")="89030", TEXT(TRIM(N603),"00000")="89031", TEXT(TRIM(N603),"00000")="89032", TEXT(TRIM(N603),"00000")="89086", TEXT(TRIM(N603),"00000")="89084", TEXT(TRIM(N603),"00000")="89081"), "North LV",
  OR(TEXT(TRIM(N603),"00000")="89109", TEXT(TRIM(N603),"00000")="89103", TEXT(TRIM(N603),"00000")="89119", TEXT(TRIM(N603),"00000")="89123", TEXT(TRIM(N603),"00000")="89169", TEXT(TRIM(N603),"00000")="89118"), "South/Strip",
  OR(TEXT(TRIM(N603),"00000")="89074", TEXT(TRIM(N603),"00000")="89014", TEXT(TRIM(N603),"00000")="89015", TEXT(TRIM(N603),"00000")="89011", TEXT(TRIM(N603),"00000")="89012"), "Suburban SE",
  OR(TEXT(TRIM(N603),"00000")="89117", TEXT(TRIM(N603),"00000")="89128", TEXT(TRIM(N603),"00000")="89135", TEXT(TRIM(N603),"00000")="89144", TEXT(TRIM(N603),"00000")="89145", TEXT(TRIM(N603),"00000")="89147"), "West Valley",
  TRUE, "Other"
)</f>
        <v>Urban Core</v>
      </c>
      <c r="P603" t="s">
        <v>24</v>
      </c>
      <c r="Q603" t="str">
        <f t="shared" si="38"/>
        <v>Outdoors/Public</v>
      </c>
      <c r="R603" t="s">
        <v>4879</v>
      </c>
      <c r="S603" t="s">
        <v>5098</v>
      </c>
      <c r="T603" t="str" cm="1">
        <f t="array" ref="T603">_xlfn.IFS(
  TEXT(TRIM(S603),"00000")="NULL", "Missing/Unknown",
  OR(TEXT(TRIM(S603),"00000")="89101", TEXT(TRIM(S603),"00000")="89104", TEXT(TRIM(S603),"00000")="89106", TEXT(TRIM(S603),"00000")="89102", TEXT(TRIM(S603),"00000")="89107", TEXT(TRIM(S603),"00000")="89108"), "Urban Core",
  OR(TEXT(TRIM(S603),"00000")="89110", TEXT(TRIM(S603),"00000")="89115", TEXT(TRIM(S603),"00000")="89121", TEXT(TRIM(S603),"00000")="89122", TEXT(TRIM(S603),"00000")="89142", TEXT(TRIM(S603),"00000")="89156"), "East Valley",
  OR(TEXT(TRIM(S603),"00000")="89030", TEXT(TRIM(S603),"00000")="89031", TEXT(TRIM(S603),"00000")="89032", TEXT(TRIM(S603),"00000")="89086", TEXT(TRIM(S603),"00000")="89084", TEXT(TRIM(S603),"00000")="89081"), "North LV",
  OR(TEXT(TRIM(S603),"00000")="89109", TEXT(TRIM(S603),"00000")="89103", TEXT(TRIM(S603),"00000")="89119", TEXT(TRIM(S603),"00000")="89123", TEXT(TRIM(S603),"00000")="89169", TEXT(TRIM(S603),"00000")="89118"), "South/Strip",
  OR(TEXT(TRIM(S603),"00000")="89074", TEXT(TRIM(S603),"00000")="89014", TEXT(TRIM(S603),"00000")="89015", TEXT(TRIM(S603),"00000")="89011", TEXT(TRIM(S603),"00000")="89012"), "Suburban SE",
  OR(TEXT(TRIM(S603),"00000")="89117", TEXT(TRIM(S603),"00000")="89128", TEXT(TRIM(S603),"00000")="89135", TEXT(TRIM(S603),"00000")="89144", TEXT(TRIM(S603),"00000")="89145", TEXT(TRIM(S603),"00000")="89147"), "West Valley",
  TRUE, "Other"
)</f>
        <v>Urban Core</v>
      </c>
      <c r="U603" t="s">
        <v>24</v>
      </c>
      <c r="V603" t="str">
        <f t="shared" si="39"/>
        <v>Outdoors/Public</v>
      </c>
    </row>
    <row r="604" spans="1:22">
      <c r="A604" t="s">
        <v>642</v>
      </c>
      <c r="B604" t="s">
        <v>643</v>
      </c>
      <c r="C604" s="1">
        <v>45130</v>
      </c>
      <c r="D604" s="4">
        <v>111.02</v>
      </c>
      <c r="E604">
        <v>69</v>
      </c>
      <c r="F604" t="str">
        <f t="shared" si="36"/>
        <v>60's</v>
      </c>
      <c r="G604" t="str" cm="1">
        <f t="array" ref="G604">_xlfn.IFS(
  F604="10's", "Child (5–12)",
  OR(F604="20's", F604="30's"), "Young Adult (20–39)",
  OR(F604="40's", F604="50's"), "Adult (40–59)",
  OR(F604="60's", F604="70's", F604="80's", F604="90's"), "Senior (60+)",
  TRUE, "Unknown"
)</f>
        <v>Senior (60+)</v>
      </c>
      <c r="H604" t="s">
        <v>841</v>
      </c>
      <c r="I604" t="s">
        <v>172</v>
      </c>
      <c r="J604" t="str">
        <f t="shared" si="37"/>
        <v>Methamphetamine-related</v>
      </c>
      <c r="K604" t="s">
        <v>54</v>
      </c>
      <c r="L604" t="s">
        <v>1071</v>
      </c>
      <c r="M604" t="s">
        <v>4382</v>
      </c>
      <c r="N604" t="s">
        <v>5138</v>
      </c>
      <c r="O604" t="str" cm="1">
        <f t="array" ref="O604">_xlfn.IFS(
  TEXT(TRIM(N604),"00000")="NULL", "Missing/Unknown",
  OR(TEXT(TRIM(N604),"00000")="89101", TEXT(TRIM(N604),"00000")="89104", TEXT(TRIM(N604),"00000")="89106", TEXT(TRIM(N604),"00000")="89102", TEXT(TRIM(N604),"00000")="89107", TEXT(TRIM(N604),"00000")="89108"), "Urban Core",
  OR(TEXT(TRIM(N604),"00000")="89110", TEXT(TRIM(N604),"00000")="89115", TEXT(TRIM(N604),"00000")="89121", TEXT(TRIM(N604),"00000")="89122", TEXT(TRIM(N604),"00000")="89142", TEXT(TRIM(N604),"00000")="89156"), "East Valley",
  OR(TEXT(TRIM(N604),"00000")="89030", TEXT(TRIM(N604),"00000")="89031", TEXT(TRIM(N604),"00000")="89032", TEXT(TRIM(N604),"00000")="89086", TEXT(TRIM(N604),"00000")="89084", TEXT(TRIM(N604),"00000")="89081"), "North LV",
  OR(TEXT(TRIM(N604),"00000")="89109", TEXT(TRIM(N604),"00000")="89103", TEXT(TRIM(N604),"00000")="89119", TEXT(TRIM(N604),"00000")="89123", TEXT(TRIM(N604),"00000")="89169", TEXT(TRIM(N604),"00000")="89118"), "South/Strip",
  OR(TEXT(TRIM(N604),"00000")="89074", TEXT(TRIM(N604),"00000")="89014", TEXT(TRIM(N604),"00000")="89015", TEXT(TRIM(N604),"00000")="89011", TEXT(TRIM(N604),"00000")="89012"), "Suburban SE",
  OR(TEXT(TRIM(N604),"00000")="89117", TEXT(TRIM(N604),"00000")="89128", TEXT(TRIM(N604),"00000")="89135", TEXT(TRIM(N604),"00000")="89144", TEXT(TRIM(N604),"00000")="89145", TEXT(TRIM(N604),"00000")="89147"), "West Valley",
  TRUE, "Other"
)</f>
        <v>Other</v>
      </c>
      <c r="P604" t="s">
        <v>38</v>
      </c>
      <c r="Q604" t="str">
        <f t="shared" si="38"/>
        <v>Home/Residence</v>
      </c>
      <c r="R604" t="s">
        <v>4382</v>
      </c>
      <c r="S604" t="s">
        <v>5138</v>
      </c>
      <c r="T604" t="str" cm="1">
        <f t="array" ref="T604">_xlfn.IFS(
  TEXT(TRIM(S604),"00000")="NULL", "Missing/Unknown",
  OR(TEXT(TRIM(S604),"00000")="89101", TEXT(TRIM(S604),"00000")="89104", TEXT(TRIM(S604),"00000")="89106", TEXT(TRIM(S604),"00000")="89102", TEXT(TRIM(S604),"00000")="89107", TEXT(TRIM(S604),"00000")="89108"), "Urban Core",
  OR(TEXT(TRIM(S604),"00000")="89110", TEXT(TRIM(S604),"00000")="89115", TEXT(TRIM(S604),"00000")="89121", TEXT(TRIM(S604),"00000")="89122", TEXT(TRIM(S604),"00000")="89142", TEXT(TRIM(S604),"00000")="89156"), "East Valley",
  OR(TEXT(TRIM(S604),"00000")="89030", TEXT(TRIM(S604),"00000")="89031", TEXT(TRIM(S604),"00000")="89032", TEXT(TRIM(S604),"00000")="89086", TEXT(TRIM(S604),"00000")="89084", TEXT(TRIM(S604),"00000")="89081"), "North LV",
  OR(TEXT(TRIM(S604),"00000")="89109", TEXT(TRIM(S604),"00000")="89103", TEXT(TRIM(S604),"00000")="89119", TEXT(TRIM(S604),"00000")="89123", TEXT(TRIM(S604),"00000")="89169", TEXT(TRIM(S604),"00000")="89118"), "South/Strip",
  OR(TEXT(TRIM(S604),"00000")="89074", TEXT(TRIM(S604),"00000")="89014", TEXT(TRIM(S604),"00000")="89015", TEXT(TRIM(S604),"00000")="89011", TEXT(TRIM(S604),"00000")="89012"), "Suburban SE",
  OR(TEXT(TRIM(S604),"00000")="89117", TEXT(TRIM(S604),"00000")="89128", TEXT(TRIM(S604),"00000")="89135", TEXT(TRIM(S604),"00000")="89144", TEXT(TRIM(S604),"00000")="89145", TEXT(TRIM(S604),"00000")="89147"), "West Valley",
  TRUE, "Other"
)</f>
        <v>Other</v>
      </c>
      <c r="U604" t="s">
        <v>38</v>
      </c>
      <c r="V604" t="str">
        <f t="shared" si="39"/>
        <v>Home/Residence</v>
      </c>
    </row>
    <row r="605" spans="1:22">
      <c r="A605" t="s">
        <v>630</v>
      </c>
      <c r="B605" t="s">
        <v>631</v>
      </c>
      <c r="C605" s="1">
        <v>45130</v>
      </c>
      <c r="D605" s="4">
        <v>111.02</v>
      </c>
      <c r="E605">
        <v>44</v>
      </c>
      <c r="F605" t="str">
        <f t="shared" si="36"/>
        <v>40's</v>
      </c>
      <c r="G605" t="str" cm="1">
        <f t="array" ref="G605">_xlfn.IFS(
  F605="10's", "Child (5–12)",
  OR(F605="20's", F605="30's"), "Young Adult (20–39)",
  OR(F605="40's", F605="50's"), "Adult (40–59)",
  OR(F605="60's", F605="70's", F605="80's", F605="90's"), "Senior (60+)",
  TRUE, "Unknown"
)</f>
        <v>Adult (40–59)</v>
      </c>
      <c r="H605" t="s">
        <v>778</v>
      </c>
      <c r="I605" t="s">
        <v>172</v>
      </c>
      <c r="J605" t="str">
        <f t="shared" si="37"/>
        <v>Methamphetamine-related</v>
      </c>
      <c r="K605" t="s">
        <v>54</v>
      </c>
      <c r="L605" t="s">
        <v>1071</v>
      </c>
      <c r="M605" t="s">
        <v>4380</v>
      </c>
      <c r="N605" t="s">
        <v>5105</v>
      </c>
      <c r="O605" t="str" cm="1">
        <f t="array" ref="O605">_xlfn.IFS(
  TEXT(TRIM(N605),"00000")="NULL", "Missing/Unknown",
  OR(TEXT(TRIM(N605),"00000")="89101", TEXT(TRIM(N605),"00000")="89104", TEXT(TRIM(N605),"00000")="89106", TEXT(TRIM(N605),"00000")="89102", TEXT(TRIM(N605),"00000")="89107", TEXT(TRIM(N605),"00000")="89108"), "Urban Core",
  OR(TEXT(TRIM(N605),"00000")="89110", TEXT(TRIM(N605),"00000")="89115", TEXT(TRIM(N605),"00000")="89121", TEXT(TRIM(N605),"00000")="89122", TEXT(TRIM(N605),"00000")="89142", TEXT(TRIM(N605),"00000")="89156"), "East Valley",
  OR(TEXT(TRIM(N605),"00000")="89030", TEXT(TRIM(N605),"00000")="89031", TEXT(TRIM(N605),"00000")="89032", TEXT(TRIM(N605),"00000")="89086", TEXT(TRIM(N605),"00000")="89084", TEXT(TRIM(N605),"00000")="89081"), "North LV",
  OR(TEXT(TRIM(N605),"00000")="89109", TEXT(TRIM(N605),"00000")="89103", TEXT(TRIM(N605),"00000")="89119", TEXT(TRIM(N605),"00000")="89123", TEXT(TRIM(N605),"00000")="89169", TEXT(TRIM(N605),"00000")="89118"), "South/Strip",
  OR(TEXT(TRIM(N605),"00000")="89074", TEXT(TRIM(N605),"00000")="89014", TEXT(TRIM(N605),"00000")="89015", TEXT(TRIM(N605),"00000")="89011", TEXT(TRIM(N605),"00000")="89012"), "Suburban SE",
  OR(TEXT(TRIM(N605),"00000")="89117", TEXT(TRIM(N605),"00000")="89128", TEXT(TRIM(N605),"00000")="89135", TEXT(TRIM(N605),"00000")="89144", TEXT(TRIM(N605),"00000")="89145", TEXT(TRIM(N605),"00000")="89147"), "West Valley",
  TRUE, "Other"
)</f>
        <v>East Valley</v>
      </c>
      <c r="P605" t="s">
        <v>38</v>
      </c>
      <c r="Q605" t="str">
        <f t="shared" si="38"/>
        <v>Home/Residence</v>
      </c>
      <c r="R605" t="s">
        <v>4380</v>
      </c>
      <c r="S605" t="s">
        <v>5105</v>
      </c>
      <c r="T605" t="str" cm="1">
        <f t="array" ref="T605">_xlfn.IFS(
  TEXT(TRIM(S605),"00000")="NULL", "Missing/Unknown",
  OR(TEXT(TRIM(S605),"00000")="89101", TEXT(TRIM(S605),"00000")="89104", TEXT(TRIM(S605),"00000")="89106", TEXT(TRIM(S605),"00000")="89102", TEXT(TRIM(S605),"00000")="89107", TEXT(TRIM(S605),"00000")="89108"), "Urban Core",
  OR(TEXT(TRIM(S605),"00000")="89110", TEXT(TRIM(S605),"00000")="89115", TEXT(TRIM(S605),"00000")="89121", TEXT(TRIM(S605),"00000")="89122", TEXT(TRIM(S605),"00000")="89142", TEXT(TRIM(S605),"00000")="89156"), "East Valley",
  OR(TEXT(TRIM(S605),"00000")="89030", TEXT(TRIM(S605),"00000")="89031", TEXT(TRIM(S605),"00000")="89032", TEXT(TRIM(S605),"00000")="89086", TEXT(TRIM(S605),"00000")="89084", TEXT(TRIM(S605),"00000")="89081"), "North LV",
  OR(TEXT(TRIM(S605),"00000")="89109", TEXT(TRIM(S605),"00000")="89103", TEXT(TRIM(S605),"00000")="89119", TEXT(TRIM(S605),"00000")="89123", TEXT(TRIM(S605),"00000")="89169", TEXT(TRIM(S605),"00000")="89118"), "South/Strip",
  OR(TEXT(TRIM(S605),"00000")="89074", TEXT(TRIM(S605),"00000")="89014", TEXT(TRIM(S605),"00000")="89015", TEXT(TRIM(S605),"00000")="89011", TEXT(TRIM(S605),"00000")="89012"), "Suburban SE",
  OR(TEXT(TRIM(S605),"00000")="89117", TEXT(TRIM(S605),"00000")="89128", TEXT(TRIM(S605),"00000")="89135", TEXT(TRIM(S605),"00000")="89144", TEXT(TRIM(S605),"00000")="89145", TEXT(TRIM(S605),"00000")="89147"), "West Valley",
  TRUE, "Other"
)</f>
        <v>East Valley</v>
      </c>
      <c r="U605" t="s">
        <v>38</v>
      </c>
      <c r="V605" t="str">
        <f t="shared" si="39"/>
        <v>Home/Residence</v>
      </c>
    </row>
    <row r="606" spans="1:22">
      <c r="A606" t="s">
        <v>654</v>
      </c>
      <c r="B606" t="s">
        <v>655</v>
      </c>
      <c r="C606" s="1">
        <v>45130</v>
      </c>
      <c r="D606" s="4">
        <v>111.02</v>
      </c>
      <c r="E606">
        <v>64</v>
      </c>
      <c r="F606" t="str">
        <f t="shared" si="36"/>
        <v>60's</v>
      </c>
      <c r="G606" t="str" cm="1">
        <f t="array" ref="G606">_xlfn.IFS(
  F606="10's", "Child (5–12)",
  OR(F606="20's", F606="30's"), "Young Adult (20–39)",
  OR(F606="40's", F606="50's"), "Adult (40–59)",
  OR(F606="60's", F606="70's", F606="80's", F606="90's"), "Senior (60+)",
  TRUE, "Unknown"
)</f>
        <v>Senior (60+)</v>
      </c>
      <c r="H606" t="s">
        <v>4309</v>
      </c>
      <c r="I606" t="s">
        <v>54</v>
      </c>
      <c r="J606" t="str">
        <f t="shared" si="37"/>
        <v>Environmental Heat</v>
      </c>
      <c r="K606" t="s">
        <v>656</v>
      </c>
      <c r="L606" t="s">
        <v>250</v>
      </c>
      <c r="M606" t="s">
        <v>4751</v>
      </c>
      <c r="N606" t="s">
        <v>5121</v>
      </c>
      <c r="O606" t="str" cm="1">
        <f t="array" ref="O606">_xlfn.IFS(
  TEXT(TRIM(N606),"00000")="NULL", "Missing/Unknown",
  OR(TEXT(TRIM(N606),"00000")="89101", TEXT(TRIM(N606),"00000")="89104", TEXT(TRIM(N606),"00000")="89106", TEXT(TRIM(N606),"00000")="89102", TEXT(TRIM(N606),"00000")="89107", TEXT(TRIM(N606),"00000")="89108"), "Urban Core",
  OR(TEXT(TRIM(N606),"00000")="89110", TEXT(TRIM(N606),"00000")="89115", TEXT(TRIM(N606),"00000")="89121", TEXT(TRIM(N606),"00000")="89122", TEXT(TRIM(N606),"00000")="89142", TEXT(TRIM(N606),"00000")="89156"), "East Valley",
  OR(TEXT(TRIM(N606),"00000")="89030", TEXT(TRIM(N606),"00000")="89031", TEXT(TRIM(N606),"00000")="89032", TEXT(TRIM(N606),"00000")="89086", TEXT(TRIM(N606),"00000")="89084", TEXT(TRIM(N606),"00000")="89081"), "North LV",
  OR(TEXT(TRIM(N606),"00000")="89109", TEXT(TRIM(N606),"00000")="89103", TEXT(TRIM(N606),"00000")="89119", TEXT(TRIM(N606),"00000")="89123", TEXT(TRIM(N606),"00000")="89169", TEXT(TRIM(N606),"00000")="89118"), "South/Strip",
  OR(TEXT(TRIM(N606),"00000")="89074", TEXT(TRIM(N606),"00000")="89014", TEXT(TRIM(N606),"00000")="89015", TEXT(TRIM(N606),"00000")="89011", TEXT(TRIM(N606),"00000")="89012"), "Suburban SE",
  OR(TEXT(TRIM(N606),"00000")="89117", TEXT(TRIM(N606),"00000")="89128", TEXT(TRIM(N606),"00000")="89135", TEXT(TRIM(N606),"00000")="89144", TEXT(TRIM(N606),"00000")="89145", TEXT(TRIM(N606),"00000")="89147"), "West Valley",
  TRUE, "Other"
)</f>
        <v>East Valley</v>
      </c>
      <c r="P606" t="s">
        <v>3298</v>
      </c>
      <c r="Q606" t="str">
        <f t="shared" si="38"/>
        <v>Outdoors/Public</v>
      </c>
      <c r="R606" t="s">
        <v>4751</v>
      </c>
      <c r="S606" t="s">
        <v>5121</v>
      </c>
      <c r="T606" t="str" cm="1">
        <f t="array" ref="T606">_xlfn.IFS(
  TEXT(TRIM(S606),"00000")="NULL", "Missing/Unknown",
  OR(TEXT(TRIM(S606),"00000")="89101", TEXT(TRIM(S606),"00000")="89104", TEXT(TRIM(S606),"00000")="89106", TEXT(TRIM(S606),"00000")="89102", TEXT(TRIM(S606),"00000")="89107", TEXT(TRIM(S606),"00000")="89108"), "Urban Core",
  OR(TEXT(TRIM(S606),"00000")="89110", TEXT(TRIM(S606),"00000")="89115", TEXT(TRIM(S606),"00000")="89121", TEXT(TRIM(S606),"00000")="89122", TEXT(TRIM(S606),"00000")="89142", TEXT(TRIM(S606),"00000")="89156"), "East Valley",
  OR(TEXT(TRIM(S606),"00000")="89030", TEXT(TRIM(S606),"00000")="89031", TEXT(TRIM(S606),"00000")="89032", TEXT(TRIM(S606),"00000")="89086", TEXT(TRIM(S606),"00000")="89084", TEXT(TRIM(S606),"00000")="89081"), "North LV",
  OR(TEXT(TRIM(S606),"00000")="89109", TEXT(TRIM(S606),"00000")="89103", TEXT(TRIM(S606),"00000")="89119", TEXT(TRIM(S606),"00000")="89123", TEXT(TRIM(S606),"00000")="89169", TEXT(TRIM(S606),"00000")="89118"), "South/Strip",
  OR(TEXT(TRIM(S606),"00000")="89074", TEXT(TRIM(S606),"00000")="89014", TEXT(TRIM(S606),"00000")="89015", TEXT(TRIM(S606),"00000")="89011", TEXT(TRIM(S606),"00000")="89012"), "Suburban SE",
  OR(TEXT(TRIM(S606),"00000")="89117", TEXT(TRIM(S606),"00000")="89128", TEXT(TRIM(S606),"00000")="89135", TEXT(TRIM(S606),"00000")="89144", TEXT(TRIM(S606),"00000")="89145", TEXT(TRIM(S606),"00000")="89147"), "West Valley",
  TRUE, "Other"
)</f>
        <v>East Valley</v>
      </c>
      <c r="U606" t="s">
        <v>3298</v>
      </c>
      <c r="V606" t="str">
        <f t="shared" si="39"/>
        <v>Outdoors/Public</v>
      </c>
    </row>
    <row r="607" spans="1:22">
      <c r="A607" t="s">
        <v>617</v>
      </c>
      <c r="B607" t="s">
        <v>618</v>
      </c>
      <c r="C607" s="1">
        <v>45130</v>
      </c>
      <c r="D607" s="4">
        <v>111.02</v>
      </c>
      <c r="E607">
        <v>38</v>
      </c>
      <c r="F607" t="str">
        <f t="shared" si="36"/>
        <v>30's</v>
      </c>
      <c r="G607" t="str" cm="1">
        <f t="array" ref="G607">_xlfn.IFS(
  F607="10's", "Child (5–12)",
  OR(F607="20's", F607="30's"), "Young Adult (20–39)",
  OR(F607="40's", F607="50's"), "Adult (40–59)",
  OR(F607="60's", F607="70's", F607="80's", F607="90's"), "Senior (60+)",
  TRUE, "Unknown"
)</f>
        <v>Young Adult (20–39)</v>
      </c>
      <c r="H607" t="s">
        <v>841</v>
      </c>
      <c r="I607" t="s">
        <v>619</v>
      </c>
      <c r="J607" t="str">
        <f t="shared" si="37"/>
        <v>Environmental Heat</v>
      </c>
      <c r="K607" t="s">
        <v>54</v>
      </c>
      <c r="L607" t="s">
        <v>250</v>
      </c>
      <c r="M607" t="s">
        <v>4867</v>
      </c>
      <c r="N607" t="s">
        <v>5125</v>
      </c>
      <c r="O607" t="str" cm="1">
        <f t="array" ref="O607">_xlfn.IFS(
  TEXT(TRIM(N607),"00000")="NULL", "Missing/Unknown",
  OR(TEXT(TRIM(N607),"00000")="89101", TEXT(TRIM(N607),"00000")="89104", TEXT(TRIM(N607),"00000")="89106", TEXT(TRIM(N607),"00000")="89102", TEXT(TRIM(N607),"00000")="89107", TEXT(TRIM(N607),"00000")="89108"), "Urban Core",
  OR(TEXT(TRIM(N607),"00000")="89110", TEXT(TRIM(N607),"00000")="89115", TEXT(TRIM(N607),"00000")="89121", TEXT(TRIM(N607),"00000")="89122", TEXT(TRIM(N607),"00000")="89142", TEXT(TRIM(N607),"00000")="89156"), "East Valley",
  OR(TEXT(TRIM(N607),"00000")="89030", TEXT(TRIM(N607),"00000")="89031", TEXT(TRIM(N607),"00000")="89032", TEXT(TRIM(N607),"00000")="89086", TEXT(TRIM(N607),"00000")="89084", TEXT(TRIM(N607),"00000")="89081"), "North LV",
  OR(TEXT(TRIM(N607),"00000")="89109", TEXT(TRIM(N607),"00000")="89103", TEXT(TRIM(N607),"00000")="89119", TEXT(TRIM(N607),"00000")="89123", TEXT(TRIM(N607),"00000")="89169", TEXT(TRIM(N607),"00000")="89118"), "South/Strip",
  OR(TEXT(TRIM(N607),"00000")="89074", TEXT(TRIM(N607),"00000")="89014", TEXT(TRIM(N607),"00000")="89015", TEXT(TRIM(N607),"00000")="89011", TEXT(TRIM(N607),"00000")="89012"), "Suburban SE",
  OR(TEXT(TRIM(N607),"00000")="89117", TEXT(TRIM(N607),"00000")="89128", TEXT(TRIM(N607),"00000")="89135", TEXT(TRIM(N607),"00000")="89144", TEXT(TRIM(N607),"00000")="89145", TEXT(TRIM(N607),"00000")="89147"), "West Valley",
  TRUE, "Other"
)</f>
        <v>South/Strip</v>
      </c>
      <c r="P607" t="s">
        <v>3298</v>
      </c>
      <c r="Q607" t="str">
        <f t="shared" si="38"/>
        <v>Outdoors/Public</v>
      </c>
      <c r="R607" t="s">
        <v>4867</v>
      </c>
      <c r="S607" t="s">
        <v>5125</v>
      </c>
      <c r="T607" t="str" cm="1">
        <f t="array" ref="T607">_xlfn.IFS(
  TEXT(TRIM(S607),"00000")="NULL", "Missing/Unknown",
  OR(TEXT(TRIM(S607),"00000")="89101", TEXT(TRIM(S607),"00000")="89104", TEXT(TRIM(S607),"00000")="89106", TEXT(TRIM(S607),"00000")="89102", TEXT(TRIM(S607),"00000")="89107", TEXT(TRIM(S607),"00000")="89108"), "Urban Core",
  OR(TEXT(TRIM(S607),"00000")="89110", TEXT(TRIM(S607),"00000")="89115", TEXT(TRIM(S607),"00000")="89121", TEXT(TRIM(S607),"00000")="89122", TEXT(TRIM(S607),"00000")="89142", TEXT(TRIM(S607),"00000")="89156"), "East Valley",
  OR(TEXT(TRIM(S607),"00000")="89030", TEXT(TRIM(S607),"00000")="89031", TEXT(TRIM(S607),"00000")="89032", TEXT(TRIM(S607),"00000")="89086", TEXT(TRIM(S607),"00000")="89084", TEXT(TRIM(S607),"00000")="89081"), "North LV",
  OR(TEXT(TRIM(S607),"00000")="89109", TEXT(TRIM(S607),"00000")="89103", TEXT(TRIM(S607),"00000")="89119", TEXT(TRIM(S607),"00000")="89123", TEXT(TRIM(S607),"00000")="89169", TEXT(TRIM(S607),"00000")="89118"), "South/Strip",
  OR(TEXT(TRIM(S607),"00000")="89074", TEXT(TRIM(S607),"00000")="89014", TEXT(TRIM(S607),"00000")="89015", TEXT(TRIM(S607),"00000")="89011", TEXT(TRIM(S607),"00000")="89012"), "Suburban SE",
  OR(TEXT(TRIM(S607),"00000")="89117", TEXT(TRIM(S607),"00000")="89128", TEXT(TRIM(S607),"00000")="89135", TEXT(TRIM(S607),"00000")="89144", TEXT(TRIM(S607),"00000")="89145", TEXT(TRIM(S607),"00000")="89147"), "West Valley",
  TRUE, "Other"
)</f>
        <v>South/Strip</v>
      </c>
      <c r="U607" t="s">
        <v>3298</v>
      </c>
      <c r="V607" t="str">
        <f t="shared" si="39"/>
        <v>Outdoors/Public</v>
      </c>
    </row>
    <row r="608" spans="1:22">
      <c r="A608" t="s">
        <v>648</v>
      </c>
      <c r="B608" t="s">
        <v>649</v>
      </c>
      <c r="C608" s="1">
        <v>45130</v>
      </c>
      <c r="D608" s="4">
        <v>111.02</v>
      </c>
      <c r="E608">
        <v>66</v>
      </c>
      <c r="F608" t="str">
        <f t="shared" si="36"/>
        <v>60's</v>
      </c>
      <c r="G608" t="str" cm="1">
        <f t="array" ref="G608">_xlfn.IFS(
  F608="10's", "Child (5–12)",
  OR(F608="20's", F608="30's"), "Young Adult (20–39)",
  OR(F608="40's", F608="50's"), "Adult (40–59)",
  OR(F608="60's", F608="70's", F608="80's", F608="90's"), "Senior (60+)",
  TRUE, "Unknown"
)</f>
        <v>Senior (60+)</v>
      </c>
      <c r="H608" t="s">
        <v>778</v>
      </c>
      <c r="I608" t="s">
        <v>54</v>
      </c>
      <c r="J608" t="str">
        <f t="shared" si="37"/>
        <v>Environmental Heat</v>
      </c>
      <c r="K608" t="s">
        <v>34</v>
      </c>
      <c r="L608" t="s">
        <v>250</v>
      </c>
      <c r="M608" t="s">
        <v>4336</v>
      </c>
      <c r="N608" t="s">
        <v>5101</v>
      </c>
      <c r="O608" t="str" cm="1">
        <f t="array" ref="O608">_xlfn.IFS(
  TEXT(TRIM(N608),"00000")="NULL", "Missing/Unknown",
  OR(TEXT(TRIM(N608),"00000")="89101", TEXT(TRIM(N608),"00000")="89104", TEXT(TRIM(N608),"00000")="89106", TEXT(TRIM(N608),"00000")="89102", TEXT(TRIM(N608),"00000")="89107", TEXT(TRIM(N608),"00000")="89108"), "Urban Core",
  OR(TEXT(TRIM(N608),"00000")="89110", TEXT(TRIM(N608),"00000")="89115", TEXT(TRIM(N608),"00000")="89121", TEXT(TRIM(N608),"00000")="89122", TEXT(TRIM(N608),"00000")="89142", TEXT(TRIM(N608),"00000")="89156"), "East Valley",
  OR(TEXT(TRIM(N608),"00000")="89030", TEXT(TRIM(N608),"00000")="89031", TEXT(TRIM(N608),"00000")="89032", TEXT(TRIM(N608),"00000")="89086", TEXT(TRIM(N608),"00000")="89084", TEXT(TRIM(N608),"00000")="89081"), "North LV",
  OR(TEXT(TRIM(N608),"00000")="89109", TEXT(TRIM(N608),"00000")="89103", TEXT(TRIM(N608),"00000")="89119", TEXT(TRIM(N608),"00000")="89123", TEXT(TRIM(N608),"00000")="89169", TEXT(TRIM(N608),"00000")="89118"), "South/Strip",
  OR(TEXT(TRIM(N608),"00000")="89074", TEXT(TRIM(N608),"00000")="89014", TEXT(TRIM(N608),"00000")="89015", TEXT(TRIM(N608),"00000")="89011", TEXT(TRIM(N608),"00000")="89012"), "Suburban SE",
  OR(TEXT(TRIM(N608),"00000")="89117", TEXT(TRIM(N608),"00000")="89128", TEXT(TRIM(N608),"00000")="89135", TEXT(TRIM(N608),"00000")="89144", TEXT(TRIM(N608),"00000")="89145", TEXT(TRIM(N608),"00000")="89147"), "West Valley",
  TRUE, "Other"
)</f>
        <v>Urban Core</v>
      </c>
      <c r="P608" t="s">
        <v>3298</v>
      </c>
      <c r="Q608" t="str">
        <f t="shared" si="38"/>
        <v>Outdoors/Public</v>
      </c>
      <c r="R608" t="s">
        <v>4336</v>
      </c>
      <c r="S608" t="s">
        <v>5101</v>
      </c>
      <c r="T608" t="str" cm="1">
        <f t="array" ref="T608">_xlfn.IFS(
  TEXT(TRIM(S608),"00000")="NULL", "Missing/Unknown",
  OR(TEXT(TRIM(S608),"00000")="89101", TEXT(TRIM(S608),"00000")="89104", TEXT(TRIM(S608),"00000")="89106", TEXT(TRIM(S608),"00000")="89102", TEXT(TRIM(S608),"00000")="89107", TEXT(TRIM(S608),"00000")="89108"), "Urban Core",
  OR(TEXT(TRIM(S608),"00000")="89110", TEXT(TRIM(S608),"00000")="89115", TEXT(TRIM(S608),"00000")="89121", TEXT(TRIM(S608),"00000")="89122", TEXT(TRIM(S608),"00000")="89142", TEXT(TRIM(S608),"00000")="89156"), "East Valley",
  OR(TEXT(TRIM(S608),"00000")="89030", TEXT(TRIM(S608),"00000")="89031", TEXT(TRIM(S608),"00000")="89032", TEXT(TRIM(S608),"00000")="89086", TEXT(TRIM(S608),"00000")="89084", TEXT(TRIM(S608),"00000")="89081"), "North LV",
  OR(TEXT(TRIM(S608),"00000")="89109", TEXT(TRIM(S608),"00000")="89103", TEXT(TRIM(S608),"00000")="89119", TEXT(TRIM(S608),"00000")="89123", TEXT(TRIM(S608),"00000")="89169", TEXT(TRIM(S608),"00000")="89118"), "South/Strip",
  OR(TEXT(TRIM(S608),"00000")="89074", TEXT(TRIM(S608),"00000")="89014", TEXT(TRIM(S608),"00000")="89015", TEXT(TRIM(S608),"00000")="89011", TEXT(TRIM(S608),"00000")="89012"), "Suburban SE",
  OR(TEXT(TRIM(S608),"00000")="89117", TEXT(TRIM(S608),"00000")="89128", TEXT(TRIM(S608),"00000")="89135", TEXT(TRIM(S608),"00000")="89144", TEXT(TRIM(S608),"00000")="89145", TEXT(TRIM(S608),"00000")="89147"), "West Valley",
  TRUE, "Other"
)</f>
        <v>Urban Core</v>
      </c>
      <c r="U608" t="s">
        <v>3298</v>
      </c>
      <c r="V608" t="str">
        <f t="shared" si="39"/>
        <v>Outdoors/Public</v>
      </c>
    </row>
    <row r="609" spans="1:22">
      <c r="A609" t="s">
        <v>626</v>
      </c>
      <c r="B609" t="s">
        <v>627</v>
      </c>
      <c r="C609" s="1">
        <v>45130</v>
      </c>
      <c r="D609" s="4">
        <v>111.02</v>
      </c>
      <c r="E609">
        <v>36</v>
      </c>
      <c r="F609" t="str">
        <f t="shared" si="36"/>
        <v>30's</v>
      </c>
      <c r="G609" t="str" cm="1">
        <f t="array" ref="G609">_xlfn.IFS(
  F609="10's", "Child (5–12)",
  OR(F609="20's", F609="30's"), "Young Adult (20–39)",
  OR(F609="40's", F609="50's"), "Adult (40–59)",
  OR(F609="60's", F609="70's", F609="80's", F609="90's"), "Senior (60+)",
  TRUE, "Unknown"
)</f>
        <v>Young Adult (20–39)</v>
      </c>
      <c r="H609" t="s">
        <v>778</v>
      </c>
      <c r="I609" t="s">
        <v>172</v>
      </c>
      <c r="J609" t="str">
        <f t="shared" si="37"/>
        <v>Methamphetamine-related</v>
      </c>
      <c r="K609" t="s">
        <v>54</v>
      </c>
      <c r="L609" t="s">
        <v>250</v>
      </c>
      <c r="N609" t="s">
        <v>5095</v>
      </c>
      <c r="O609" t="str" cm="1">
        <f t="array" ref="O609">_xlfn.IFS(
  TEXT(TRIM(N609),"00000")="NULL", "Missing/Unknown",
  OR(TEXT(TRIM(N609),"00000")="89101", TEXT(TRIM(N609),"00000")="89104", TEXT(TRIM(N609),"00000")="89106", TEXT(TRIM(N609),"00000")="89102", TEXT(TRIM(N609),"00000")="89107", TEXT(TRIM(N609),"00000")="89108"), "Urban Core",
  OR(TEXT(TRIM(N609),"00000")="89110", TEXT(TRIM(N609),"00000")="89115", TEXT(TRIM(N609),"00000")="89121", TEXT(TRIM(N609),"00000")="89122", TEXT(TRIM(N609),"00000")="89142", TEXT(TRIM(N609),"00000")="89156"), "East Valley",
  OR(TEXT(TRIM(N609),"00000")="89030", TEXT(TRIM(N609),"00000")="89031", TEXT(TRIM(N609),"00000")="89032", TEXT(TRIM(N609),"00000")="89086", TEXT(TRIM(N609),"00000")="89084", TEXT(TRIM(N609),"00000")="89081"), "North LV",
  OR(TEXT(TRIM(N609),"00000")="89109", TEXT(TRIM(N609),"00000")="89103", TEXT(TRIM(N609),"00000")="89119", TEXT(TRIM(N609),"00000")="89123", TEXT(TRIM(N609),"00000")="89169", TEXT(TRIM(N609),"00000")="89118"), "South/Strip",
  OR(TEXT(TRIM(N609),"00000")="89074", TEXT(TRIM(N609),"00000")="89014", TEXT(TRIM(N609),"00000")="89015", TEXT(TRIM(N609),"00000")="89011", TEXT(TRIM(N609),"00000")="89012"), "Suburban SE",
  OR(TEXT(TRIM(N609),"00000")="89117", TEXT(TRIM(N609),"00000")="89128", TEXT(TRIM(N609),"00000")="89135", TEXT(TRIM(N609),"00000")="89144", TEXT(TRIM(N609),"00000")="89145", TEXT(TRIM(N609),"00000")="89147"), "West Valley",
  TRUE, "Other"
)</f>
        <v>Missing/Unknown</v>
      </c>
      <c r="P609" t="s">
        <v>3298</v>
      </c>
      <c r="Q609" t="str">
        <f t="shared" si="38"/>
        <v>Outdoors/Public</v>
      </c>
      <c r="S609" t="s">
        <v>5095</v>
      </c>
      <c r="T609" t="str" cm="1">
        <f t="array" ref="T609">_xlfn.IFS(
  TEXT(TRIM(S609),"00000")="NULL", "Missing/Unknown",
  OR(TEXT(TRIM(S609),"00000")="89101", TEXT(TRIM(S609),"00000")="89104", TEXT(TRIM(S609),"00000")="89106", TEXT(TRIM(S609),"00000")="89102", TEXT(TRIM(S609),"00000")="89107", TEXT(TRIM(S609),"00000")="89108"), "Urban Core",
  OR(TEXT(TRIM(S609),"00000")="89110", TEXT(TRIM(S609),"00000")="89115", TEXT(TRIM(S609),"00000")="89121", TEXT(TRIM(S609),"00000")="89122", TEXT(TRIM(S609),"00000")="89142", TEXT(TRIM(S609),"00000")="89156"), "East Valley",
  OR(TEXT(TRIM(S609),"00000")="89030", TEXT(TRIM(S609),"00000")="89031", TEXT(TRIM(S609),"00000")="89032", TEXT(TRIM(S609),"00000")="89086", TEXT(TRIM(S609),"00000")="89084", TEXT(TRIM(S609),"00000")="89081"), "North LV",
  OR(TEXT(TRIM(S609),"00000")="89109", TEXT(TRIM(S609),"00000")="89103", TEXT(TRIM(S609),"00000")="89119", TEXT(TRIM(S609),"00000")="89123", TEXT(TRIM(S609),"00000")="89169", TEXT(TRIM(S609),"00000")="89118"), "South/Strip",
  OR(TEXT(TRIM(S609),"00000")="89074", TEXT(TRIM(S609),"00000")="89014", TEXT(TRIM(S609),"00000")="89015", TEXT(TRIM(S609),"00000")="89011", TEXT(TRIM(S609),"00000")="89012"), "Suburban SE",
  OR(TEXT(TRIM(S609),"00000")="89117", TEXT(TRIM(S609),"00000")="89128", TEXT(TRIM(S609),"00000")="89135", TEXT(TRIM(S609),"00000")="89144", TEXT(TRIM(S609),"00000")="89145", TEXT(TRIM(S609),"00000")="89147"), "West Valley",
  TRUE, "Other"
)</f>
        <v>Missing/Unknown</v>
      </c>
      <c r="U609" t="s">
        <v>3298</v>
      </c>
      <c r="V609" t="str">
        <f t="shared" si="39"/>
        <v>Outdoors/Public</v>
      </c>
    </row>
    <row r="610" spans="1:22">
      <c r="A610" t="s">
        <v>628</v>
      </c>
      <c r="B610" t="s">
        <v>629</v>
      </c>
      <c r="C610" s="1">
        <v>45130</v>
      </c>
      <c r="D610" s="4">
        <v>111.02</v>
      </c>
      <c r="E610">
        <v>53</v>
      </c>
      <c r="F610" t="str">
        <f t="shared" si="36"/>
        <v>50's</v>
      </c>
      <c r="G610" t="str" cm="1">
        <f t="array" ref="G610">_xlfn.IFS(
  F610="10's", "Child (5–12)",
  OR(F610="20's", F610="30's"), "Young Adult (20–39)",
  OR(F610="40's", F610="50's"), "Adult (40–59)",
  OR(F610="60's", F610="70's", F610="80's", F610="90's"), "Senior (60+)",
  TRUE, "Unknown"
)</f>
        <v>Adult (40–59)</v>
      </c>
      <c r="H610" t="s">
        <v>841</v>
      </c>
      <c r="I610" t="s">
        <v>172</v>
      </c>
      <c r="J610" t="str">
        <f t="shared" si="37"/>
        <v>Methamphetamine-related</v>
      </c>
      <c r="K610" t="s">
        <v>54</v>
      </c>
      <c r="L610" t="s">
        <v>250</v>
      </c>
      <c r="N610" t="s">
        <v>5095</v>
      </c>
      <c r="O610" t="str" cm="1">
        <f t="array" ref="O610">_xlfn.IFS(
  TEXT(TRIM(N610),"00000")="NULL", "Missing/Unknown",
  OR(TEXT(TRIM(N610),"00000")="89101", TEXT(TRIM(N610),"00000")="89104", TEXT(TRIM(N610),"00000")="89106", TEXT(TRIM(N610),"00000")="89102", TEXT(TRIM(N610),"00000")="89107", TEXT(TRIM(N610),"00000")="89108"), "Urban Core",
  OR(TEXT(TRIM(N610),"00000")="89110", TEXT(TRIM(N610),"00000")="89115", TEXT(TRIM(N610),"00000")="89121", TEXT(TRIM(N610),"00000")="89122", TEXT(TRIM(N610),"00000")="89142", TEXT(TRIM(N610),"00000")="89156"), "East Valley",
  OR(TEXT(TRIM(N610),"00000")="89030", TEXT(TRIM(N610),"00000")="89031", TEXT(TRIM(N610),"00000")="89032", TEXT(TRIM(N610),"00000")="89086", TEXT(TRIM(N610),"00000")="89084", TEXT(TRIM(N610),"00000")="89081"), "North LV",
  OR(TEXT(TRIM(N610),"00000")="89109", TEXT(TRIM(N610),"00000")="89103", TEXT(TRIM(N610),"00000")="89119", TEXT(TRIM(N610),"00000")="89123", TEXT(TRIM(N610),"00000")="89169", TEXT(TRIM(N610),"00000")="89118"), "South/Strip",
  OR(TEXT(TRIM(N610),"00000")="89074", TEXT(TRIM(N610),"00000")="89014", TEXT(TRIM(N610),"00000")="89015", TEXT(TRIM(N610),"00000")="89011", TEXT(TRIM(N610),"00000")="89012"), "Suburban SE",
  OR(TEXT(TRIM(N610),"00000")="89117", TEXT(TRIM(N610),"00000")="89128", TEXT(TRIM(N610),"00000")="89135", TEXT(TRIM(N610),"00000")="89144", TEXT(TRIM(N610),"00000")="89145", TEXT(TRIM(N610),"00000")="89147"), "West Valley",
  TRUE, "Other"
)</f>
        <v>Missing/Unknown</v>
      </c>
      <c r="P610" t="s">
        <v>3298</v>
      </c>
      <c r="Q610" t="str">
        <f t="shared" si="38"/>
        <v>Outdoors/Public</v>
      </c>
      <c r="S610" t="s">
        <v>5095</v>
      </c>
      <c r="T610" t="str" cm="1">
        <f t="array" ref="T610">_xlfn.IFS(
  TEXT(TRIM(S610),"00000")="NULL", "Missing/Unknown",
  OR(TEXT(TRIM(S610),"00000")="89101", TEXT(TRIM(S610),"00000")="89104", TEXT(TRIM(S610),"00000")="89106", TEXT(TRIM(S610),"00000")="89102", TEXT(TRIM(S610),"00000")="89107", TEXT(TRIM(S610),"00000")="89108"), "Urban Core",
  OR(TEXT(TRIM(S610),"00000")="89110", TEXT(TRIM(S610),"00000")="89115", TEXT(TRIM(S610),"00000")="89121", TEXT(TRIM(S610),"00000")="89122", TEXT(TRIM(S610),"00000")="89142", TEXT(TRIM(S610),"00000")="89156"), "East Valley",
  OR(TEXT(TRIM(S610),"00000")="89030", TEXT(TRIM(S610),"00000")="89031", TEXT(TRIM(S610),"00000")="89032", TEXT(TRIM(S610),"00000")="89086", TEXT(TRIM(S610),"00000")="89084", TEXT(TRIM(S610),"00000")="89081"), "North LV",
  OR(TEXT(TRIM(S610),"00000")="89109", TEXT(TRIM(S610),"00000")="89103", TEXT(TRIM(S610),"00000")="89119", TEXT(TRIM(S610),"00000")="89123", TEXT(TRIM(S610),"00000")="89169", TEXT(TRIM(S610),"00000")="89118"), "South/Strip",
  OR(TEXT(TRIM(S610),"00000")="89074", TEXT(TRIM(S610),"00000")="89014", TEXT(TRIM(S610),"00000")="89015", TEXT(TRIM(S610),"00000")="89011", TEXT(TRIM(S610),"00000")="89012"), "Suburban SE",
  OR(TEXT(TRIM(S610),"00000")="89117", TEXT(TRIM(S610),"00000")="89128", TEXT(TRIM(S610),"00000")="89135", TEXT(TRIM(S610),"00000")="89144", TEXT(TRIM(S610),"00000")="89145", TEXT(TRIM(S610),"00000")="89147"), "West Valley",
  TRUE, "Other"
)</f>
        <v>Missing/Unknown</v>
      </c>
      <c r="U610" t="s">
        <v>3298</v>
      </c>
      <c r="V610" t="str">
        <f t="shared" si="39"/>
        <v>Outdoors/Public</v>
      </c>
    </row>
    <row r="611" spans="1:22">
      <c r="A611" t="s">
        <v>633</v>
      </c>
      <c r="B611" t="s">
        <v>634</v>
      </c>
      <c r="C611" s="1">
        <v>45130</v>
      </c>
      <c r="D611" s="4">
        <v>111.02</v>
      </c>
      <c r="E611">
        <v>80</v>
      </c>
      <c r="F611" t="str">
        <f t="shared" si="36"/>
        <v>80's</v>
      </c>
      <c r="G611" t="str" cm="1">
        <f t="array" ref="G611">_xlfn.IFS(
  F611="10's", "Child (5–12)",
  OR(F611="20's", F611="30's"), "Young Adult (20–39)",
  OR(F611="40's", F611="50's"), "Adult (40–59)",
  OR(F611="60's", F611="70's", F611="80's", F611="90's"), "Senior (60+)",
  TRUE, "Unknown"
)</f>
        <v>Senior (60+)</v>
      </c>
      <c r="H611" t="s">
        <v>841</v>
      </c>
      <c r="I611" t="s">
        <v>54</v>
      </c>
      <c r="J611" t="str">
        <f t="shared" si="37"/>
        <v>Environmental Heat</v>
      </c>
      <c r="K611" t="s">
        <v>4220</v>
      </c>
      <c r="L611" t="s">
        <v>250</v>
      </c>
      <c r="N611" t="s">
        <v>5095</v>
      </c>
      <c r="O611" t="str" cm="1">
        <f t="array" ref="O611">_xlfn.IFS(
  TEXT(TRIM(N611),"00000")="NULL", "Missing/Unknown",
  OR(TEXT(TRIM(N611),"00000")="89101", TEXT(TRIM(N611),"00000")="89104", TEXT(TRIM(N611),"00000")="89106", TEXT(TRIM(N611),"00000")="89102", TEXT(TRIM(N611),"00000")="89107", TEXT(TRIM(N611),"00000")="89108"), "Urban Core",
  OR(TEXT(TRIM(N611),"00000")="89110", TEXT(TRIM(N611),"00000")="89115", TEXT(TRIM(N611),"00000")="89121", TEXT(TRIM(N611),"00000")="89122", TEXT(TRIM(N611),"00000")="89142", TEXT(TRIM(N611),"00000")="89156"), "East Valley",
  OR(TEXT(TRIM(N611),"00000")="89030", TEXT(TRIM(N611),"00000")="89031", TEXT(TRIM(N611),"00000")="89032", TEXT(TRIM(N611),"00000")="89086", TEXT(TRIM(N611),"00000")="89084", TEXT(TRIM(N611),"00000")="89081"), "North LV",
  OR(TEXT(TRIM(N611),"00000")="89109", TEXT(TRIM(N611),"00000")="89103", TEXT(TRIM(N611),"00000")="89119", TEXT(TRIM(N611),"00000")="89123", TEXT(TRIM(N611),"00000")="89169", TEXT(TRIM(N611),"00000")="89118"), "South/Strip",
  OR(TEXT(TRIM(N611),"00000")="89074", TEXT(TRIM(N611),"00000")="89014", TEXT(TRIM(N611),"00000")="89015", TEXT(TRIM(N611),"00000")="89011", TEXT(TRIM(N611),"00000")="89012"), "Suburban SE",
  OR(TEXT(TRIM(N611),"00000")="89117", TEXT(TRIM(N611),"00000")="89128", TEXT(TRIM(N611),"00000")="89135", TEXT(TRIM(N611),"00000")="89144", TEXT(TRIM(N611),"00000")="89145", TEXT(TRIM(N611),"00000")="89147"), "West Valley",
  TRUE, "Other"
)</f>
        <v>Missing/Unknown</v>
      </c>
      <c r="P611" t="s">
        <v>3298</v>
      </c>
      <c r="Q611" t="str">
        <f t="shared" si="38"/>
        <v>Outdoors/Public</v>
      </c>
      <c r="S611" t="s">
        <v>5095</v>
      </c>
      <c r="T611" t="str" cm="1">
        <f t="array" ref="T611">_xlfn.IFS(
  TEXT(TRIM(S611),"00000")="NULL", "Missing/Unknown",
  OR(TEXT(TRIM(S611),"00000")="89101", TEXT(TRIM(S611),"00000")="89104", TEXT(TRIM(S611),"00000")="89106", TEXT(TRIM(S611),"00000")="89102", TEXT(TRIM(S611),"00000")="89107", TEXT(TRIM(S611),"00000")="89108"), "Urban Core",
  OR(TEXT(TRIM(S611),"00000")="89110", TEXT(TRIM(S611),"00000")="89115", TEXT(TRIM(S611),"00000")="89121", TEXT(TRIM(S611),"00000")="89122", TEXT(TRIM(S611),"00000")="89142", TEXT(TRIM(S611),"00000")="89156"), "East Valley",
  OR(TEXT(TRIM(S611),"00000")="89030", TEXT(TRIM(S611),"00000")="89031", TEXT(TRIM(S611),"00000")="89032", TEXT(TRIM(S611),"00000")="89086", TEXT(TRIM(S611),"00000")="89084", TEXT(TRIM(S611),"00000")="89081"), "North LV",
  OR(TEXT(TRIM(S611),"00000")="89109", TEXT(TRIM(S611),"00000")="89103", TEXT(TRIM(S611),"00000")="89119", TEXT(TRIM(S611),"00000")="89123", TEXT(TRIM(S611),"00000")="89169", TEXT(TRIM(S611),"00000")="89118"), "South/Strip",
  OR(TEXT(TRIM(S611),"00000")="89074", TEXT(TRIM(S611),"00000")="89014", TEXT(TRIM(S611),"00000")="89015", TEXT(TRIM(S611),"00000")="89011", TEXT(TRIM(S611),"00000")="89012"), "Suburban SE",
  OR(TEXT(TRIM(S611),"00000")="89117", TEXT(TRIM(S611),"00000")="89128", TEXT(TRIM(S611),"00000")="89135", TEXT(TRIM(S611),"00000")="89144", TEXT(TRIM(S611),"00000")="89145", TEXT(TRIM(S611),"00000")="89147"), "West Valley",
  TRUE, "Other"
)</f>
        <v>Missing/Unknown</v>
      </c>
      <c r="U611" t="s">
        <v>3298</v>
      </c>
      <c r="V611" t="str">
        <f t="shared" si="39"/>
        <v>Outdoors/Public</v>
      </c>
    </row>
    <row r="612" spans="1:22">
      <c r="A612" t="s">
        <v>602</v>
      </c>
      <c r="B612" t="s">
        <v>603</v>
      </c>
      <c r="C612" s="1">
        <v>45129</v>
      </c>
      <c r="D612" s="4">
        <v>114.98</v>
      </c>
      <c r="E612">
        <v>43</v>
      </c>
      <c r="F612" t="str">
        <f t="shared" si="36"/>
        <v>40's</v>
      </c>
      <c r="G612" t="str" cm="1">
        <f t="array" ref="G612">_xlfn.IFS(
  F612="10's", "Child (5–12)",
  OR(F612="20's", F612="30's"), "Young Adult (20–39)",
  OR(F612="40's", F612="50's"), "Adult (40–59)",
  OR(F612="60's", F612="70's", F612="80's", F612="90's"), "Senior (60+)",
  TRUE, "Unknown"
)</f>
        <v>Adult (40–59)</v>
      </c>
      <c r="H612" t="s">
        <v>27</v>
      </c>
      <c r="I612" t="s">
        <v>4053</v>
      </c>
      <c r="J612" t="str">
        <f t="shared" si="37"/>
        <v>Methamphetamine-related</v>
      </c>
      <c r="K612" t="s">
        <v>54</v>
      </c>
      <c r="L612" t="s">
        <v>250</v>
      </c>
      <c r="N612" t="s">
        <v>5095</v>
      </c>
      <c r="O612" t="str" cm="1">
        <f t="array" ref="O612">_xlfn.IFS(
  TEXT(TRIM(N612),"00000")="NULL", "Missing/Unknown",
  OR(TEXT(TRIM(N612),"00000")="89101", TEXT(TRIM(N612),"00000")="89104", TEXT(TRIM(N612),"00000")="89106", TEXT(TRIM(N612),"00000")="89102", TEXT(TRIM(N612),"00000")="89107", TEXT(TRIM(N612),"00000")="89108"), "Urban Core",
  OR(TEXT(TRIM(N612),"00000")="89110", TEXT(TRIM(N612),"00000")="89115", TEXT(TRIM(N612),"00000")="89121", TEXT(TRIM(N612),"00000")="89122", TEXT(TRIM(N612),"00000")="89142", TEXT(TRIM(N612),"00000")="89156"), "East Valley",
  OR(TEXT(TRIM(N612),"00000")="89030", TEXT(TRIM(N612),"00000")="89031", TEXT(TRIM(N612),"00000")="89032", TEXT(TRIM(N612),"00000")="89086", TEXT(TRIM(N612),"00000")="89084", TEXT(TRIM(N612),"00000")="89081"), "North LV",
  OR(TEXT(TRIM(N612),"00000")="89109", TEXT(TRIM(N612),"00000")="89103", TEXT(TRIM(N612),"00000")="89119", TEXT(TRIM(N612),"00000")="89123", TEXT(TRIM(N612),"00000")="89169", TEXT(TRIM(N612),"00000")="89118"), "South/Strip",
  OR(TEXT(TRIM(N612),"00000")="89074", TEXT(TRIM(N612),"00000")="89014", TEXT(TRIM(N612),"00000")="89015", TEXT(TRIM(N612),"00000")="89011", TEXT(TRIM(N612),"00000")="89012"), "Suburban SE",
  OR(TEXT(TRIM(N612),"00000")="89117", TEXT(TRIM(N612),"00000")="89128", TEXT(TRIM(N612),"00000")="89135", TEXT(TRIM(N612),"00000")="89144", TEXT(TRIM(N612),"00000")="89145", TEXT(TRIM(N612),"00000")="89147"), "West Valley",
  TRUE, "Other"
)</f>
        <v>Missing/Unknown</v>
      </c>
      <c r="P612" t="s">
        <v>3298</v>
      </c>
      <c r="Q612" t="str">
        <f t="shared" si="38"/>
        <v>Outdoors/Public</v>
      </c>
      <c r="R612" t="s">
        <v>5053</v>
      </c>
      <c r="S612" t="s">
        <v>5110</v>
      </c>
      <c r="T612" t="str" cm="1">
        <f t="array" ref="T612">_xlfn.IFS(
  TEXT(TRIM(S612),"00000")="NULL", "Missing/Unknown",
  OR(TEXT(TRIM(S612),"00000")="89101", TEXT(TRIM(S612),"00000")="89104", TEXT(TRIM(S612),"00000")="89106", TEXT(TRIM(S612),"00000")="89102", TEXT(TRIM(S612),"00000")="89107", TEXT(TRIM(S612),"00000")="89108"), "Urban Core",
  OR(TEXT(TRIM(S612),"00000")="89110", TEXT(TRIM(S612),"00000")="89115", TEXT(TRIM(S612),"00000")="89121", TEXT(TRIM(S612),"00000")="89122", TEXT(TRIM(S612),"00000")="89142", TEXT(TRIM(S612),"00000")="89156"), "East Valley",
  OR(TEXT(TRIM(S612),"00000")="89030", TEXT(TRIM(S612),"00000")="89031", TEXT(TRIM(S612),"00000")="89032", TEXT(TRIM(S612),"00000")="89086", TEXT(TRIM(S612),"00000")="89084", TEXT(TRIM(S612),"00000")="89081"), "North LV",
  OR(TEXT(TRIM(S612),"00000")="89109", TEXT(TRIM(S612),"00000")="89103", TEXT(TRIM(S612),"00000")="89119", TEXT(TRIM(S612),"00000")="89123", TEXT(TRIM(S612),"00000")="89169", TEXT(TRIM(S612),"00000")="89118"), "South/Strip",
  OR(TEXT(TRIM(S612),"00000")="89074", TEXT(TRIM(S612),"00000")="89014", TEXT(TRIM(S612),"00000")="89015", TEXT(TRIM(S612),"00000")="89011", TEXT(TRIM(S612),"00000")="89012"), "Suburban SE",
  OR(TEXT(TRIM(S612),"00000")="89117", TEXT(TRIM(S612),"00000")="89128", TEXT(TRIM(S612),"00000")="89135", TEXT(TRIM(S612),"00000")="89144", TEXT(TRIM(S612),"00000")="89145", TEXT(TRIM(S612),"00000")="89147"), "West Valley",
  TRUE, "Other"
)</f>
        <v>Suburban SE</v>
      </c>
      <c r="U612" t="s">
        <v>4301</v>
      </c>
      <c r="V612" t="str">
        <f t="shared" si="39"/>
        <v>Medical Facility</v>
      </c>
    </row>
    <row r="613" spans="1:22">
      <c r="A613" t="s">
        <v>573</v>
      </c>
      <c r="B613" t="s">
        <v>574</v>
      </c>
      <c r="C613" s="1">
        <v>45129</v>
      </c>
      <c r="D613" s="4">
        <v>114.98</v>
      </c>
      <c r="E613">
        <v>59</v>
      </c>
      <c r="F613" t="str">
        <f t="shared" si="36"/>
        <v>50's</v>
      </c>
      <c r="G613" t="str" cm="1">
        <f t="array" ref="G613">_xlfn.IFS(
  F613="10's", "Child (5–12)",
  OR(F613="20's", F613="30's"), "Young Adult (20–39)",
  OR(F613="40's", F613="50's"), "Adult (40–59)",
  OR(F613="60's", F613="70's", F613="80's", F613="90's"), "Senior (60+)",
  TRUE, "Unknown"
)</f>
        <v>Adult (40–59)</v>
      </c>
      <c r="H613" t="s">
        <v>841</v>
      </c>
      <c r="I613" t="s">
        <v>54</v>
      </c>
      <c r="J613" t="str">
        <f t="shared" si="37"/>
        <v>Environmental Heat</v>
      </c>
      <c r="K613" t="s">
        <v>63</v>
      </c>
      <c r="L613" t="s">
        <v>1071</v>
      </c>
      <c r="M613" t="s">
        <v>4386</v>
      </c>
      <c r="N613" t="s">
        <v>5123</v>
      </c>
      <c r="O613" t="str" cm="1">
        <f t="array" ref="O613">_xlfn.IFS(
  TEXT(TRIM(N613),"00000")="NULL", "Missing/Unknown",
  OR(TEXT(TRIM(N613),"00000")="89101", TEXT(TRIM(N613),"00000")="89104", TEXT(TRIM(N613),"00000")="89106", TEXT(TRIM(N613),"00000")="89102", TEXT(TRIM(N613),"00000")="89107", TEXT(TRIM(N613),"00000")="89108"), "Urban Core",
  OR(TEXT(TRIM(N613),"00000")="89110", TEXT(TRIM(N613),"00000")="89115", TEXT(TRIM(N613),"00000")="89121", TEXT(TRIM(N613),"00000")="89122", TEXT(TRIM(N613),"00000")="89142", TEXT(TRIM(N613),"00000")="89156"), "East Valley",
  OR(TEXT(TRIM(N613),"00000")="89030", TEXT(TRIM(N613),"00000")="89031", TEXT(TRIM(N613),"00000")="89032", TEXT(TRIM(N613),"00000")="89086", TEXT(TRIM(N613),"00000")="89084", TEXT(TRIM(N613),"00000")="89081"), "North LV",
  OR(TEXT(TRIM(N613),"00000")="89109", TEXT(TRIM(N613),"00000")="89103", TEXT(TRIM(N613),"00000")="89119", TEXT(TRIM(N613),"00000")="89123", TEXT(TRIM(N613),"00000")="89169", TEXT(TRIM(N613),"00000")="89118"), "South/Strip",
  OR(TEXT(TRIM(N613),"00000")="89074", TEXT(TRIM(N613),"00000")="89014", TEXT(TRIM(N613),"00000")="89015", TEXT(TRIM(N613),"00000")="89011", TEXT(TRIM(N613),"00000")="89012"), "Suburban SE",
  OR(TEXT(TRIM(N613),"00000")="89117", TEXT(TRIM(N613),"00000")="89128", TEXT(TRIM(N613),"00000")="89135", TEXT(TRIM(N613),"00000")="89144", TEXT(TRIM(N613),"00000")="89145", TEXT(TRIM(N613),"00000")="89147"), "West Valley",
  TRUE, "Other"
)</f>
        <v>South/Strip</v>
      </c>
      <c r="P613" t="s">
        <v>38</v>
      </c>
      <c r="Q613" t="str">
        <f t="shared" si="38"/>
        <v>Home/Residence</v>
      </c>
      <c r="R613" t="s">
        <v>4386</v>
      </c>
      <c r="S613" t="s">
        <v>5123</v>
      </c>
      <c r="T613" t="str" cm="1">
        <f t="array" ref="T613">_xlfn.IFS(
  TEXT(TRIM(S613),"00000")="NULL", "Missing/Unknown",
  OR(TEXT(TRIM(S613),"00000")="89101", TEXT(TRIM(S613),"00000")="89104", TEXT(TRIM(S613),"00000")="89106", TEXT(TRIM(S613),"00000")="89102", TEXT(TRIM(S613),"00000")="89107", TEXT(TRIM(S613),"00000")="89108"), "Urban Core",
  OR(TEXT(TRIM(S613),"00000")="89110", TEXT(TRIM(S613),"00000")="89115", TEXT(TRIM(S613),"00000")="89121", TEXT(TRIM(S613),"00000")="89122", TEXT(TRIM(S613),"00000")="89142", TEXT(TRIM(S613),"00000")="89156"), "East Valley",
  OR(TEXT(TRIM(S613),"00000")="89030", TEXT(TRIM(S613),"00000")="89031", TEXT(TRIM(S613),"00000")="89032", TEXT(TRIM(S613),"00000")="89086", TEXT(TRIM(S613),"00000")="89084", TEXT(TRIM(S613),"00000")="89081"), "North LV",
  OR(TEXT(TRIM(S613),"00000")="89109", TEXT(TRIM(S613),"00000")="89103", TEXT(TRIM(S613),"00000")="89119", TEXT(TRIM(S613),"00000")="89123", TEXT(TRIM(S613),"00000")="89169", TEXT(TRIM(S613),"00000")="89118"), "South/Strip",
  OR(TEXT(TRIM(S613),"00000")="89074", TEXT(TRIM(S613),"00000")="89014", TEXT(TRIM(S613),"00000")="89015", TEXT(TRIM(S613),"00000")="89011", TEXT(TRIM(S613),"00000")="89012"), "Suburban SE",
  OR(TEXT(TRIM(S613),"00000")="89117", TEXT(TRIM(S613),"00000")="89128", TEXT(TRIM(S613),"00000")="89135", TEXT(TRIM(S613),"00000")="89144", TEXT(TRIM(S613),"00000")="89145", TEXT(TRIM(S613),"00000")="89147"), "West Valley",
  TRUE, "Other"
)</f>
        <v>South/Strip</v>
      </c>
      <c r="U613" t="s">
        <v>38</v>
      </c>
      <c r="V613" t="str">
        <f t="shared" si="39"/>
        <v>Home/Residence</v>
      </c>
    </row>
    <row r="614" spans="1:22">
      <c r="A614" t="s">
        <v>576</v>
      </c>
      <c r="B614" t="s">
        <v>577</v>
      </c>
      <c r="C614" s="1">
        <v>45129</v>
      </c>
      <c r="D614" s="4">
        <v>114.98</v>
      </c>
      <c r="E614">
        <v>66</v>
      </c>
      <c r="F614" t="str">
        <f t="shared" si="36"/>
        <v>60's</v>
      </c>
      <c r="G614" t="str" cm="1">
        <f t="array" ref="G614">_xlfn.IFS(
  F614="10's", "Child (5–12)",
  OR(F614="20's", F614="30's"), "Young Adult (20–39)",
  OR(F614="40's", F614="50's"), "Adult (40–59)",
  OR(F614="60's", F614="70's", F614="80's", F614="90's"), "Senior (60+)",
  TRUE, "Unknown"
)</f>
        <v>Senior (60+)</v>
      </c>
      <c r="H614" t="s">
        <v>27</v>
      </c>
      <c r="I614" t="s">
        <v>1672</v>
      </c>
      <c r="J614" t="str">
        <f t="shared" si="37"/>
        <v>Dehydration / Electrolyte</v>
      </c>
      <c r="K614" t="s">
        <v>54</v>
      </c>
      <c r="L614" t="s">
        <v>250</v>
      </c>
      <c r="M614" t="s">
        <v>4753</v>
      </c>
      <c r="N614" t="s">
        <v>5100</v>
      </c>
      <c r="O614" t="str" cm="1">
        <f t="array" ref="O614">_xlfn.IFS(
  TEXT(TRIM(N614),"00000")="NULL", "Missing/Unknown",
  OR(TEXT(TRIM(N614),"00000")="89101", TEXT(TRIM(N614),"00000")="89104", TEXT(TRIM(N614),"00000")="89106", TEXT(TRIM(N614),"00000")="89102", TEXT(TRIM(N614),"00000")="89107", TEXT(TRIM(N614),"00000")="89108"), "Urban Core",
  OR(TEXT(TRIM(N614),"00000")="89110", TEXT(TRIM(N614),"00000")="89115", TEXT(TRIM(N614),"00000")="89121", TEXT(TRIM(N614),"00000")="89122", TEXT(TRIM(N614),"00000")="89142", TEXT(TRIM(N614),"00000")="89156"), "East Valley",
  OR(TEXT(TRIM(N614),"00000")="89030", TEXT(TRIM(N614),"00000")="89031", TEXT(TRIM(N614),"00000")="89032", TEXT(TRIM(N614),"00000")="89086", TEXT(TRIM(N614),"00000")="89084", TEXT(TRIM(N614),"00000")="89081"), "North LV",
  OR(TEXT(TRIM(N614),"00000")="89109", TEXT(TRIM(N614),"00000")="89103", TEXT(TRIM(N614),"00000")="89119", TEXT(TRIM(N614),"00000")="89123", TEXT(TRIM(N614),"00000")="89169", TEXT(TRIM(N614),"00000")="89118"), "South/Strip",
  OR(TEXT(TRIM(N614),"00000")="89074", TEXT(TRIM(N614),"00000")="89014", TEXT(TRIM(N614),"00000")="89015", TEXT(TRIM(N614),"00000")="89011", TEXT(TRIM(N614),"00000")="89012"), "Suburban SE",
  OR(TEXT(TRIM(N614),"00000")="89117", TEXT(TRIM(N614),"00000")="89128", TEXT(TRIM(N614),"00000")="89135", TEXT(TRIM(N614),"00000")="89144", TEXT(TRIM(N614),"00000")="89145", TEXT(TRIM(N614),"00000")="89147"), "West Valley",
  TRUE, "Other"
)</f>
        <v>North LV</v>
      </c>
      <c r="P614" t="s">
        <v>3298</v>
      </c>
      <c r="Q614" t="str">
        <f t="shared" si="38"/>
        <v>Outdoors/Public</v>
      </c>
      <c r="R614" t="s">
        <v>4753</v>
      </c>
      <c r="S614" t="s">
        <v>5100</v>
      </c>
      <c r="T614" t="str" cm="1">
        <f t="array" ref="T614">_xlfn.IFS(
  TEXT(TRIM(S614),"00000")="NULL", "Missing/Unknown",
  OR(TEXT(TRIM(S614),"00000")="89101", TEXT(TRIM(S614),"00000")="89104", TEXT(TRIM(S614),"00000")="89106", TEXT(TRIM(S614),"00000")="89102", TEXT(TRIM(S614),"00000")="89107", TEXT(TRIM(S614),"00000")="89108"), "Urban Core",
  OR(TEXT(TRIM(S614),"00000")="89110", TEXT(TRIM(S614),"00000")="89115", TEXT(TRIM(S614),"00000")="89121", TEXT(TRIM(S614),"00000")="89122", TEXT(TRIM(S614),"00000")="89142", TEXT(TRIM(S614),"00000")="89156"), "East Valley",
  OR(TEXT(TRIM(S614),"00000")="89030", TEXT(TRIM(S614),"00000")="89031", TEXT(TRIM(S614),"00000")="89032", TEXT(TRIM(S614),"00000")="89086", TEXT(TRIM(S614),"00000")="89084", TEXT(TRIM(S614),"00000")="89081"), "North LV",
  OR(TEXT(TRIM(S614),"00000")="89109", TEXT(TRIM(S614),"00000")="89103", TEXT(TRIM(S614),"00000")="89119", TEXT(TRIM(S614),"00000")="89123", TEXT(TRIM(S614),"00000")="89169", TEXT(TRIM(S614),"00000")="89118"), "South/Strip",
  OR(TEXT(TRIM(S614),"00000")="89074", TEXT(TRIM(S614),"00000")="89014", TEXT(TRIM(S614),"00000")="89015", TEXT(TRIM(S614),"00000")="89011", TEXT(TRIM(S614),"00000")="89012"), "Suburban SE",
  OR(TEXT(TRIM(S614),"00000")="89117", TEXT(TRIM(S614),"00000")="89128", TEXT(TRIM(S614),"00000")="89135", TEXT(TRIM(S614),"00000")="89144", TEXT(TRIM(S614),"00000")="89145", TEXT(TRIM(S614),"00000")="89147"), "West Valley",
  TRUE, "Other"
)</f>
        <v>North LV</v>
      </c>
      <c r="U614" t="s">
        <v>3298</v>
      </c>
      <c r="V614" t="str">
        <f t="shared" si="39"/>
        <v>Outdoors/Public</v>
      </c>
    </row>
    <row r="615" spans="1:22">
      <c r="A615" t="s">
        <v>611</v>
      </c>
      <c r="B615" t="s">
        <v>612</v>
      </c>
      <c r="C615" s="1">
        <v>45129</v>
      </c>
      <c r="D615" s="4">
        <v>114.98</v>
      </c>
      <c r="E615">
        <v>73</v>
      </c>
      <c r="F615" t="str">
        <f t="shared" si="36"/>
        <v>70's</v>
      </c>
      <c r="G615" t="str" cm="1">
        <f t="array" ref="G615">_xlfn.IFS(
  F615="10's", "Child (5–12)",
  OR(F615="20's", F615="30's"), "Young Adult (20–39)",
  OR(F615="40's", F615="50's"), "Adult (40–59)",
  OR(F615="60's", F615="70's", F615="80's", F615="90's"), "Senior (60+)",
  TRUE, "Unknown"
)</f>
        <v>Senior (60+)</v>
      </c>
      <c r="H615" t="s">
        <v>4309</v>
      </c>
      <c r="I615" t="s">
        <v>614</v>
      </c>
      <c r="J615" t="str">
        <f t="shared" si="37"/>
        <v>Other / Unknown</v>
      </c>
      <c r="K615" t="s">
        <v>54</v>
      </c>
      <c r="L615" t="s">
        <v>1071</v>
      </c>
      <c r="M615" t="s">
        <v>4490</v>
      </c>
      <c r="N615" t="s">
        <v>5121</v>
      </c>
      <c r="O615" t="str" cm="1">
        <f t="array" ref="O615">_xlfn.IFS(
  TEXT(TRIM(N615),"00000")="NULL", "Missing/Unknown",
  OR(TEXT(TRIM(N615),"00000")="89101", TEXT(TRIM(N615),"00000")="89104", TEXT(TRIM(N615),"00000")="89106", TEXT(TRIM(N615),"00000")="89102", TEXT(TRIM(N615),"00000")="89107", TEXT(TRIM(N615),"00000")="89108"), "Urban Core",
  OR(TEXT(TRIM(N615),"00000")="89110", TEXT(TRIM(N615),"00000")="89115", TEXT(TRIM(N615),"00000")="89121", TEXT(TRIM(N615),"00000")="89122", TEXT(TRIM(N615),"00000")="89142", TEXT(TRIM(N615),"00000")="89156"), "East Valley",
  OR(TEXT(TRIM(N615),"00000")="89030", TEXT(TRIM(N615),"00000")="89031", TEXT(TRIM(N615),"00000")="89032", TEXT(TRIM(N615),"00000")="89086", TEXT(TRIM(N615),"00000")="89084", TEXT(TRIM(N615),"00000")="89081"), "North LV",
  OR(TEXT(TRIM(N615),"00000")="89109", TEXT(TRIM(N615),"00000")="89103", TEXT(TRIM(N615),"00000")="89119", TEXT(TRIM(N615),"00000")="89123", TEXT(TRIM(N615),"00000")="89169", TEXT(TRIM(N615),"00000")="89118"), "South/Strip",
  OR(TEXT(TRIM(N615),"00000")="89074", TEXT(TRIM(N615),"00000")="89014", TEXT(TRIM(N615),"00000")="89015", TEXT(TRIM(N615),"00000")="89011", TEXT(TRIM(N615),"00000")="89012"), "Suburban SE",
  OR(TEXT(TRIM(N615),"00000")="89117", TEXT(TRIM(N615),"00000")="89128", TEXT(TRIM(N615),"00000")="89135", TEXT(TRIM(N615),"00000")="89144", TEXT(TRIM(N615),"00000")="89145", TEXT(TRIM(N615),"00000")="89147"), "West Valley",
  TRUE, "Other"
)</f>
        <v>East Valley</v>
      </c>
      <c r="P615" t="s">
        <v>38</v>
      </c>
      <c r="Q615" t="str">
        <f t="shared" si="38"/>
        <v>Home/Residence</v>
      </c>
      <c r="R615" t="s">
        <v>4490</v>
      </c>
      <c r="S615" t="s">
        <v>5121</v>
      </c>
      <c r="T615" t="str" cm="1">
        <f t="array" ref="T615">_xlfn.IFS(
  TEXT(TRIM(S615),"00000")="NULL", "Missing/Unknown",
  OR(TEXT(TRIM(S615),"00000")="89101", TEXT(TRIM(S615),"00000")="89104", TEXT(TRIM(S615),"00000")="89106", TEXT(TRIM(S615),"00000")="89102", TEXT(TRIM(S615),"00000")="89107", TEXT(TRIM(S615),"00000")="89108"), "Urban Core",
  OR(TEXT(TRIM(S615),"00000")="89110", TEXT(TRIM(S615),"00000")="89115", TEXT(TRIM(S615),"00000")="89121", TEXT(TRIM(S615),"00000")="89122", TEXT(TRIM(S615),"00000")="89142", TEXT(TRIM(S615),"00000")="89156"), "East Valley",
  OR(TEXT(TRIM(S615),"00000")="89030", TEXT(TRIM(S615),"00000")="89031", TEXT(TRIM(S615),"00000")="89032", TEXT(TRIM(S615),"00000")="89086", TEXT(TRIM(S615),"00000")="89084", TEXT(TRIM(S615),"00000")="89081"), "North LV",
  OR(TEXT(TRIM(S615),"00000")="89109", TEXT(TRIM(S615),"00000")="89103", TEXT(TRIM(S615),"00000")="89119", TEXT(TRIM(S615),"00000")="89123", TEXT(TRIM(S615),"00000")="89169", TEXT(TRIM(S615),"00000")="89118"), "South/Strip",
  OR(TEXT(TRIM(S615),"00000")="89074", TEXT(TRIM(S615),"00000")="89014", TEXT(TRIM(S615),"00000")="89015", TEXT(TRIM(S615),"00000")="89011", TEXT(TRIM(S615),"00000")="89012"), "Suburban SE",
  OR(TEXT(TRIM(S615),"00000")="89117", TEXT(TRIM(S615),"00000")="89128", TEXT(TRIM(S615),"00000")="89135", TEXT(TRIM(S615),"00000")="89144", TEXT(TRIM(S615),"00000")="89145", TEXT(TRIM(S615),"00000")="89147"), "West Valley",
  TRUE, "Other"
)</f>
        <v>East Valley</v>
      </c>
      <c r="U615" t="s">
        <v>38</v>
      </c>
      <c r="V615" t="str">
        <f t="shared" si="39"/>
        <v>Home/Residence</v>
      </c>
    </row>
    <row r="616" spans="1:22">
      <c r="A616" t="s">
        <v>565</v>
      </c>
      <c r="B616" t="s">
        <v>566</v>
      </c>
      <c r="C616" s="1">
        <v>45129</v>
      </c>
      <c r="D616" s="4">
        <v>114.98</v>
      </c>
      <c r="E616">
        <v>60</v>
      </c>
      <c r="F616" t="str">
        <f t="shared" si="36"/>
        <v>60's</v>
      </c>
      <c r="G616" t="str" cm="1">
        <f t="array" ref="G616">_xlfn.IFS(
  F616="10's", "Child (5–12)",
  OR(F616="20's", F616="30's"), "Young Adult (20–39)",
  OR(F616="40's", F616="50's"), "Adult (40–59)",
  OR(F616="60's", F616="70's", F616="80's", F616="90's"), "Senior (60+)",
  TRUE, "Unknown"
)</f>
        <v>Senior (60+)</v>
      </c>
      <c r="H616" t="s">
        <v>841</v>
      </c>
      <c r="I616" t="s">
        <v>54</v>
      </c>
      <c r="J616" t="str">
        <f t="shared" si="37"/>
        <v>Environmental Heat</v>
      </c>
      <c r="K616" t="s">
        <v>379</v>
      </c>
      <c r="L616" t="s">
        <v>250</v>
      </c>
      <c r="M616" t="s">
        <v>4977</v>
      </c>
      <c r="N616" t="s">
        <v>5115</v>
      </c>
      <c r="O616" t="str" cm="1">
        <f t="array" ref="O616">_xlfn.IFS(
  TEXT(TRIM(N616),"00000")="NULL", "Missing/Unknown",
  OR(TEXT(TRIM(N616),"00000")="89101", TEXT(TRIM(N616),"00000")="89104", TEXT(TRIM(N616),"00000")="89106", TEXT(TRIM(N616),"00000")="89102", TEXT(TRIM(N616),"00000")="89107", TEXT(TRIM(N616),"00000")="89108"), "Urban Core",
  OR(TEXT(TRIM(N616),"00000")="89110", TEXT(TRIM(N616),"00000")="89115", TEXT(TRIM(N616),"00000")="89121", TEXT(TRIM(N616),"00000")="89122", TEXT(TRIM(N616),"00000")="89142", TEXT(TRIM(N616),"00000")="89156"), "East Valley",
  OR(TEXT(TRIM(N616),"00000")="89030", TEXT(TRIM(N616),"00000")="89031", TEXT(TRIM(N616),"00000")="89032", TEXT(TRIM(N616),"00000")="89086", TEXT(TRIM(N616),"00000")="89084", TEXT(TRIM(N616),"00000")="89081"), "North LV",
  OR(TEXT(TRIM(N616),"00000")="89109", TEXT(TRIM(N616),"00000")="89103", TEXT(TRIM(N616),"00000")="89119", TEXT(TRIM(N616),"00000")="89123", TEXT(TRIM(N616),"00000")="89169", TEXT(TRIM(N616),"00000")="89118"), "South/Strip",
  OR(TEXT(TRIM(N616),"00000")="89074", TEXT(TRIM(N616),"00000")="89014", TEXT(TRIM(N616),"00000")="89015", TEXT(TRIM(N616),"00000")="89011", TEXT(TRIM(N616),"00000")="89012"), "Suburban SE",
  OR(TEXT(TRIM(N616),"00000")="89117", TEXT(TRIM(N616),"00000")="89128", TEXT(TRIM(N616),"00000")="89135", TEXT(TRIM(N616),"00000")="89144", TEXT(TRIM(N616),"00000")="89145", TEXT(TRIM(N616),"00000")="89147"), "West Valley",
  TRUE, "Other"
)</f>
        <v>Other</v>
      </c>
      <c r="P616" t="s">
        <v>65</v>
      </c>
      <c r="Q616" t="str">
        <f t="shared" si="38"/>
        <v>Vehicle-related</v>
      </c>
      <c r="R616" t="s">
        <v>4977</v>
      </c>
      <c r="S616" t="s">
        <v>5115</v>
      </c>
      <c r="T616" t="str" cm="1">
        <f t="array" ref="T616">_xlfn.IFS(
  TEXT(TRIM(S616),"00000")="NULL", "Missing/Unknown",
  OR(TEXT(TRIM(S616),"00000")="89101", TEXT(TRIM(S616),"00000")="89104", TEXT(TRIM(S616),"00000")="89106", TEXT(TRIM(S616),"00000")="89102", TEXT(TRIM(S616),"00000")="89107", TEXT(TRIM(S616),"00000")="89108"), "Urban Core",
  OR(TEXT(TRIM(S616),"00000")="89110", TEXT(TRIM(S616),"00000")="89115", TEXT(TRIM(S616),"00000")="89121", TEXT(TRIM(S616),"00000")="89122", TEXT(TRIM(S616),"00000")="89142", TEXT(TRIM(S616),"00000")="89156"), "East Valley",
  OR(TEXT(TRIM(S616),"00000")="89030", TEXT(TRIM(S616),"00000")="89031", TEXT(TRIM(S616),"00000")="89032", TEXT(TRIM(S616),"00000")="89086", TEXT(TRIM(S616),"00000")="89084", TEXT(TRIM(S616),"00000")="89081"), "North LV",
  OR(TEXT(TRIM(S616),"00000")="89109", TEXT(TRIM(S616),"00000")="89103", TEXT(TRIM(S616),"00000")="89119", TEXT(TRIM(S616),"00000")="89123", TEXT(TRIM(S616),"00000")="89169", TEXT(TRIM(S616),"00000")="89118"), "South/Strip",
  OR(TEXT(TRIM(S616),"00000")="89074", TEXT(TRIM(S616),"00000")="89014", TEXT(TRIM(S616),"00000")="89015", TEXT(TRIM(S616),"00000")="89011", TEXT(TRIM(S616),"00000")="89012"), "Suburban SE",
  OR(TEXT(TRIM(S616),"00000")="89117", TEXT(TRIM(S616),"00000")="89128", TEXT(TRIM(S616),"00000")="89135", TEXT(TRIM(S616),"00000")="89144", TEXT(TRIM(S616),"00000")="89145", TEXT(TRIM(S616),"00000")="89147"), "West Valley",
  TRUE, "Other"
)</f>
        <v>Other</v>
      </c>
      <c r="U616" t="s">
        <v>65</v>
      </c>
      <c r="V616" t="str">
        <f t="shared" si="39"/>
        <v>Vehicle-related</v>
      </c>
    </row>
    <row r="617" spans="1:22">
      <c r="A617" t="s">
        <v>584</v>
      </c>
      <c r="B617" t="s">
        <v>585</v>
      </c>
      <c r="C617" s="1">
        <v>45129</v>
      </c>
      <c r="D617" s="4">
        <v>114.98</v>
      </c>
      <c r="E617">
        <v>49</v>
      </c>
      <c r="F617" t="str">
        <f t="shared" si="36"/>
        <v>40's</v>
      </c>
      <c r="G617" t="str" cm="1">
        <f t="array" ref="G617">_xlfn.IFS(
  F617="10's", "Child (5–12)",
  OR(F617="20's", F617="30's"), "Young Adult (20–39)",
  OR(F617="40's", F617="50's"), "Adult (40–59)",
  OR(F617="60's", F617="70's", F617="80's", F617="90's"), "Senior (60+)",
  TRUE, "Unknown"
)</f>
        <v>Adult (40–59)</v>
      </c>
      <c r="H617" t="s">
        <v>778</v>
      </c>
      <c r="I617" t="s">
        <v>172</v>
      </c>
      <c r="J617" t="str">
        <f t="shared" si="37"/>
        <v>Methamphetamine-related</v>
      </c>
      <c r="K617" t="s">
        <v>97</v>
      </c>
      <c r="L617" t="s">
        <v>250</v>
      </c>
      <c r="M617" t="s">
        <v>4516</v>
      </c>
      <c r="N617" t="s">
        <v>5101</v>
      </c>
      <c r="O617" t="str" cm="1">
        <f t="array" ref="O617">_xlfn.IFS(
  TEXT(TRIM(N617),"00000")="NULL", "Missing/Unknown",
  OR(TEXT(TRIM(N617),"00000")="89101", TEXT(TRIM(N617),"00000")="89104", TEXT(TRIM(N617),"00000")="89106", TEXT(TRIM(N617),"00000")="89102", TEXT(TRIM(N617),"00000")="89107", TEXT(TRIM(N617),"00000")="89108"), "Urban Core",
  OR(TEXT(TRIM(N617),"00000")="89110", TEXT(TRIM(N617),"00000")="89115", TEXT(TRIM(N617),"00000")="89121", TEXT(TRIM(N617),"00000")="89122", TEXT(TRIM(N617),"00000")="89142", TEXT(TRIM(N617),"00000")="89156"), "East Valley",
  OR(TEXT(TRIM(N617),"00000")="89030", TEXT(TRIM(N617),"00000")="89031", TEXT(TRIM(N617),"00000")="89032", TEXT(TRIM(N617),"00000")="89086", TEXT(TRIM(N617),"00000")="89084", TEXT(TRIM(N617),"00000")="89081"), "North LV",
  OR(TEXT(TRIM(N617),"00000")="89109", TEXT(TRIM(N617),"00000")="89103", TEXT(TRIM(N617),"00000")="89119", TEXT(TRIM(N617),"00000")="89123", TEXT(TRIM(N617),"00000")="89169", TEXT(TRIM(N617),"00000")="89118"), "South/Strip",
  OR(TEXT(TRIM(N617),"00000")="89074", TEXT(TRIM(N617),"00000")="89014", TEXT(TRIM(N617),"00000")="89015", TEXT(TRIM(N617),"00000")="89011", TEXT(TRIM(N617),"00000")="89012"), "Suburban SE",
  OR(TEXT(TRIM(N617),"00000")="89117", TEXT(TRIM(N617),"00000")="89128", TEXT(TRIM(N617),"00000")="89135", TEXT(TRIM(N617),"00000")="89144", TEXT(TRIM(N617),"00000")="89145", TEXT(TRIM(N617),"00000")="89147"), "West Valley",
  TRUE, "Other"
)</f>
        <v>Urban Core</v>
      </c>
      <c r="P617" t="s">
        <v>132</v>
      </c>
      <c r="Q617" t="str">
        <f t="shared" si="38"/>
        <v>Outdoors/Public</v>
      </c>
      <c r="R617" t="s">
        <v>4713</v>
      </c>
      <c r="S617" t="s">
        <v>5125</v>
      </c>
      <c r="T617" t="str" cm="1">
        <f t="array" ref="T617">_xlfn.IFS(
  TEXT(TRIM(S617),"00000")="NULL", "Missing/Unknown",
  OR(TEXT(TRIM(S617),"00000")="89101", TEXT(TRIM(S617),"00000")="89104", TEXT(TRIM(S617),"00000")="89106", TEXT(TRIM(S617),"00000")="89102", TEXT(TRIM(S617),"00000")="89107", TEXT(TRIM(S617),"00000")="89108"), "Urban Core",
  OR(TEXT(TRIM(S617),"00000")="89110", TEXT(TRIM(S617),"00000")="89115", TEXT(TRIM(S617),"00000")="89121", TEXT(TRIM(S617),"00000")="89122", TEXT(TRIM(S617),"00000")="89142", TEXT(TRIM(S617),"00000")="89156"), "East Valley",
  OR(TEXT(TRIM(S617),"00000")="89030", TEXT(TRIM(S617),"00000")="89031", TEXT(TRIM(S617),"00000")="89032", TEXT(TRIM(S617),"00000")="89086", TEXT(TRIM(S617),"00000")="89084", TEXT(TRIM(S617),"00000")="89081"), "North LV",
  OR(TEXT(TRIM(S617),"00000")="89109", TEXT(TRIM(S617),"00000")="89103", TEXT(TRIM(S617),"00000")="89119", TEXT(TRIM(S617),"00000")="89123", TEXT(TRIM(S617),"00000")="89169", TEXT(TRIM(S617),"00000")="89118"), "South/Strip",
  OR(TEXT(TRIM(S617),"00000")="89074", TEXT(TRIM(S617),"00000")="89014", TEXT(TRIM(S617),"00000")="89015", TEXT(TRIM(S617),"00000")="89011", TEXT(TRIM(S617),"00000")="89012"), "Suburban SE",
  OR(TEXT(TRIM(S617),"00000")="89117", TEXT(TRIM(S617),"00000")="89128", TEXT(TRIM(S617),"00000")="89135", TEXT(TRIM(S617),"00000")="89144", TEXT(TRIM(S617),"00000")="89145", TEXT(TRIM(S617),"00000")="89147"), "West Valley",
  TRUE, "Other"
)</f>
        <v>South/Strip</v>
      </c>
      <c r="U617" t="s">
        <v>4301</v>
      </c>
      <c r="V617" t="str">
        <f t="shared" si="39"/>
        <v>Medical Facility</v>
      </c>
    </row>
    <row r="618" spans="1:22">
      <c r="A618" t="s">
        <v>587</v>
      </c>
      <c r="B618" t="s">
        <v>588</v>
      </c>
      <c r="C618" s="1">
        <v>45129</v>
      </c>
      <c r="D618" s="4">
        <v>114.98</v>
      </c>
      <c r="E618">
        <v>54</v>
      </c>
      <c r="F618" t="str">
        <f t="shared" si="36"/>
        <v>50's</v>
      </c>
      <c r="G618" t="str" cm="1">
        <f t="array" ref="G618">_xlfn.IFS(
  F618="10's", "Child (5–12)",
  OR(F618="20's", F618="30's"), "Young Adult (20–39)",
  OR(F618="40's", F618="50's"), "Adult (40–59)",
  OR(F618="60's", F618="70's", F618="80's", F618="90's"), "Senior (60+)",
  TRUE, "Unknown"
)</f>
        <v>Adult (40–59)</v>
      </c>
      <c r="H618" t="s">
        <v>841</v>
      </c>
      <c r="I618" t="s">
        <v>172</v>
      </c>
      <c r="J618" t="str">
        <f t="shared" si="37"/>
        <v>Methamphetamine-related</v>
      </c>
      <c r="K618" t="s">
        <v>97</v>
      </c>
      <c r="L618" t="s">
        <v>250</v>
      </c>
      <c r="M618" t="s">
        <v>4517</v>
      </c>
      <c r="N618" t="s">
        <v>5108</v>
      </c>
      <c r="O618" t="str" cm="1">
        <f t="array" ref="O618">_xlfn.IFS(
  TEXT(TRIM(N618),"00000")="NULL", "Missing/Unknown",
  OR(TEXT(TRIM(N618),"00000")="89101", TEXT(TRIM(N618),"00000")="89104", TEXT(TRIM(N618),"00000")="89106", TEXT(TRIM(N618),"00000")="89102", TEXT(TRIM(N618),"00000")="89107", TEXT(TRIM(N618),"00000")="89108"), "Urban Core",
  OR(TEXT(TRIM(N618),"00000")="89110", TEXT(TRIM(N618),"00000")="89115", TEXT(TRIM(N618),"00000")="89121", TEXT(TRIM(N618),"00000")="89122", TEXT(TRIM(N618),"00000")="89142", TEXT(TRIM(N618),"00000")="89156"), "East Valley",
  OR(TEXT(TRIM(N618),"00000")="89030", TEXT(TRIM(N618),"00000")="89031", TEXT(TRIM(N618),"00000")="89032", TEXT(TRIM(N618),"00000")="89086", TEXT(TRIM(N618),"00000")="89084", TEXT(TRIM(N618),"00000")="89081"), "North LV",
  OR(TEXT(TRIM(N618),"00000")="89109", TEXT(TRIM(N618),"00000")="89103", TEXT(TRIM(N618),"00000")="89119", TEXT(TRIM(N618),"00000")="89123", TEXT(TRIM(N618),"00000")="89169", TEXT(TRIM(N618),"00000")="89118"), "South/Strip",
  OR(TEXT(TRIM(N618),"00000")="89074", TEXT(TRIM(N618),"00000")="89014", TEXT(TRIM(N618),"00000")="89015", TEXT(TRIM(N618),"00000")="89011", TEXT(TRIM(N618),"00000")="89012"), "Suburban SE",
  OR(TEXT(TRIM(N618),"00000")="89117", TEXT(TRIM(N618),"00000")="89128", TEXT(TRIM(N618),"00000")="89135", TEXT(TRIM(N618),"00000")="89144", TEXT(TRIM(N618),"00000")="89145", TEXT(TRIM(N618),"00000")="89147"), "West Valley",
  TRUE, "Other"
)</f>
        <v>East Valley</v>
      </c>
      <c r="P618" t="s">
        <v>132</v>
      </c>
      <c r="Q618" t="str">
        <f t="shared" si="38"/>
        <v>Outdoors/Public</v>
      </c>
      <c r="R618" t="s">
        <v>4713</v>
      </c>
      <c r="S618" t="s">
        <v>5125</v>
      </c>
      <c r="T618" t="str" cm="1">
        <f t="array" ref="T618">_xlfn.IFS(
  TEXT(TRIM(S618),"00000")="NULL", "Missing/Unknown",
  OR(TEXT(TRIM(S618),"00000")="89101", TEXT(TRIM(S618),"00000")="89104", TEXT(TRIM(S618),"00000")="89106", TEXT(TRIM(S618),"00000")="89102", TEXT(TRIM(S618),"00000")="89107", TEXT(TRIM(S618),"00000")="89108"), "Urban Core",
  OR(TEXT(TRIM(S618),"00000")="89110", TEXT(TRIM(S618),"00000")="89115", TEXT(TRIM(S618),"00000")="89121", TEXT(TRIM(S618),"00000")="89122", TEXT(TRIM(S618),"00000")="89142", TEXT(TRIM(S618),"00000")="89156"), "East Valley",
  OR(TEXT(TRIM(S618),"00000")="89030", TEXT(TRIM(S618),"00000")="89031", TEXT(TRIM(S618),"00000")="89032", TEXT(TRIM(S618),"00000")="89086", TEXT(TRIM(S618),"00000")="89084", TEXT(TRIM(S618),"00000")="89081"), "North LV",
  OR(TEXT(TRIM(S618),"00000")="89109", TEXT(TRIM(S618),"00000")="89103", TEXT(TRIM(S618),"00000")="89119", TEXT(TRIM(S618),"00000")="89123", TEXT(TRIM(S618),"00000")="89169", TEXT(TRIM(S618),"00000")="89118"), "South/Strip",
  OR(TEXT(TRIM(S618),"00000")="89074", TEXT(TRIM(S618),"00000")="89014", TEXT(TRIM(S618),"00000")="89015", TEXT(TRIM(S618),"00000")="89011", TEXT(TRIM(S618),"00000")="89012"), "Suburban SE",
  OR(TEXT(TRIM(S618),"00000")="89117", TEXT(TRIM(S618),"00000")="89128", TEXT(TRIM(S618),"00000")="89135", TEXT(TRIM(S618),"00000")="89144", TEXT(TRIM(S618),"00000")="89145", TEXT(TRIM(S618),"00000")="89147"), "West Valley",
  TRUE, "Other"
)</f>
        <v>South/Strip</v>
      </c>
      <c r="U618" t="s">
        <v>4301</v>
      </c>
      <c r="V618" t="str">
        <f t="shared" si="39"/>
        <v>Medical Facility</v>
      </c>
    </row>
    <row r="619" spans="1:22">
      <c r="A619" t="s">
        <v>568</v>
      </c>
      <c r="B619" t="s">
        <v>569</v>
      </c>
      <c r="C619" s="1">
        <v>45129</v>
      </c>
      <c r="D619" s="4">
        <v>114.98</v>
      </c>
      <c r="E619">
        <v>52</v>
      </c>
      <c r="F619" t="str">
        <f t="shared" si="36"/>
        <v>50's</v>
      </c>
      <c r="G619" t="str" cm="1">
        <f t="array" ref="G619">_xlfn.IFS(
  F619="10's", "Child (5–12)",
  OR(F619="20's", F619="30's"), "Young Adult (20–39)",
  OR(F619="40's", F619="50's"), "Adult (40–59)",
  OR(F619="60's", F619="70's", F619="80's", F619="90's"), "Senior (60+)",
  TRUE, "Unknown"
)</f>
        <v>Adult (40–59)</v>
      </c>
      <c r="H619" t="s">
        <v>841</v>
      </c>
      <c r="I619" t="s">
        <v>570</v>
      </c>
      <c r="J619" t="str">
        <f t="shared" si="37"/>
        <v>Other / Unknown</v>
      </c>
      <c r="K619" t="s">
        <v>54</v>
      </c>
      <c r="L619" t="s">
        <v>250</v>
      </c>
      <c r="M619" t="s">
        <v>4752</v>
      </c>
      <c r="N619" t="s">
        <v>5100</v>
      </c>
      <c r="O619" t="str" cm="1">
        <f t="array" ref="O619">_xlfn.IFS(
  TEXT(TRIM(N619),"00000")="NULL", "Missing/Unknown",
  OR(TEXT(TRIM(N619),"00000")="89101", TEXT(TRIM(N619),"00000")="89104", TEXT(TRIM(N619),"00000")="89106", TEXT(TRIM(N619),"00000")="89102", TEXT(TRIM(N619),"00000")="89107", TEXT(TRIM(N619),"00000")="89108"), "Urban Core",
  OR(TEXT(TRIM(N619),"00000")="89110", TEXT(TRIM(N619),"00000")="89115", TEXT(TRIM(N619),"00000")="89121", TEXT(TRIM(N619),"00000")="89122", TEXT(TRIM(N619),"00000")="89142", TEXT(TRIM(N619),"00000")="89156"), "East Valley",
  OR(TEXT(TRIM(N619),"00000")="89030", TEXT(TRIM(N619),"00000")="89031", TEXT(TRIM(N619),"00000")="89032", TEXT(TRIM(N619),"00000")="89086", TEXT(TRIM(N619),"00000")="89084", TEXT(TRIM(N619),"00000")="89081"), "North LV",
  OR(TEXT(TRIM(N619),"00000")="89109", TEXT(TRIM(N619),"00000")="89103", TEXT(TRIM(N619),"00000")="89119", TEXT(TRIM(N619),"00000")="89123", TEXT(TRIM(N619),"00000")="89169", TEXT(TRIM(N619),"00000")="89118"), "South/Strip",
  OR(TEXT(TRIM(N619),"00000")="89074", TEXT(TRIM(N619),"00000")="89014", TEXT(TRIM(N619),"00000")="89015", TEXT(TRIM(N619),"00000")="89011", TEXT(TRIM(N619),"00000")="89012"), "Suburban SE",
  OR(TEXT(TRIM(N619),"00000")="89117", TEXT(TRIM(N619),"00000")="89128", TEXT(TRIM(N619),"00000")="89135", TEXT(TRIM(N619),"00000")="89144", TEXT(TRIM(N619),"00000")="89145", TEXT(TRIM(N619),"00000")="89147"), "West Valley",
  TRUE, "Other"
)</f>
        <v>North LV</v>
      </c>
      <c r="P619" t="s">
        <v>3298</v>
      </c>
      <c r="Q619" t="str">
        <f t="shared" si="38"/>
        <v>Outdoors/Public</v>
      </c>
      <c r="R619" t="s">
        <v>4752</v>
      </c>
      <c r="S619" t="s">
        <v>5100</v>
      </c>
      <c r="T619" t="str" cm="1">
        <f t="array" ref="T619">_xlfn.IFS(
  TEXT(TRIM(S619),"00000")="NULL", "Missing/Unknown",
  OR(TEXT(TRIM(S619),"00000")="89101", TEXT(TRIM(S619),"00000")="89104", TEXT(TRIM(S619),"00000")="89106", TEXT(TRIM(S619),"00000")="89102", TEXT(TRIM(S619),"00000")="89107", TEXT(TRIM(S619),"00000")="89108"), "Urban Core",
  OR(TEXT(TRIM(S619),"00000")="89110", TEXT(TRIM(S619),"00000")="89115", TEXT(TRIM(S619),"00000")="89121", TEXT(TRIM(S619),"00000")="89122", TEXT(TRIM(S619),"00000")="89142", TEXT(TRIM(S619),"00000")="89156"), "East Valley",
  OR(TEXT(TRIM(S619),"00000")="89030", TEXT(TRIM(S619),"00000")="89031", TEXT(TRIM(S619),"00000")="89032", TEXT(TRIM(S619),"00000")="89086", TEXT(TRIM(S619),"00000")="89084", TEXT(TRIM(S619),"00000")="89081"), "North LV",
  OR(TEXT(TRIM(S619),"00000")="89109", TEXT(TRIM(S619),"00000")="89103", TEXT(TRIM(S619),"00000")="89119", TEXT(TRIM(S619),"00000")="89123", TEXT(TRIM(S619),"00000")="89169", TEXT(TRIM(S619),"00000")="89118"), "South/Strip",
  OR(TEXT(TRIM(S619),"00000")="89074", TEXT(TRIM(S619),"00000")="89014", TEXT(TRIM(S619),"00000")="89015", TEXT(TRIM(S619),"00000")="89011", TEXT(TRIM(S619),"00000")="89012"), "Suburban SE",
  OR(TEXT(TRIM(S619),"00000")="89117", TEXT(TRIM(S619),"00000")="89128", TEXT(TRIM(S619),"00000")="89135", TEXT(TRIM(S619),"00000")="89144", TEXT(TRIM(S619),"00000")="89145", TEXT(TRIM(S619),"00000")="89147"), "West Valley",
  TRUE, "Other"
)</f>
        <v>North LV</v>
      </c>
      <c r="U619" t="s">
        <v>3298</v>
      </c>
      <c r="V619" t="str">
        <f t="shared" si="39"/>
        <v>Outdoors/Public</v>
      </c>
    </row>
    <row r="620" spans="1:22">
      <c r="A620" t="s">
        <v>580</v>
      </c>
      <c r="B620" t="s">
        <v>581</v>
      </c>
      <c r="C620" s="1">
        <v>45129</v>
      </c>
      <c r="D620" s="4">
        <v>114.98</v>
      </c>
      <c r="E620">
        <v>62</v>
      </c>
      <c r="F620" t="str">
        <f t="shared" si="36"/>
        <v>60's</v>
      </c>
      <c r="G620" t="str" cm="1">
        <f t="array" ref="G620">_xlfn.IFS(
  F620="10's", "Child (5–12)",
  OR(F620="20's", F620="30's"), "Young Adult (20–39)",
  OR(F620="40's", F620="50's"), "Adult (40–59)",
  OR(F620="60's", F620="70's", F620="80's", F620="90's"), "Senior (60+)",
  TRUE, "Unknown"
)</f>
        <v>Senior (60+)</v>
      </c>
      <c r="H620" t="s">
        <v>27</v>
      </c>
      <c r="I620" t="s">
        <v>4132</v>
      </c>
      <c r="J620" t="str">
        <f t="shared" si="37"/>
        <v>Ethanol-related</v>
      </c>
      <c r="K620" t="s">
        <v>54</v>
      </c>
      <c r="L620" t="s">
        <v>1071</v>
      </c>
      <c r="M620" t="s">
        <v>4754</v>
      </c>
      <c r="N620" t="s">
        <v>5123</v>
      </c>
      <c r="O620" t="str" cm="1">
        <f t="array" ref="O620">_xlfn.IFS(
  TEXT(TRIM(N620),"00000")="NULL", "Missing/Unknown",
  OR(TEXT(TRIM(N620),"00000")="89101", TEXT(TRIM(N620),"00000")="89104", TEXT(TRIM(N620),"00000")="89106", TEXT(TRIM(N620),"00000")="89102", TEXT(TRIM(N620),"00000")="89107", TEXT(TRIM(N620),"00000")="89108"), "Urban Core",
  OR(TEXT(TRIM(N620),"00000")="89110", TEXT(TRIM(N620),"00000")="89115", TEXT(TRIM(N620),"00000")="89121", TEXT(TRIM(N620),"00000")="89122", TEXT(TRIM(N620),"00000")="89142", TEXT(TRIM(N620),"00000")="89156"), "East Valley",
  OR(TEXT(TRIM(N620),"00000")="89030", TEXT(TRIM(N620),"00000")="89031", TEXT(TRIM(N620),"00000")="89032", TEXT(TRIM(N620),"00000")="89086", TEXT(TRIM(N620),"00000")="89084", TEXT(TRIM(N620),"00000")="89081"), "North LV",
  OR(TEXT(TRIM(N620),"00000")="89109", TEXT(TRIM(N620),"00000")="89103", TEXT(TRIM(N620),"00000")="89119", TEXT(TRIM(N620),"00000")="89123", TEXT(TRIM(N620),"00000")="89169", TEXT(TRIM(N620),"00000")="89118"), "South/Strip",
  OR(TEXT(TRIM(N620),"00000")="89074", TEXT(TRIM(N620),"00000")="89014", TEXT(TRIM(N620),"00000")="89015", TEXT(TRIM(N620),"00000")="89011", TEXT(TRIM(N620),"00000")="89012"), "Suburban SE",
  OR(TEXT(TRIM(N620),"00000")="89117", TEXT(TRIM(N620),"00000")="89128", TEXT(TRIM(N620),"00000")="89135", TEXT(TRIM(N620),"00000")="89144", TEXT(TRIM(N620),"00000")="89145", TEXT(TRIM(N620),"00000")="89147"), "West Valley",
  TRUE, "Other"
)</f>
        <v>South/Strip</v>
      </c>
      <c r="P620" t="s">
        <v>3298</v>
      </c>
      <c r="Q620" t="str">
        <f t="shared" si="38"/>
        <v>Outdoors/Public</v>
      </c>
      <c r="R620" t="s">
        <v>4754</v>
      </c>
      <c r="S620" t="s">
        <v>5123</v>
      </c>
      <c r="T620" t="str" cm="1">
        <f t="array" ref="T620">_xlfn.IFS(
  TEXT(TRIM(S620),"00000")="NULL", "Missing/Unknown",
  OR(TEXT(TRIM(S620),"00000")="89101", TEXT(TRIM(S620),"00000")="89104", TEXT(TRIM(S620),"00000")="89106", TEXT(TRIM(S620),"00000")="89102", TEXT(TRIM(S620),"00000")="89107", TEXT(TRIM(S620),"00000")="89108"), "Urban Core",
  OR(TEXT(TRIM(S620),"00000")="89110", TEXT(TRIM(S620),"00000")="89115", TEXT(TRIM(S620),"00000")="89121", TEXT(TRIM(S620),"00000")="89122", TEXT(TRIM(S620),"00000")="89142", TEXT(TRIM(S620),"00000")="89156"), "East Valley",
  OR(TEXT(TRIM(S620),"00000")="89030", TEXT(TRIM(S620),"00000")="89031", TEXT(TRIM(S620),"00000")="89032", TEXT(TRIM(S620),"00000")="89086", TEXT(TRIM(S620),"00000")="89084", TEXT(TRIM(S620),"00000")="89081"), "North LV",
  OR(TEXT(TRIM(S620),"00000")="89109", TEXT(TRIM(S620),"00000")="89103", TEXT(TRIM(S620),"00000")="89119", TEXT(TRIM(S620),"00000")="89123", TEXT(TRIM(S620),"00000")="89169", TEXT(TRIM(S620),"00000")="89118"), "South/Strip",
  OR(TEXT(TRIM(S620),"00000")="89074", TEXT(TRIM(S620),"00000")="89014", TEXT(TRIM(S620),"00000")="89015", TEXT(TRIM(S620),"00000")="89011", TEXT(TRIM(S620),"00000")="89012"), "Suburban SE",
  OR(TEXT(TRIM(S620),"00000")="89117", TEXT(TRIM(S620),"00000")="89128", TEXT(TRIM(S620),"00000")="89135", TEXT(TRIM(S620),"00000")="89144", TEXT(TRIM(S620),"00000")="89145", TEXT(TRIM(S620),"00000")="89147"), "West Valley",
  TRUE, "Other"
)</f>
        <v>South/Strip</v>
      </c>
      <c r="U620" t="s">
        <v>3298</v>
      </c>
      <c r="V620" t="str">
        <f t="shared" si="39"/>
        <v>Outdoors/Public</v>
      </c>
    </row>
    <row r="621" spans="1:22">
      <c r="A621" t="s">
        <v>607</v>
      </c>
      <c r="B621" t="s">
        <v>608</v>
      </c>
      <c r="C621" s="1">
        <v>45129</v>
      </c>
      <c r="D621" s="4">
        <v>114.98</v>
      </c>
      <c r="E621">
        <v>59</v>
      </c>
      <c r="F621" t="str">
        <f t="shared" si="36"/>
        <v>50's</v>
      </c>
      <c r="G621" t="str" cm="1">
        <f t="array" ref="G621">_xlfn.IFS(
  F621="10's", "Child (5–12)",
  OR(F621="20's", F621="30's"), "Young Adult (20–39)",
  OR(F621="40's", F621="50's"), "Adult (40–59)",
  OR(F621="60's", F621="70's", F621="80's", F621="90's"), "Senior (60+)",
  TRUE, "Unknown"
)</f>
        <v>Adult (40–59)</v>
      </c>
      <c r="H621" t="s">
        <v>27</v>
      </c>
      <c r="I621" t="s">
        <v>4088</v>
      </c>
      <c r="J621" t="str">
        <f t="shared" si="37"/>
        <v>Methamphetamine-related</v>
      </c>
      <c r="K621" t="s">
        <v>54</v>
      </c>
      <c r="L621" t="s">
        <v>250</v>
      </c>
      <c r="M621" t="s">
        <v>4757</v>
      </c>
      <c r="N621" t="s">
        <v>5123</v>
      </c>
      <c r="O621" t="str" cm="1">
        <f t="array" ref="O621">_xlfn.IFS(
  TEXT(TRIM(N621),"00000")="NULL", "Missing/Unknown",
  OR(TEXT(TRIM(N621),"00000")="89101", TEXT(TRIM(N621),"00000")="89104", TEXT(TRIM(N621),"00000")="89106", TEXT(TRIM(N621),"00000")="89102", TEXT(TRIM(N621),"00000")="89107", TEXT(TRIM(N621),"00000")="89108"), "Urban Core",
  OR(TEXT(TRIM(N621),"00000")="89110", TEXT(TRIM(N621),"00000")="89115", TEXT(TRIM(N621),"00000")="89121", TEXT(TRIM(N621),"00000")="89122", TEXT(TRIM(N621),"00000")="89142", TEXT(TRIM(N621),"00000")="89156"), "East Valley",
  OR(TEXT(TRIM(N621),"00000")="89030", TEXT(TRIM(N621),"00000")="89031", TEXT(TRIM(N621),"00000")="89032", TEXT(TRIM(N621),"00000")="89086", TEXT(TRIM(N621),"00000")="89084", TEXT(TRIM(N621),"00000")="89081"), "North LV",
  OR(TEXT(TRIM(N621),"00000")="89109", TEXT(TRIM(N621),"00000")="89103", TEXT(TRIM(N621),"00000")="89119", TEXT(TRIM(N621),"00000")="89123", TEXT(TRIM(N621),"00000")="89169", TEXT(TRIM(N621),"00000")="89118"), "South/Strip",
  OR(TEXT(TRIM(N621),"00000")="89074", TEXT(TRIM(N621),"00000")="89014", TEXT(TRIM(N621),"00000")="89015", TEXT(TRIM(N621),"00000")="89011", TEXT(TRIM(N621),"00000")="89012"), "Suburban SE",
  OR(TEXT(TRIM(N621),"00000")="89117", TEXT(TRIM(N621),"00000")="89128", TEXT(TRIM(N621),"00000")="89135", TEXT(TRIM(N621),"00000")="89144", TEXT(TRIM(N621),"00000")="89145", TEXT(TRIM(N621),"00000")="89147"), "West Valley",
  TRUE, "Other"
)</f>
        <v>South/Strip</v>
      </c>
      <c r="P621" t="s">
        <v>3298</v>
      </c>
      <c r="Q621" t="str">
        <f t="shared" si="38"/>
        <v>Outdoors/Public</v>
      </c>
      <c r="R621" t="s">
        <v>4757</v>
      </c>
      <c r="S621" t="s">
        <v>5123</v>
      </c>
      <c r="T621" t="str" cm="1">
        <f t="array" ref="T621">_xlfn.IFS(
  TEXT(TRIM(S621),"00000")="NULL", "Missing/Unknown",
  OR(TEXT(TRIM(S621),"00000")="89101", TEXT(TRIM(S621),"00000")="89104", TEXT(TRIM(S621),"00000")="89106", TEXT(TRIM(S621),"00000")="89102", TEXT(TRIM(S621),"00000")="89107", TEXT(TRIM(S621),"00000")="89108"), "Urban Core",
  OR(TEXT(TRIM(S621),"00000")="89110", TEXT(TRIM(S621),"00000")="89115", TEXT(TRIM(S621),"00000")="89121", TEXT(TRIM(S621),"00000")="89122", TEXT(TRIM(S621),"00000")="89142", TEXT(TRIM(S621),"00000")="89156"), "East Valley",
  OR(TEXT(TRIM(S621),"00000")="89030", TEXT(TRIM(S621),"00000")="89031", TEXT(TRIM(S621),"00000")="89032", TEXT(TRIM(S621),"00000")="89086", TEXT(TRIM(S621),"00000")="89084", TEXT(TRIM(S621),"00000")="89081"), "North LV",
  OR(TEXT(TRIM(S621),"00000")="89109", TEXT(TRIM(S621),"00000")="89103", TEXT(TRIM(S621),"00000")="89119", TEXT(TRIM(S621),"00000")="89123", TEXT(TRIM(S621),"00000")="89169", TEXT(TRIM(S621),"00000")="89118"), "South/Strip",
  OR(TEXT(TRIM(S621),"00000")="89074", TEXT(TRIM(S621),"00000")="89014", TEXT(TRIM(S621),"00000")="89015", TEXT(TRIM(S621),"00000")="89011", TEXT(TRIM(S621),"00000")="89012"), "Suburban SE",
  OR(TEXT(TRIM(S621),"00000")="89117", TEXT(TRIM(S621),"00000")="89128", TEXT(TRIM(S621),"00000")="89135", TEXT(TRIM(S621),"00000")="89144", TEXT(TRIM(S621),"00000")="89145", TEXT(TRIM(S621),"00000")="89147"), "West Valley",
  TRUE, "Other"
)</f>
        <v>South/Strip</v>
      </c>
      <c r="U621" t="s">
        <v>3298</v>
      </c>
      <c r="V621" t="str">
        <f t="shared" si="39"/>
        <v>Outdoors/Public</v>
      </c>
    </row>
    <row r="622" spans="1:22">
      <c r="A622" t="s">
        <v>806</v>
      </c>
      <c r="B622" t="s">
        <v>807</v>
      </c>
      <c r="C622" s="1">
        <v>45129</v>
      </c>
      <c r="D622" s="4">
        <v>114.98</v>
      </c>
      <c r="E622">
        <v>53</v>
      </c>
      <c r="F622" t="str">
        <f t="shared" si="36"/>
        <v>50's</v>
      </c>
      <c r="G622" t="str" cm="1">
        <f t="array" ref="G622">_xlfn.IFS(
  F622="10's", "Child (5–12)",
  OR(F622="20's", F622="30's"), "Young Adult (20–39)",
  OR(F622="40's", F622="50's"), "Adult (40–59)",
  OR(F622="60's", F622="70's", F622="80's", F622="90's"), "Senior (60+)",
  TRUE, "Unknown"
)</f>
        <v>Adult (40–59)</v>
      </c>
      <c r="H622" t="s">
        <v>27</v>
      </c>
      <c r="I622" t="s">
        <v>163</v>
      </c>
      <c r="J622" t="str">
        <f t="shared" si="37"/>
        <v>Environmental Heat</v>
      </c>
      <c r="K622" t="s">
        <v>172</v>
      </c>
      <c r="L622" t="s">
        <v>1071</v>
      </c>
      <c r="N622" t="s">
        <v>5095</v>
      </c>
      <c r="O622" t="str" cm="1">
        <f t="array" ref="O622">_xlfn.IFS(
  TEXT(TRIM(N622),"00000")="NULL", "Missing/Unknown",
  OR(TEXT(TRIM(N622),"00000")="89101", TEXT(TRIM(N622),"00000")="89104", TEXT(TRIM(N622),"00000")="89106", TEXT(TRIM(N622),"00000")="89102", TEXT(TRIM(N622),"00000")="89107", TEXT(TRIM(N622),"00000")="89108"), "Urban Core",
  OR(TEXT(TRIM(N622),"00000")="89110", TEXT(TRIM(N622),"00000")="89115", TEXT(TRIM(N622),"00000")="89121", TEXT(TRIM(N622),"00000")="89122", TEXT(TRIM(N622),"00000")="89142", TEXT(TRIM(N622),"00000")="89156"), "East Valley",
  OR(TEXT(TRIM(N622),"00000")="89030", TEXT(TRIM(N622),"00000")="89031", TEXT(TRIM(N622),"00000")="89032", TEXT(TRIM(N622),"00000")="89086", TEXT(TRIM(N622),"00000")="89084", TEXT(TRIM(N622),"00000")="89081"), "North LV",
  OR(TEXT(TRIM(N622),"00000")="89109", TEXT(TRIM(N622),"00000")="89103", TEXT(TRIM(N622),"00000")="89119", TEXT(TRIM(N622),"00000")="89123", TEXT(TRIM(N622),"00000")="89169", TEXT(TRIM(N622),"00000")="89118"), "South/Strip",
  OR(TEXT(TRIM(N622),"00000")="89074", TEXT(TRIM(N622),"00000")="89014", TEXT(TRIM(N622),"00000")="89015", TEXT(TRIM(N622),"00000")="89011", TEXT(TRIM(N622),"00000")="89012"), "Suburban SE",
  OR(TEXT(TRIM(N622),"00000")="89117", TEXT(TRIM(N622),"00000")="89128", TEXT(TRIM(N622),"00000")="89135", TEXT(TRIM(N622),"00000")="89144", TEXT(TRIM(N622),"00000")="89145", TEXT(TRIM(N622),"00000")="89147"), "West Valley",
  TRUE, "Other"
)</f>
        <v>Missing/Unknown</v>
      </c>
      <c r="P622" t="s">
        <v>3298</v>
      </c>
      <c r="Q622" t="str">
        <f t="shared" si="38"/>
        <v>Outdoors/Public</v>
      </c>
      <c r="R622" t="s">
        <v>4576</v>
      </c>
      <c r="S622" t="s">
        <v>5118</v>
      </c>
      <c r="T622" t="str" cm="1">
        <f t="array" ref="T622">_xlfn.IFS(
  TEXT(TRIM(S622),"00000")="NULL", "Missing/Unknown",
  OR(TEXT(TRIM(S622),"00000")="89101", TEXT(TRIM(S622),"00000")="89104", TEXT(TRIM(S622),"00000")="89106", TEXT(TRIM(S622),"00000")="89102", TEXT(TRIM(S622),"00000")="89107", TEXT(TRIM(S622),"00000")="89108"), "Urban Core",
  OR(TEXT(TRIM(S622),"00000")="89110", TEXT(TRIM(S622),"00000")="89115", TEXT(TRIM(S622),"00000")="89121", TEXT(TRIM(S622),"00000")="89122", TEXT(TRIM(S622),"00000")="89142", TEXT(TRIM(S622),"00000")="89156"), "East Valley",
  OR(TEXT(TRIM(S622),"00000")="89030", TEXT(TRIM(S622),"00000")="89031", TEXT(TRIM(S622),"00000")="89032", TEXT(TRIM(S622),"00000")="89086", TEXT(TRIM(S622),"00000")="89084", TEXT(TRIM(S622),"00000")="89081"), "North LV",
  OR(TEXT(TRIM(S622),"00000")="89109", TEXT(TRIM(S622),"00000")="89103", TEXT(TRIM(S622),"00000")="89119", TEXT(TRIM(S622),"00000")="89123", TEXT(TRIM(S622),"00000")="89169", TEXT(TRIM(S622),"00000")="89118"), "South/Strip",
  OR(TEXT(TRIM(S622),"00000")="89074", TEXT(TRIM(S622),"00000")="89014", TEXT(TRIM(S622),"00000")="89015", TEXT(TRIM(S622),"00000")="89011", TEXT(TRIM(S622),"00000")="89012"), "Suburban SE",
  OR(TEXT(TRIM(S622),"00000")="89117", TEXT(TRIM(S622),"00000")="89128", TEXT(TRIM(S622),"00000")="89135", TEXT(TRIM(S622),"00000")="89144", TEXT(TRIM(S622),"00000")="89145", TEXT(TRIM(S622),"00000")="89147"), "West Valley",
  TRUE, "Other"
)</f>
        <v>South/Strip</v>
      </c>
      <c r="U622" t="s">
        <v>228</v>
      </c>
      <c r="V622" t="str">
        <f t="shared" si="39"/>
        <v>Medical Facility</v>
      </c>
    </row>
    <row r="623" spans="1:22">
      <c r="A623" t="s">
        <v>594</v>
      </c>
      <c r="B623" t="s">
        <v>595</v>
      </c>
      <c r="C623" s="1">
        <v>45129</v>
      </c>
      <c r="D623" s="4">
        <v>114.98</v>
      </c>
      <c r="E623">
        <v>51</v>
      </c>
      <c r="F623" t="str">
        <f t="shared" si="36"/>
        <v>50's</v>
      </c>
      <c r="G623" t="str" cm="1">
        <f t="array" ref="G623">_xlfn.IFS(
  F623="10's", "Child (5–12)",
  OR(F623="20's", F623="30's"), "Young Adult (20–39)",
  OR(F623="40's", F623="50's"), "Adult (40–59)",
  OR(F623="60's", F623="70's", F623="80's", F623="90's"), "Senior (60+)",
  TRUE, "Unknown"
)</f>
        <v>Adult (40–59)</v>
      </c>
      <c r="H623" t="s">
        <v>841</v>
      </c>
      <c r="I623" t="s">
        <v>4012</v>
      </c>
      <c r="J623" t="str">
        <f t="shared" si="37"/>
        <v>Cardiovascular Disease</v>
      </c>
      <c r="K623" t="s">
        <v>596</v>
      </c>
      <c r="L623" t="s">
        <v>1071</v>
      </c>
      <c r="M623" t="s">
        <v>4385</v>
      </c>
      <c r="N623" t="s">
        <v>5126</v>
      </c>
      <c r="O623" t="str" cm="1">
        <f t="array" ref="O623">_xlfn.IFS(
  TEXT(TRIM(N623),"00000")="NULL", "Missing/Unknown",
  OR(TEXT(TRIM(N623),"00000")="89101", TEXT(TRIM(N623),"00000")="89104", TEXT(TRIM(N623),"00000")="89106", TEXT(TRIM(N623),"00000")="89102", TEXT(TRIM(N623),"00000")="89107", TEXT(TRIM(N623),"00000")="89108"), "Urban Core",
  OR(TEXT(TRIM(N623),"00000")="89110", TEXT(TRIM(N623),"00000")="89115", TEXT(TRIM(N623),"00000")="89121", TEXT(TRIM(N623),"00000")="89122", TEXT(TRIM(N623),"00000")="89142", TEXT(TRIM(N623),"00000")="89156"), "East Valley",
  OR(TEXT(TRIM(N623),"00000")="89030", TEXT(TRIM(N623),"00000")="89031", TEXT(TRIM(N623),"00000")="89032", TEXT(TRIM(N623),"00000")="89086", TEXT(TRIM(N623),"00000")="89084", TEXT(TRIM(N623),"00000")="89081"), "North LV",
  OR(TEXT(TRIM(N623),"00000")="89109", TEXT(TRIM(N623),"00000")="89103", TEXT(TRIM(N623),"00000")="89119", TEXT(TRIM(N623),"00000")="89123", TEXT(TRIM(N623),"00000")="89169", TEXT(TRIM(N623),"00000")="89118"), "South/Strip",
  OR(TEXT(TRIM(N623),"00000")="89074", TEXT(TRIM(N623),"00000")="89014", TEXT(TRIM(N623),"00000")="89015", TEXT(TRIM(N623),"00000")="89011", TEXT(TRIM(N623),"00000")="89012"), "Suburban SE",
  OR(TEXT(TRIM(N623),"00000")="89117", TEXT(TRIM(N623),"00000")="89128", TEXT(TRIM(N623),"00000")="89135", TEXT(TRIM(N623),"00000")="89144", TEXT(TRIM(N623),"00000")="89145", TEXT(TRIM(N623),"00000")="89147"), "West Valley",
  TRUE, "Other"
)</f>
        <v>Other</v>
      </c>
      <c r="P623" t="s">
        <v>38</v>
      </c>
      <c r="Q623" t="str">
        <f t="shared" si="38"/>
        <v>Home/Residence</v>
      </c>
      <c r="R623" t="s">
        <v>4385</v>
      </c>
      <c r="S623" t="s">
        <v>5126</v>
      </c>
      <c r="T623" t="str" cm="1">
        <f t="array" ref="T623">_xlfn.IFS(
  TEXT(TRIM(S623),"00000")="NULL", "Missing/Unknown",
  OR(TEXT(TRIM(S623),"00000")="89101", TEXT(TRIM(S623),"00000")="89104", TEXT(TRIM(S623),"00000")="89106", TEXT(TRIM(S623),"00000")="89102", TEXT(TRIM(S623),"00000")="89107", TEXT(TRIM(S623),"00000")="89108"), "Urban Core",
  OR(TEXT(TRIM(S623),"00000")="89110", TEXT(TRIM(S623),"00000")="89115", TEXT(TRIM(S623),"00000")="89121", TEXT(TRIM(S623),"00000")="89122", TEXT(TRIM(S623),"00000")="89142", TEXT(TRIM(S623),"00000")="89156"), "East Valley",
  OR(TEXT(TRIM(S623),"00000")="89030", TEXT(TRIM(S623),"00000")="89031", TEXT(TRIM(S623),"00000")="89032", TEXT(TRIM(S623),"00000")="89086", TEXT(TRIM(S623),"00000")="89084", TEXT(TRIM(S623),"00000")="89081"), "North LV",
  OR(TEXT(TRIM(S623),"00000")="89109", TEXT(TRIM(S623),"00000")="89103", TEXT(TRIM(S623),"00000")="89119", TEXT(TRIM(S623),"00000")="89123", TEXT(TRIM(S623),"00000")="89169", TEXT(TRIM(S623),"00000")="89118"), "South/Strip",
  OR(TEXT(TRIM(S623),"00000")="89074", TEXT(TRIM(S623),"00000")="89014", TEXT(TRIM(S623),"00000")="89015", TEXT(TRIM(S623),"00000")="89011", TEXT(TRIM(S623),"00000")="89012"), "Suburban SE",
  OR(TEXT(TRIM(S623),"00000")="89117", TEXT(TRIM(S623),"00000")="89128", TEXT(TRIM(S623),"00000")="89135", TEXT(TRIM(S623),"00000")="89144", TEXT(TRIM(S623),"00000")="89145", TEXT(TRIM(S623),"00000")="89147"), "West Valley",
  TRUE, "Other"
)</f>
        <v>Other</v>
      </c>
      <c r="U623" t="s">
        <v>38</v>
      </c>
      <c r="V623" t="str">
        <f t="shared" si="39"/>
        <v>Home/Residence</v>
      </c>
    </row>
    <row r="624" spans="1:22">
      <c r="A624" t="s">
        <v>590</v>
      </c>
      <c r="B624" t="s">
        <v>591</v>
      </c>
      <c r="C624" s="1">
        <v>45129</v>
      </c>
      <c r="D624" s="4">
        <v>114.98</v>
      </c>
      <c r="E624">
        <v>65</v>
      </c>
      <c r="F624" t="str">
        <f t="shared" si="36"/>
        <v>60's</v>
      </c>
      <c r="G624" t="str" cm="1">
        <f t="array" ref="G624">_xlfn.IFS(
  F624="10's", "Child (5–12)",
  OR(F624="20's", F624="30's"), "Young Adult (20–39)",
  OR(F624="40's", F624="50's"), "Adult (40–59)",
  OR(F624="60's", F624="70's", F624="80's", F624="90's"), "Senior (60+)",
  TRUE, "Unknown"
)</f>
        <v>Senior (60+)</v>
      </c>
      <c r="H624" t="s">
        <v>841</v>
      </c>
      <c r="I624" t="s">
        <v>4040</v>
      </c>
      <c r="J624" t="str">
        <f t="shared" si="37"/>
        <v>Methamphetamine-related</v>
      </c>
      <c r="K624" t="s">
        <v>4221</v>
      </c>
      <c r="L624" t="s">
        <v>250</v>
      </c>
      <c r="N624" t="s">
        <v>5095</v>
      </c>
      <c r="O624" t="str" cm="1">
        <f t="array" ref="O624">_xlfn.IFS(
  TEXT(TRIM(N624),"00000")="NULL", "Missing/Unknown",
  OR(TEXT(TRIM(N624),"00000")="89101", TEXT(TRIM(N624),"00000")="89104", TEXT(TRIM(N624),"00000")="89106", TEXT(TRIM(N624),"00000")="89102", TEXT(TRIM(N624),"00000")="89107", TEXT(TRIM(N624),"00000")="89108"), "Urban Core",
  OR(TEXT(TRIM(N624),"00000")="89110", TEXT(TRIM(N624),"00000")="89115", TEXT(TRIM(N624),"00000")="89121", TEXT(TRIM(N624),"00000")="89122", TEXT(TRIM(N624),"00000")="89142", TEXT(TRIM(N624),"00000")="89156"), "East Valley",
  OR(TEXT(TRIM(N624),"00000")="89030", TEXT(TRIM(N624),"00000")="89031", TEXT(TRIM(N624),"00000")="89032", TEXT(TRIM(N624),"00000")="89086", TEXT(TRIM(N624),"00000")="89084", TEXT(TRIM(N624),"00000")="89081"), "North LV",
  OR(TEXT(TRIM(N624),"00000")="89109", TEXT(TRIM(N624),"00000")="89103", TEXT(TRIM(N624),"00000")="89119", TEXT(TRIM(N624),"00000")="89123", TEXT(TRIM(N624),"00000")="89169", TEXT(TRIM(N624),"00000")="89118"), "South/Strip",
  OR(TEXT(TRIM(N624),"00000")="89074", TEXT(TRIM(N624),"00000")="89014", TEXT(TRIM(N624),"00000")="89015", TEXT(TRIM(N624),"00000")="89011", TEXT(TRIM(N624),"00000")="89012"), "Suburban SE",
  OR(TEXT(TRIM(N624),"00000")="89117", TEXT(TRIM(N624),"00000")="89128", TEXT(TRIM(N624),"00000")="89135", TEXT(TRIM(N624),"00000")="89144", TEXT(TRIM(N624),"00000")="89145", TEXT(TRIM(N624),"00000")="89147"), "West Valley",
  TRUE, "Other"
)</f>
        <v>Missing/Unknown</v>
      </c>
      <c r="P624" t="s">
        <v>3298</v>
      </c>
      <c r="Q624" t="str">
        <f t="shared" si="38"/>
        <v>Outdoors/Public</v>
      </c>
      <c r="S624" t="s">
        <v>5095</v>
      </c>
      <c r="T624" t="str" cm="1">
        <f t="array" ref="T624">_xlfn.IFS(
  TEXT(TRIM(S624),"00000")="NULL", "Missing/Unknown",
  OR(TEXT(TRIM(S624),"00000")="89101", TEXT(TRIM(S624),"00000")="89104", TEXT(TRIM(S624),"00000")="89106", TEXT(TRIM(S624),"00000")="89102", TEXT(TRIM(S624),"00000")="89107", TEXT(TRIM(S624),"00000")="89108"), "Urban Core",
  OR(TEXT(TRIM(S624),"00000")="89110", TEXT(TRIM(S624),"00000")="89115", TEXT(TRIM(S624),"00000")="89121", TEXT(TRIM(S624),"00000")="89122", TEXT(TRIM(S624),"00000")="89142", TEXT(TRIM(S624),"00000")="89156"), "East Valley",
  OR(TEXT(TRIM(S624),"00000")="89030", TEXT(TRIM(S624),"00000")="89031", TEXT(TRIM(S624),"00000")="89032", TEXT(TRIM(S624),"00000")="89086", TEXT(TRIM(S624),"00000")="89084", TEXT(TRIM(S624),"00000")="89081"), "North LV",
  OR(TEXT(TRIM(S624),"00000")="89109", TEXT(TRIM(S624),"00000")="89103", TEXT(TRIM(S624),"00000")="89119", TEXT(TRIM(S624),"00000")="89123", TEXT(TRIM(S624),"00000")="89169", TEXT(TRIM(S624),"00000")="89118"), "South/Strip",
  OR(TEXT(TRIM(S624),"00000")="89074", TEXT(TRIM(S624),"00000")="89014", TEXT(TRIM(S624),"00000")="89015", TEXT(TRIM(S624),"00000")="89011", TEXT(TRIM(S624),"00000")="89012"), "Suburban SE",
  OR(TEXT(TRIM(S624),"00000")="89117", TEXT(TRIM(S624),"00000")="89128", TEXT(TRIM(S624),"00000")="89135", TEXT(TRIM(S624),"00000")="89144", TEXT(TRIM(S624),"00000")="89145", TEXT(TRIM(S624),"00000")="89147"), "West Valley",
  TRUE, "Other"
)</f>
        <v>Missing/Unknown</v>
      </c>
      <c r="U624" t="s">
        <v>3298</v>
      </c>
      <c r="V624" t="str">
        <f t="shared" si="39"/>
        <v>Outdoors/Public</v>
      </c>
    </row>
    <row r="625" spans="1:22">
      <c r="A625" t="s">
        <v>604</v>
      </c>
      <c r="B625" t="s">
        <v>605</v>
      </c>
      <c r="C625" s="1">
        <v>45129</v>
      </c>
      <c r="D625" s="4">
        <v>114.98</v>
      </c>
      <c r="E625">
        <v>75</v>
      </c>
      <c r="F625" t="str">
        <f t="shared" si="36"/>
        <v>70's</v>
      </c>
      <c r="G625" t="str" cm="1">
        <f t="array" ref="G625">_xlfn.IFS(
  F625="10's", "Child (5–12)",
  OR(F625="20's", F625="30's"), "Young Adult (20–39)",
  OR(F625="40's", F625="50's"), "Adult (40–59)",
  OR(F625="60's", F625="70's", F625="80's", F625="90's"), "Senior (60+)",
  TRUE, "Unknown"
)</f>
        <v>Senior (60+)</v>
      </c>
      <c r="H625" t="s">
        <v>841</v>
      </c>
      <c r="I625" t="s">
        <v>54</v>
      </c>
      <c r="J625" t="str">
        <f t="shared" si="37"/>
        <v>Environmental Heat</v>
      </c>
      <c r="K625" t="s">
        <v>4222</v>
      </c>
      <c r="L625" t="s">
        <v>250</v>
      </c>
      <c r="N625" t="s">
        <v>5095</v>
      </c>
      <c r="O625" t="str" cm="1">
        <f t="array" ref="O625">_xlfn.IFS(
  TEXT(TRIM(N625),"00000")="NULL", "Missing/Unknown",
  OR(TEXT(TRIM(N625),"00000")="89101", TEXT(TRIM(N625),"00000")="89104", TEXT(TRIM(N625),"00000")="89106", TEXT(TRIM(N625),"00000")="89102", TEXT(TRIM(N625),"00000")="89107", TEXT(TRIM(N625),"00000")="89108"), "Urban Core",
  OR(TEXT(TRIM(N625),"00000")="89110", TEXT(TRIM(N625),"00000")="89115", TEXT(TRIM(N625),"00000")="89121", TEXT(TRIM(N625),"00000")="89122", TEXT(TRIM(N625),"00000")="89142", TEXT(TRIM(N625),"00000")="89156"), "East Valley",
  OR(TEXT(TRIM(N625),"00000")="89030", TEXT(TRIM(N625),"00000")="89031", TEXT(TRIM(N625),"00000")="89032", TEXT(TRIM(N625),"00000")="89086", TEXT(TRIM(N625),"00000")="89084", TEXT(TRIM(N625),"00000")="89081"), "North LV",
  OR(TEXT(TRIM(N625),"00000")="89109", TEXT(TRIM(N625),"00000")="89103", TEXT(TRIM(N625),"00000")="89119", TEXT(TRIM(N625),"00000")="89123", TEXT(TRIM(N625),"00000")="89169", TEXT(TRIM(N625),"00000")="89118"), "South/Strip",
  OR(TEXT(TRIM(N625),"00000")="89074", TEXT(TRIM(N625),"00000")="89014", TEXT(TRIM(N625),"00000")="89015", TEXT(TRIM(N625),"00000")="89011", TEXT(TRIM(N625),"00000")="89012"), "Suburban SE",
  OR(TEXT(TRIM(N625),"00000")="89117", TEXT(TRIM(N625),"00000")="89128", TEXT(TRIM(N625),"00000")="89135", TEXT(TRIM(N625),"00000")="89144", TEXT(TRIM(N625),"00000")="89145", TEXT(TRIM(N625),"00000")="89147"), "West Valley",
  TRUE, "Other"
)</f>
        <v>Missing/Unknown</v>
      </c>
      <c r="P625" t="s">
        <v>3298</v>
      </c>
      <c r="Q625" t="str">
        <f t="shared" si="38"/>
        <v>Outdoors/Public</v>
      </c>
      <c r="S625" t="s">
        <v>5095</v>
      </c>
      <c r="T625" t="str" cm="1">
        <f t="array" ref="T625">_xlfn.IFS(
  TEXT(TRIM(S625),"00000")="NULL", "Missing/Unknown",
  OR(TEXT(TRIM(S625),"00000")="89101", TEXT(TRIM(S625),"00000")="89104", TEXT(TRIM(S625),"00000")="89106", TEXT(TRIM(S625),"00000")="89102", TEXT(TRIM(S625),"00000")="89107", TEXT(TRIM(S625),"00000")="89108"), "Urban Core",
  OR(TEXT(TRIM(S625),"00000")="89110", TEXT(TRIM(S625),"00000")="89115", TEXT(TRIM(S625),"00000")="89121", TEXT(TRIM(S625),"00000")="89122", TEXT(TRIM(S625),"00000")="89142", TEXT(TRIM(S625),"00000")="89156"), "East Valley",
  OR(TEXT(TRIM(S625),"00000")="89030", TEXT(TRIM(S625),"00000")="89031", TEXT(TRIM(S625),"00000")="89032", TEXT(TRIM(S625),"00000")="89086", TEXT(TRIM(S625),"00000")="89084", TEXT(TRIM(S625),"00000")="89081"), "North LV",
  OR(TEXT(TRIM(S625),"00000")="89109", TEXT(TRIM(S625),"00000")="89103", TEXT(TRIM(S625),"00000")="89119", TEXT(TRIM(S625),"00000")="89123", TEXT(TRIM(S625),"00000")="89169", TEXT(TRIM(S625),"00000")="89118"), "South/Strip",
  OR(TEXT(TRIM(S625),"00000")="89074", TEXT(TRIM(S625),"00000")="89014", TEXT(TRIM(S625),"00000")="89015", TEXT(TRIM(S625),"00000")="89011", TEXT(TRIM(S625),"00000")="89012"), "Suburban SE",
  OR(TEXT(TRIM(S625),"00000")="89117", TEXT(TRIM(S625),"00000")="89128", TEXT(TRIM(S625),"00000")="89135", TEXT(TRIM(S625),"00000")="89144", TEXT(TRIM(S625),"00000")="89145", TEXT(TRIM(S625),"00000")="89147"), "West Valley",
  TRUE, "Other"
)</f>
        <v>Missing/Unknown</v>
      </c>
      <c r="U625" t="s">
        <v>3298</v>
      </c>
      <c r="V625" t="str">
        <f t="shared" si="39"/>
        <v>Outdoors/Public</v>
      </c>
    </row>
    <row r="626" spans="1:22">
      <c r="A626" t="s">
        <v>598</v>
      </c>
      <c r="B626" t="s">
        <v>599</v>
      </c>
      <c r="C626" s="1">
        <v>45129</v>
      </c>
      <c r="D626" s="4">
        <v>114.98</v>
      </c>
      <c r="E626">
        <v>34</v>
      </c>
      <c r="F626" t="str">
        <f t="shared" si="36"/>
        <v>30's</v>
      </c>
      <c r="G626" t="str" cm="1">
        <f t="array" ref="G626">_xlfn.IFS(
  F626="10's", "Child (5–12)",
  OR(F626="20's", F626="30's"), "Young Adult (20–39)",
  OR(F626="40's", F626="50's"), "Adult (40–59)",
  OR(F626="60's", F626="70's", F626="80's", F626="90's"), "Senior (60+)",
  TRUE, "Unknown"
)</f>
        <v>Young Adult (20–39)</v>
      </c>
      <c r="H626" t="s">
        <v>778</v>
      </c>
      <c r="I626" t="s">
        <v>54</v>
      </c>
      <c r="J626" t="str">
        <f t="shared" si="37"/>
        <v>Environmental Heat</v>
      </c>
      <c r="K626" t="s">
        <v>63</v>
      </c>
      <c r="L626" t="s">
        <v>1071</v>
      </c>
      <c r="N626" t="s">
        <v>5095</v>
      </c>
      <c r="O626" t="str" cm="1">
        <f t="array" ref="O626">_xlfn.IFS(
  TEXT(TRIM(N626),"00000")="NULL", "Missing/Unknown",
  OR(TEXT(TRIM(N626),"00000")="89101", TEXT(TRIM(N626),"00000")="89104", TEXT(TRIM(N626),"00000")="89106", TEXT(TRIM(N626),"00000")="89102", TEXT(TRIM(N626),"00000")="89107", TEXT(TRIM(N626),"00000")="89108"), "Urban Core",
  OR(TEXT(TRIM(N626),"00000")="89110", TEXT(TRIM(N626),"00000")="89115", TEXT(TRIM(N626),"00000")="89121", TEXT(TRIM(N626),"00000")="89122", TEXT(TRIM(N626),"00000")="89142", TEXT(TRIM(N626),"00000")="89156"), "East Valley",
  OR(TEXT(TRIM(N626),"00000")="89030", TEXT(TRIM(N626),"00000")="89031", TEXT(TRIM(N626),"00000")="89032", TEXT(TRIM(N626),"00000")="89086", TEXT(TRIM(N626),"00000")="89084", TEXT(TRIM(N626),"00000")="89081"), "North LV",
  OR(TEXT(TRIM(N626),"00000")="89109", TEXT(TRIM(N626),"00000")="89103", TEXT(TRIM(N626),"00000")="89119", TEXT(TRIM(N626),"00000")="89123", TEXT(TRIM(N626),"00000")="89169", TEXT(TRIM(N626),"00000")="89118"), "South/Strip",
  OR(TEXT(TRIM(N626),"00000")="89074", TEXT(TRIM(N626),"00000")="89014", TEXT(TRIM(N626),"00000")="89015", TEXT(TRIM(N626),"00000")="89011", TEXT(TRIM(N626),"00000")="89012"), "Suburban SE",
  OR(TEXT(TRIM(N626),"00000")="89117", TEXT(TRIM(N626),"00000")="89128", TEXT(TRIM(N626),"00000")="89135", TEXT(TRIM(N626),"00000")="89144", TEXT(TRIM(N626),"00000")="89145", TEXT(TRIM(N626),"00000")="89147"), "West Valley",
  TRUE, "Other"
)</f>
        <v>Missing/Unknown</v>
      </c>
      <c r="P626" t="s">
        <v>3298</v>
      </c>
      <c r="Q626" t="str">
        <f t="shared" si="38"/>
        <v>Outdoors/Public</v>
      </c>
      <c r="S626" t="s">
        <v>5095</v>
      </c>
      <c r="T626" t="str" cm="1">
        <f t="array" ref="T626">_xlfn.IFS(
  TEXT(TRIM(S626),"00000")="NULL", "Missing/Unknown",
  OR(TEXT(TRIM(S626),"00000")="89101", TEXT(TRIM(S626),"00000")="89104", TEXT(TRIM(S626),"00000")="89106", TEXT(TRIM(S626),"00000")="89102", TEXT(TRIM(S626),"00000")="89107", TEXT(TRIM(S626),"00000")="89108"), "Urban Core",
  OR(TEXT(TRIM(S626),"00000")="89110", TEXT(TRIM(S626),"00000")="89115", TEXT(TRIM(S626),"00000")="89121", TEXT(TRIM(S626),"00000")="89122", TEXT(TRIM(S626),"00000")="89142", TEXT(TRIM(S626),"00000")="89156"), "East Valley",
  OR(TEXT(TRIM(S626),"00000")="89030", TEXT(TRIM(S626),"00000")="89031", TEXT(TRIM(S626),"00000")="89032", TEXT(TRIM(S626),"00000")="89086", TEXT(TRIM(S626),"00000")="89084", TEXT(TRIM(S626),"00000")="89081"), "North LV",
  OR(TEXT(TRIM(S626),"00000")="89109", TEXT(TRIM(S626),"00000")="89103", TEXT(TRIM(S626),"00000")="89119", TEXT(TRIM(S626),"00000")="89123", TEXT(TRIM(S626),"00000")="89169", TEXT(TRIM(S626),"00000")="89118"), "South/Strip",
  OR(TEXT(TRIM(S626),"00000")="89074", TEXT(TRIM(S626),"00000")="89014", TEXT(TRIM(S626),"00000")="89015", TEXT(TRIM(S626),"00000")="89011", TEXT(TRIM(S626),"00000")="89012"), "Suburban SE",
  OR(TEXT(TRIM(S626),"00000")="89117", TEXT(TRIM(S626),"00000")="89128", TEXT(TRIM(S626),"00000")="89135", TEXT(TRIM(S626),"00000")="89144", TEXT(TRIM(S626),"00000")="89145", TEXT(TRIM(S626),"00000")="89147"), "West Valley",
  TRUE, "Other"
)</f>
        <v>Missing/Unknown</v>
      </c>
      <c r="U626" t="s">
        <v>3298</v>
      </c>
      <c r="V626" t="str">
        <f t="shared" si="39"/>
        <v>Outdoors/Public</v>
      </c>
    </row>
    <row r="627" spans="1:22">
      <c r="A627" t="s">
        <v>600</v>
      </c>
      <c r="B627" t="s">
        <v>601</v>
      </c>
      <c r="C627" s="1">
        <v>45129</v>
      </c>
      <c r="D627" s="4">
        <v>114.98</v>
      </c>
      <c r="E627">
        <v>29</v>
      </c>
      <c r="F627" t="str">
        <f t="shared" si="36"/>
        <v>20's</v>
      </c>
      <c r="G627" t="str" cm="1">
        <f t="array" ref="G627">_xlfn.IFS(
  F627="10's", "Child (5–12)",
  OR(F627="20's", F627="30's"), "Young Adult (20–39)",
  OR(F627="40's", F627="50's"), "Adult (40–59)",
  OR(F627="60's", F627="70's", F627="80's", F627="90's"), "Senior (60+)",
  TRUE, "Unknown"
)</f>
        <v>Young Adult (20–39)</v>
      </c>
      <c r="H627" t="s">
        <v>27</v>
      </c>
      <c r="I627" t="s">
        <v>54</v>
      </c>
      <c r="J627" t="str">
        <f t="shared" si="37"/>
        <v>Environmental Heat</v>
      </c>
      <c r="K627" t="s">
        <v>63</v>
      </c>
      <c r="L627" t="s">
        <v>1071</v>
      </c>
      <c r="N627" t="s">
        <v>5095</v>
      </c>
      <c r="O627" t="str" cm="1">
        <f t="array" ref="O627">_xlfn.IFS(
  TEXT(TRIM(N627),"00000")="NULL", "Missing/Unknown",
  OR(TEXT(TRIM(N627),"00000")="89101", TEXT(TRIM(N627),"00000")="89104", TEXT(TRIM(N627),"00000")="89106", TEXT(TRIM(N627),"00000")="89102", TEXT(TRIM(N627),"00000")="89107", TEXT(TRIM(N627),"00000")="89108"), "Urban Core",
  OR(TEXT(TRIM(N627),"00000")="89110", TEXT(TRIM(N627),"00000")="89115", TEXT(TRIM(N627),"00000")="89121", TEXT(TRIM(N627),"00000")="89122", TEXT(TRIM(N627),"00000")="89142", TEXT(TRIM(N627),"00000")="89156"), "East Valley",
  OR(TEXT(TRIM(N627),"00000")="89030", TEXT(TRIM(N627),"00000")="89031", TEXT(TRIM(N627),"00000")="89032", TEXT(TRIM(N627),"00000")="89086", TEXT(TRIM(N627),"00000")="89084", TEXT(TRIM(N627),"00000")="89081"), "North LV",
  OR(TEXT(TRIM(N627),"00000")="89109", TEXT(TRIM(N627),"00000")="89103", TEXT(TRIM(N627),"00000")="89119", TEXT(TRIM(N627),"00000")="89123", TEXT(TRIM(N627),"00000")="89169", TEXT(TRIM(N627),"00000")="89118"), "South/Strip",
  OR(TEXT(TRIM(N627),"00000")="89074", TEXT(TRIM(N627),"00000")="89014", TEXT(TRIM(N627),"00000")="89015", TEXT(TRIM(N627),"00000")="89011", TEXT(TRIM(N627),"00000")="89012"), "Suburban SE",
  OR(TEXT(TRIM(N627),"00000")="89117", TEXT(TRIM(N627),"00000")="89128", TEXT(TRIM(N627),"00000")="89135", TEXT(TRIM(N627),"00000")="89144", TEXT(TRIM(N627),"00000")="89145", TEXT(TRIM(N627),"00000")="89147"), "West Valley",
  TRUE, "Other"
)</f>
        <v>Missing/Unknown</v>
      </c>
      <c r="P627" t="s">
        <v>3298</v>
      </c>
      <c r="Q627" t="str">
        <f t="shared" si="38"/>
        <v>Outdoors/Public</v>
      </c>
      <c r="S627" t="s">
        <v>5095</v>
      </c>
      <c r="T627" t="str" cm="1">
        <f t="array" ref="T627">_xlfn.IFS(
  TEXT(TRIM(S627),"00000")="NULL", "Missing/Unknown",
  OR(TEXT(TRIM(S627),"00000")="89101", TEXT(TRIM(S627),"00000")="89104", TEXT(TRIM(S627),"00000")="89106", TEXT(TRIM(S627),"00000")="89102", TEXT(TRIM(S627),"00000")="89107", TEXT(TRIM(S627),"00000")="89108"), "Urban Core",
  OR(TEXT(TRIM(S627),"00000")="89110", TEXT(TRIM(S627),"00000")="89115", TEXT(TRIM(S627),"00000")="89121", TEXT(TRIM(S627),"00000")="89122", TEXT(TRIM(S627),"00000")="89142", TEXT(TRIM(S627),"00000")="89156"), "East Valley",
  OR(TEXT(TRIM(S627),"00000")="89030", TEXT(TRIM(S627),"00000")="89031", TEXT(TRIM(S627),"00000")="89032", TEXT(TRIM(S627),"00000")="89086", TEXT(TRIM(S627),"00000")="89084", TEXT(TRIM(S627),"00000")="89081"), "North LV",
  OR(TEXT(TRIM(S627),"00000")="89109", TEXT(TRIM(S627),"00000")="89103", TEXT(TRIM(S627),"00000")="89119", TEXT(TRIM(S627),"00000")="89123", TEXT(TRIM(S627),"00000")="89169", TEXT(TRIM(S627),"00000")="89118"), "South/Strip",
  OR(TEXT(TRIM(S627),"00000")="89074", TEXT(TRIM(S627),"00000")="89014", TEXT(TRIM(S627),"00000")="89015", TEXT(TRIM(S627),"00000")="89011", TEXT(TRIM(S627),"00000")="89012"), "Suburban SE",
  OR(TEXT(TRIM(S627),"00000")="89117", TEXT(TRIM(S627),"00000")="89128", TEXT(TRIM(S627),"00000")="89135", TEXT(TRIM(S627),"00000")="89144", TEXT(TRIM(S627),"00000")="89145", TEXT(TRIM(S627),"00000")="89147"), "West Valley",
  TRUE, "Other"
)</f>
        <v>Missing/Unknown</v>
      </c>
      <c r="U627" t="s">
        <v>3298</v>
      </c>
      <c r="V627" t="str">
        <f t="shared" si="39"/>
        <v>Outdoors/Public</v>
      </c>
    </row>
    <row r="628" spans="1:22">
      <c r="A628" t="s">
        <v>482</v>
      </c>
      <c r="B628" t="s">
        <v>483</v>
      </c>
      <c r="C628" s="1">
        <v>45129</v>
      </c>
      <c r="D628" s="4">
        <v>114.98</v>
      </c>
      <c r="E628">
        <v>51</v>
      </c>
      <c r="F628" t="str">
        <f t="shared" si="36"/>
        <v>50's</v>
      </c>
      <c r="G628" t="str" cm="1">
        <f t="array" ref="G628">_xlfn.IFS(
  F628="10's", "Child (5–12)",
  OR(F628="20's", F628="30's"), "Young Adult (20–39)",
  OR(F628="40's", F628="50's"), "Adult (40–59)",
  OR(F628="60's", F628="70's", F628="80's", F628="90's"), "Senior (60+)",
  TRUE, "Unknown"
)</f>
        <v>Adult (40–59)</v>
      </c>
      <c r="H628" t="s">
        <v>841</v>
      </c>
      <c r="I628" t="s">
        <v>4040</v>
      </c>
      <c r="J628" t="str">
        <f t="shared" si="37"/>
        <v>Methamphetamine-related</v>
      </c>
      <c r="K628" t="s">
        <v>54</v>
      </c>
      <c r="L628" t="s">
        <v>1071</v>
      </c>
      <c r="N628" t="s">
        <v>5095</v>
      </c>
      <c r="O628" t="str" cm="1">
        <f t="array" ref="O628">_xlfn.IFS(
  TEXT(TRIM(N628),"00000")="NULL", "Missing/Unknown",
  OR(TEXT(TRIM(N628),"00000")="89101", TEXT(TRIM(N628),"00000")="89104", TEXT(TRIM(N628),"00000")="89106", TEXT(TRIM(N628),"00000")="89102", TEXT(TRIM(N628),"00000")="89107", TEXT(TRIM(N628),"00000")="89108"), "Urban Core",
  OR(TEXT(TRIM(N628),"00000")="89110", TEXT(TRIM(N628),"00000")="89115", TEXT(TRIM(N628),"00000")="89121", TEXT(TRIM(N628),"00000")="89122", TEXT(TRIM(N628),"00000")="89142", TEXT(TRIM(N628),"00000")="89156"), "East Valley",
  OR(TEXT(TRIM(N628),"00000")="89030", TEXT(TRIM(N628),"00000")="89031", TEXT(TRIM(N628),"00000")="89032", TEXT(TRIM(N628),"00000")="89086", TEXT(TRIM(N628),"00000")="89084", TEXT(TRIM(N628),"00000")="89081"), "North LV",
  OR(TEXT(TRIM(N628),"00000")="89109", TEXT(TRIM(N628),"00000")="89103", TEXT(TRIM(N628),"00000")="89119", TEXT(TRIM(N628),"00000")="89123", TEXT(TRIM(N628),"00000")="89169", TEXT(TRIM(N628),"00000")="89118"), "South/Strip",
  OR(TEXT(TRIM(N628),"00000")="89074", TEXT(TRIM(N628),"00000")="89014", TEXT(TRIM(N628),"00000")="89015", TEXT(TRIM(N628),"00000")="89011", TEXT(TRIM(N628),"00000")="89012"), "Suburban SE",
  OR(TEXT(TRIM(N628),"00000")="89117", TEXT(TRIM(N628),"00000")="89128", TEXT(TRIM(N628),"00000")="89135", TEXT(TRIM(N628),"00000")="89144", TEXT(TRIM(N628),"00000")="89145", TEXT(TRIM(N628),"00000")="89147"), "West Valley",
  TRUE, "Other"
)</f>
        <v>Missing/Unknown</v>
      </c>
      <c r="P628" t="s">
        <v>3298</v>
      </c>
      <c r="Q628" t="str">
        <f t="shared" si="38"/>
        <v>Outdoors/Public</v>
      </c>
      <c r="S628" t="s">
        <v>5095</v>
      </c>
      <c r="T628" t="str" cm="1">
        <f t="array" ref="T628">_xlfn.IFS(
  TEXT(TRIM(S628),"00000")="NULL", "Missing/Unknown",
  OR(TEXT(TRIM(S628),"00000")="89101", TEXT(TRIM(S628),"00000")="89104", TEXT(TRIM(S628),"00000")="89106", TEXT(TRIM(S628),"00000")="89102", TEXT(TRIM(S628),"00000")="89107", TEXT(TRIM(S628),"00000")="89108"), "Urban Core",
  OR(TEXT(TRIM(S628),"00000")="89110", TEXT(TRIM(S628),"00000")="89115", TEXT(TRIM(S628),"00000")="89121", TEXT(TRIM(S628),"00000")="89122", TEXT(TRIM(S628),"00000")="89142", TEXT(TRIM(S628),"00000")="89156"), "East Valley",
  OR(TEXT(TRIM(S628),"00000")="89030", TEXT(TRIM(S628),"00000")="89031", TEXT(TRIM(S628),"00000")="89032", TEXT(TRIM(S628),"00000")="89086", TEXT(TRIM(S628),"00000")="89084", TEXT(TRIM(S628),"00000")="89081"), "North LV",
  OR(TEXT(TRIM(S628),"00000")="89109", TEXT(TRIM(S628),"00000")="89103", TEXT(TRIM(S628),"00000")="89119", TEXT(TRIM(S628),"00000")="89123", TEXT(TRIM(S628),"00000")="89169", TEXT(TRIM(S628),"00000")="89118"), "South/Strip",
  OR(TEXT(TRIM(S628),"00000")="89074", TEXT(TRIM(S628),"00000")="89014", TEXT(TRIM(S628),"00000")="89015", TEXT(TRIM(S628),"00000")="89011", TEXT(TRIM(S628),"00000")="89012"), "Suburban SE",
  OR(TEXT(TRIM(S628),"00000")="89117", TEXT(TRIM(S628),"00000")="89128", TEXT(TRIM(S628),"00000")="89135", TEXT(TRIM(S628),"00000")="89144", TEXT(TRIM(S628),"00000")="89145", TEXT(TRIM(S628),"00000")="89147"), "West Valley",
  TRUE, "Other"
)</f>
        <v>Missing/Unknown</v>
      </c>
      <c r="U628" t="s">
        <v>3298</v>
      </c>
      <c r="V628" t="str">
        <f t="shared" si="39"/>
        <v>Outdoors/Public</v>
      </c>
    </row>
    <row r="629" spans="1:22">
      <c r="A629" t="s">
        <v>563</v>
      </c>
      <c r="B629" t="s">
        <v>564</v>
      </c>
      <c r="C629" s="1">
        <v>45128</v>
      </c>
      <c r="D629" s="4">
        <v>114.08</v>
      </c>
      <c r="E629">
        <v>66</v>
      </c>
      <c r="F629" t="str">
        <f t="shared" si="36"/>
        <v>60's</v>
      </c>
      <c r="G629" t="str" cm="1">
        <f t="array" ref="G629">_xlfn.IFS(
  F629="10's", "Child (5–12)",
  OR(F629="20's", F629="30's"), "Young Adult (20–39)",
  OR(F629="40's", F629="50's"), "Adult (40–59)",
  OR(F629="60's", F629="70's", F629="80's", F629="90's"), "Senior (60+)",
  TRUE, "Unknown"
)</f>
        <v>Senior (60+)</v>
      </c>
      <c r="H629" t="s">
        <v>778</v>
      </c>
      <c r="I629" t="s">
        <v>163</v>
      </c>
      <c r="J629" t="str">
        <f t="shared" si="37"/>
        <v>Environmental Heat</v>
      </c>
      <c r="K629" t="s">
        <v>172</v>
      </c>
      <c r="L629" t="s">
        <v>250</v>
      </c>
      <c r="N629" t="s">
        <v>5095</v>
      </c>
      <c r="O629" t="str" cm="1">
        <f t="array" ref="O629">_xlfn.IFS(
  TEXT(TRIM(N629),"00000")="NULL", "Missing/Unknown",
  OR(TEXT(TRIM(N629),"00000")="89101", TEXT(TRIM(N629),"00000")="89104", TEXT(TRIM(N629),"00000")="89106", TEXT(TRIM(N629),"00000")="89102", TEXT(TRIM(N629),"00000")="89107", TEXT(TRIM(N629),"00000")="89108"), "Urban Core",
  OR(TEXT(TRIM(N629),"00000")="89110", TEXT(TRIM(N629),"00000")="89115", TEXT(TRIM(N629),"00000")="89121", TEXT(TRIM(N629),"00000")="89122", TEXT(TRIM(N629),"00000")="89142", TEXT(TRIM(N629),"00000")="89156"), "East Valley",
  OR(TEXT(TRIM(N629),"00000")="89030", TEXT(TRIM(N629),"00000")="89031", TEXT(TRIM(N629),"00000")="89032", TEXT(TRIM(N629),"00000")="89086", TEXT(TRIM(N629),"00000")="89084", TEXT(TRIM(N629),"00000")="89081"), "North LV",
  OR(TEXT(TRIM(N629),"00000")="89109", TEXT(TRIM(N629),"00000")="89103", TEXT(TRIM(N629),"00000")="89119", TEXT(TRIM(N629),"00000")="89123", TEXT(TRIM(N629),"00000")="89169", TEXT(TRIM(N629),"00000")="89118"), "South/Strip",
  OR(TEXT(TRIM(N629),"00000")="89074", TEXT(TRIM(N629),"00000")="89014", TEXT(TRIM(N629),"00000")="89015", TEXT(TRIM(N629),"00000")="89011", TEXT(TRIM(N629),"00000")="89012"), "Suburban SE",
  OR(TEXT(TRIM(N629),"00000")="89117", TEXT(TRIM(N629),"00000")="89128", TEXT(TRIM(N629),"00000")="89135", TEXT(TRIM(N629),"00000")="89144", TEXT(TRIM(N629),"00000")="89145", TEXT(TRIM(N629),"00000")="89147"), "West Valley",
  TRUE, "Other"
)</f>
        <v>Missing/Unknown</v>
      </c>
      <c r="P629" t="s">
        <v>3298</v>
      </c>
      <c r="Q629" t="str">
        <f t="shared" si="38"/>
        <v>Outdoors/Public</v>
      </c>
      <c r="R629" t="s">
        <v>4341</v>
      </c>
      <c r="S629" t="s">
        <v>5100</v>
      </c>
      <c r="T629" t="str" cm="1">
        <f t="array" ref="T629">_xlfn.IFS(
  TEXT(TRIM(S629),"00000")="NULL", "Missing/Unknown",
  OR(TEXT(TRIM(S629),"00000")="89101", TEXT(TRIM(S629),"00000")="89104", TEXT(TRIM(S629),"00000")="89106", TEXT(TRIM(S629),"00000")="89102", TEXT(TRIM(S629),"00000")="89107", TEXT(TRIM(S629),"00000")="89108"), "Urban Core",
  OR(TEXT(TRIM(S629),"00000")="89110", TEXT(TRIM(S629),"00000")="89115", TEXT(TRIM(S629),"00000")="89121", TEXT(TRIM(S629),"00000")="89122", TEXT(TRIM(S629),"00000")="89142", TEXT(TRIM(S629),"00000")="89156"), "East Valley",
  OR(TEXT(TRIM(S629),"00000")="89030", TEXT(TRIM(S629),"00000")="89031", TEXT(TRIM(S629),"00000")="89032", TEXT(TRIM(S629),"00000")="89086", TEXT(TRIM(S629),"00000")="89084", TEXT(TRIM(S629),"00000")="89081"), "North LV",
  OR(TEXT(TRIM(S629),"00000")="89109", TEXT(TRIM(S629),"00000")="89103", TEXT(TRIM(S629),"00000")="89119", TEXT(TRIM(S629),"00000")="89123", TEXT(TRIM(S629),"00000")="89169", TEXT(TRIM(S629),"00000")="89118"), "South/Strip",
  OR(TEXT(TRIM(S629),"00000")="89074", TEXT(TRIM(S629),"00000")="89014", TEXT(TRIM(S629),"00000")="89015", TEXT(TRIM(S629),"00000")="89011", TEXT(TRIM(S629),"00000")="89012"), "Suburban SE",
  OR(TEXT(TRIM(S629),"00000")="89117", TEXT(TRIM(S629),"00000")="89128", TEXT(TRIM(S629),"00000")="89135", TEXT(TRIM(S629),"00000")="89144", TEXT(TRIM(S629),"00000")="89145", TEXT(TRIM(S629),"00000")="89147"), "West Valley",
  TRUE, "Other"
)</f>
        <v>North LV</v>
      </c>
      <c r="U629" t="s">
        <v>4301</v>
      </c>
      <c r="V629" t="str">
        <f t="shared" si="39"/>
        <v>Medical Facility</v>
      </c>
    </row>
    <row r="630" spans="1:22">
      <c r="A630" t="s">
        <v>553</v>
      </c>
      <c r="B630" t="s">
        <v>554</v>
      </c>
      <c r="C630" s="1">
        <v>45128</v>
      </c>
      <c r="D630" s="4">
        <v>114.08</v>
      </c>
      <c r="E630">
        <v>71</v>
      </c>
      <c r="F630" t="str">
        <f t="shared" si="36"/>
        <v>70's</v>
      </c>
      <c r="G630" t="str" cm="1">
        <f t="array" ref="G630">_xlfn.IFS(
  F630="10's", "Child (5–12)",
  OR(F630="20's", F630="30's"), "Young Adult (20–39)",
  OR(F630="40's", F630="50's"), "Adult (40–59)",
  OR(F630="60's", F630="70's", F630="80's", F630="90's"), "Senior (60+)",
  TRUE, "Unknown"
)</f>
        <v>Senior (60+)</v>
      </c>
      <c r="H630" t="s">
        <v>778</v>
      </c>
      <c r="I630" t="s">
        <v>54</v>
      </c>
      <c r="J630" t="str">
        <f t="shared" si="37"/>
        <v>Environmental Heat</v>
      </c>
      <c r="K630" t="s">
        <v>63</v>
      </c>
      <c r="L630" t="s">
        <v>250</v>
      </c>
      <c r="M630" t="s">
        <v>4979</v>
      </c>
      <c r="N630" t="s">
        <v>5119</v>
      </c>
      <c r="O630" t="str" cm="1">
        <f t="array" ref="O630">_xlfn.IFS(
  TEXT(TRIM(N630),"00000")="NULL", "Missing/Unknown",
  OR(TEXT(TRIM(N630),"00000")="89101", TEXT(TRIM(N630),"00000")="89104", TEXT(TRIM(N630),"00000")="89106", TEXT(TRIM(N630),"00000")="89102", TEXT(TRIM(N630),"00000")="89107", TEXT(TRIM(N630),"00000")="89108"), "Urban Core",
  OR(TEXT(TRIM(N630),"00000")="89110", TEXT(TRIM(N630),"00000")="89115", TEXT(TRIM(N630),"00000")="89121", TEXT(TRIM(N630),"00000")="89122", TEXT(TRIM(N630),"00000")="89142", TEXT(TRIM(N630),"00000")="89156"), "East Valley",
  OR(TEXT(TRIM(N630),"00000")="89030", TEXT(TRIM(N630),"00000")="89031", TEXT(TRIM(N630),"00000")="89032", TEXT(TRIM(N630),"00000")="89086", TEXT(TRIM(N630),"00000")="89084", TEXT(TRIM(N630),"00000")="89081"), "North LV",
  OR(TEXT(TRIM(N630),"00000")="89109", TEXT(TRIM(N630),"00000")="89103", TEXT(TRIM(N630),"00000")="89119", TEXT(TRIM(N630),"00000")="89123", TEXT(TRIM(N630),"00000")="89169", TEXT(TRIM(N630),"00000")="89118"), "South/Strip",
  OR(TEXT(TRIM(N630),"00000")="89074", TEXT(TRIM(N630),"00000")="89014", TEXT(TRIM(N630),"00000")="89015", TEXT(TRIM(N630),"00000")="89011", TEXT(TRIM(N630),"00000")="89012"), "Suburban SE",
  OR(TEXT(TRIM(N630),"00000")="89117", TEXT(TRIM(N630),"00000")="89128", TEXT(TRIM(N630),"00000")="89135", TEXT(TRIM(N630),"00000")="89144", TEXT(TRIM(N630),"00000")="89145", TEXT(TRIM(N630),"00000")="89147"), "West Valley",
  TRUE, "Other"
)</f>
        <v>Urban Core</v>
      </c>
      <c r="P630" t="s">
        <v>65</v>
      </c>
      <c r="Q630" t="str">
        <f t="shared" si="38"/>
        <v>Vehicle-related</v>
      </c>
      <c r="R630" t="s">
        <v>4979</v>
      </c>
      <c r="S630" t="s">
        <v>5119</v>
      </c>
      <c r="T630" t="str" cm="1">
        <f t="array" ref="T630">_xlfn.IFS(
  TEXT(TRIM(S630),"00000")="NULL", "Missing/Unknown",
  OR(TEXT(TRIM(S630),"00000")="89101", TEXT(TRIM(S630),"00000")="89104", TEXT(TRIM(S630),"00000")="89106", TEXT(TRIM(S630),"00000")="89102", TEXT(TRIM(S630),"00000")="89107", TEXT(TRIM(S630),"00000")="89108"), "Urban Core",
  OR(TEXT(TRIM(S630),"00000")="89110", TEXT(TRIM(S630),"00000")="89115", TEXT(TRIM(S630),"00000")="89121", TEXT(TRIM(S630),"00000")="89122", TEXT(TRIM(S630),"00000")="89142", TEXT(TRIM(S630),"00000")="89156"), "East Valley",
  OR(TEXT(TRIM(S630),"00000")="89030", TEXT(TRIM(S630),"00000")="89031", TEXT(TRIM(S630),"00000")="89032", TEXT(TRIM(S630),"00000")="89086", TEXT(TRIM(S630),"00000")="89084", TEXT(TRIM(S630),"00000")="89081"), "North LV",
  OR(TEXT(TRIM(S630),"00000")="89109", TEXT(TRIM(S630),"00000")="89103", TEXT(TRIM(S630),"00000")="89119", TEXT(TRIM(S630),"00000")="89123", TEXT(TRIM(S630),"00000")="89169", TEXT(TRIM(S630),"00000")="89118"), "South/Strip",
  OR(TEXT(TRIM(S630),"00000")="89074", TEXT(TRIM(S630),"00000")="89014", TEXT(TRIM(S630),"00000")="89015", TEXT(TRIM(S630),"00000")="89011", TEXT(TRIM(S630),"00000")="89012"), "Suburban SE",
  OR(TEXT(TRIM(S630),"00000")="89117", TEXT(TRIM(S630),"00000")="89128", TEXT(TRIM(S630),"00000")="89135", TEXT(TRIM(S630),"00000")="89144", TEXT(TRIM(S630),"00000")="89145", TEXT(TRIM(S630),"00000")="89147"), "West Valley",
  TRUE, "Other"
)</f>
        <v>Urban Core</v>
      </c>
      <c r="U630" t="s">
        <v>65</v>
      </c>
      <c r="V630" t="str">
        <f t="shared" si="39"/>
        <v>Vehicle-related</v>
      </c>
    </row>
    <row r="631" spans="1:22">
      <c r="A631" t="s">
        <v>540</v>
      </c>
      <c r="B631" t="s">
        <v>541</v>
      </c>
      <c r="C631" s="1">
        <v>45128</v>
      </c>
      <c r="D631" s="4">
        <v>114.08</v>
      </c>
      <c r="E631">
        <v>88</v>
      </c>
      <c r="F631" t="str">
        <f t="shared" si="36"/>
        <v>80's</v>
      </c>
      <c r="G631" t="str" cm="1">
        <f t="array" ref="G631">_xlfn.IFS(
  F631="10's", "Child (5–12)",
  OR(F631="20's", F631="30's"), "Young Adult (20–39)",
  OR(F631="40's", F631="50's"), "Adult (40–59)",
  OR(F631="60's", F631="70's", F631="80's", F631="90's"), "Senior (60+)",
  TRUE, "Unknown"
)</f>
        <v>Senior (60+)</v>
      </c>
      <c r="H631" t="s">
        <v>841</v>
      </c>
      <c r="I631" t="s">
        <v>54</v>
      </c>
      <c r="J631" t="str">
        <f t="shared" si="37"/>
        <v>Environmental Heat</v>
      </c>
      <c r="K631" t="s">
        <v>4223</v>
      </c>
      <c r="L631" t="s">
        <v>1071</v>
      </c>
      <c r="M631" t="s">
        <v>4388</v>
      </c>
      <c r="N631" t="s">
        <v>5108</v>
      </c>
      <c r="O631" t="str" cm="1">
        <f t="array" ref="O631">_xlfn.IFS(
  TEXT(TRIM(N631),"00000")="NULL", "Missing/Unknown",
  OR(TEXT(TRIM(N631),"00000")="89101", TEXT(TRIM(N631),"00000")="89104", TEXT(TRIM(N631),"00000")="89106", TEXT(TRIM(N631),"00000")="89102", TEXT(TRIM(N631),"00000")="89107", TEXT(TRIM(N631),"00000")="89108"), "Urban Core",
  OR(TEXT(TRIM(N631),"00000")="89110", TEXT(TRIM(N631),"00000")="89115", TEXT(TRIM(N631),"00000")="89121", TEXT(TRIM(N631),"00000")="89122", TEXT(TRIM(N631),"00000")="89142", TEXT(TRIM(N631),"00000")="89156"), "East Valley",
  OR(TEXT(TRIM(N631),"00000")="89030", TEXT(TRIM(N631),"00000")="89031", TEXT(TRIM(N631),"00000")="89032", TEXT(TRIM(N631),"00000")="89086", TEXT(TRIM(N631),"00000")="89084", TEXT(TRIM(N631),"00000")="89081"), "North LV",
  OR(TEXT(TRIM(N631),"00000")="89109", TEXT(TRIM(N631),"00000")="89103", TEXT(TRIM(N631),"00000")="89119", TEXT(TRIM(N631),"00000")="89123", TEXT(TRIM(N631),"00000")="89169", TEXT(TRIM(N631),"00000")="89118"), "South/Strip",
  OR(TEXT(TRIM(N631),"00000")="89074", TEXT(TRIM(N631),"00000")="89014", TEXT(TRIM(N631),"00000")="89015", TEXT(TRIM(N631),"00000")="89011", TEXT(TRIM(N631),"00000")="89012"), "Suburban SE",
  OR(TEXT(TRIM(N631),"00000")="89117", TEXT(TRIM(N631),"00000")="89128", TEXT(TRIM(N631),"00000")="89135", TEXT(TRIM(N631),"00000")="89144", TEXT(TRIM(N631),"00000")="89145", TEXT(TRIM(N631),"00000")="89147"), "West Valley",
  TRUE, "Other"
)</f>
        <v>East Valley</v>
      </c>
      <c r="P631" t="s">
        <v>38</v>
      </c>
      <c r="Q631" t="str">
        <f t="shared" si="38"/>
        <v>Home/Residence</v>
      </c>
      <c r="R631" t="s">
        <v>4388</v>
      </c>
      <c r="S631" t="s">
        <v>5108</v>
      </c>
      <c r="T631" t="str" cm="1">
        <f t="array" ref="T631">_xlfn.IFS(
  TEXT(TRIM(S631),"00000")="NULL", "Missing/Unknown",
  OR(TEXT(TRIM(S631),"00000")="89101", TEXT(TRIM(S631),"00000")="89104", TEXT(TRIM(S631),"00000")="89106", TEXT(TRIM(S631),"00000")="89102", TEXT(TRIM(S631),"00000")="89107", TEXT(TRIM(S631),"00000")="89108"), "Urban Core",
  OR(TEXT(TRIM(S631),"00000")="89110", TEXT(TRIM(S631),"00000")="89115", TEXT(TRIM(S631),"00000")="89121", TEXT(TRIM(S631),"00000")="89122", TEXT(TRIM(S631),"00000")="89142", TEXT(TRIM(S631),"00000")="89156"), "East Valley",
  OR(TEXT(TRIM(S631),"00000")="89030", TEXT(TRIM(S631),"00000")="89031", TEXT(TRIM(S631),"00000")="89032", TEXT(TRIM(S631),"00000")="89086", TEXT(TRIM(S631),"00000")="89084", TEXT(TRIM(S631),"00000")="89081"), "North LV",
  OR(TEXT(TRIM(S631),"00000")="89109", TEXT(TRIM(S631),"00000")="89103", TEXT(TRIM(S631),"00000")="89119", TEXT(TRIM(S631),"00000")="89123", TEXT(TRIM(S631),"00000")="89169", TEXT(TRIM(S631),"00000")="89118"), "South/Strip",
  OR(TEXT(TRIM(S631),"00000")="89074", TEXT(TRIM(S631),"00000")="89014", TEXT(TRIM(S631),"00000")="89015", TEXT(TRIM(S631),"00000")="89011", TEXT(TRIM(S631),"00000")="89012"), "Suburban SE",
  OR(TEXT(TRIM(S631),"00000")="89117", TEXT(TRIM(S631),"00000")="89128", TEXT(TRIM(S631),"00000")="89135", TEXT(TRIM(S631),"00000")="89144", TEXT(TRIM(S631),"00000")="89145", TEXT(TRIM(S631),"00000")="89147"), "West Valley",
  TRUE, "Other"
)</f>
        <v>East Valley</v>
      </c>
      <c r="U631" t="s">
        <v>38</v>
      </c>
      <c r="V631" t="str">
        <f t="shared" si="39"/>
        <v>Home/Residence</v>
      </c>
    </row>
    <row r="632" spans="1:22">
      <c r="A632" t="s">
        <v>530</v>
      </c>
      <c r="B632" t="s">
        <v>531</v>
      </c>
      <c r="C632" s="1">
        <v>45128</v>
      </c>
      <c r="D632" s="4">
        <v>114.08</v>
      </c>
      <c r="E632">
        <v>61</v>
      </c>
      <c r="F632" t="str">
        <f t="shared" si="36"/>
        <v>60's</v>
      </c>
      <c r="G632" t="str" cm="1">
        <f t="array" ref="G632">_xlfn.IFS(
  F632="10's", "Child (5–12)",
  OR(F632="20's", F632="30's"), "Young Adult (20–39)",
  OR(F632="40's", F632="50's"), "Adult (40–59)",
  OR(F632="60's", F632="70's", F632="80's", F632="90's"), "Senior (60+)",
  TRUE, "Unknown"
)</f>
        <v>Senior (60+)</v>
      </c>
      <c r="H632" t="s">
        <v>778</v>
      </c>
      <c r="I632" t="s">
        <v>28</v>
      </c>
      <c r="J632" t="str">
        <f t="shared" si="37"/>
        <v>Cardiovascular Disease</v>
      </c>
      <c r="K632" t="s">
        <v>532</v>
      </c>
      <c r="L632" t="s">
        <v>1071</v>
      </c>
      <c r="M632" t="s">
        <v>4387</v>
      </c>
      <c r="N632" t="s">
        <v>5117</v>
      </c>
      <c r="O632" t="str" cm="1">
        <f t="array" ref="O632">_xlfn.IFS(
  TEXT(TRIM(N632),"00000")="NULL", "Missing/Unknown",
  OR(TEXT(TRIM(N632),"00000")="89101", TEXT(TRIM(N632),"00000")="89104", TEXT(TRIM(N632),"00000")="89106", TEXT(TRIM(N632),"00000")="89102", TEXT(TRIM(N632),"00000")="89107", TEXT(TRIM(N632),"00000")="89108"), "Urban Core",
  OR(TEXT(TRIM(N632),"00000")="89110", TEXT(TRIM(N632),"00000")="89115", TEXT(TRIM(N632),"00000")="89121", TEXT(TRIM(N632),"00000")="89122", TEXT(TRIM(N632),"00000")="89142", TEXT(TRIM(N632),"00000")="89156"), "East Valley",
  OR(TEXT(TRIM(N632),"00000")="89030", TEXT(TRIM(N632),"00000")="89031", TEXT(TRIM(N632),"00000")="89032", TEXT(TRIM(N632),"00000")="89086", TEXT(TRIM(N632),"00000")="89084", TEXT(TRIM(N632),"00000")="89081"), "North LV",
  OR(TEXT(TRIM(N632),"00000")="89109", TEXT(TRIM(N632),"00000")="89103", TEXT(TRIM(N632),"00000")="89119", TEXT(TRIM(N632),"00000")="89123", TEXT(TRIM(N632),"00000")="89169", TEXT(TRIM(N632),"00000")="89118"), "South/Strip",
  OR(TEXT(TRIM(N632),"00000")="89074", TEXT(TRIM(N632),"00000")="89014", TEXT(TRIM(N632),"00000")="89015", TEXT(TRIM(N632),"00000")="89011", TEXT(TRIM(N632),"00000")="89012"), "Suburban SE",
  OR(TEXT(TRIM(N632),"00000")="89117", TEXT(TRIM(N632),"00000")="89128", TEXT(TRIM(N632),"00000")="89135", TEXT(TRIM(N632),"00000")="89144", TEXT(TRIM(N632),"00000")="89145", TEXT(TRIM(N632),"00000")="89147"), "West Valley",
  TRUE, "Other"
)</f>
        <v>North LV</v>
      </c>
      <c r="P632" t="s">
        <v>38</v>
      </c>
      <c r="Q632" t="str">
        <f t="shared" si="38"/>
        <v>Home/Residence</v>
      </c>
      <c r="R632" t="s">
        <v>4387</v>
      </c>
      <c r="S632" t="s">
        <v>5117</v>
      </c>
      <c r="T632" t="str" cm="1">
        <f t="array" ref="T632">_xlfn.IFS(
  TEXT(TRIM(S632),"00000")="NULL", "Missing/Unknown",
  OR(TEXT(TRIM(S632),"00000")="89101", TEXT(TRIM(S632),"00000")="89104", TEXT(TRIM(S632),"00000")="89106", TEXT(TRIM(S632),"00000")="89102", TEXT(TRIM(S632),"00000")="89107", TEXT(TRIM(S632),"00000")="89108"), "Urban Core",
  OR(TEXT(TRIM(S632),"00000")="89110", TEXT(TRIM(S632),"00000")="89115", TEXT(TRIM(S632),"00000")="89121", TEXT(TRIM(S632),"00000")="89122", TEXT(TRIM(S632),"00000")="89142", TEXT(TRIM(S632),"00000")="89156"), "East Valley",
  OR(TEXT(TRIM(S632),"00000")="89030", TEXT(TRIM(S632),"00000")="89031", TEXT(TRIM(S632),"00000")="89032", TEXT(TRIM(S632),"00000")="89086", TEXT(TRIM(S632),"00000")="89084", TEXT(TRIM(S632),"00000")="89081"), "North LV",
  OR(TEXT(TRIM(S632),"00000")="89109", TEXT(TRIM(S632),"00000")="89103", TEXT(TRIM(S632),"00000")="89119", TEXT(TRIM(S632),"00000")="89123", TEXT(TRIM(S632),"00000")="89169", TEXT(TRIM(S632),"00000")="89118"), "South/Strip",
  OR(TEXT(TRIM(S632),"00000")="89074", TEXT(TRIM(S632),"00000")="89014", TEXT(TRIM(S632),"00000")="89015", TEXT(TRIM(S632),"00000")="89011", TEXT(TRIM(S632),"00000")="89012"), "Suburban SE",
  OR(TEXT(TRIM(S632),"00000")="89117", TEXT(TRIM(S632),"00000")="89128", TEXT(TRIM(S632),"00000")="89135", TEXT(TRIM(S632),"00000")="89144", TEXT(TRIM(S632),"00000")="89145", TEXT(TRIM(S632),"00000")="89147"), "West Valley",
  TRUE, "Other"
)</f>
        <v>North LV</v>
      </c>
      <c r="U632" t="s">
        <v>38</v>
      </c>
      <c r="V632" t="str">
        <f t="shared" si="39"/>
        <v>Home/Residence</v>
      </c>
    </row>
    <row r="633" spans="1:22">
      <c r="A633" t="s">
        <v>537</v>
      </c>
      <c r="B633" t="s">
        <v>538</v>
      </c>
      <c r="C633" s="1">
        <v>45128</v>
      </c>
      <c r="D633" s="4">
        <v>114.08</v>
      </c>
      <c r="E633">
        <v>44</v>
      </c>
      <c r="F633" t="str">
        <f t="shared" si="36"/>
        <v>40's</v>
      </c>
      <c r="G633" t="str" cm="1">
        <f t="array" ref="G633">_xlfn.IFS(
  F633="10's", "Child (5–12)",
  OR(F633="20's", F633="30's"), "Young Adult (20–39)",
  OR(F633="40's", F633="50's"), "Adult (40–59)",
  OR(F633="60's", F633="70's", F633="80's", F633="90's"), "Senior (60+)",
  TRUE, "Unknown"
)</f>
        <v>Adult (40–59)</v>
      </c>
      <c r="H633" t="s">
        <v>841</v>
      </c>
      <c r="I633" t="s">
        <v>172</v>
      </c>
      <c r="J633" t="str">
        <f t="shared" si="37"/>
        <v>Methamphetamine-related</v>
      </c>
      <c r="K633" t="s">
        <v>163</v>
      </c>
      <c r="L633" t="s">
        <v>250</v>
      </c>
      <c r="M633" t="s">
        <v>4537</v>
      </c>
      <c r="N633" t="s">
        <v>5102</v>
      </c>
      <c r="O633" t="str" cm="1">
        <f t="array" ref="O633">_xlfn.IFS(
  TEXT(TRIM(N633),"00000")="NULL", "Missing/Unknown",
  OR(TEXT(TRIM(N633),"00000")="89101", TEXT(TRIM(N633),"00000")="89104", TEXT(TRIM(N633),"00000")="89106", TEXT(TRIM(N633),"00000")="89102", TEXT(TRIM(N633),"00000")="89107", TEXT(TRIM(N633),"00000")="89108"), "Urban Core",
  OR(TEXT(TRIM(N633),"00000")="89110", TEXT(TRIM(N633),"00000")="89115", TEXT(TRIM(N633),"00000")="89121", TEXT(TRIM(N633),"00000")="89122", TEXT(TRIM(N633),"00000")="89142", TEXT(TRIM(N633),"00000")="89156"), "East Valley",
  OR(TEXT(TRIM(N633),"00000")="89030", TEXT(TRIM(N633),"00000")="89031", TEXT(TRIM(N633),"00000")="89032", TEXT(TRIM(N633),"00000")="89086", TEXT(TRIM(N633),"00000")="89084", TEXT(TRIM(N633),"00000")="89081"), "North LV",
  OR(TEXT(TRIM(N633),"00000")="89109", TEXT(TRIM(N633),"00000")="89103", TEXT(TRIM(N633),"00000")="89119", TEXT(TRIM(N633),"00000")="89123", TEXT(TRIM(N633),"00000")="89169", TEXT(TRIM(N633),"00000")="89118"), "South/Strip",
  OR(TEXT(TRIM(N633),"00000")="89074", TEXT(TRIM(N633),"00000")="89014", TEXT(TRIM(N633),"00000")="89015", TEXT(TRIM(N633),"00000")="89011", TEXT(TRIM(N633),"00000")="89012"), "Suburban SE",
  OR(TEXT(TRIM(N633),"00000")="89117", TEXT(TRIM(N633),"00000")="89128", TEXT(TRIM(N633),"00000")="89135", TEXT(TRIM(N633),"00000")="89144", TEXT(TRIM(N633),"00000")="89145", TEXT(TRIM(N633),"00000")="89147"), "West Valley",
  TRUE, "Other"
)</f>
        <v>Urban Core</v>
      </c>
      <c r="P633" t="s">
        <v>3298</v>
      </c>
      <c r="Q633" t="str">
        <f t="shared" si="38"/>
        <v>Outdoors/Public</v>
      </c>
      <c r="R633" t="s">
        <v>4500</v>
      </c>
      <c r="S633" t="s">
        <v>5116</v>
      </c>
      <c r="T633" t="str" cm="1">
        <f t="array" ref="T633">_xlfn.IFS(
  TEXT(TRIM(S633),"00000")="NULL", "Missing/Unknown",
  OR(TEXT(TRIM(S633),"00000")="89101", TEXT(TRIM(S633),"00000")="89104", TEXT(TRIM(S633),"00000")="89106", TEXT(TRIM(S633),"00000")="89102", TEXT(TRIM(S633),"00000")="89107", TEXT(TRIM(S633),"00000")="89108"), "Urban Core",
  OR(TEXT(TRIM(S633),"00000")="89110", TEXT(TRIM(S633),"00000")="89115", TEXT(TRIM(S633),"00000")="89121", TEXT(TRIM(S633),"00000")="89122", TEXT(TRIM(S633),"00000")="89142", TEXT(TRIM(S633),"00000")="89156"), "East Valley",
  OR(TEXT(TRIM(S633),"00000")="89030", TEXT(TRIM(S633),"00000")="89031", TEXT(TRIM(S633),"00000")="89032", TEXT(TRIM(S633),"00000")="89086", TEXT(TRIM(S633),"00000")="89084", TEXT(TRIM(S633),"00000")="89081"), "North LV",
  OR(TEXT(TRIM(S633),"00000")="89109", TEXT(TRIM(S633),"00000")="89103", TEXT(TRIM(S633),"00000")="89119", TEXT(TRIM(S633),"00000")="89123", TEXT(TRIM(S633),"00000")="89169", TEXT(TRIM(S633),"00000")="89118"), "South/Strip",
  OR(TEXT(TRIM(S633),"00000")="89074", TEXT(TRIM(S633),"00000")="89014", TEXT(TRIM(S633),"00000")="89015", TEXT(TRIM(S633),"00000")="89011", TEXT(TRIM(S633),"00000")="89012"), "Suburban SE",
  OR(TEXT(TRIM(S633),"00000")="89117", TEXT(TRIM(S633),"00000")="89128", TEXT(TRIM(S633),"00000")="89135", TEXT(TRIM(S633),"00000")="89144", TEXT(TRIM(S633),"00000")="89145", TEXT(TRIM(S633),"00000")="89147"), "West Valley",
  TRUE, "Other"
)</f>
        <v>West Valley</v>
      </c>
      <c r="U633" t="s">
        <v>4301</v>
      </c>
      <c r="V633" t="str">
        <f t="shared" si="39"/>
        <v>Medical Facility</v>
      </c>
    </row>
    <row r="634" spans="1:22">
      <c r="A634" t="s">
        <v>550</v>
      </c>
      <c r="B634" t="s">
        <v>551</v>
      </c>
      <c r="C634" s="1">
        <v>45128</v>
      </c>
      <c r="D634" s="4">
        <v>114.08</v>
      </c>
      <c r="E634">
        <v>70</v>
      </c>
      <c r="F634" t="str">
        <f t="shared" si="36"/>
        <v>70's</v>
      </c>
      <c r="G634" t="str" cm="1">
        <f t="array" ref="G634">_xlfn.IFS(
  F634="10's", "Child (5–12)",
  OR(F634="20's", F634="30's"), "Young Adult (20–39)",
  OR(F634="40's", F634="50's"), "Adult (40–59)",
  OR(F634="60's", F634="70's", F634="80's", F634="90's"), "Senior (60+)",
  TRUE, "Unknown"
)</f>
        <v>Senior (60+)</v>
      </c>
      <c r="H634" t="s">
        <v>841</v>
      </c>
      <c r="I634" t="s">
        <v>97</v>
      </c>
      <c r="J634" t="str">
        <f t="shared" si="37"/>
        <v>Environmental Heat</v>
      </c>
      <c r="K634" t="s">
        <v>468</v>
      </c>
      <c r="L634" t="s">
        <v>1071</v>
      </c>
      <c r="M634" t="s">
        <v>4522</v>
      </c>
      <c r="N634" t="s">
        <v>5115</v>
      </c>
      <c r="O634" t="str" cm="1">
        <f t="array" ref="O634">_xlfn.IFS(
  TEXT(TRIM(N634),"00000")="NULL", "Missing/Unknown",
  OR(TEXT(TRIM(N634),"00000")="89101", TEXT(TRIM(N634),"00000")="89104", TEXT(TRIM(N634),"00000")="89106", TEXT(TRIM(N634),"00000")="89102", TEXT(TRIM(N634),"00000")="89107", TEXT(TRIM(N634),"00000")="89108"), "Urban Core",
  OR(TEXT(TRIM(N634),"00000")="89110", TEXT(TRIM(N634),"00000")="89115", TEXT(TRIM(N634),"00000")="89121", TEXT(TRIM(N634),"00000")="89122", TEXT(TRIM(N634),"00000")="89142", TEXT(TRIM(N634),"00000")="89156"), "East Valley",
  OR(TEXT(TRIM(N634),"00000")="89030", TEXT(TRIM(N634),"00000")="89031", TEXT(TRIM(N634),"00000")="89032", TEXT(TRIM(N634),"00000")="89086", TEXT(TRIM(N634),"00000")="89084", TEXT(TRIM(N634),"00000")="89081"), "North LV",
  OR(TEXT(TRIM(N634),"00000")="89109", TEXT(TRIM(N634),"00000")="89103", TEXT(TRIM(N634),"00000")="89119", TEXT(TRIM(N634),"00000")="89123", TEXT(TRIM(N634),"00000")="89169", TEXT(TRIM(N634),"00000")="89118"), "South/Strip",
  OR(TEXT(TRIM(N634),"00000")="89074", TEXT(TRIM(N634),"00000")="89014", TEXT(TRIM(N634),"00000")="89015", TEXT(TRIM(N634),"00000")="89011", TEXT(TRIM(N634),"00000")="89012"), "Suburban SE",
  OR(TEXT(TRIM(N634),"00000")="89117", TEXT(TRIM(N634),"00000")="89128", TEXT(TRIM(N634),"00000")="89135", TEXT(TRIM(N634),"00000")="89144", TEXT(TRIM(N634),"00000")="89145", TEXT(TRIM(N634),"00000")="89147"), "West Valley",
  TRUE, "Other"
)</f>
        <v>Other</v>
      </c>
      <c r="P634" t="s">
        <v>38</v>
      </c>
      <c r="Q634" t="str">
        <f t="shared" si="38"/>
        <v>Home/Residence</v>
      </c>
      <c r="R634" t="s">
        <v>4713</v>
      </c>
      <c r="S634" t="s">
        <v>5125</v>
      </c>
      <c r="T634" t="str" cm="1">
        <f t="array" ref="T634">_xlfn.IFS(
  TEXT(TRIM(S634),"00000")="NULL", "Missing/Unknown",
  OR(TEXT(TRIM(S634),"00000")="89101", TEXT(TRIM(S634),"00000")="89104", TEXT(TRIM(S634),"00000")="89106", TEXT(TRIM(S634),"00000")="89102", TEXT(TRIM(S634),"00000")="89107", TEXT(TRIM(S634),"00000")="89108"), "Urban Core",
  OR(TEXT(TRIM(S634),"00000")="89110", TEXT(TRIM(S634),"00000")="89115", TEXT(TRIM(S634),"00000")="89121", TEXT(TRIM(S634),"00000")="89122", TEXT(TRIM(S634),"00000")="89142", TEXT(TRIM(S634),"00000")="89156"), "East Valley",
  OR(TEXT(TRIM(S634),"00000")="89030", TEXT(TRIM(S634),"00000")="89031", TEXT(TRIM(S634),"00000")="89032", TEXT(TRIM(S634),"00000")="89086", TEXT(TRIM(S634),"00000")="89084", TEXT(TRIM(S634),"00000")="89081"), "North LV",
  OR(TEXT(TRIM(S634),"00000")="89109", TEXT(TRIM(S634),"00000")="89103", TEXT(TRIM(S634),"00000")="89119", TEXT(TRIM(S634),"00000")="89123", TEXT(TRIM(S634),"00000")="89169", TEXT(TRIM(S634),"00000")="89118"), "South/Strip",
  OR(TEXT(TRIM(S634),"00000")="89074", TEXT(TRIM(S634),"00000")="89014", TEXT(TRIM(S634),"00000")="89015", TEXT(TRIM(S634),"00000")="89011", TEXT(TRIM(S634),"00000")="89012"), "Suburban SE",
  OR(TEXT(TRIM(S634),"00000")="89117", TEXT(TRIM(S634),"00000")="89128", TEXT(TRIM(S634),"00000")="89135", TEXT(TRIM(S634),"00000")="89144", TEXT(TRIM(S634),"00000")="89145", TEXT(TRIM(S634),"00000")="89147"), "West Valley",
  TRUE, "Other"
)</f>
        <v>South/Strip</v>
      </c>
      <c r="U634" t="s">
        <v>4301</v>
      </c>
      <c r="V634" t="str">
        <f t="shared" si="39"/>
        <v>Medical Facility</v>
      </c>
    </row>
    <row r="635" spans="1:22">
      <c r="A635" t="s">
        <v>560</v>
      </c>
      <c r="B635" t="s">
        <v>561</v>
      </c>
      <c r="C635" s="1">
        <v>45128</v>
      </c>
      <c r="D635" s="4">
        <v>114.08</v>
      </c>
      <c r="E635">
        <v>37</v>
      </c>
      <c r="F635" t="str">
        <f t="shared" si="36"/>
        <v>30's</v>
      </c>
      <c r="G635" t="str" cm="1">
        <f t="array" ref="G635">_xlfn.IFS(
  F635="10's", "Child (5–12)",
  OR(F635="20's", F635="30's"), "Young Adult (20–39)",
  OR(F635="40's", F635="50's"), "Adult (40–59)",
  OR(F635="60's", F635="70's", F635="80's", F635="90's"), "Senior (60+)",
  TRUE, "Unknown"
)</f>
        <v>Young Adult (20–39)</v>
      </c>
      <c r="H635" t="s">
        <v>778</v>
      </c>
      <c r="I635" t="s">
        <v>54</v>
      </c>
      <c r="J635" t="str">
        <f t="shared" si="37"/>
        <v>Environmental Heat</v>
      </c>
      <c r="K635" t="s">
        <v>379</v>
      </c>
      <c r="L635" t="s">
        <v>250</v>
      </c>
      <c r="M635" t="s">
        <v>4538</v>
      </c>
      <c r="N635" t="s">
        <v>5101</v>
      </c>
      <c r="O635" t="str" cm="1">
        <f t="array" ref="O635">_xlfn.IFS(
  TEXT(TRIM(N635),"00000")="NULL", "Missing/Unknown",
  OR(TEXT(TRIM(N635),"00000")="89101", TEXT(TRIM(N635),"00000")="89104", TEXT(TRIM(N635),"00000")="89106", TEXT(TRIM(N635),"00000")="89102", TEXT(TRIM(N635),"00000")="89107", TEXT(TRIM(N635),"00000")="89108"), "Urban Core",
  OR(TEXT(TRIM(N635),"00000")="89110", TEXT(TRIM(N635),"00000")="89115", TEXT(TRIM(N635),"00000")="89121", TEXT(TRIM(N635),"00000")="89122", TEXT(TRIM(N635),"00000")="89142", TEXT(TRIM(N635),"00000")="89156"), "East Valley",
  OR(TEXT(TRIM(N635),"00000")="89030", TEXT(TRIM(N635),"00000")="89031", TEXT(TRIM(N635),"00000")="89032", TEXT(TRIM(N635),"00000")="89086", TEXT(TRIM(N635),"00000")="89084", TEXT(TRIM(N635),"00000")="89081"), "North LV",
  OR(TEXT(TRIM(N635),"00000")="89109", TEXT(TRIM(N635),"00000")="89103", TEXT(TRIM(N635),"00000")="89119", TEXT(TRIM(N635),"00000")="89123", TEXT(TRIM(N635),"00000")="89169", TEXT(TRIM(N635),"00000")="89118"), "South/Strip",
  OR(TEXT(TRIM(N635),"00000")="89074", TEXT(TRIM(N635),"00000")="89014", TEXT(TRIM(N635),"00000")="89015", TEXT(TRIM(N635),"00000")="89011", TEXT(TRIM(N635),"00000")="89012"), "Suburban SE",
  OR(TEXT(TRIM(N635),"00000")="89117", TEXT(TRIM(N635),"00000")="89128", TEXT(TRIM(N635),"00000")="89135", TEXT(TRIM(N635),"00000")="89144", TEXT(TRIM(N635),"00000")="89145", TEXT(TRIM(N635),"00000")="89147"), "West Valley",
  TRUE, "Other"
)</f>
        <v>Urban Core</v>
      </c>
      <c r="P635" t="s">
        <v>3298</v>
      </c>
      <c r="Q635" t="str">
        <f t="shared" si="38"/>
        <v>Outdoors/Public</v>
      </c>
      <c r="R635" t="s">
        <v>4713</v>
      </c>
      <c r="S635" t="s">
        <v>5125</v>
      </c>
      <c r="T635" t="str" cm="1">
        <f t="array" ref="T635">_xlfn.IFS(
  TEXT(TRIM(S635),"00000")="NULL", "Missing/Unknown",
  OR(TEXT(TRIM(S635),"00000")="89101", TEXT(TRIM(S635),"00000")="89104", TEXT(TRIM(S635),"00000")="89106", TEXT(TRIM(S635),"00000")="89102", TEXT(TRIM(S635),"00000")="89107", TEXT(TRIM(S635),"00000")="89108"), "Urban Core",
  OR(TEXT(TRIM(S635),"00000")="89110", TEXT(TRIM(S635),"00000")="89115", TEXT(TRIM(S635),"00000")="89121", TEXT(TRIM(S635),"00000")="89122", TEXT(TRIM(S635),"00000")="89142", TEXT(TRIM(S635),"00000")="89156"), "East Valley",
  OR(TEXT(TRIM(S635),"00000")="89030", TEXT(TRIM(S635),"00000")="89031", TEXT(TRIM(S635),"00000")="89032", TEXT(TRIM(S635),"00000")="89086", TEXT(TRIM(S635),"00000")="89084", TEXT(TRIM(S635),"00000")="89081"), "North LV",
  OR(TEXT(TRIM(S635),"00000")="89109", TEXT(TRIM(S635),"00000")="89103", TEXT(TRIM(S635),"00000")="89119", TEXT(TRIM(S635),"00000")="89123", TEXT(TRIM(S635),"00000")="89169", TEXT(TRIM(S635),"00000")="89118"), "South/Strip",
  OR(TEXT(TRIM(S635),"00000")="89074", TEXT(TRIM(S635),"00000")="89014", TEXT(TRIM(S635),"00000")="89015", TEXT(TRIM(S635),"00000")="89011", TEXT(TRIM(S635),"00000")="89012"), "Suburban SE",
  OR(TEXT(TRIM(S635),"00000")="89117", TEXT(TRIM(S635),"00000")="89128", TEXT(TRIM(S635),"00000")="89135", TEXT(TRIM(S635),"00000")="89144", TEXT(TRIM(S635),"00000")="89145", TEXT(TRIM(S635),"00000")="89147"), "West Valley",
  TRUE, "Other"
)</f>
        <v>South/Strip</v>
      </c>
      <c r="U635" t="s">
        <v>4301</v>
      </c>
      <c r="V635" t="str">
        <f t="shared" si="39"/>
        <v>Medical Facility</v>
      </c>
    </row>
    <row r="636" spans="1:22">
      <c r="A636" t="s">
        <v>524</v>
      </c>
      <c r="B636" t="s">
        <v>525</v>
      </c>
      <c r="C636" s="1">
        <v>45128</v>
      </c>
      <c r="D636" s="4">
        <v>114.08</v>
      </c>
      <c r="E636">
        <v>56</v>
      </c>
      <c r="F636" t="str">
        <f t="shared" si="36"/>
        <v>50's</v>
      </c>
      <c r="G636" t="str" cm="1">
        <f t="array" ref="G636">_xlfn.IFS(
  F636="10's", "Child (5–12)",
  OR(F636="20's", F636="30's"), "Young Adult (20–39)",
  OR(F636="40's", F636="50's"), "Adult (40–59)",
  OR(F636="60's", F636="70's", F636="80's", F636="90's"), "Senior (60+)",
  TRUE, "Unknown"
)</f>
        <v>Adult (40–59)</v>
      </c>
      <c r="H636" t="s">
        <v>841</v>
      </c>
      <c r="I636" t="s">
        <v>54</v>
      </c>
      <c r="J636" t="str">
        <f t="shared" si="37"/>
        <v>Environmental Heat</v>
      </c>
      <c r="K636" t="s">
        <v>63</v>
      </c>
      <c r="L636" t="s">
        <v>250</v>
      </c>
      <c r="M636" t="s">
        <v>4760</v>
      </c>
      <c r="N636" t="s">
        <v>5100</v>
      </c>
      <c r="O636" t="str" cm="1">
        <f t="array" ref="O636">_xlfn.IFS(
  TEXT(TRIM(N636),"00000")="NULL", "Missing/Unknown",
  OR(TEXT(TRIM(N636),"00000")="89101", TEXT(TRIM(N636),"00000")="89104", TEXT(TRIM(N636),"00000")="89106", TEXT(TRIM(N636),"00000")="89102", TEXT(TRIM(N636),"00000")="89107", TEXT(TRIM(N636),"00000")="89108"), "Urban Core",
  OR(TEXT(TRIM(N636),"00000")="89110", TEXT(TRIM(N636),"00000")="89115", TEXT(TRIM(N636),"00000")="89121", TEXT(TRIM(N636),"00000")="89122", TEXT(TRIM(N636),"00000")="89142", TEXT(TRIM(N636),"00000")="89156"), "East Valley",
  OR(TEXT(TRIM(N636),"00000")="89030", TEXT(TRIM(N636),"00000")="89031", TEXT(TRIM(N636),"00000")="89032", TEXT(TRIM(N636),"00000")="89086", TEXT(TRIM(N636),"00000")="89084", TEXT(TRIM(N636),"00000")="89081"), "North LV",
  OR(TEXT(TRIM(N636),"00000")="89109", TEXT(TRIM(N636),"00000")="89103", TEXT(TRIM(N636),"00000")="89119", TEXT(TRIM(N636),"00000")="89123", TEXT(TRIM(N636),"00000")="89169", TEXT(TRIM(N636),"00000")="89118"), "South/Strip",
  OR(TEXT(TRIM(N636),"00000")="89074", TEXT(TRIM(N636),"00000")="89014", TEXT(TRIM(N636),"00000")="89015", TEXT(TRIM(N636),"00000")="89011", TEXT(TRIM(N636),"00000")="89012"), "Suburban SE",
  OR(TEXT(TRIM(N636),"00000")="89117", TEXT(TRIM(N636),"00000")="89128", TEXT(TRIM(N636),"00000")="89135", TEXT(TRIM(N636),"00000")="89144", TEXT(TRIM(N636),"00000")="89145", TEXT(TRIM(N636),"00000")="89147"), "West Valley",
  TRUE, "Other"
)</f>
        <v>North LV</v>
      </c>
      <c r="P636" t="s">
        <v>3298</v>
      </c>
      <c r="Q636" t="str">
        <f t="shared" si="38"/>
        <v>Outdoors/Public</v>
      </c>
      <c r="R636" t="s">
        <v>4760</v>
      </c>
      <c r="S636" t="s">
        <v>5100</v>
      </c>
      <c r="T636" t="str" cm="1">
        <f t="array" ref="T636">_xlfn.IFS(
  TEXT(TRIM(S636),"00000")="NULL", "Missing/Unknown",
  OR(TEXT(TRIM(S636),"00000")="89101", TEXT(TRIM(S636),"00000")="89104", TEXT(TRIM(S636),"00000")="89106", TEXT(TRIM(S636),"00000")="89102", TEXT(TRIM(S636),"00000")="89107", TEXT(TRIM(S636),"00000")="89108"), "Urban Core",
  OR(TEXT(TRIM(S636),"00000")="89110", TEXT(TRIM(S636),"00000")="89115", TEXT(TRIM(S636),"00000")="89121", TEXT(TRIM(S636),"00000")="89122", TEXT(TRIM(S636),"00000")="89142", TEXT(TRIM(S636),"00000")="89156"), "East Valley",
  OR(TEXT(TRIM(S636),"00000")="89030", TEXT(TRIM(S636),"00000")="89031", TEXT(TRIM(S636),"00000")="89032", TEXT(TRIM(S636),"00000")="89086", TEXT(TRIM(S636),"00000")="89084", TEXT(TRIM(S636),"00000")="89081"), "North LV",
  OR(TEXT(TRIM(S636),"00000")="89109", TEXT(TRIM(S636),"00000")="89103", TEXT(TRIM(S636),"00000")="89119", TEXT(TRIM(S636),"00000")="89123", TEXT(TRIM(S636),"00000")="89169", TEXT(TRIM(S636),"00000")="89118"), "South/Strip",
  OR(TEXT(TRIM(S636),"00000")="89074", TEXT(TRIM(S636),"00000")="89014", TEXT(TRIM(S636),"00000")="89015", TEXT(TRIM(S636),"00000")="89011", TEXT(TRIM(S636),"00000")="89012"), "Suburban SE",
  OR(TEXT(TRIM(S636),"00000")="89117", TEXT(TRIM(S636),"00000")="89128", TEXT(TRIM(S636),"00000")="89135", TEXT(TRIM(S636),"00000")="89144", TEXT(TRIM(S636),"00000")="89145", TEXT(TRIM(S636),"00000")="89147"), "West Valley",
  TRUE, "Other"
)</f>
        <v>North LV</v>
      </c>
      <c r="U636" t="s">
        <v>3298</v>
      </c>
      <c r="V636" t="str">
        <f t="shared" si="39"/>
        <v>Outdoors/Public</v>
      </c>
    </row>
    <row r="637" spans="1:22">
      <c r="A637" t="s">
        <v>544</v>
      </c>
      <c r="B637" t="s">
        <v>545</v>
      </c>
      <c r="C637" s="1">
        <v>45128</v>
      </c>
      <c r="D637" s="4">
        <v>114.08</v>
      </c>
      <c r="E637">
        <v>43</v>
      </c>
      <c r="F637" t="str">
        <f t="shared" si="36"/>
        <v>40's</v>
      </c>
      <c r="G637" t="str" cm="1">
        <f t="array" ref="G637">_xlfn.IFS(
  F637="10's", "Child (5–12)",
  OR(F637="20's", F637="30's"), "Young Adult (20–39)",
  OR(F637="40's", F637="50's"), "Adult (40–59)",
  OR(F637="60's", F637="70's", F637="80's", F637="90's"), "Senior (60+)",
  TRUE, "Unknown"
)</f>
        <v>Adult (40–59)</v>
      </c>
      <c r="H637" t="s">
        <v>27</v>
      </c>
      <c r="I637" t="s">
        <v>54</v>
      </c>
      <c r="J637" t="str">
        <f t="shared" si="37"/>
        <v>Environmental Heat</v>
      </c>
      <c r="K637" t="s">
        <v>4089</v>
      </c>
      <c r="L637" t="s">
        <v>1071</v>
      </c>
      <c r="M637" t="s">
        <v>4389</v>
      </c>
      <c r="N637" t="s">
        <v>5100</v>
      </c>
      <c r="O637" t="str" cm="1">
        <f t="array" ref="O637">_xlfn.IFS(
  TEXT(TRIM(N637),"00000")="NULL", "Missing/Unknown",
  OR(TEXT(TRIM(N637),"00000")="89101", TEXT(TRIM(N637),"00000")="89104", TEXT(TRIM(N637),"00000")="89106", TEXT(TRIM(N637),"00000")="89102", TEXT(TRIM(N637),"00000")="89107", TEXT(TRIM(N637),"00000")="89108"), "Urban Core",
  OR(TEXT(TRIM(N637),"00000")="89110", TEXT(TRIM(N637),"00000")="89115", TEXT(TRIM(N637),"00000")="89121", TEXT(TRIM(N637),"00000")="89122", TEXT(TRIM(N637),"00000")="89142", TEXT(TRIM(N637),"00000")="89156"), "East Valley",
  OR(TEXT(TRIM(N637),"00000")="89030", TEXT(TRIM(N637),"00000")="89031", TEXT(TRIM(N637),"00000")="89032", TEXT(TRIM(N637),"00000")="89086", TEXT(TRIM(N637),"00000")="89084", TEXT(TRIM(N637),"00000")="89081"), "North LV",
  OR(TEXT(TRIM(N637),"00000")="89109", TEXT(TRIM(N637),"00000")="89103", TEXT(TRIM(N637),"00000")="89119", TEXT(TRIM(N637),"00000")="89123", TEXT(TRIM(N637),"00000")="89169", TEXT(TRIM(N637),"00000")="89118"), "South/Strip",
  OR(TEXT(TRIM(N637),"00000")="89074", TEXT(TRIM(N637),"00000")="89014", TEXT(TRIM(N637),"00000")="89015", TEXT(TRIM(N637),"00000")="89011", TEXT(TRIM(N637),"00000")="89012"), "Suburban SE",
  OR(TEXT(TRIM(N637),"00000")="89117", TEXT(TRIM(N637),"00000")="89128", TEXT(TRIM(N637),"00000")="89135", TEXT(TRIM(N637),"00000")="89144", TEXT(TRIM(N637),"00000")="89145", TEXT(TRIM(N637),"00000")="89147"), "West Valley",
  TRUE, "Other"
)</f>
        <v>North LV</v>
      </c>
      <c r="P637" t="s">
        <v>38</v>
      </c>
      <c r="Q637" t="str">
        <f t="shared" si="38"/>
        <v>Home/Residence</v>
      </c>
      <c r="R637" t="s">
        <v>4389</v>
      </c>
      <c r="S637" t="s">
        <v>5100</v>
      </c>
      <c r="T637" t="str" cm="1">
        <f t="array" ref="T637">_xlfn.IFS(
  TEXT(TRIM(S637),"00000")="NULL", "Missing/Unknown",
  OR(TEXT(TRIM(S637),"00000")="89101", TEXT(TRIM(S637),"00000")="89104", TEXT(TRIM(S637),"00000")="89106", TEXT(TRIM(S637),"00000")="89102", TEXT(TRIM(S637),"00000")="89107", TEXT(TRIM(S637),"00000")="89108"), "Urban Core",
  OR(TEXT(TRIM(S637),"00000")="89110", TEXT(TRIM(S637),"00000")="89115", TEXT(TRIM(S637),"00000")="89121", TEXT(TRIM(S637),"00000")="89122", TEXT(TRIM(S637),"00000")="89142", TEXT(TRIM(S637),"00000")="89156"), "East Valley",
  OR(TEXT(TRIM(S637),"00000")="89030", TEXT(TRIM(S637),"00000")="89031", TEXT(TRIM(S637),"00000")="89032", TEXT(TRIM(S637),"00000")="89086", TEXT(TRIM(S637),"00000")="89084", TEXT(TRIM(S637),"00000")="89081"), "North LV",
  OR(TEXT(TRIM(S637),"00000")="89109", TEXT(TRIM(S637),"00000")="89103", TEXT(TRIM(S637),"00000")="89119", TEXT(TRIM(S637),"00000")="89123", TEXT(TRIM(S637),"00000")="89169", TEXT(TRIM(S637),"00000")="89118"), "South/Strip",
  OR(TEXT(TRIM(S637),"00000")="89074", TEXT(TRIM(S637),"00000")="89014", TEXT(TRIM(S637),"00000")="89015", TEXT(TRIM(S637),"00000")="89011", TEXT(TRIM(S637),"00000")="89012"), "Suburban SE",
  OR(TEXT(TRIM(S637),"00000")="89117", TEXT(TRIM(S637),"00000")="89128", TEXT(TRIM(S637),"00000")="89135", TEXT(TRIM(S637),"00000")="89144", TEXT(TRIM(S637),"00000")="89145", TEXT(TRIM(S637),"00000")="89147"), "West Valley",
  TRUE, "Other"
)</f>
        <v>North LV</v>
      </c>
      <c r="U637" t="s">
        <v>38</v>
      </c>
      <c r="V637" t="str">
        <f t="shared" si="39"/>
        <v>Home/Residence</v>
      </c>
    </row>
    <row r="638" spans="1:22">
      <c r="A638" t="s">
        <v>527</v>
      </c>
      <c r="B638" t="s">
        <v>528</v>
      </c>
      <c r="C638" s="1">
        <v>45128</v>
      </c>
      <c r="D638" s="4">
        <v>114.08</v>
      </c>
      <c r="E638">
        <v>85</v>
      </c>
      <c r="F638" t="str">
        <f t="shared" si="36"/>
        <v>80's</v>
      </c>
      <c r="G638" t="str" cm="1">
        <f t="array" ref="G638">_xlfn.IFS(
  F638="10's", "Child (5–12)",
  OR(F638="20's", F638="30's"), "Young Adult (20–39)",
  OR(F638="40's", F638="50's"), "Adult (40–59)",
  OR(F638="60's", F638="70's", F638="80's", F638="90's"), "Senior (60+)",
  TRUE, "Unknown"
)</f>
        <v>Senior (60+)</v>
      </c>
      <c r="H638" t="s">
        <v>841</v>
      </c>
      <c r="I638" t="s">
        <v>63</v>
      </c>
      <c r="J638" t="str">
        <f t="shared" si="37"/>
        <v>Cardiovascular Disease</v>
      </c>
      <c r="K638" t="s">
        <v>54</v>
      </c>
      <c r="L638" t="s">
        <v>1071</v>
      </c>
      <c r="M638" t="s">
        <v>4324</v>
      </c>
      <c r="N638" t="s">
        <v>5102</v>
      </c>
      <c r="O638" t="str" cm="1">
        <f t="array" ref="O638">_xlfn.IFS(
  TEXT(TRIM(N638),"00000")="NULL", "Missing/Unknown",
  OR(TEXT(TRIM(N638),"00000")="89101", TEXT(TRIM(N638),"00000")="89104", TEXT(TRIM(N638),"00000")="89106", TEXT(TRIM(N638),"00000")="89102", TEXT(TRIM(N638),"00000")="89107", TEXT(TRIM(N638),"00000")="89108"), "Urban Core",
  OR(TEXT(TRIM(N638),"00000")="89110", TEXT(TRIM(N638),"00000")="89115", TEXT(TRIM(N638),"00000")="89121", TEXT(TRIM(N638),"00000")="89122", TEXT(TRIM(N638),"00000")="89142", TEXT(TRIM(N638),"00000")="89156"), "East Valley",
  OR(TEXT(TRIM(N638),"00000")="89030", TEXT(TRIM(N638),"00000")="89031", TEXT(TRIM(N638),"00000")="89032", TEXT(TRIM(N638),"00000")="89086", TEXT(TRIM(N638),"00000")="89084", TEXT(TRIM(N638),"00000")="89081"), "North LV",
  OR(TEXT(TRIM(N638),"00000")="89109", TEXT(TRIM(N638),"00000")="89103", TEXT(TRIM(N638),"00000")="89119", TEXT(TRIM(N638),"00000")="89123", TEXT(TRIM(N638),"00000")="89169", TEXT(TRIM(N638),"00000")="89118"), "South/Strip",
  OR(TEXT(TRIM(N638),"00000")="89074", TEXT(TRIM(N638),"00000")="89014", TEXT(TRIM(N638),"00000")="89015", TEXT(TRIM(N638),"00000")="89011", TEXT(TRIM(N638),"00000")="89012"), "Suburban SE",
  OR(TEXT(TRIM(N638),"00000")="89117", TEXT(TRIM(N638),"00000")="89128", TEXT(TRIM(N638),"00000")="89135", TEXT(TRIM(N638),"00000")="89144", TEXT(TRIM(N638),"00000")="89145", TEXT(TRIM(N638),"00000")="89147"), "West Valley",
  TRUE, "Other"
)</f>
        <v>Urban Core</v>
      </c>
      <c r="P638" t="s">
        <v>38</v>
      </c>
      <c r="Q638" t="str">
        <f t="shared" si="38"/>
        <v>Home/Residence</v>
      </c>
      <c r="R638" t="s">
        <v>4324</v>
      </c>
      <c r="S638" t="s">
        <v>5102</v>
      </c>
      <c r="T638" t="str" cm="1">
        <f t="array" ref="T638">_xlfn.IFS(
  TEXT(TRIM(S638),"00000")="NULL", "Missing/Unknown",
  OR(TEXT(TRIM(S638),"00000")="89101", TEXT(TRIM(S638),"00000")="89104", TEXT(TRIM(S638),"00000")="89106", TEXT(TRIM(S638),"00000")="89102", TEXT(TRIM(S638),"00000")="89107", TEXT(TRIM(S638),"00000")="89108"), "Urban Core",
  OR(TEXT(TRIM(S638),"00000")="89110", TEXT(TRIM(S638),"00000")="89115", TEXT(TRIM(S638),"00000")="89121", TEXT(TRIM(S638),"00000")="89122", TEXT(TRIM(S638),"00000")="89142", TEXT(TRIM(S638),"00000")="89156"), "East Valley",
  OR(TEXT(TRIM(S638),"00000")="89030", TEXT(TRIM(S638),"00000")="89031", TEXT(TRIM(S638),"00000")="89032", TEXT(TRIM(S638),"00000")="89086", TEXT(TRIM(S638),"00000")="89084", TEXT(TRIM(S638),"00000")="89081"), "North LV",
  OR(TEXT(TRIM(S638),"00000")="89109", TEXT(TRIM(S638),"00000")="89103", TEXT(TRIM(S638),"00000")="89119", TEXT(TRIM(S638),"00000")="89123", TEXT(TRIM(S638),"00000")="89169", TEXT(TRIM(S638),"00000")="89118"), "South/Strip",
  OR(TEXT(TRIM(S638),"00000")="89074", TEXT(TRIM(S638),"00000")="89014", TEXT(TRIM(S638),"00000")="89015", TEXT(TRIM(S638),"00000")="89011", TEXT(TRIM(S638),"00000")="89012"), "Suburban SE",
  OR(TEXT(TRIM(S638),"00000")="89117", TEXT(TRIM(S638),"00000")="89128", TEXT(TRIM(S638),"00000")="89135", TEXT(TRIM(S638),"00000")="89144", TEXT(TRIM(S638),"00000")="89145", TEXT(TRIM(S638),"00000")="89147"), "West Valley",
  TRUE, "Other"
)</f>
        <v>Urban Core</v>
      </c>
      <c r="U638" t="s">
        <v>132</v>
      </c>
      <c r="V638" t="str">
        <f t="shared" si="39"/>
        <v>Outdoors/Public</v>
      </c>
    </row>
    <row r="639" spans="1:22">
      <c r="A639" t="s">
        <v>556</v>
      </c>
      <c r="B639" t="s">
        <v>557</v>
      </c>
      <c r="C639" s="1">
        <v>45128</v>
      </c>
      <c r="D639" s="4">
        <v>114.08</v>
      </c>
      <c r="E639">
        <v>67</v>
      </c>
      <c r="F639" t="str">
        <f t="shared" si="36"/>
        <v>60's</v>
      </c>
      <c r="G639" t="str" cm="1">
        <f t="array" ref="G639">_xlfn.IFS(
  F639="10's", "Child (5–12)",
  OR(F639="20's", F639="30's"), "Young Adult (20–39)",
  OR(F639="40's", F639="50's"), "Adult (40–59)",
  OR(F639="60's", F639="70's", F639="80's", F639="90's"), "Senior (60+)",
  TRUE, "Unknown"
)</f>
        <v>Senior (60+)</v>
      </c>
      <c r="H639" t="s">
        <v>778</v>
      </c>
      <c r="I639" t="s">
        <v>558</v>
      </c>
      <c r="J639" t="str">
        <f t="shared" si="37"/>
        <v>Mixed Drug Toxicity</v>
      </c>
      <c r="K639" t="s">
        <v>54</v>
      </c>
      <c r="L639" t="s">
        <v>1071</v>
      </c>
      <c r="M639" t="s">
        <v>4390</v>
      </c>
      <c r="N639" t="s">
        <v>5097</v>
      </c>
      <c r="O639" t="str" cm="1">
        <f t="array" ref="O639">_xlfn.IFS(
  TEXT(TRIM(N639),"00000")="NULL", "Missing/Unknown",
  OR(TEXT(TRIM(N639),"00000")="89101", TEXT(TRIM(N639),"00000")="89104", TEXT(TRIM(N639),"00000")="89106", TEXT(TRIM(N639),"00000")="89102", TEXT(TRIM(N639),"00000")="89107", TEXT(TRIM(N639),"00000")="89108"), "Urban Core",
  OR(TEXT(TRIM(N639),"00000")="89110", TEXT(TRIM(N639),"00000")="89115", TEXT(TRIM(N639),"00000")="89121", TEXT(TRIM(N639),"00000")="89122", TEXT(TRIM(N639),"00000")="89142", TEXT(TRIM(N639),"00000")="89156"), "East Valley",
  OR(TEXT(TRIM(N639),"00000")="89030", TEXT(TRIM(N639),"00000")="89031", TEXT(TRIM(N639),"00000")="89032", TEXT(TRIM(N639),"00000")="89086", TEXT(TRIM(N639),"00000")="89084", TEXT(TRIM(N639),"00000")="89081"), "North LV",
  OR(TEXT(TRIM(N639),"00000")="89109", TEXT(TRIM(N639),"00000")="89103", TEXT(TRIM(N639),"00000")="89119", TEXT(TRIM(N639),"00000")="89123", TEXT(TRIM(N639),"00000")="89169", TEXT(TRIM(N639),"00000")="89118"), "South/Strip",
  OR(TEXT(TRIM(N639),"00000")="89074", TEXT(TRIM(N639),"00000")="89014", TEXT(TRIM(N639),"00000")="89015", TEXT(TRIM(N639),"00000")="89011", TEXT(TRIM(N639),"00000")="89012"), "Suburban SE",
  OR(TEXT(TRIM(N639),"00000")="89117", TEXT(TRIM(N639),"00000")="89128", TEXT(TRIM(N639),"00000")="89135", TEXT(TRIM(N639),"00000")="89144", TEXT(TRIM(N639),"00000")="89145", TEXT(TRIM(N639),"00000")="89147"), "West Valley",
  TRUE, "Other"
)</f>
        <v>Urban Core</v>
      </c>
      <c r="P639" t="s">
        <v>38</v>
      </c>
      <c r="Q639" t="str">
        <f t="shared" si="38"/>
        <v>Home/Residence</v>
      </c>
      <c r="R639" t="s">
        <v>4390</v>
      </c>
      <c r="S639" t="s">
        <v>5097</v>
      </c>
      <c r="T639" t="str" cm="1">
        <f t="array" ref="T639">_xlfn.IFS(
  TEXT(TRIM(S639),"00000")="NULL", "Missing/Unknown",
  OR(TEXT(TRIM(S639),"00000")="89101", TEXT(TRIM(S639),"00000")="89104", TEXT(TRIM(S639),"00000")="89106", TEXT(TRIM(S639),"00000")="89102", TEXT(TRIM(S639),"00000")="89107", TEXT(TRIM(S639),"00000")="89108"), "Urban Core",
  OR(TEXT(TRIM(S639),"00000")="89110", TEXT(TRIM(S639),"00000")="89115", TEXT(TRIM(S639),"00000")="89121", TEXT(TRIM(S639),"00000")="89122", TEXT(TRIM(S639),"00000")="89142", TEXT(TRIM(S639),"00000")="89156"), "East Valley",
  OR(TEXT(TRIM(S639),"00000")="89030", TEXT(TRIM(S639),"00000")="89031", TEXT(TRIM(S639),"00000")="89032", TEXT(TRIM(S639),"00000")="89086", TEXT(TRIM(S639),"00000")="89084", TEXT(TRIM(S639),"00000")="89081"), "North LV",
  OR(TEXT(TRIM(S639),"00000")="89109", TEXT(TRIM(S639),"00000")="89103", TEXT(TRIM(S639),"00000")="89119", TEXT(TRIM(S639),"00000")="89123", TEXT(TRIM(S639),"00000")="89169", TEXT(TRIM(S639),"00000")="89118"), "South/Strip",
  OR(TEXT(TRIM(S639),"00000")="89074", TEXT(TRIM(S639),"00000")="89014", TEXT(TRIM(S639),"00000")="89015", TEXT(TRIM(S639),"00000")="89011", TEXT(TRIM(S639),"00000")="89012"), "Suburban SE",
  OR(TEXT(TRIM(S639),"00000")="89117", TEXT(TRIM(S639),"00000")="89128", TEXT(TRIM(S639),"00000")="89135", TEXT(TRIM(S639),"00000")="89144", TEXT(TRIM(S639),"00000")="89145", TEXT(TRIM(S639),"00000")="89147"), "West Valley",
  TRUE, "Other"
)</f>
        <v>Urban Core</v>
      </c>
      <c r="U639" t="s">
        <v>38</v>
      </c>
      <c r="V639" t="str">
        <f t="shared" si="39"/>
        <v>Home/Residence</v>
      </c>
    </row>
    <row r="640" spans="1:22">
      <c r="A640" t="s">
        <v>547</v>
      </c>
      <c r="B640" t="s">
        <v>548</v>
      </c>
      <c r="C640" s="1">
        <v>45128</v>
      </c>
      <c r="D640" s="4">
        <v>114.08</v>
      </c>
      <c r="E640">
        <v>93</v>
      </c>
      <c r="F640" t="str">
        <f t="shared" si="36"/>
        <v>90's</v>
      </c>
      <c r="G640" t="str" cm="1">
        <f t="array" ref="G640">_xlfn.IFS(
  F640="10's", "Child (5–12)",
  OR(F640="20's", F640="30's"), "Young Adult (20–39)",
  OR(F640="40's", F640="50's"), "Adult (40–59)",
  OR(F640="60's", F640="70's", F640="80's", F640="90's"), "Senior (60+)",
  TRUE, "Unknown"
)</f>
        <v>Senior (60+)</v>
      </c>
      <c r="H640" t="s">
        <v>27</v>
      </c>
      <c r="I640" t="s">
        <v>163</v>
      </c>
      <c r="J640" t="str">
        <f t="shared" si="37"/>
        <v>Environmental Heat</v>
      </c>
      <c r="K640" t="s">
        <v>549</v>
      </c>
      <c r="L640" t="s">
        <v>250</v>
      </c>
      <c r="N640" t="s">
        <v>5095</v>
      </c>
      <c r="O640" t="str" cm="1">
        <f t="array" ref="O640">_xlfn.IFS(
  TEXT(TRIM(N640),"00000")="NULL", "Missing/Unknown",
  OR(TEXT(TRIM(N640),"00000")="89101", TEXT(TRIM(N640),"00000")="89104", TEXT(TRIM(N640),"00000")="89106", TEXT(TRIM(N640),"00000")="89102", TEXT(TRIM(N640),"00000")="89107", TEXT(TRIM(N640),"00000")="89108"), "Urban Core",
  OR(TEXT(TRIM(N640),"00000")="89110", TEXT(TRIM(N640),"00000")="89115", TEXT(TRIM(N640),"00000")="89121", TEXT(TRIM(N640),"00000")="89122", TEXT(TRIM(N640),"00000")="89142", TEXT(TRIM(N640),"00000")="89156"), "East Valley",
  OR(TEXT(TRIM(N640),"00000")="89030", TEXT(TRIM(N640),"00000")="89031", TEXT(TRIM(N640),"00000")="89032", TEXT(TRIM(N640),"00000")="89086", TEXT(TRIM(N640),"00000")="89084", TEXT(TRIM(N640),"00000")="89081"), "North LV",
  OR(TEXT(TRIM(N640),"00000")="89109", TEXT(TRIM(N640),"00000")="89103", TEXT(TRIM(N640),"00000")="89119", TEXT(TRIM(N640),"00000")="89123", TEXT(TRIM(N640),"00000")="89169", TEXT(TRIM(N640),"00000")="89118"), "South/Strip",
  OR(TEXT(TRIM(N640),"00000")="89074", TEXT(TRIM(N640),"00000")="89014", TEXT(TRIM(N640),"00000")="89015", TEXT(TRIM(N640),"00000")="89011", TEXT(TRIM(N640),"00000")="89012"), "Suburban SE",
  OR(TEXT(TRIM(N640),"00000")="89117", TEXT(TRIM(N640),"00000")="89128", TEXT(TRIM(N640),"00000")="89135", TEXT(TRIM(N640),"00000")="89144", TEXT(TRIM(N640),"00000")="89145", TEXT(TRIM(N640),"00000")="89147"), "West Valley",
  TRUE, "Other"
)</f>
        <v>Missing/Unknown</v>
      </c>
      <c r="P640" t="s">
        <v>38</v>
      </c>
      <c r="Q640" t="str">
        <f t="shared" si="38"/>
        <v>Home/Residence</v>
      </c>
      <c r="R640" t="s">
        <v>4713</v>
      </c>
      <c r="S640" t="s">
        <v>5125</v>
      </c>
      <c r="T640" t="str" cm="1">
        <f t="array" ref="T640">_xlfn.IFS(
  TEXT(TRIM(S640),"00000")="NULL", "Missing/Unknown",
  OR(TEXT(TRIM(S640),"00000")="89101", TEXT(TRIM(S640),"00000")="89104", TEXT(TRIM(S640),"00000")="89106", TEXT(TRIM(S640),"00000")="89102", TEXT(TRIM(S640),"00000")="89107", TEXT(TRIM(S640),"00000")="89108"), "Urban Core",
  OR(TEXT(TRIM(S640),"00000")="89110", TEXT(TRIM(S640),"00000")="89115", TEXT(TRIM(S640),"00000")="89121", TEXT(TRIM(S640),"00000")="89122", TEXT(TRIM(S640),"00000")="89142", TEXT(TRIM(S640),"00000")="89156"), "East Valley",
  OR(TEXT(TRIM(S640),"00000")="89030", TEXT(TRIM(S640),"00000")="89031", TEXT(TRIM(S640),"00000")="89032", TEXT(TRIM(S640),"00000")="89086", TEXT(TRIM(S640),"00000")="89084", TEXT(TRIM(S640),"00000")="89081"), "North LV",
  OR(TEXT(TRIM(S640),"00000")="89109", TEXT(TRIM(S640),"00000")="89103", TEXT(TRIM(S640),"00000")="89119", TEXT(TRIM(S640),"00000")="89123", TEXT(TRIM(S640),"00000")="89169", TEXT(TRIM(S640),"00000")="89118"), "South/Strip",
  OR(TEXT(TRIM(S640),"00000")="89074", TEXT(TRIM(S640),"00000")="89014", TEXT(TRIM(S640),"00000")="89015", TEXT(TRIM(S640),"00000")="89011", TEXT(TRIM(S640),"00000")="89012"), "Suburban SE",
  OR(TEXT(TRIM(S640),"00000")="89117", TEXT(TRIM(S640),"00000")="89128", TEXT(TRIM(S640),"00000")="89135", TEXT(TRIM(S640),"00000")="89144", TEXT(TRIM(S640),"00000")="89145", TEXT(TRIM(S640),"00000")="89147"), "West Valley",
  TRUE, "Other"
)</f>
        <v>South/Strip</v>
      </c>
      <c r="U640" t="s">
        <v>4301</v>
      </c>
      <c r="V640" t="str">
        <f t="shared" si="39"/>
        <v>Medical Facility</v>
      </c>
    </row>
    <row r="641" spans="1:22">
      <c r="A641" t="s">
        <v>521</v>
      </c>
      <c r="B641" t="s">
        <v>522</v>
      </c>
      <c r="C641" s="1">
        <v>45128</v>
      </c>
      <c r="D641" s="4">
        <v>114.08</v>
      </c>
      <c r="E641">
        <v>54</v>
      </c>
      <c r="F641" t="str">
        <f t="shared" si="36"/>
        <v>50's</v>
      </c>
      <c r="G641" t="str" cm="1">
        <f t="array" ref="G641">_xlfn.IFS(
  F641="10's", "Child (5–12)",
  OR(F641="20's", F641="30's"), "Young Adult (20–39)",
  OR(F641="40's", F641="50's"), "Adult (40–59)",
  OR(F641="60's", F641="70's", F641="80's", F641="90's"), "Senior (60+)",
  TRUE, "Unknown"
)</f>
        <v>Adult (40–59)</v>
      </c>
      <c r="H641" t="s">
        <v>841</v>
      </c>
      <c r="I641" t="s">
        <v>172</v>
      </c>
      <c r="J641" t="str">
        <f t="shared" si="37"/>
        <v>Methamphetamine-related</v>
      </c>
      <c r="K641" t="s">
        <v>97</v>
      </c>
      <c r="L641" t="s">
        <v>250</v>
      </c>
      <c r="M641" t="s">
        <v>4579</v>
      </c>
      <c r="N641" t="s">
        <v>5101</v>
      </c>
      <c r="O641" t="str" cm="1">
        <f t="array" ref="O641">_xlfn.IFS(
  TEXT(TRIM(N641),"00000")="NULL", "Missing/Unknown",
  OR(TEXT(TRIM(N641),"00000")="89101", TEXT(TRIM(N641),"00000")="89104", TEXT(TRIM(N641),"00000")="89106", TEXT(TRIM(N641),"00000")="89102", TEXT(TRIM(N641),"00000")="89107", TEXT(TRIM(N641),"00000")="89108"), "Urban Core",
  OR(TEXT(TRIM(N641),"00000")="89110", TEXT(TRIM(N641),"00000")="89115", TEXT(TRIM(N641),"00000")="89121", TEXT(TRIM(N641),"00000")="89122", TEXT(TRIM(N641),"00000")="89142", TEXT(TRIM(N641),"00000")="89156"), "East Valley",
  OR(TEXT(TRIM(N641),"00000")="89030", TEXT(TRIM(N641),"00000")="89031", TEXT(TRIM(N641),"00000")="89032", TEXT(TRIM(N641),"00000")="89086", TEXT(TRIM(N641),"00000")="89084", TEXT(TRIM(N641),"00000")="89081"), "North LV",
  OR(TEXT(TRIM(N641),"00000")="89109", TEXT(TRIM(N641),"00000")="89103", TEXT(TRIM(N641),"00000")="89119", TEXT(TRIM(N641),"00000")="89123", TEXT(TRIM(N641),"00000")="89169", TEXT(TRIM(N641),"00000")="89118"), "South/Strip",
  OR(TEXT(TRIM(N641),"00000")="89074", TEXT(TRIM(N641),"00000")="89014", TEXT(TRIM(N641),"00000")="89015", TEXT(TRIM(N641),"00000")="89011", TEXT(TRIM(N641),"00000")="89012"), "Suburban SE",
  OR(TEXT(TRIM(N641),"00000")="89117", TEXT(TRIM(N641),"00000")="89128", TEXT(TRIM(N641),"00000")="89135", TEXT(TRIM(N641),"00000")="89144", TEXT(TRIM(N641),"00000")="89145", TEXT(TRIM(N641),"00000")="89147"), "West Valley",
  TRUE, "Other"
)</f>
        <v>Urban Core</v>
      </c>
      <c r="P641" t="s">
        <v>3298</v>
      </c>
      <c r="Q641" t="str">
        <f t="shared" si="38"/>
        <v>Outdoors/Public</v>
      </c>
      <c r="R641" t="s">
        <v>4713</v>
      </c>
      <c r="S641" t="s">
        <v>5125</v>
      </c>
      <c r="T641" t="str" cm="1">
        <f t="array" ref="T641">_xlfn.IFS(
  TEXT(TRIM(S641),"00000")="NULL", "Missing/Unknown",
  OR(TEXT(TRIM(S641),"00000")="89101", TEXT(TRIM(S641),"00000")="89104", TEXT(TRIM(S641),"00000")="89106", TEXT(TRIM(S641),"00000")="89102", TEXT(TRIM(S641),"00000")="89107", TEXT(TRIM(S641),"00000")="89108"), "Urban Core",
  OR(TEXT(TRIM(S641),"00000")="89110", TEXT(TRIM(S641),"00000")="89115", TEXT(TRIM(S641),"00000")="89121", TEXT(TRIM(S641),"00000")="89122", TEXT(TRIM(S641),"00000")="89142", TEXT(TRIM(S641),"00000")="89156"), "East Valley",
  OR(TEXT(TRIM(S641),"00000")="89030", TEXT(TRIM(S641),"00000")="89031", TEXT(TRIM(S641),"00000")="89032", TEXT(TRIM(S641),"00000")="89086", TEXT(TRIM(S641),"00000")="89084", TEXT(TRIM(S641),"00000")="89081"), "North LV",
  OR(TEXT(TRIM(S641),"00000")="89109", TEXT(TRIM(S641),"00000")="89103", TEXT(TRIM(S641),"00000")="89119", TEXT(TRIM(S641),"00000")="89123", TEXT(TRIM(S641),"00000")="89169", TEXT(TRIM(S641),"00000")="89118"), "South/Strip",
  OR(TEXT(TRIM(S641),"00000")="89074", TEXT(TRIM(S641),"00000")="89014", TEXT(TRIM(S641),"00000")="89015", TEXT(TRIM(S641),"00000")="89011", TEXT(TRIM(S641),"00000")="89012"), "Suburban SE",
  OR(TEXT(TRIM(S641),"00000")="89117", TEXT(TRIM(S641),"00000")="89128", TEXT(TRIM(S641),"00000")="89135", TEXT(TRIM(S641),"00000")="89144", TEXT(TRIM(S641),"00000")="89145", TEXT(TRIM(S641),"00000")="89147"), "West Valley",
  TRUE, "Other"
)</f>
        <v>South/Strip</v>
      </c>
      <c r="U641" t="s">
        <v>4305</v>
      </c>
      <c r="V641" t="str">
        <f t="shared" si="39"/>
        <v>Medical Facility</v>
      </c>
    </row>
    <row r="642" spans="1:22">
      <c r="A642" t="s">
        <v>534</v>
      </c>
      <c r="B642" t="s">
        <v>535</v>
      </c>
      <c r="C642" s="1">
        <v>45128</v>
      </c>
      <c r="D642" s="4">
        <v>114.08</v>
      </c>
      <c r="E642">
        <v>63</v>
      </c>
      <c r="F642" t="str">
        <f t="shared" ref="F642:F705" si="40">_xlfn.CONCAT(INT(E642/10)*10, "'s")</f>
        <v>60's</v>
      </c>
      <c r="G642" t="str" cm="1">
        <f t="array" ref="G642">_xlfn.IFS(
  F642="10's", "Child (5–12)",
  OR(F642="20's", F642="30's"), "Young Adult (20–39)",
  OR(F642="40's", F642="50's"), "Adult (40–59)",
  OR(F642="60's", F642="70's", F642="80's", F642="90's"), "Senior (60+)",
  TRUE, "Unknown"
)</f>
        <v>Senior (60+)</v>
      </c>
      <c r="H642" t="s">
        <v>841</v>
      </c>
      <c r="I642" t="s">
        <v>54</v>
      </c>
      <c r="J642" t="str">
        <f t="shared" ref="J642:J705" si="41">IF(ISNUMBER(SEARCH("heat", I642)) + ISNUMBER(SEARCH("hyperthermia", I642)) + ISNUMBER(SEARCH("heat stroke", I642)) + ISNUMBER(SEARCH("environmental", I642)), "Environmental Heat",
IF(ISNUMBER(SEARCH("meth", I642)), "Methamphetamine-related",
IF(ISNUMBER(SEARCH("fentanyl", I642)), "Fentanyl-related",
IF(ISNUMBER(SEARCH("cardio", I642)) + ISNUMBER(SEARCH("heart", I642)) + ISNUMBER(SEARCH("atherosclerotic", I642)) + ISNUMBER(SEARCH("hypertensive", I642)) + ISNUMBER(SEARCH("myocardial", I642)) + ISNUMBER(SEARCH("infarction", I642)), "Cardiovascular Disease",
IF(ISNUMBER(SEARCH("ethanol", I642)) + ISNUMBER(SEARCH("alcohol", I642)), "Ethanol-related",
IF(ISNUMBER(SEARCH("dehydration", I642)) + ISNUMBER(SEARCH("hypernatrem", I642)) + ISNUMBER(SEARCH("hyponatrem", I642)), "Dehydration / Electrolyte",
IF(ISNUMBER(SEARCH("intoxication", I642)) + ISNUMBER(SEARCH("toxicity", I642)) + ISNUMBER(SEARCH("overdose", I642)), "Mixed Drug Toxicity",
"Other / Unknown")))))))</f>
        <v>Environmental Heat</v>
      </c>
      <c r="K642" t="s">
        <v>536</v>
      </c>
      <c r="L642" t="s">
        <v>250</v>
      </c>
      <c r="N642" t="s">
        <v>5095</v>
      </c>
      <c r="O642" t="str" cm="1">
        <f t="array" ref="O642">_xlfn.IFS(
  TEXT(TRIM(N642),"00000")="NULL", "Missing/Unknown",
  OR(TEXT(TRIM(N642),"00000")="89101", TEXT(TRIM(N642),"00000")="89104", TEXT(TRIM(N642),"00000")="89106", TEXT(TRIM(N642),"00000")="89102", TEXT(TRIM(N642),"00000")="89107", TEXT(TRIM(N642),"00000")="89108"), "Urban Core",
  OR(TEXT(TRIM(N642),"00000")="89110", TEXT(TRIM(N642),"00000")="89115", TEXT(TRIM(N642),"00000")="89121", TEXT(TRIM(N642),"00000")="89122", TEXT(TRIM(N642),"00000")="89142", TEXT(TRIM(N642),"00000")="89156"), "East Valley",
  OR(TEXT(TRIM(N642),"00000")="89030", TEXT(TRIM(N642),"00000")="89031", TEXT(TRIM(N642),"00000")="89032", TEXT(TRIM(N642),"00000")="89086", TEXT(TRIM(N642),"00000")="89084", TEXT(TRIM(N642),"00000")="89081"), "North LV",
  OR(TEXT(TRIM(N642),"00000")="89109", TEXT(TRIM(N642),"00000")="89103", TEXT(TRIM(N642),"00000")="89119", TEXT(TRIM(N642),"00000")="89123", TEXT(TRIM(N642),"00000")="89169", TEXT(TRIM(N642),"00000")="89118"), "South/Strip",
  OR(TEXT(TRIM(N642),"00000")="89074", TEXT(TRIM(N642),"00000")="89014", TEXT(TRIM(N642),"00000")="89015", TEXT(TRIM(N642),"00000")="89011", TEXT(TRIM(N642),"00000")="89012"), "Suburban SE",
  OR(TEXT(TRIM(N642),"00000")="89117", TEXT(TRIM(N642),"00000")="89128", TEXT(TRIM(N642),"00000")="89135", TEXT(TRIM(N642),"00000")="89144", TEXT(TRIM(N642),"00000")="89145", TEXT(TRIM(N642),"00000")="89147"), "West Valley",
  TRUE, "Other"
)</f>
        <v>Missing/Unknown</v>
      </c>
      <c r="P642" t="s">
        <v>3298</v>
      </c>
      <c r="Q642" t="str">
        <f t="shared" ref="Q642:Q705" si="42">IF(OR(ISNUMBER(SEARCH("outdoor", P642)), ISNUMBER(SEARCH("park", P642)), ISNUMBER(SEARCH("road", P642)), ISNUMBER(SEARCH("sidewalk", P642)), ISNUMBER(SEARCH("desert", P642)), ISNUMBER(SEARCH("tunnel", P642)), ISNUMBER(SEARCH("lot", P642)), ISNUMBER(SEARCH("lake", P642)), ISNUMBER(SEARCH("bus", P642)), ISNUMBER(SEARCH("shed", P642)), ISNUMBER(SEARCH("amusement", P642))), "Outdoors/Public",
IF(OR(ISNUMBER(SEARCH("home", P642)), ISNUMBER(SEARCH("residence", P642)), ISNUMBER(SEARCH("rv", P642)), ISNUMBER(SEARCH("tent", P642)), ISNUMBER(SEARCH("bedroom", P642)), ISNUMBER(SEARCH("garage", P642)), ISNUMBER(SEARCH("trailer", P642)), ISNUMBER(SEARCH("backyard", P642))), "Home/Residence",
IF(OR(ISNUMBER(SEARCH("vehicle", P642)), ISNUMBER(SEARCH("car", P642)), ISNUMBER(SEARCH("wash", P642))), "Vehicle-related",
IF(OR(ISNUMBER(SEARCH("business", P642)), ISNUMBER(SEARCH("school", P642)), ISNUMBER(SEARCH("hotel", P642)), ISNUMBER(SEARCH("construction", P642)), ISNUMBER(SEARCH("furniture", P642)), ISNUMBER(SEARCH("public", P642))), "Business/Commercial",
IF(OR(ISNUMBER(SEARCH("hospital", P642)), ISNUMBER(SEARCH("assisted", P642)), ISNUMBER(SEARCH("residential care", P642))), "Medical Facility",
IF(OR(ISNUMBER(SEARCH("shelter", P642)), ISNUMBER(SEARCH("jail", P642))), "Shelter/Temporary Housing",
"Other / Unknown"))))))</f>
        <v>Outdoors/Public</v>
      </c>
      <c r="S642" t="s">
        <v>5095</v>
      </c>
      <c r="T642" t="str" cm="1">
        <f t="array" ref="T642">_xlfn.IFS(
  TEXT(TRIM(S642),"00000")="NULL", "Missing/Unknown",
  OR(TEXT(TRIM(S642),"00000")="89101", TEXT(TRIM(S642),"00000")="89104", TEXT(TRIM(S642),"00000")="89106", TEXT(TRIM(S642),"00000")="89102", TEXT(TRIM(S642),"00000")="89107", TEXT(TRIM(S642),"00000")="89108"), "Urban Core",
  OR(TEXT(TRIM(S642),"00000")="89110", TEXT(TRIM(S642),"00000")="89115", TEXT(TRIM(S642),"00000")="89121", TEXT(TRIM(S642),"00000")="89122", TEXT(TRIM(S642),"00000")="89142", TEXT(TRIM(S642),"00000")="89156"), "East Valley",
  OR(TEXT(TRIM(S642),"00000")="89030", TEXT(TRIM(S642),"00000")="89031", TEXT(TRIM(S642),"00000")="89032", TEXT(TRIM(S642),"00000")="89086", TEXT(TRIM(S642),"00000")="89084", TEXT(TRIM(S642),"00000")="89081"), "North LV",
  OR(TEXT(TRIM(S642),"00000")="89109", TEXT(TRIM(S642),"00000")="89103", TEXT(TRIM(S642),"00000")="89119", TEXT(TRIM(S642),"00000")="89123", TEXT(TRIM(S642),"00000")="89169", TEXT(TRIM(S642),"00000")="89118"), "South/Strip",
  OR(TEXT(TRIM(S642),"00000")="89074", TEXT(TRIM(S642),"00000")="89014", TEXT(TRIM(S642),"00000")="89015", TEXT(TRIM(S642),"00000")="89011", TEXT(TRIM(S642),"00000")="89012"), "Suburban SE",
  OR(TEXT(TRIM(S642),"00000")="89117", TEXT(TRIM(S642),"00000")="89128", TEXT(TRIM(S642),"00000")="89135", TEXT(TRIM(S642),"00000")="89144", TEXT(TRIM(S642),"00000")="89145", TEXT(TRIM(S642),"00000")="89147"), "West Valley",
  TRUE, "Other"
)</f>
        <v>Missing/Unknown</v>
      </c>
      <c r="U642" t="s">
        <v>3298</v>
      </c>
      <c r="V642" t="str">
        <f t="shared" ref="V642:V705" si="43">IF(OR(ISNUMBER(SEARCH("outdoor", U642)), ISNUMBER(SEARCH("park", U642)), ISNUMBER(SEARCH("road", U642)), ISNUMBER(SEARCH("sidewalk", U642)), ISNUMBER(SEARCH("desert", U642)), ISNUMBER(SEARCH("tunnel", U642)), ISNUMBER(SEARCH("lot", U642)), ISNUMBER(SEARCH("lake", U642)), ISNUMBER(SEARCH("bus", U642)), ISNUMBER(SEARCH("shed", U642)), ISNUMBER(SEARCH("amusement", U642))), "Outdoors/Public",
IF(OR(ISNUMBER(SEARCH("home", U642)), ISNUMBER(SEARCH("residence", U642)), ISNUMBER(SEARCH("rv", U642)), ISNUMBER(SEARCH("tent", U642)), ISNUMBER(SEARCH("bedroom", U642)), ISNUMBER(SEARCH("garage", U642)), ISNUMBER(SEARCH("trailer", U642)), ISNUMBER(SEARCH("backyard", U642))), "Home/Residence",
IF(OR(ISNUMBER(SEARCH("vehicle", U642)), ISNUMBER(SEARCH("wash", U642))), "Vehicle-related",
IF(OR(ISNUMBER(SEARCH("business", U642)), ISNUMBER(SEARCH("school", U642)), ISNUMBER(SEARCH("hotel", U642)), ISNUMBER(SEARCH("construction", U642)), ISNUMBER(SEARCH("furniture", U642)), ISNUMBER(SEARCH("public", U642))), "Business/Commercial",
IF(OR(ISNUMBER(SEARCH("hospital", U642)), ISNUMBER(SEARCH("assisted", U642)), ISNUMBER(SEARCH("residential care", U642)), ISNUMBER(SEARCH("emergency room", U642)), ISNUMBER(SEARCH("emergency", U642)), ISNUMBER(SEARCH("intensive care unit", U642)), ISNUMBER(SEARCH("icu", U642))), "Medical Facility",
IF(OR(ISNUMBER(SEARCH("shelter", U642)), ISNUMBER(SEARCH("jail", U642))), "Shelter/Temporary Housing",
"Other / Unknown"))))))</f>
        <v>Outdoors/Public</v>
      </c>
    </row>
    <row r="643" spans="1:22">
      <c r="A643" t="s">
        <v>479</v>
      </c>
      <c r="B643" t="s">
        <v>480</v>
      </c>
      <c r="C643" s="1">
        <v>45127</v>
      </c>
      <c r="D643" s="4">
        <v>111.92</v>
      </c>
      <c r="E643">
        <v>80</v>
      </c>
      <c r="F643" t="str">
        <f t="shared" si="40"/>
        <v>80's</v>
      </c>
      <c r="G643" t="str" cm="1">
        <f t="array" ref="G643">_xlfn.IFS(
  F643="10's", "Child (5–12)",
  OR(F643="20's", F643="30's"), "Young Adult (20–39)",
  OR(F643="40's", F643="50's"), "Adult (40–59)",
  OR(F643="60's", F643="70's", F643="80's", F643="90's"), "Senior (60+)",
  TRUE, "Unknown"
)</f>
        <v>Senior (60+)</v>
      </c>
      <c r="H643" t="s">
        <v>778</v>
      </c>
      <c r="I643" t="s">
        <v>28</v>
      </c>
      <c r="J643" t="str">
        <f t="shared" si="41"/>
        <v>Cardiovascular Disease</v>
      </c>
      <c r="K643" t="s">
        <v>54</v>
      </c>
      <c r="L643" t="s">
        <v>1071</v>
      </c>
      <c r="M643" t="s">
        <v>4394</v>
      </c>
      <c r="N643" t="s">
        <v>5119</v>
      </c>
      <c r="O643" t="str" cm="1">
        <f t="array" ref="O643">_xlfn.IFS(
  TEXT(TRIM(N643),"00000")="NULL", "Missing/Unknown",
  OR(TEXT(TRIM(N643),"00000")="89101", TEXT(TRIM(N643),"00000")="89104", TEXT(TRIM(N643),"00000")="89106", TEXT(TRIM(N643),"00000")="89102", TEXT(TRIM(N643),"00000")="89107", TEXT(TRIM(N643),"00000")="89108"), "Urban Core",
  OR(TEXT(TRIM(N643),"00000")="89110", TEXT(TRIM(N643),"00000")="89115", TEXT(TRIM(N643),"00000")="89121", TEXT(TRIM(N643),"00000")="89122", TEXT(TRIM(N643),"00000")="89142", TEXT(TRIM(N643),"00000")="89156"), "East Valley",
  OR(TEXT(TRIM(N643),"00000")="89030", TEXT(TRIM(N643),"00000")="89031", TEXT(TRIM(N643),"00000")="89032", TEXT(TRIM(N643),"00000")="89086", TEXT(TRIM(N643),"00000")="89084", TEXT(TRIM(N643),"00000")="89081"), "North LV",
  OR(TEXT(TRIM(N643),"00000")="89109", TEXT(TRIM(N643),"00000")="89103", TEXT(TRIM(N643),"00000")="89119", TEXT(TRIM(N643),"00000")="89123", TEXT(TRIM(N643),"00000")="89169", TEXT(TRIM(N643),"00000")="89118"), "South/Strip",
  OR(TEXT(TRIM(N643),"00000")="89074", TEXT(TRIM(N643),"00000")="89014", TEXT(TRIM(N643),"00000")="89015", TEXT(TRIM(N643),"00000")="89011", TEXT(TRIM(N643),"00000")="89012"), "Suburban SE",
  OR(TEXT(TRIM(N643),"00000")="89117", TEXT(TRIM(N643),"00000")="89128", TEXT(TRIM(N643),"00000")="89135", TEXT(TRIM(N643),"00000")="89144", TEXT(TRIM(N643),"00000")="89145", TEXT(TRIM(N643),"00000")="89147"), "West Valley",
  TRUE, "Other"
)</f>
        <v>Urban Core</v>
      </c>
      <c r="P643" t="s">
        <v>38</v>
      </c>
      <c r="Q643" t="str">
        <f t="shared" si="42"/>
        <v>Home/Residence</v>
      </c>
      <c r="R643" t="s">
        <v>4394</v>
      </c>
      <c r="S643" t="s">
        <v>5119</v>
      </c>
      <c r="T643" t="str" cm="1">
        <f t="array" ref="T643">_xlfn.IFS(
  TEXT(TRIM(S643),"00000")="NULL", "Missing/Unknown",
  OR(TEXT(TRIM(S643),"00000")="89101", TEXT(TRIM(S643),"00000")="89104", TEXT(TRIM(S643),"00000")="89106", TEXT(TRIM(S643),"00000")="89102", TEXT(TRIM(S643),"00000")="89107", TEXT(TRIM(S643),"00000")="89108"), "Urban Core",
  OR(TEXT(TRIM(S643),"00000")="89110", TEXT(TRIM(S643),"00000")="89115", TEXT(TRIM(S643),"00000")="89121", TEXT(TRIM(S643),"00000")="89122", TEXT(TRIM(S643),"00000")="89142", TEXT(TRIM(S643),"00000")="89156"), "East Valley",
  OR(TEXT(TRIM(S643),"00000")="89030", TEXT(TRIM(S643),"00000")="89031", TEXT(TRIM(S643),"00000")="89032", TEXT(TRIM(S643),"00000")="89086", TEXT(TRIM(S643),"00000")="89084", TEXT(TRIM(S643),"00000")="89081"), "North LV",
  OR(TEXT(TRIM(S643),"00000")="89109", TEXT(TRIM(S643),"00000")="89103", TEXT(TRIM(S643),"00000")="89119", TEXT(TRIM(S643),"00000")="89123", TEXT(TRIM(S643),"00000")="89169", TEXT(TRIM(S643),"00000")="89118"), "South/Strip",
  OR(TEXT(TRIM(S643),"00000")="89074", TEXT(TRIM(S643),"00000")="89014", TEXT(TRIM(S643),"00000")="89015", TEXT(TRIM(S643),"00000")="89011", TEXT(TRIM(S643),"00000")="89012"), "Suburban SE",
  OR(TEXT(TRIM(S643),"00000")="89117", TEXT(TRIM(S643),"00000")="89128", TEXT(TRIM(S643),"00000")="89135", TEXT(TRIM(S643),"00000")="89144", TEXT(TRIM(S643),"00000")="89145", TEXT(TRIM(S643),"00000")="89147"), "West Valley",
  TRUE, "Other"
)</f>
        <v>Urban Core</v>
      </c>
      <c r="U643" t="s">
        <v>38</v>
      </c>
      <c r="V643" t="str">
        <f t="shared" si="43"/>
        <v>Home/Residence</v>
      </c>
    </row>
    <row r="644" spans="1:22">
      <c r="A644" t="s">
        <v>501</v>
      </c>
      <c r="B644" t="s">
        <v>502</v>
      </c>
      <c r="C644" s="1">
        <v>45127</v>
      </c>
      <c r="D644" s="4">
        <v>111.92</v>
      </c>
      <c r="E644">
        <v>55</v>
      </c>
      <c r="F644" t="str">
        <f t="shared" si="40"/>
        <v>50's</v>
      </c>
      <c r="G644" t="str" cm="1">
        <f t="array" ref="G644">_xlfn.IFS(
  F644="10's", "Child (5–12)",
  OR(F644="20's", F644="30's"), "Young Adult (20–39)",
  OR(F644="40's", F644="50's"), "Adult (40–59)",
  OR(F644="60's", F644="70's", F644="80's", F644="90's"), "Senior (60+)",
  TRUE, "Unknown"
)</f>
        <v>Adult (40–59)</v>
      </c>
      <c r="H644" t="s">
        <v>27</v>
      </c>
      <c r="I644" t="s">
        <v>172</v>
      </c>
      <c r="J644" t="str">
        <f t="shared" si="41"/>
        <v>Methamphetamine-related</v>
      </c>
      <c r="K644" t="s">
        <v>504</v>
      </c>
      <c r="L644" t="s">
        <v>250</v>
      </c>
      <c r="M644" t="s">
        <v>4539</v>
      </c>
      <c r="N644" t="s">
        <v>5100</v>
      </c>
      <c r="O644" t="str" cm="1">
        <f t="array" ref="O644">_xlfn.IFS(
  TEXT(TRIM(N644),"00000")="NULL", "Missing/Unknown",
  OR(TEXT(TRIM(N644),"00000")="89101", TEXT(TRIM(N644),"00000")="89104", TEXT(TRIM(N644),"00000")="89106", TEXT(TRIM(N644),"00000")="89102", TEXT(TRIM(N644),"00000")="89107", TEXT(TRIM(N644),"00000")="89108"), "Urban Core",
  OR(TEXT(TRIM(N644),"00000")="89110", TEXT(TRIM(N644),"00000")="89115", TEXT(TRIM(N644),"00000")="89121", TEXT(TRIM(N644),"00000")="89122", TEXT(TRIM(N644),"00000")="89142", TEXT(TRIM(N644),"00000")="89156"), "East Valley",
  OR(TEXT(TRIM(N644),"00000")="89030", TEXT(TRIM(N644),"00000")="89031", TEXT(TRIM(N644),"00000")="89032", TEXT(TRIM(N644),"00000")="89086", TEXT(TRIM(N644),"00000")="89084", TEXT(TRIM(N644),"00000")="89081"), "North LV",
  OR(TEXT(TRIM(N644),"00000")="89109", TEXT(TRIM(N644),"00000")="89103", TEXT(TRIM(N644),"00000")="89119", TEXT(TRIM(N644),"00000")="89123", TEXT(TRIM(N644),"00000")="89169", TEXT(TRIM(N644),"00000")="89118"), "South/Strip",
  OR(TEXT(TRIM(N644),"00000")="89074", TEXT(TRIM(N644),"00000")="89014", TEXT(TRIM(N644),"00000")="89015", TEXT(TRIM(N644),"00000")="89011", TEXT(TRIM(N644),"00000")="89012"), "Suburban SE",
  OR(TEXT(TRIM(N644),"00000")="89117", TEXT(TRIM(N644),"00000")="89128", TEXT(TRIM(N644),"00000")="89135", TEXT(TRIM(N644),"00000")="89144", TEXT(TRIM(N644),"00000")="89145", TEXT(TRIM(N644),"00000")="89147"), "West Valley",
  TRUE, "Other"
)</f>
        <v>North LV</v>
      </c>
      <c r="P644" t="s">
        <v>3298</v>
      </c>
      <c r="Q644" t="str">
        <f t="shared" si="42"/>
        <v>Outdoors/Public</v>
      </c>
      <c r="R644" t="s">
        <v>4341</v>
      </c>
      <c r="S644" t="s">
        <v>5100</v>
      </c>
      <c r="T644" t="str" cm="1">
        <f t="array" ref="T644">_xlfn.IFS(
  TEXT(TRIM(S644),"00000")="NULL", "Missing/Unknown",
  OR(TEXT(TRIM(S644),"00000")="89101", TEXT(TRIM(S644),"00000")="89104", TEXT(TRIM(S644),"00000")="89106", TEXT(TRIM(S644),"00000")="89102", TEXT(TRIM(S644),"00000")="89107", TEXT(TRIM(S644),"00000")="89108"), "Urban Core",
  OR(TEXT(TRIM(S644),"00000")="89110", TEXT(TRIM(S644),"00000")="89115", TEXT(TRIM(S644),"00000")="89121", TEXT(TRIM(S644),"00000")="89122", TEXT(TRIM(S644),"00000")="89142", TEXT(TRIM(S644),"00000")="89156"), "East Valley",
  OR(TEXT(TRIM(S644),"00000")="89030", TEXT(TRIM(S644),"00000")="89031", TEXT(TRIM(S644),"00000")="89032", TEXT(TRIM(S644),"00000")="89086", TEXT(TRIM(S644),"00000")="89084", TEXT(TRIM(S644),"00000")="89081"), "North LV",
  OR(TEXT(TRIM(S644),"00000")="89109", TEXT(TRIM(S644),"00000")="89103", TEXT(TRIM(S644),"00000")="89119", TEXT(TRIM(S644),"00000")="89123", TEXT(TRIM(S644),"00000")="89169", TEXT(TRIM(S644),"00000")="89118"), "South/Strip",
  OR(TEXT(TRIM(S644),"00000")="89074", TEXT(TRIM(S644),"00000")="89014", TEXT(TRIM(S644),"00000")="89015", TEXT(TRIM(S644),"00000")="89011", TEXT(TRIM(S644),"00000")="89012"), "Suburban SE",
  OR(TEXT(TRIM(S644),"00000")="89117", TEXT(TRIM(S644),"00000")="89128", TEXT(TRIM(S644),"00000")="89135", TEXT(TRIM(S644),"00000")="89144", TEXT(TRIM(S644),"00000")="89145", TEXT(TRIM(S644),"00000")="89147"), "West Valley",
  TRUE, "Other"
)</f>
        <v>North LV</v>
      </c>
      <c r="U644" t="s">
        <v>4301</v>
      </c>
      <c r="V644" t="str">
        <f t="shared" si="43"/>
        <v>Medical Facility</v>
      </c>
    </row>
    <row r="645" spans="1:22">
      <c r="A645" t="s">
        <v>515</v>
      </c>
      <c r="B645" t="s">
        <v>516</v>
      </c>
      <c r="C645" s="1">
        <v>45127</v>
      </c>
      <c r="D645" s="4">
        <v>111.92</v>
      </c>
      <c r="E645">
        <v>83</v>
      </c>
      <c r="F645" t="str">
        <f t="shared" si="40"/>
        <v>80's</v>
      </c>
      <c r="G645" t="str" cm="1">
        <f t="array" ref="G645">_xlfn.IFS(
  F645="10's", "Child (5–12)",
  OR(F645="20's", F645="30's"), "Young Adult (20–39)",
  OR(F645="40's", F645="50's"), "Adult (40–59)",
  OR(F645="60's", F645="70's", F645="80's", F645="90's"), "Senior (60+)",
  TRUE, "Unknown"
)</f>
        <v>Senior (60+)</v>
      </c>
      <c r="H645" t="s">
        <v>778</v>
      </c>
      <c r="I645" t="s">
        <v>28</v>
      </c>
      <c r="J645" t="str">
        <f t="shared" si="41"/>
        <v>Cardiovascular Disease</v>
      </c>
      <c r="K645" t="s">
        <v>54</v>
      </c>
      <c r="L645" t="s">
        <v>1071</v>
      </c>
      <c r="M645" t="s">
        <v>4397</v>
      </c>
      <c r="N645" t="s">
        <v>5097</v>
      </c>
      <c r="O645" t="str" cm="1">
        <f t="array" ref="O645">_xlfn.IFS(
  TEXT(TRIM(N645),"00000")="NULL", "Missing/Unknown",
  OR(TEXT(TRIM(N645),"00000")="89101", TEXT(TRIM(N645),"00000")="89104", TEXT(TRIM(N645),"00000")="89106", TEXT(TRIM(N645),"00000")="89102", TEXT(TRIM(N645),"00000")="89107", TEXT(TRIM(N645),"00000")="89108"), "Urban Core",
  OR(TEXT(TRIM(N645),"00000")="89110", TEXT(TRIM(N645),"00000")="89115", TEXT(TRIM(N645),"00000")="89121", TEXT(TRIM(N645),"00000")="89122", TEXT(TRIM(N645),"00000")="89142", TEXT(TRIM(N645),"00000")="89156"), "East Valley",
  OR(TEXT(TRIM(N645),"00000")="89030", TEXT(TRIM(N645),"00000")="89031", TEXT(TRIM(N645),"00000")="89032", TEXT(TRIM(N645),"00000")="89086", TEXT(TRIM(N645),"00000")="89084", TEXT(TRIM(N645),"00000")="89081"), "North LV",
  OR(TEXT(TRIM(N645),"00000")="89109", TEXT(TRIM(N645),"00000")="89103", TEXT(TRIM(N645),"00000")="89119", TEXT(TRIM(N645),"00000")="89123", TEXT(TRIM(N645),"00000")="89169", TEXT(TRIM(N645),"00000")="89118"), "South/Strip",
  OR(TEXT(TRIM(N645),"00000")="89074", TEXT(TRIM(N645),"00000")="89014", TEXT(TRIM(N645),"00000")="89015", TEXT(TRIM(N645),"00000")="89011", TEXT(TRIM(N645),"00000")="89012"), "Suburban SE",
  OR(TEXT(TRIM(N645),"00000")="89117", TEXT(TRIM(N645),"00000")="89128", TEXT(TRIM(N645),"00000")="89135", TEXT(TRIM(N645),"00000")="89144", TEXT(TRIM(N645),"00000")="89145", TEXT(TRIM(N645),"00000")="89147"), "West Valley",
  TRUE, "Other"
)</f>
        <v>Urban Core</v>
      </c>
      <c r="P645" t="s">
        <v>38</v>
      </c>
      <c r="Q645" t="str">
        <f t="shared" si="42"/>
        <v>Home/Residence</v>
      </c>
      <c r="R645" t="s">
        <v>4397</v>
      </c>
      <c r="S645" t="s">
        <v>5097</v>
      </c>
      <c r="T645" t="str" cm="1">
        <f t="array" ref="T645">_xlfn.IFS(
  TEXT(TRIM(S645),"00000")="NULL", "Missing/Unknown",
  OR(TEXT(TRIM(S645),"00000")="89101", TEXT(TRIM(S645),"00000")="89104", TEXT(TRIM(S645),"00000")="89106", TEXT(TRIM(S645),"00000")="89102", TEXT(TRIM(S645),"00000")="89107", TEXT(TRIM(S645),"00000")="89108"), "Urban Core",
  OR(TEXT(TRIM(S645),"00000")="89110", TEXT(TRIM(S645),"00000")="89115", TEXT(TRIM(S645),"00000")="89121", TEXT(TRIM(S645),"00000")="89122", TEXT(TRIM(S645),"00000")="89142", TEXT(TRIM(S645),"00000")="89156"), "East Valley",
  OR(TEXT(TRIM(S645),"00000")="89030", TEXT(TRIM(S645),"00000")="89031", TEXT(TRIM(S645),"00000")="89032", TEXT(TRIM(S645),"00000")="89086", TEXT(TRIM(S645),"00000")="89084", TEXT(TRIM(S645),"00000")="89081"), "North LV",
  OR(TEXT(TRIM(S645),"00000")="89109", TEXT(TRIM(S645),"00000")="89103", TEXT(TRIM(S645),"00000")="89119", TEXT(TRIM(S645),"00000")="89123", TEXT(TRIM(S645),"00000")="89169", TEXT(TRIM(S645),"00000")="89118"), "South/Strip",
  OR(TEXT(TRIM(S645),"00000")="89074", TEXT(TRIM(S645),"00000")="89014", TEXT(TRIM(S645),"00000")="89015", TEXT(TRIM(S645),"00000")="89011", TEXT(TRIM(S645),"00000")="89012"), "Suburban SE",
  OR(TEXT(TRIM(S645),"00000")="89117", TEXT(TRIM(S645),"00000")="89128", TEXT(TRIM(S645),"00000")="89135", TEXT(TRIM(S645),"00000")="89144", TEXT(TRIM(S645),"00000")="89145", TEXT(TRIM(S645),"00000")="89147"), "West Valley",
  TRUE, "Other"
)</f>
        <v>Urban Core</v>
      </c>
      <c r="U645" t="s">
        <v>38</v>
      </c>
      <c r="V645" t="str">
        <f t="shared" si="43"/>
        <v>Home/Residence</v>
      </c>
    </row>
    <row r="646" spans="1:22">
      <c r="A646" t="s">
        <v>455</v>
      </c>
      <c r="B646" t="s">
        <v>456</v>
      </c>
      <c r="C646" s="1">
        <v>45127</v>
      </c>
      <c r="D646" s="4">
        <v>111.92</v>
      </c>
      <c r="E646">
        <v>58</v>
      </c>
      <c r="F646" t="str">
        <f t="shared" si="40"/>
        <v>50's</v>
      </c>
      <c r="G646" t="str" cm="1">
        <f t="array" ref="G646">_xlfn.IFS(
  F646="10's", "Child (5–12)",
  OR(F646="20's", F646="30's"), "Young Adult (20–39)",
  OR(F646="40's", F646="50's"), "Adult (40–59)",
  OR(F646="60's", F646="70's", F646="80's", F646="90's"), "Senior (60+)",
  TRUE, "Unknown"
)</f>
        <v>Adult (40–59)</v>
      </c>
      <c r="H646" t="s">
        <v>841</v>
      </c>
      <c r="I646" t="s">
        <v>68</v>
      </c>
      <c r="J646" t="str">
        <f t="shared" si="41"/>
        <v>Cardiovascular Disease</v>
      </c>
      <c r="K646" t="s">
        <v>54</v>
      </c>
      <c r="L646" t="s">
        <v>250</v>
      </c>
      <c r="M646" t="s">
        <v>4959</v>
      </c>
      <c r="N646" t="s">
        <v>5101</v>
      </c>
      <c r="O646" t="str" cm="1">
        <f t="array" ref="O646">_xlfn.IFS(
  TEXT(TRIM(N646),"00000")="NULL", "Missing/Unknown",
  OR(TEXT(TRIM(N646),"00000")="89101", TEXT(TRIM(N646),"00000")="89104", TEXT(TRIM(N646),"00000")="89106", TEXT(TRIM(N646),"00000")="89102", TEXT(TRIM(N646),"00000")="89107", TEXT(TRIM(N646),"00000")="89108"), "Urban Core",
  OR(TEXT(TRIM(N646),"00000")="89110", TEXT(TRIM(N646),"00000")="89115", TEXT(TRIM(N646),"00000")="89121", TEXT(TRIM(N646),"00000")="89122", TEXT(TRIM(N646),"00000")="89142", TEXT(TRIM(N646),"00000")="89156"), "East Valley",
  OR(TEXT(TRIM(N646),"00000")="89030", TEXT(TRIM(N646),"00000")="89031", TEXT(TRIM(N646),"00000")="89032", TEXT(TRIM(N646),"00000")="89086", TEXT(TRIM(N646),"00000")="89084", TEXT(TRIM(N646),"00000")="89081"), "North LV",
  OR(TEXT(TRIM(N646),"00000")="89109", TEXT(TRIM(N646),"00000")="89103", TEXT(TRIM(N646),"00000")="89119", TEXT(TRIM(N646),"00000")="89123", TEXT(TRIM(N646),"00000")="89169", TEXT(TRIM(N646),"00000")="89118"), "South/Strip",
  OR(TEXT(TRIM(N646),"00000")="89074", TEXT(TRIM(N646),"00000")="89014", TEXT(TRIM(N646),"00000")="89015", TEXT(TRIM(N646),"00000")="89011", TEXT(TRIM(N646),"00000")="89012"), "Suburban SE",
  OR(TEXT(TRIM(N646),"00000")="89117", TEXT(TRIM(N646),"00000")="89128", TEXT(TRIM(N646),"00000")="89135", TEXT(TRIM(N646),"00000")="89144", TEXT(TRIM(N646),"00000")="89145", TEXT(TRIM(N646),"00000")="89147"), "West Valley",
  TRUE, "Other"
)</f>
        <v>Urban Core</v>
      </c>
      <c r="P646" t="s">
        <v>458</v>
      </c>
      <c r="Q646" t="str">
        <f t="shared" si="42"/>
        <v>Business/Commercial</v>
      </c>
      <c r="R646" t="s">
        <v>4959</v>
      </c>
      <c r="S646" t="s">
        <v>5101</v>
      </c>
      <c r="T646" t="str" cm="1">
        <f t="array" ref="T646">_xlfn.IFS(
  TEXT(TRIM(S646),"00000")="NULL", "Missing/Unknown",
  OR(TEXT(TRIM(S646),"00000")="89101", TEXT(TRIM(S646),"00000")="89104", TEXT(TRIM(S646),"00000")="89106", TEXT(TRIM(S646),"00000")="89102", TEXT(TRIM(S646),"00000")="89107", TEXT(TRIM(S646),"00000")="89108"), "Urban Core",
  OR(TEXT(TRIM(S646),"00000")="89110", TEXT(TRIM(S646),"00000")="89115", TEXT(TRIM(S646),"00000")="89121", TEXT(TRIM(S646),"00000")="89122", TEXT(TRIM(S646),"00000")="89142", TEXT(TRIM(S646),"00000")="89156"), "East Valley",
  OR(TEXT(TRIM(S646),"00000")="89030", TEXT(TRIM(S646),"00000")="89031", TEXT(TRIM(S646),"00000")="89032", TEXT(TRIM(S646),"00000")="89086", TEXT(TRIM(S646),"00000")="89084", TEXT(TRIM(S646),"00000")="89081"), "North LV",
  OR(TEXT(TRIM(S646),"00000")="89109", TEXT(TRIM(S646),"00000")="89103", TEXT(TRIM(S646),"00000")="89119", TEXT(TRIM(S646),"00000")="89123", TEXT(TRIM(S646),"00000")="89169", TEXT(TRIM(S646),"00000")="89118"), "South/Strip",
  OR(TEXT(TRIM(S646),"00000")="89074", TEXT(TRIM(S646),"00000")="89014", TEXT(TRIM(S646),"00000")="89015", TEXT(TRIM(S646),"00000")="89011", TEXT(TRIM(S646),"00000")="89012"), "Suburban SE",
  OR(TEXT(TRIM(S646),"00000")="89117", TEXT(TRIM(S646),"00000")="89128", TEXT(TRIM(S646),"00000")="89135", TEXT(TRIM(S646),"00000")="89144", TEXT(TRIM(S646),"00000")="89145", TEXT(TRIM(S646),"00000")="89147"), "West Valley",
  TRUE, "Other"
)</f>
        <v>Urban Core</v>
      </c>
      <c r="U646" t="s">
        <v>458</v>
      </c>
      <c r="V646" t="str">
        <f t="shared" si="43"/>
        <v>Business/Commercial</v>
      </c>
    </row>
    <row r="647" spans="1:22">
      <c r="A647" t="s">
        <v>509</v>
      </c>
      <c r="B647" t="s">
        <v>510</v>
      </c>
      <c r="C647" s="1">
        <v>45127</v>
      </c>
      <c r="D647" s="4">
        <v>111.92</v>
      </c>
      <c r="E647">
        <v>67</v>
      </c>
      <c r="F647" t="str">
        <f t="shared" si="40"/>
        <v>60's</v>
      </c>
      <c r="G647" t="str" cm="1">
        <f t="array" ref="G647">_xlfn.IFS(
  F647="10's", "Child (5–12)",
  OR(F647="20's", F647="30's"), "Young Adult (20–39)",
  OR(F647="40's", F647="50's"), "Adult (40–59)",
  OR(F647="60's", F647="70's", F647="80's", F647="90's"), "Senior (60+)",
  TRUE, "Unknown"
)</f>
        <v>Senior (60+)</v>
      </c>
      <c r="H647" t="s">
        <v>841</v>
      </c>
      <c r="I647" t="s">
        <v>172</v>
      </c>
      <c r="J647" t="str">
        <f t="shared" si="41"/>
        <v>Methamphetamine-related</v>
      </c>
      <c r="K647" t="s">
        <v>54</v>
      </c>
      <c r="L647" t="s">
        <v>1071</v>
      </c>
      <c r="M647" t="s">
        <v>4396</v>
      </c>
      <c r="N647" t="s">
        <v>5141</v>
      </c>
      <c r="O647" t="str" cm="1">
        <f t="array" ref="O647">_xlfn.IFS(
  TEXT(TRIM(N647),"00000")="NULL", "Missing/Unknown",
  OR(TEXT(TRIM(N647),"00000")="89101", TEXT(TRIM(N647),"00000")="89104", TEXT(TRIM(N647),"00000")="89106", TEXT(TRIM(N647),"00000")="89102", TEXT(TRIM(N647),"00000")="89107", TEXT(TRIM(N647),"00000")="89108"), "Urban Core",
  OR(TEXT(TRIM(N647),"00000")="89110", TEXT(TRIM(N647),"00000")="89115", TEXT(TRIM(N647),"00000")="89121", TEXT(TRIM(N647),"00000")="89122", TEXT(TRIM(N647),"00000")="89142", TEXT(TRIM(N647),"00000")="89156"), "East Valley",
  OR(TEXT(TRIM(N647),"00000")="89030", TEXT(TRIM(N647),"00000")="89031", TEXT(TRIM(N647),"00000")="89032", TEXT(TRIM(N647),"00000")="89086", TEXT(TRIM(N647),"00000")="89084", TEXT(TRIM(N647),"00000")="89081"), "North LV",
  OR(TEXT(TRIM(N647),"00000")="89109", TEXT(TRIM(N647),"00000")="89103", TEXT(TRIM(N647),"00000")="89119", TEXT(TRIM(N647),"00000")="89123", TEXT(TRIM(N647),"00000")="89169", TEXT(TRIM(N647),"00000")="89118"), "South/Strip",
  OR(TEXT(TRIM(N647),"00000")="89074", TEXT(TRIM(N647),"00000")="89014", TEXT(TRIM(N647),"00000")="89015", TEXT(TRIM(N647),"00000")="89011", TEXT(TRIM(N647),"00000")="89012"), "Suburban SE",
  OR(TEXT(TRIM(N647),"00000")="89117", TEXT(TRIM(N647),"00000")="89128", TEXT(TRIM(N647),"00000")="89135", TEXT(TRIM(N647),"00000")="89144", TEXT(TRIM(N647),"00000")="89145", TEXT(TRIM(N647),"00000")="89147"), "West Valley",
  TRUE, "Other"
)</f>
        <v>Other</v>
      </c>
      <c r="P647" t="s">
        <v>38</v>
      </c>
      <c r="Q647" t="str">
        <f t="shared" si="42"/>
        <v>Home/Residence</v>
      </c>
      <c r="R647" t="s">
        <v>4396</v>
      </c>
      <c r="S647" t="s">
        <v>5141</v>
      </c>
      <c r="T647" t="str" cm="1">
        <f t="array" ref="T647">_xlfn.IFS(
  TEXT(TRIM(S647),"00000")="NULL", "Missing/Unknown",
  OR(TEXT(TRIM(S647),"00000")="89101", TEXT(TRIM(S647),"00000")="89104", TEXT(TRIM(S647),"00000")="89106", TEXT(TRIM(S647),"00000")="89102", TEXT(TRIM(S647),"00000")="89107", TEXT(TRIM(S647),"00000")="89108"), "Urban Core",
  OR(TEXT(TRIM(S647),"00000")="89110", TEXT(TRIM(S647),"00000")="89115", TEXT(TRIM(S647),"00000")="89121", TEXT(TRIM(S647),"00000")="89122", TEXT(TRIM(S647),"00000")="89142", TEXT(TRIM(S647),"00000")="89156"), "East Valley",
  OR(TEXT(TRIM(S647),"00000")="89030", TEXT(TRIM(S647),"00000")="89031", TEXT(TRIM(S647),"00000")="89032", TEXT(TRIM(S647),"00000")="89086", TEXT(TRIM(S647),"00000")="89084", TEXT(TRIM(S647),"00000")="89081"), "North LV",
  OR(TEXT(TRIM(S647),"00000")="89109", TEXT(TRIM(S647),"00000")="89103", TEXT(TRIM(S647),"00000")="89119", TEXT(TRIM(S647),"00000")="89123", TEXT(TRIM(S647),"00000")="89169", TEXT(TRIM(S647),"00000")="89118"), "South/Strip",
  OR(TEXT(TRIM(S647),"00000")="89074", TEXT(TRIM(S647),"00000")="89014", TEXT(TRIM(S647),"00000")="89015", TEXT(TRIM(S647),"00000")="89011", TEXT(TRIM(S647),"00000")="89012"), "Suburban SE",
  OR(TEXT(TRIM(S647),"00000")="89117", TEXT(TRIM(S647),"00000")="89128", TEXT(TRIM(S647),"00000")="89135", TEXT(TRIM(S647),"00000")="89144", TEXT(TRIM(S647),"00000")="89145", TEXT(TRIM(S647),"00000")="89147"), "West Valley",
  TRUE, "Other"
)</f>
        <v>Other</v>
      </c>
      <c r="U647" t="s">
        <v>38</v>
      </c>
      <c r="V647" t="str">
        <f t="shared" si="43"/>
        <v>Home/Residence</v>
      </c>
    </row>
    <row r="648" spans="1:22">
      <c r="A648" t="s">
        <v>446</v>
      </c>
      <c r="B648" t="s">
        <v>447</v>
      </c>
      <c r="C648" s="1">
        <v>45127</v>
      </c>
      <c r="D648" s="4">
        <v>111.92</v>
      </c>
      <c r="E648">
        <v>79</v>
      </c>
      <c r="F648" t="str">
        <f t="shared" si="40"/>
        <v>70's</v>
      </c>
      <c r="G648" t="str" cm="1">
        <f t="array" ref="G648">_xlfn.IFS(
  F648="10's", "Child (5–12)",
  OR(F648="20's", F648="30's"), "Young Adult (20–39)",
  OR(F648="40's", F648="50's"), "Adult (40–59)",
  OR(F648="60's", F648="70's", F648="80's", F648="90's"), "Senior (60+)",
  TRUE, "Unknown"
)</f>
        <v>Senior (60+)</v>
      </c>
      <c r="H648" t="s">
        <v>841</v>
      </c>
      <c r="I648" t="s">
        <v>28</v>
      </c>
      <c r="J648" t="str">
        <f t="shared" si="41"/>
        <v>Cardiovascular Disease</v>
      </c>
      <c r="K648" t="s">
        <v>448</v>
      </c>
      <c r="L648" t="s">
        <v>250</v>
      </c>
      <c r="M648" t="s">
        <v>4977</v>
      </c>
      <c r="N648" t="s">
        <v>5115</v>
      </c>
      <c r="O648" t="str" cm="1">
        <f t="array" ref="O648">_xlfn.IFS(
  TEXT(TRIM(N648),"00000")="NULL", "Missing/Unknown",
  OR(TEXT(TRIM(N648),"00000")="89101", TEXT(TRIM(N648),"00000")="89104", TEXT(TRIM(N648),"00000")="89106", TEXT(TRIM(N648),"00000")="89102", TEXT(TRIM(N648),"00000")="89107", TEXT(TRIM(N648),"00000")="89108"), "Urban Core",
  OR(TEXT(TRIM(N648),"00000")="89110", TEXT(TRIM(N648),"00000")="89115", TEXT(TRIM(N648),"00000")="89121", TEXT(TRIM(N648),"00000")="89122", TEXT(TRIM(N648),"00000")="89142", TEXT(TRIM(N648),"00000")="89156"), "East Valley",
  OR(TEXT(TRIM(N648),"00000")="89030", TEXT(TRIM(N648),"00000")="89031", TEXT(TRIM(N648),"00000")="89032", TEXT(TRIM(N648),"00000")="89086", TEXT(TRIM(N648),"00000")="89084", TEXT(TRIM(N648),"00000")="89081"), "North LV",
  OR(TEXT(TRIM(N648),"00000")="89109", TEXT(TRIM(N648),"00000")="89103", TEXT(TRIM(N648),"00000")="89119", TEXT(TRIM(N648),"00000")="89123", TEXT(TRIM(N648),"00000")="89169", TEXT(TRIM(N648),"00000")="89118"), "South/Strip",
  OR(TEXT(TRIM(N648),"00000")="89074", TEXT(TRIM(N648),"00000")="89014", TEXT(TRIM(N648),"00000")="89015", TEXT(TRIM(N648),"00000")="89011", TEXT(TRIM(N648),"00000")="89012"), "Suburban SE",
  OR(TEXT(TRIM(N648),"00000")="89117", TEXT(TRIM(N648),"00000")="89128", TEXT(TRIM(N648),"00000")="89135", TEXT(TRIM(N648),"00000")="89144", TEXT(TRIM(N648),"00000")="89145", TEXT(TRIM(N648),"00000")="89147"), "West Valley",
  TRUE, "Other"
)</f>
        <v>Other</v>
      </c>
      <c r="P648" t="s">
        <v>65</v>
      </c>
      <c r="Q648" t="str">
        <f t="shared" si="42"/>
        <v>Vehicle-related</v>
      </c>
      <c r="R648" t="s">
        <v>4977</v>
      </c>
      <c r="S648" t="s">
        <v>5115</v>
      </c>
      <c r="T648" t="str" cm="1">
        <f t="array" ref="T648">_xlfn.IFS(
  TEXT(TRIM(S648),"00000")="NULL", "Missing/Unknown",
  OR(TEXT(TRIM(S648),"00000")="89101", TEXT(TRIM(S648),"00000")="89104", TEXT(TRIM(S648),"00000")="89106", TEXT(TRIM(S648),"00000")="89102", TEXT(TRIM(S648),"00000")="89107", TEXT(TRIM(S648),"00000")="89108"), "Urban Core",
  OR(TEXT(TRIM(S648),"00000")="89110", TEXT(TRIM(S648),"00000")="89115", TEXT(TRIM(S648),"00000")="89121", TEXT(TRIM(S648),"00000")="89122", TEXT(TRIM(S648),"00000")="89142", TEXT(TRIM(S648),"00000")="89156"), "East Valley",
  OR(TEXT(TRIM(S648),"00000")="89030", TEXT(TRIM(S648),"00000")="89031", TEXT(TRIM(S648),"00000")="89032", TEXT(TRIM(S648),"00000")="89086", TEXT(TRIM(S648),"00000")="89084", TEXT(TRIM(S648),"00000")="89081"), "North LV",
  OR(TEXT(TRIM(S648),"00000")="89109", TEXT(TRIM(S648),"00000")="89103", TEXT(TRIM(S648),"00000")="89119", TEXT(TRIM(S648),"00000")="89123", TEXT(TRIM(S648),"00000")="89169", TEXT(TRIM(S648),"00000")="89118"), "South/Strip",
  OR(TEXT(TRIM(S648),"00000")="89074", TEXT(TRIM(S648),"00000")="89014", TEXT(TRIM(S648),"00000")="89015", TEXT(TRIM(S648),"00000")="89011", TEXT(TRIM(S648),"00000")="89012"), "Suburban SE",
  OR(TEXT(TRIM(S648),"00000")="89117", TEXT(TRIM(S648),"00000")="89128", TEXT(TRIM(S648),"00000")="89135", TEXT(TRIM(S648),"00000")="89144", TEXT(TRIM(S648),"00000")="89145", TEXT(TRIM(S648),"00000")="89147"), "West Valley",
  TRUE, "Other"
)</f>
        <v>Other</v>
      </c>
      <c r="U648" t="s">
        <v>65</v>
      </c>
      <c r="V648" t="str">
        <f t="shared" si="43"/>
        <v>Vehicle-related</v>
      </c>
    </row>
    <row r="649" spans="1:22">
      <c r="A649" t="s">
        <v>463</v>
      </c>
      <c r="B649" t="s">
        <v>464</v>
      </c>
      <c r="C649" s="1">
        <v>45127</v>
      </c>
      <c r="D649" s="4">
        <v>111.92</v>
      </c>
      <c r="E649">
        <v>51</v>
      </c>
      <c r="F649" t="str">
        <f t="shared" si="40"/>
        <v>50's</v>
      </c>
      <c r="G649" t="str" cm="1">
        <f t="array" ref="G649">_xlfn.IFS(
  F649="10's", "Child (5–12)",
  OR(F649="20's", F649="30's"), "Young Adult (20–39)",
  OR(F649="40's", F649="50's"), "Adult (40–59)",
  OR(F649="60's", F649="70's", F649="80's", F649="90's"), "Senior (60+)",
  TRUE, "Unknown"
)</f>
        <v>Adult (40–59)</v>
      </c>
      <c r="H649" t="s">
        <v>841</v>
      </c>
      <c r="I649" t="s">
        <v>172</v>
      </c>
      <c r="J649" t="str">
        <f t="shared" si="41"/>
        <v>Methamphetamine-related</v>
      </c>
      <c r="K649" t="s">
        <v>54</v>
      </c>
      <c r="L649" t="s">
        <v>250</v>
      </c>
      <c r="M649" t="s">
        <v>4978</v>
      </c>
      <c r="N649" t="s">
        <v>5100</v>
      </c>
      <c r="O649" t="str" cm="1">
        <f t="array" ref="O649">_xlfn.IFS(
  TEXT(TRIM(N649),"00000")="NULL", "Missing/Unknown",
  OR(TEXT(TRIM(N649),"00000")="89101", TEXT(TRIM(N649),"00000")="89104", TEXT(TRIM(N649),"00000")="89106", TEXT(TRIM(N649),"00000")="89102", TEXT(TRIM(N649),"00000")="89107", TEXT(TRIM(N649),"00000")="89108"), "Urban Core",
  OR(TEXT(TRIM(N649),"00000")="89110", TEXT(TRIM(N649),"00000")="89115", TEXT(TRIM(N649),"00000")="89121", TEXT(TRIM(N649),"00000")="89122", TEXT(TRIM(N649),"00000")="89142", TEXT(TRIM(N649),"00000")="89156"), "East Valley",
  OR(TEXT(TRIM(N649),"00000")="89030", TEXT(TRIM(N649),"00000")="89031", TEXT(TRIM(N649),"00000")="89032", TEXT(TRIM(N649),"00000")="89086", TEXT(TRIM(N649),"00000")="89084", TEXT(TRIM(N649),"00000")="89081"), "North LV",
  OR(TEXT(TRIM(N649),"00000")="89109", TEXT(TRIM(N649),"00000")="89103", TEXT(TRIM(N649),"00000")="89119", TEXT(TRIM(N649),"00000")="89123", TEXT(TRIM(N649),"00000")="89169", TEXT(TRIM(N649),"00000")="89118"), "South/Strip",
  OR(TEXT(TRIM(N649),"00000")="89074", TEXT(TRIM(N649),"00000")="89014", TEXT(TRIM(N649),"00000")="89015", TEXT(TRIM(N649),"00000")="89011", TEXT(TRIM(N649),"00000")="89012"), "Suburban SE",
  OR(TEXT(TRIM(N649),"00000")="89117", TEXT(TRIM(N649),"00000")="89128", TEXT(TRIM(N649),"00000")="89135", TEXT(TRIM(N649),"00000")="89144", TEXT(TRIM(N649),"00000")="89145", TEXT(TRIM(N649),"00000")="89147"), "West Valley",
  TRUE, "Other"
)</f>
        <v>North LV</v>
      </c>
      <c r="P649" t="s">
        <v>65</v>
      </c>
      <c r="Q649" t="str">
        <f t="shared" si="42"/>
        <v>Vehicle-related</v>
      </c>
      <c r="R649" t="s">
        <v>4978</v>
      </c>
      <c r="S649" t="s">
        <v>5100</v>
      </c>
      <c r="T649" t="str" cm="1">
        <f t="array" ref="T649">_xlfn.IFS(
  TEXT(TRIM(S649),"00000")="NULL", "Missing/Unknown",
  OR(TEXT(TRIM(S649),"00000")="89101", TEXT(TRIM(S649),"00000")="89104", TEXT(TRIM(S649),"00000")="89106", TEXT(TRIM(S649),"00000")="89102", TEXT(TRIM(S649),"00000")="89107", TEXT(TRIM(S649),"00000")="89108"), "Urban Core",
  OR(TEXT(TRIM(S649),"00000")="89110", TEXT(TRIM(S649),"00000")="89115", TEXT(TRIM(S649),"00000")="89121", TEXT(TRIM(S649),"00000")="89122", TEXT(TRIM(S649),"00000")="89142", TEXT(TRIM(S649),"00000")="89156"), "East Valley",
  OR(TEXT(TRIM(S649),"00000")="89030", TEXT(TRIM(S649),"00000")="89031", TEXT(TRIM(S649),"00000")="89032", TEXT(TRIM(S649),"00000")="89086", TEXT(TRIM(S649),"00000")="89084", TEXT(TRIM(S649),"00000")="89081"), "North LV",
  OR(TEXT(TRIM(S649),"00000")="89109", TEXT(TRIM(S649),"00000")="89103", TEXT(TRIM(S649),"00000")="89119", TEXT(TRIM(S649),"00000")="89123", TEXT(TRIM(S649),"00000")="89169", TEXT(TRIM(S649),"00000")="89118"), "South/Strip",
  OR(TEXT(TRIM(S649),"00000")="89074", TEXT(TRIM(S649),"00000")="89014", TEXT(TRIM(S649),"00000")="89015", TEXT(TRIM(S649),"00000")="89011", TEXT(TRIM(S649),"00000")="89012"), "Suburban SE",
  OR(TEXT(TRIM(S649),"00000")="89117", TEXT(TRIM(S649),"00000")="89128", TEXT(TRIM(S649),"00000")="89135", TEXT(TRIM(S649),"00000")="89144", TEXT(TRIM(S649),"00000")="89145", TEXT(TRIM(S649),"00000")="89147"), "West Valley",
  TRUE, "Other"
)</f>
        <v>North LV</v>
      </c>
      <c r="U649" t="s">
        <v>65</v>
      </c>
      <c r="V649" t="str">
        <f t="shared" si="43"/>
        <v>Vehicle-related</v>
      </c>
    </row>
    <row r="650" spans="1:22">
      <c r="A650" t="s">
        <v>466</v>
      </c>
      <c r="B650" t="s">
        <v>467</v>
      </c>
      <c r="C650" s="1">
        <v>45127</v>
      </c>
      <c r="D650" s="4">
        <v>111.92</v>
      </c>
      <c r="E650">
        <v>72</v>
      </c>
      <c r="F650" t="str">
        <f t="shared" si="40"/>
        <v>70's</v>
      </c>
      <c r="G650" t="str" cm="1">
        <f t="array" ref="G650">_xlfn.IFS(
  F650="10's", "Child (5–12)",
  OR(F650="20's", F650="30's"), "Young Adult (20–39)",
  OR(F650="40's", F650="50's"), "Adult (40–59)",
  OR(F650="60's", F650="70's", F650="80's", F650="90's"), "Senior (60+)",
  TRUE, "Unknown"
)</f>
        <v>Senior (60+)</v>
      </c>
      <c r="H650" t="s">
        <v>778</v>
      </c>
      <c r="I650" t="s">
        <v>54</v>
      </c>
      <c r="J650" t="str">
        <f t="shared" si="41"/>
        <v>Environmental Heat</v>
      </c>
      <c r="K650" t="s">
        <v>468</v>
      </c>
      <c r="L650" t="s">
        <v>1071</v>
      </c>
      <c r="M650" t="s">
        <v>4392</v>
      </c>
      <c r="N650" t="s">
        <v>5117</v>
      </c>
      <c r="O650" t="str" cm="1">
        <f t="array" ref="O650">_xlfn.IFS(
  TEXT(TRIM(N650),"00000")="NULL", "Missing/Unknown",
  OR(TEXT(TRIM(N650),"00000")="89101", TEXT(TRIM(N650),"00000")="89104", TEXT(TRIM(N650),"00000")="89106", TEXT(TRIM(N650),"00000")="89102", TEXT(TRIM(N650),"00000")="89107", TEXT(TRIM(N650),"00000")="89108"), "Urban Core",
  OR(TEXT(TRIM(N650),"00000")="89110", TEXT(TRIM(N650),"00000")="89115", TEXT(TRIM(N650),"00000")="89121", TEXT(TRIM(N650),"00000")="89122", TEXT(TRIM(N650),"00000")="89142", TEXT(TRIM(N650),"00000")="89156"), "East Valley",
  OR(TEXT(TRIM(N650),"00000")="89030", TEXT(TRIM(N650),"00000")="89031", TEXT(TRIM(N650),"00000")="89032", TEXT(TRIM(N650),"00000")="89086", TEXT(TRIM(N650),"00000")="89084", TEXT(TRIM(N650),"00000")="89081"), "North LV",
  OR(TEXT(TRIM(N650),"00000")="89109", TEXT(TRIM(N650),"00000")="89103", TEXT(TRIM(N650),"00000")="89119", TEXT(TRIM(N650),"00000")="89123", TEXT(TRIM(N650),"00000")="89169", TEXT(TRIM(N650),"00000")="89118"), "South/Strip",
  OR(TEXT(TRIM(N650),"00000")="89074", TEXT(TRIM(N650),"00000")="89014", TEXT(TRIM(N650),"00000")="89015", TEXT(TRIM(N650),"00000")="89011", TEXT(TRIM(N650),"00000")="89012"), "Suburban SE",
  OR(TEXT(TRIM(N650),"00000")="89117", TEXT(TRIM(N650),"00000")="89128", TEXT(TRIM(N650),"00000")="89135", TEXT(TRIM(N650),"00000")="89144", TEXT(TRIM(N650),"00000")="89145", TEXT(TRIM(N650),"00000")="89147"), "West Valley",
  TRUE, "Other"
)</f>
        <v>North LV</v>
      </c>
      <c r="P650" t="s">
        <v>38</v>
      </c>
      <c r="Q650" t="str">
        <f t="shared" si="42"/>
        <v>Home/Residence</v>
      </c>
      <c r="R650" t="s">
        <v>4392</v>
      </c>
      <c r="S650" t="s">
        <v>5117</v>
      </c>
      <c r="T650" t="str" cm="1">
        <f t="array" ref="T650">_xlfn.IFS(
  TEXT(TRIM(S650),"00000")="NULL", "Missing/Unknown",
  OR(TEXT(TRIM(S650),"00000")="89101", TEXT(TRIM(S650),"00000")="89104", TEXT(TRIM(S650),"00000")="89106", TEXT(TRIM(S650),"00000")="89102", TEXT(TRIM(S650),"00000")="89107", TEXT(TRIM(S650),"00000")="89108"), "Urban Core",
  OR(TEXT(TRIM(S650),"00000")="89110", TEXT(TRIM(S650),"00000")="89115", TEXT(TRIM(S650),"00000")="89121", TEXT(TRIM(S650),"00000")="89122", TEXT(TRIM(S650),"00000")="89142", TEXT(TRIM(S650),"00000")="89156"), "East Valley",
  OR(TEXT(TRIM(S650),"00000")="89030", TEXT(TRIM(S650),"00000")="89031", TEXT(TRIM(S650),"00000")="89032", TEXT(TRIM(S650),"00000")="89086", TEXT(TRIM(S650),"00000")="89084", TEXT(TRIM(S650),"00000")="89081"), "North LV",
  OR(TEXT(TRIM(S650),"00000")="89109", TEXT(TRIM(S650),"00000")="89103", TEXT(TRIM(S650),"00000")="89119", TEXT(TRIM(S650),"00000")="89123", TEXT(TRIM(S650),"00000")="89169", TEXT(TRIM(S650),"00000")="89118"), "South/Strip",
  OR(TEXT(TRIM(S650),"00000")="89074", TEXT(TRIM(S650),"00000")="89014", TEXT(TRIM(S650),"00000")="89015", TEXT(TRIM(S650),"00000")="89011", TEXT(TRIM(S650),"00000")="89012"), "Suburban SE",
  OR(TEXT(TRIM(S650),"00000")="89117", TEXT(TRIM(S650),"00000")="89128", TEXT(TRIM(S650),"00000")="89135", TEXT(TRIM(S650),"00000")="89144", TEXT(TRIM(S650),"00000")="89145", TEXT(TRIM(S650),"00000")="89147"), "West Valley",
  TRUE, "Other"
)</f>
        <v>North LV</v>
      </c>
      <c r="U650" t="s">
        <v>38</v>
      </c>
      <c r="V650" t="str">
        <f t="shared" si="43"/>
        <v>Home/Residence</v>
      </c>
    </row>
    <row r="651" spans="1:22">
      <c r="A651" t="s">
        <v>473</v>
      </c>
      <c r="B651" t="s">
        <v>474</v>
      </c>
      <c r="C651" s="1">
        <v>45127</v>
      </c>
      <c r="D651" s="4">
        <v>111.92</v>
      </c>
      <c r="E651">
        <v>81</v>
      </c>
      <c r="F651" t="str">
        <f t="shared" si="40"/>
        <v>80's</v>
      </c>
      <c r="G651" t="str" cm="1">
        <f t="array" ref="G651">_xlfn.IFS(
  F651="10's", "Child (5–12)",
  OR(F651="20's", F651="30's"), "Young Adult (20–39)",
  OR(F651="40's", F651="50's"), "Adult (40–59)",
  OR(F651="60's", F651="70's", F651="80's", F651="90's"), "Senior (60+)",
  TRUE, "Unknown"
)</f>
        <v>Senior (60+)</v>
      </c>
      <c r="H651" t="s">
        <v>841</v>
      </c>
      <c r="I651" t="s">
        <v>73</v>
      </c>
      <c r="J651" t="str">
        <f t="shared" si="41"/>
        <v>Cardiovascular Disease</v>
      </c>
      <c r="K651" t="s">
        <v>54</v>
      </c>
      <c r="L651" t="s">
        <v>1071</v>
      </c>
      <c r="M651" t="s">
        <v>4393</v>
      </c>
      <c r="N651" t="s">
        <v>5108</v>
      </c>
      <c r="O651" t="str" cm="1">
        <f t="array" ref="O651">_xlfn.IFS(
  TEXT(TRIM(N651),"00000")="NULL", "Missing/Unknown",
  OR(TEXT(TRIM(N651),"00000")="89101", TEXT(TRIM(N651),"00000")="89104", TEXT(TRIM(N651),"00000")="89106", TEXT(TRIM(N651),"00000")="89102", TEXT(TRIM(N651),"00000")="89107", TEXT(TRIM(N651),"00000")="89108"), "Urban Core",
  OR(TEXT(TRIM(N651),"00000")="89110", TEXT(TRIM(N651),"00000")="89115", TEXT(TRIM(N651),"00000")="89121", TEXT(TRIM(N651),"00000")="89122", TEXT(TRIM(N651),"00000")="89142", TEXT(TRIM(N651),"00000")="89156"), "East Valley",
  OR(TEXT(TRIM(N651),"00000")="89030", TEXT(TRIM(N651),"00000")="89031", TEXT(TRIM(N651),"00000")="89032", TEXT(TRIM(N651),"00000")="89086", TEXT(TRIM(N651),"00000")="89084", TEXT(TRIM(N651),"00000")="89081"), "North LV",
  OR(TEXT(TRIM(N651),"00000")="89109", TEXT(TRIM(N651),"00000")="89103", TEXT(TRIM(N651),"00000")="89119", TEXT(TRIM(N651),"00000")="89123", TEXT(TRIM(N651),"00000")="89169", TEXT(TRIM(N651),"00000")="89118"), "South/Strip",
  OR(TEXT(TRIM(N651),"00000")="89074", TEXT(TRIM(N651),"00000")="89014", TEXT(TRIM(N651),"00000")="89015", TEXT(TRIM(N651),"00000")="89011", TEXT(TRIM(N651),"00000")="89012"), "Suburban SE",
  OR(TEXT(TRIM(N651),"00000")="89117", TEXT(TRIM(N651),"00000")="89128", TEXT(TRIM(N651),"00000")="89135", TEXT(TRIM(N651),"00000")="89144", TEXT(TRIM(N651),"00000")="89145", TEXT(TRIM(N651),"00000")="89147"), "West Valley",
  TRUE, "Other"
)</f>
        <v>East Valley</v>
      </c>
      <c r="P651" t="s">
        <v>38</v>
      </c>
      <c r="Q651" t="str">
        <f t="shared" si="42"/>
        <v>Home/Residence</v>
      </c>
      <c r="R651" t="s">
        <v>4393</v>
      </c>
      <c r="S651" t="s">
        <v>5108</v>
      </c>
      <c r="T651" t="str" cm="1">
        <f t="array" ref="T651">_xlfn.IFS(
  TEXT(TRIM(S651),"00000")="NULL", "Missing/Unknown",
  OR(TEXT(TRIM(S651),"00000")="89101", TEXT(TRIM(S651),"00000")="89104", TEXT(TRIM(S651),"00000")="89106", TEXT(TRIM(S651),"00000")="89102", TEXT(TRIM(S651),"00000")="89107", TEXT(TRIM(S651),"00000")="89108"), "Urban Core",
  OR(TEXT(TRIM(S651),"00000")="89110", TEXT(TRIM(S651),"00000")="89115", TEXT(TRIM(S651),"00000")="89121", TEXT(TRIM(S651),"00000")="89122", TEXT(TRIM(S651),"00000")="89142", TEXT(TRIM(S651),"00000")="89156"), "East Valley",
  OR(TEXT(TRIM(S651),"00000")="89030", TEXT(TRIM(S651),"00000")="89031", TEXT(TRIM(S651),"00000")="89032", TEXT(TRIM(S651),"00000")="89086", TEXT(TRIM(S651),"00000")="89084", TEXT(TRIM(S651),"00000")="89081"), "North LV",
  OR(TEXT(TRIM(S651),"00000")="89109", TEXT(TRIM(S651),"00000")="89103", TEXT(TRIM(S651),"00000")="89119", TEXT(TRIM(S651),"00000")="89123", TEXT(TRIM(S651),"00000")="89169", TEXT(TRIM(S651),"00000")="89118"), "South/Strip",
  OR(TEXT(TRIM(S651),"00000")="89074", TEXT(TRIM(S651),"00000")="89014", TEXT(TRIM(S651),"00000")="89015", TEXT(TRIM(S651),"00000")="89011", TEXT(TRIM(S651),"00000")="89012"), "Suburban SE",
  OR(TEXT(TRIM(S651),"00000")="89117", TEXT(TRIM(S651),"00000")="89128", TEXT(TRIM(S651),"00000")="89135", TEXT(TRIM(S651),"00000")="89144", TEXT(TRIM(S651),"00000")="89145", TEXT(TRIM(S651),"00000")="89147"), "West Valley",
  TRUE, "Other"
)</f>
        <v>East Valley</v>
      </c>
      <c r="U651" t="s">
        <v>38</v>
      </c>
      <c r="V651" t="str">
        <f t="shared" si="43"/>
        <v>Home/Residence</v>
      </c>
    </row>
    <row r="652" spans="1:22">
      <c r="A652" t="s">
        <v>487</v>
      </c>
      <c r="B652" t="s">
        <v>488</v>
      </c>
      <c r="C652" s="1">
        <v>45127</v>
      </c>
      <c r="D652" s="4">
        <v>111.92</v>
      </c>
      <c r="E652">
        <v>57</v>
      </c>
      <c r="F652" t="str">
        <f t="shared" si="40"/>
        <v>50's</v>
      </c>
      <c r="G652" t="str" cm="1">
        <f t="array" ref="G652">_xlfn.IFS(
  F652="10's", "Child (5–12)",
  OR(F652="20's", F652="30's"), "Young Adult (20–39)",
  OR(F652="40's", F652="50's"), "Adult (40–59)",
  OR(F652="60's", F652="70's", F652="80's", F652="90's"), "Senior (60+)",
  TRUE, "Unknown"
)</f>
        <v>Adult (40–59)</v>
      </c>
      <c r="H652" t="s">
        <v>841</v>
      </c>
      <c r="I652" t="s">
        <v>54</v>
      </c>
      <c r="J652" t="str">
        <f t="shared" si="41"/>
        <v>Environmental Heat</v>
      </c>
      <c r="K652" t="s">
        <v>63</v>
      </c>
      <c r="L652" t="s">
        <v>250</v>
      </c>
      <c r="M652" t="s">
        <v>4450</v>
      </c>
      <c r="N652" t="s">
        <v>5122</v>
      </c>
      <c r="O652" t="str" cm="1">
        <f t="array" ref="O652">_xlfn.IFS(
  TEXT(TRIM(N652),"00000")="NULL", "Missing/Unknown",
  OR(TEXT(TRIM(N652),"00000")="89101", TEXT(TRIM(N652),"00000")="89104", TEXT(TRIM(N652),"00000")="89106", TEXT(TRIM(N652),"00000")="89102", TEXT(TRIM(N652),"00000")="89107", TEXT(TRIM(N652),"00000")="89108"), "Urban Core",
  OR(TEXT(TRIM(N652),"00000")="89110", TEXT(TRIM(N652),"00000")="89115", TEXT(TRIM(N652),"00000")="89121", TEXT(TRIM(N652),"00000")="89122", TEXT(TRIM(N652),"00000")="89142", TEXT(TRIM(N652),"00000")="89156"), "East Valley",
  OR(TEXT(TRIM(N652),"00000")="89030", TEXT(TRIM(N652),"00000")="89031", TEXT(TRIM(N652),"00000")="89032", TEXT(TRIM(N652),"00000")="89086", TEXT(TRIM(N652),"00000")="89084", TEXT(TRIM(N652),"00000")="89081"), "North LV",
  OR(TEXT(TRIM(N652),"00000")="89109", TEXT(TRIM(N652),"00000")="89103", TEXT(TRIM(N652),"00000")="89119", TEXT(TRIM(N652),"00000")="89123", TEXT(TRIM(N652),"00000")="89169", TEXT(TRIM(N652),"00000")="89118"), "South/Strip",
  OR(TEXT(TRIM(N652),"00000")="89074", TEXT(TRIM(N652),"00000")="89014", TEXT(TRIM(N652),"00000")="89015", TEXT(TRIM(N652),"00000")="89011", TEXT(TRIM(N652),"00000")="89012"), "Suburban SE",
  OR(TEXT(TRIM(N652),"00000")="89117", TEXT(TRIM(N652),"00000")="89128", TEXT(TRIM(N652),"00000")="89135", TEXT(TRIM(N652),"00000")="89144", TEXT(TRIM(N652),"00000")="89145", TEXT(TRIM(N652),"00000")="89147"), "West Valley",
  TRUE, "Other"
)</f>
        <v>East Valley</v>
      </c>
      <c r="P652" t="s">
        <v>3298</v>
      </c>
      <c r="Q652" t="str">
        <f t="shared" si="42"/>
        <v>Outdoors/Public</v>
      </c>
      <c r="R652" t="s">
        <v>4450</v>
      </c>
      <c r="S652" t="s">
        <v>5122</v>
      </c>
      <c r="T652" t="str" cm="1">
        <f t="array" ref="T652">_xlfn.IFS(
  TEXT(TRIM(S652),"00000")="NULL", "Missing/Unknown",
  OR(TEXT(TRIM(S652),"00000")="89101", TEXT(TRIM(S652),"00000")="89104", TEXT(TRIM(S652),"00000")="89106", TEXT(TRIM(S652),"00000")="89102", TEXT(TRIM(S652),"00000")="89107", TEXT(TRIM(S652),"00000")="89108"), "Urban Core",
  OR(TEXT(TRIM(S652),"00000")="89110", TEXT(TRIM(S652),"00000")="89115", TEXT(TRIM(S652),"00000")="89121", TEXT(TRIM(S652),"00000")="89122", TEXT(TRIM(S652),"00000")="89142", TEXT(TRIM(S652),"00000")="89156"), "East Valley",
  OR(TEXT(TRIM(S652),"00000")="89030", TEXT(TRIM(S652),"00000")="89031", TEXT(TRIM(S652),"00000")="89032", TEXT(TRIM(S652),"00000")="89086", TEXT(TRIM(S652),"00000")="89084", TEXT(TRIM(S652),"00000")="89081"), "North LV",
  OR(TEXT(TRIM(S652),"00000")="89109", TEXT(TRIM(S652),"00000")="89103", TEXT(TRIM(S652),"00000")="89119", TEXT(TRIM(S652),"00000")="89123", TEXT(TRIM(S652),"00000")="89169", TEXT(TRIM(S652),"00000")="89118"), "South/Strip",
  OR(TEXT(TRIM(S652),"00000")="89074", TEXT(TRIM(S652),"00000")="89014", TEXT(TRIM(S652),"00000")="89015", TEXT(TRIM(S652),"00000")="89011", TEXT(TRIM(S652),"00000")="89012"), "Suburban SE",
  OR(TEXT(TRIM(S652),"00000")="89117", TEXT(TRIM(S652),"00000")="89128", TEXT(TRIM(S652),"00000")="89135", TEXT(TRIM(S652),"00000")="89144", TEXT(TRIM(S652),"00000")="89145", TEXT(TRIM(S652),"00000")="89147"), "West Valley",
  TRUE, "Other"
)</f>
        <v>East Valley</v>
      </c>
      <c r="U652" t="s">
        <v>3298</v>
      </c>
      <c r="V652" t="str">
        <f t="shared" si="43"/>
        <v>Outdoors/Public</v>
      </c>
    </row>
    <row r="653" spans="1:22">
      <c r="A653" t="s">
        <v>476</v>
      </c>
      <c r="B653" t="s">
        <v>477</v>
      </c>
      <c r="C653" s="1">
        <v>45127</v>
      </c>
      <c r="D653" s="4">
        <v>111.92</v>
      </c>
      <c r="E653">
        <v>36</v>
      </c>
      <c r="F653" t="str">
        <f t="shared" si="40"/>
        <v>30's</v>
      </c>
      <c r="G653" t="str" cm="1">
        <f t="array" ref="G653">_xlfn.IFS(
  F653="10's", "Child (5–12)",
  OR(F653="20's", F653="30's"), "Young Adult (20–39)",
  OR(F653="40's", F653="50's"), "Adult (40–59)",
  OR(F653="60's", F653="70's", F653="80's", F653="90's"), "Senior (60+)",
  TRUE, "Unknown"
)</f>
        <v>Young Adult (20–39)</v>
      </c>
      <c r="H653" t="s">
        <v>841</v>
      </c>
      <c r="I653" t="s">
        <v>97</v>
      </c>
      <c r="J653" t="str">
        <f t="shared" si="41"/>
        <v>Environmental Heat</v>
      </c>
      <c r="K653" t="s">
        <v>379</v>
      </c>
      <c r="L653" t="s">
        <v>250</v>
      </c>
      <c r="N653" t="s">
        <v>5095</v>
      </c>
      <c r="O653" t="str" cm="1">
        <f t="array" ref="O653">_xlfn.IFS(
  TEXT(TRIM(N653),"00000")="NULL", "Missing/Unknown",
  OR(TEXT(TRIM(N653),"00000")="89101", TEXT(TRIM(N653),"00000")="89104", TEXT(TRIM(N653),"00000")="89106", TEXT(TRIM(N653),"00000")="89102", TEXT(TRIM(N653),"00000")="89107", TEXT(TRIM(N653),"00000")="89108"), "Urban Core",
  OR(TEXT(TRIM(N653),"00000")="89110", TEXT(TRIM(N653),"00000")="89115", TEXT(TRIM(N653),"00000")="89121", TEXT(TRIM(N653),"00000")="89122", TEXT(TRIM(N653),"00000")="89142", TEXT(TRIM(N653),"00000")="89156"), "East Valley",
  OR(TEXT(TRIM(N653),"00000")="89030", TEXT(TRIM(N653),"00000")="89031", TEXT(TRIM(N653),"00000")="89032", TEXT(TRIM(N653),"00000")="89086", TEXT(TRIM(N653),"00000")="89084", TEXT(TRIM(N653),"00000")="89081"), "North LV",
  OR(TEXT(TRIM(N653),"00000")="89109", TEXT(TRIM(N653),"00000")="89103", TEXT(TRIM(N653),"00000")="89119", TEXT(TRIM(N653),"00000")="89123", TEXT(TRIM(N653),"00000")="89169", TEXT(TRIM(N653),"00000")="89118"), "South/Strip",
  OR(TEXT(TRIM(N653),"00000")="89074", TEXT(TRIM(N653),"00000")="89014", TEXT(TRIM(N653),"00000")="89015", TEXT(TRIM(N653),"00000")="89011", TEXT(TRIM(N653),"00000")="89012"), "Suburban SE",
  OR(TEXT(TRIM(N653),"00000")="89117", TEXT(TRIM(N653),"00000")="89128", TEXT(TRIM(N653),"00000")="89135", TEXT(TRIM(N653),"00000")="89144", TEXT(TRIM(N653),"00000")="89145", TEXT(TRIM(N653),"00000")="89147"), "West Valley",
  TRUE, "Other"
)</f>
        <v>Missing/Unknown</v>
      </c>
      <c r="P653" t="s">
        <v>208</v>
      </c>
      <c r="Q653" t="str">
        <f t="shared" si="42"/>
        <v>Outdoors/Public</v>
      </c>
      <c r="R653" t="s">
        <v>5058</v>
      </c>
      <c r="S653" t="s">
        <v>5123</v>
      </c>
      <c r="T653" t="str" cm="1">
        <f t="array" ref="T653">_xlfn.IFS(
  TEXT(TRIM(S653),"00000")="NULL", "Missing/Unknown",
  OR(TEXT(TRIM(S653),"00000")="89101", TEXT(TRIM(S653),"00000")="89104", TEXT(TRIM(S653),"00000")="89106", TEXT(TRIM(S653),"00000")="89102", TEXT(TRIM(S653),"00000")="89107", TEXT(TRIM(S653),"00000")="89108"), "Urban Core",
  OR(TEXT(TRIM(S653),"00000")="89110", TEXT(TRIM(S653),"00000")="89115", TEXT(TRIM(S653),"00000")="89121", TEXT(TRIM(S653),"00000")="89122", TEXT(TRIM(S653),"00000")="89142", TEXT(TRIM(S653),"00000")="89156"), "East Valley",
  OR(TEXT(TRIM(S653),"00000")="89030", TEXT(TRIM(S653),"00000")="89031", TEXT(TRIM(S653),"00000")="89032", TEXT(TRIM(S653),"00000")="89086", TEXT(TRIM(S653),"00000")="89084", TEXT(TRIM(S653),"00000")="89081"), "North LV",
  OR(TEXT(TRIM(S653),"00000")="89109", TEXT(TRIM(S653),"00000")="89103", TEXT(TRIM(S653),"00000")="89119", TEXT(TRIM(S653),"00000")="89123", TEXT(TRIM(S653),"00000")="89169", TEXT(TRIM(S653),"00000")="89118"), "South/Strip",
  OR(TEXT(TRIM(S653),"00000")="89074", TEXT(TRIM(S653),"00000")="89014", TEXT(TRIM(S653),"00000")="89015", TEXT(TRIM(S653),"00000")="89011", TEXT(TRIM(S653),"00000")="89012"), "Suburban SE",
  OR(TEXT(TRIM(S653),"00000")="89117", TEXT(TRIM(S653),"00000")="89128", TEXT(TRIM(S653),"00000")="89135", TEXT(TRIM(S653),"00000")="89144", TEXT(TRIM(S653),"00000")="89145", TEXT(TRIM(S653),"00000")="89147"), "West Valley",
  TRUE, "Other"
)</f>
        <v>South/Strip</v>
      </c>
      <c r="U653" t="s">
        <v>109</v>
      </c>
      <c r="V653" t="str">
        <f t="shared" si="43"/>
        <v>Other / Unknown</v>
      </c>
    </row>
    <row r="654" spans="1:22">
      <c r="A654" t="s">
        <v>484</v>
      </c>
      <c r="B654" t="s">
        <v>485</v>
      </c>
      <c r="C654" s="1">
        <v>45127</v>
      </c>
      <c r="D654" s="4">
        <v>111.92</v>
      </c>
      <c r="E654">
        <v>33</v>
      </c>
      <c r="F654" t="str">
        <f t="shared" si="40"/>
        <v>30's</v>
      </c>
      <c r="G654" t="str" cm="1">
        <f t="array" ref="G654">_xlfn.IFS(
  F654="10's", "Child (5–12)",
  OR(F654="20's", F654="30's"), "Young Adult (20–39)",
  OR(F654="40's", F654="50's"), "Adult (40–59)",
  OR(F654="60's", F654="70's", F654="80's", F654="90's"), "Senior (60+)",
  TRUE, "Unknown"
)</f>
        <v>Young Adult (20–39)</v>
      </c>
      <c r="H654" t="s">
        <v>841</v>
      </c>
      <c r="I654" t="s">
        <v>4025</v>
      </c>
      <c r="J654" t="str">
        <f t="shared" si="41"/>
        <v>Methamphetamine-related</v>
      </c>
      <c r="K654" t="s">
        <v>54</v>
      </c>
      <c r="L654" t="s">
        <v>250</v>
      </c>
      <c r="M654" t="s">
        <v>4761</v>
      </c>
      <c r="N654" t="s">
        <v>5122</v>
      </c>
      <c r="O654" t="str" cm="1">
        <f t="array" ref="O654">_xlfn.IFS(
  TEXT(TRIM(N654),"00000")="NULL", "Missing/Unknown",
  OR(TEXT(TRIM(N654),"00000")="89101", TEXT(TRIM(N654),"00000")="89104", TEXT(TRIM(N654),"00000")="89106", TEXT(TRIM(N654),"00000")="89102", TEXT(TRIM(N654),"00000")="89107", TEXT(TRIM(N654),"00000")="89108"), "Urban Core",
  OR(TEXT(TRIM(N654),"00000")="89110", TEXT(TRIM(N654),"00000")="89115", TEXT(TRIM(N654),"00000")="89121", TEXT(TRIM(N654),"00000")="89122", TEXT(TRIM(N654),"00000")="89142", TEXT(TRIM(N654),"00000")="89156"), "East Valley",
  OR(TEXT(TRIM(N654),"00000")="89030", TEXT(TRIM(N654),"00000")="89031", TEXT(TRIM(N654),"00000")="89032", TEXT(TRIM(N654),"00000")="89086", TEXT(TRIM(N654),"00000")="89084", TEXT(TRIM(N654),"00000")="89081"), "North LV",
  OR(TEXT(TRIM(N654),"00000")="89109", TEXT(TRIM(N654),"00000")="89103", TEXT(TRIM(N654),"00000")="89119", TEXT(TRIM(N654),"00000")="89123", TEXT(TRIM(N654),"00000")="89169", TEXT(TRIM(N654),"00000")="89118"), "South/Strip",
  OR(TEXT(TRIM(N654),"00000")="89074", TEXT(TRIM(N654),"00000")="89014", TEXT(TRIM(N654),"00000")="89015", TEXT(TRIM(N654),"00000")="89011", TEXT(TRIM(N654),"00000")="89012"), "Suburban SE",
  OR(TEXT(TRIM(N654),"00000")="89117", TEXT(TRIM(N654),"00000")="89128", TEXT(TRIM(N654),"00000")="89135", TEXT(TRIM(N654),"00000")="89144", TEXT(TRIM(N654),"00000")="89145", TEXT(TRIM(N654),"00000")="89147"), "West Valley",
  TRUE, "Other"
)</f>
        <v>East Valley</v>
      </c>
      <c r="P654" t="s">
        <v>3298</v>
      </c>
      <c r="Q654" t="str">
        <f t="shared" si="42"/>
        <v>Outdoors/Public</v>
      </c>
      <c r="R654" t="s">
        <v>4761</v>
      </c>
      <c r="S654" t="s">
        <v>5122</v>
      </c>
      <c r="T654" t="str" cm="1">
        <f t="array" ref="T654">_xlfn.IFS(
  TEXT(TRIM(S654),"00000")="NULL", "Missing/Unknown",
  OR(TEXT(TRIM(S654),"00000")="89101", TEXT(TRIM(S654),"00000")="89104", TEXT(TRIM(S654),"00000")="89106", TEXT(TRIM(S654),"00000")="89102", TEXT(TRIM(S654),"00000")="89107", TEXT(TRIM(S654),"00000")="89108"), "Urban Core",
  OR(TEXT(TRIM(S654),"00000")="89110", TEXT(TRIM(S654),"00000")="89115", TEXT(TRIM(S654),"00000")="89121", TEXT(TRIM(S654),"00000")="89122", TEXT(TRIM(S654),"00000")="89142", TEXT(TRIM(S654),"00000")="89156"), "East Valley",
  OR(TEXT(TRIM(S654),"00000")="89030", TEXT(TRIM(S654),"00000")="89031", TEXT(TRIM(S654),"00000")="89032", TEXT(TRIM(S654),"00000")="89086", TEXT(TRIM(S654),"00000")="89084", TEXT(TRIM(S654),"00000")="89081"), "North LV",
  OR(TEXT(TRIM(S654),"00000")="89109", TEXT(TRIM(S654),"00000")="89103", TEXT(TRIM(S654),"00000")="89119", TEXT(TRIM(S654),"00000")="89123", TEXT(TRIM(S654),"00000")="89169", TEXT(TRIM(S654),"00000")="89118"), "South/Strip",
  OR(TEXT(TRIM(S654),"00000")="89074", TEXT(TRIM(S654),"00000")="89014", TEXT(TRIM(S654),"00000")="89015", TEXT(TRIM(S654),"00000")="89011", TEXT(TRIM(S654),"00000")="89012"), "Suburban SE",
  OR(TEXT(TRIM(S654),"00000")="89117", TEXT(TRIM(S654),"00000")="89128", TEXT(TRIM(S654),"00000")="89135", TEXT(TRIM(S654),"00000")="89144", TEXT(TRIM(S654),"00000")="89145", TEXT(TRIM(S654),"00000")="89147"), "West Valley",
  TRUE, "Other"
)</f>
        <v>East Valley</v>
      </c>
      <c r="U654" t="s">
        <v>3298</v>
      </c>
      <c r="V654" t="str">
        <f t="shared" si="43"/>
        <v>Outdoors/Public</v>
      </c>
    </row>
    <row r="655" spans="1:22">
      <c r="A655" t="s">
        <v>459</v>
      </c>
      <c r="B655" t="s">
        <v>460</v>
      </c>
      <c r="C655" s="1">
        <v>45127</v>
      </c>
      <c r="D655" s="4">
        <v>111.92</v>
      </c>
      <c r="E655">
        <v>68</v>
      </c>
      <c r="F655" t="str">
        <f t="shared" si="40"/>
        <v>60's</v>
      </c>
      <c r="G655" t="str" cm="1">
        <f t="array" ref="G655">_xlfn.IFS(
  F655="10's", "Child (5–12)",
  OR(F655="20's", F655="30's"), "Young Adult (20–39)",
  OR(F655="40's", F655="50's"), "Adult (40–59)",
  OR(F655="60's", F655="70's", F655="80's", F655="90's"), "Senior (60+)",
  TRUE, "Unknown"
)</f>
        <v>Senior (60+)</v>
      </c>
      <c r="H655" t="s">
        <v>841</v>
      </c>
      <c r="I655" t="s">
        <v>461</v>
      </c>
      <c r="J655" t="str">
        <f t="shared" si="41"/>
        <v>Dehydration / Electrolyte</v>
      </c>
      <c r="K655" t="s">
        <v>54</v>
      </c>
      <c r="L655" t="s">
        <v>1071</v>
      </c>
      <c r="M655" t="s">
        <v>4718</v>
      </c>
      <c r="N655" t="s">
        <v>5108</v>
      </c>
      <c r="O655" t="str" cm="1">
        <f t="array" ref="O655">_xlfn.IFS(
  TEXT(TRIM(N655),"00000")="NULL", "Missing/Unknown",
  OR(TEXT(TRIM(N655),"00000")="89101", TEXT(TRIM(N655),"00000")="89104", TEXT(TRIM(N655),"00000")="89106", TEXT(TRIM(N655),"00000")="89102", TEXT(TRIM(N655),"00000")="89107", TEXT(TRIM(N655),"00000")="89108"), "Urban Core",
  OR(TEXT(TRIM(N655),"00000")="89110", TEXT(TRIM(N655),"00000")="89115", TEXT(TRIM(N655),"00000")="89121", TEXT(TRIM(N655),"00000")="89122", TEXT(TRIM(N655),"00000")="89142", TEXT(TRIM(N655),"00000")="89156"), "East Valley",
  OR(TEXT(TRIM(N655),"00000")="89030", TEXT(TRIM(N655),"00000")="89031", TEXT(TRIM(N655),"00000")="89032", TEXT(TRIM(N655),"00000")="89086", TEXT(TRIM(N655),"00000")="89084", TEXT(TRIM(N655),"00000")="89081"), "North LV",
  OR(TEXT(TRIM(N655),"00000")="89109", TEXT(TRIM(N655),"00000")="89103", TEXT(TRIM(N655),"00000")="89119", TEXT(TRIM(N655),"00000")="89123", TEXT(TRIM(N655),"00000")="89169", TEXT(TRIM(N655),"00000")="89118"), "South/Strip",
  OR(TEXT(TRIM(N655),"00000")="89074", TEXT(TRIM(N655),"00000")="89014", TEXT(TRIM(N655),"00000")="89015", TEXT(TRIM(N655),"00000")="89011", TEXT(TRIM(N655),"00000")="89012"), "Suburban SE",
  OR(TEXT(TRIM(N655),"00000")="89117", TEXT(TRIM(N655),"00000")="89128", TEXT(TRIM(N655),"00000")="89135", TEXT(TRIM(N655),"00000")="89144", TEXT(TRIM(N655),"00000")="89145", TEXT(TRIM(N655),"00000")="89147"), "West Valley",
  TRUE, "Other"
)</f>
        <v>East Valley</v>
      </c>
      <c r="P655" t="s">
        <v>3298</v>
      </c>
      <c r="Q655" t="str">
        <f t="shared" si="42"/>
        <v>Outdoors/Public</v>
      </c>
      <c r="R655" t="s">
        <v>4718</v>
      </c>
      <c r="S655" t="s">
        <v>5108</v>
      </c>
      <c r="T655" t="str" cm="1">
        <f t="array" ref="T655">_xlfn.IFS(
  TEXT(TRIM(S655),"00000")="NULL", "Missing/Unknown",
  OR(TEXT(TRIM(S655),"00000")="89101", TEXT(TRIM(S655),"00000")="89104", TEXT(TRIM(S655),"00000")="89106", TEXT(TRIM(S655),"00000")="89102", TEXT(TRIM(S655),"00000")="89107", TEXT(TRIM(S655),"00000")="89108"), "Urban Core",
  OR(TEXT(TRIM(S655),"00000")="89110", TEXT(TRIM(S655),"00000")="89115", TEXT(TRIM(S655),"00000")="89121", TEXT(TRIM(S655),"00000")="89122", TEXT(TRIM(S655),"00000")="89142", TEXT(TRIM(S655),"00000")="89156"), "East Valley",
  OR(TEXT(TRIM(S655),"00000")="89030", TEXT(TRIM(S655),"00000")="89031", TEXT(TRIM(S655),"00000")="89032", TEXT(TRIM(S655),"00000")="89086", TEXT(TRIM(S655),"00000")="89084", TEXT(TRIM(S655),"00000")="89081"), "North LV",
  OR(TEXT(TRIM(S655),"00000")="89109", TEXT(TRIM(S655),"00000")="89103", TEXT(TRIM(S655),"00000")="89119", TEXT(TRIM(S655),"00000")="89123", TEXT(TRIM(S655),"00000")="89169", TEXT(TRIM(S655),"00000")="89118"), "South/Strip",
  OR(TEXT(TRIM(S655),"00000")="89074", TEXT(TRIM(S655),"00000")="89014", TEXT(TRIM(S655),"00000")="89015", TEXT(TRIM(S655),"00000")="89011", TEXT(TRIM(S655),"00000")="89012"), "Suburban SE",
  OR(TEXT(TRIM(S655),"00000")="89117", TEXT(TRIM(S655),"00000")="89128", TEXT(TRIM(S655),"00000")="89135", TEXT(TRIM(S655),"00000")="89144", TEXT(TRIM(S655),"00000")="89145", TEXT(TRIM(S655),"00000")="89147"), "West Valley",
  TRUE, "Other"
)</f>
        <v>East Valley</v>
      </c>
      <c r="U655" t="s">
        <v>3298</v>
      </c>
      <c r="V655" t="str">
        <f t="shared" si="43"/>
        <v>Outdoors/Public</v>
      </c>
    </row>
    <row r="656" spans="1:22">
      <c r="A656" t="s">
        <v>506</v>
      </c>
      <c r="B656" t="s">
        <v>507</v>
      </c>
      <c r="C656" s="1">
        <v>45127</v>
      </c>
      <c r="D656" s="4">
        <v>111.92</v>
      </c>
      <c r="E656">
        <v>58</v>
      </c>
      <c r="F656" t="str">
        <f t="shared" si="40"/>
        <v>50's</v>
      </c>
      <c r="G656" t="str" cm="1">
        <f t="array" ref="G656">_xlfn.IFS(
  F656="10's", "Child (5–12)",
  OR(F656="20's", F656="30's"), "Young Adult (20–39)",
  OR(F656="40's", F656="50's"), "Adult (40–59)",
  OR(F656="60's", F656="70's", F656="80's", F656="90's"), "Senior (60+)",
  TRUE, "Unknown"
)</f>
        <v>Adult (40–59)</v>
      </c>
      <c r="H656" t="s">
        <v>778</v>
      </c>
      <c r="I656" t="s">
        <v>54</v>
      </c>
      <c r="J656" t="str">
        <f t="shared" si="41"/>
        <v>Environmental Heat</v>
      </c>
      <c r="K656" t="s">
        <v>379</v>
      </c>
      <c r="L656" t="s">
        <v>250</v>
      </c>
      <c r="M656" t="s">
        <v>4763</v>
      </c>
      <c r="N656" t="s">
        <v>5119</v>
      </c>
      <c r="O656" t="str" cm="1">
        <f t="array" ref="O656">_xlfn.IFS(
  TEXT(TRIM(N656),"00000")="NULL", "Missing/Unknown",
  OR(TEXT(TRIM(N656),"00000")="89101", TEXT(TRIM(N656),"00000")="89104", TEXT(TRIM(N656),"00000")="89106", TEXT(TRIM(N656),"00000")="89102", TEXT(TRIM(N656),"00000")="89107", TEXT(TRIM(N656),"00000")="89108"), "Urban Core",
  OR(TEXT(TRIM(N656),"00000")="89110", TEXT(TRIM(N656),"00000")="89115", TEXT(TRIM(N656),"00000")="89121", TEXT(TRIM(N656),"00000")="89122", TEXT(TRIM(N656),"00000")="89142", TEXT(TRIM(N656),"00000")="89156"), "East Valley",
  OR(TEXT(TRIM(N656),"00000")="89030", TEXT(TRIM(N656),"00000")="89031", TEXT(TRIM(N656),"00000")="89032", TEXT(TRIM(N656),"00000")="89086", TEXT(TRIM(N656),"00000")="89084", TEXT(TRIM(N656),"00000")="89081"), "North LV",
  OR(TEXT(TRIM(N656),"00000")="89109", TEXT(TRIM(N656),"00000")="89103", TEXT(TRIM(N656),"00000")="89119", TEXT(TRIM(N656),"00000")="89123", TEXT(TRIM(N656),"00000")="89169", TEXT(TRIM(N656),"00000")="89118"), "South/Strip",
  OR(TEXT(TRIM(N656),"00000")="89074", TEXT(TRIM(N656),"00000")="89014", TEXT(TRIM(N656),"00000")="89015", TEXT(TRIM(N656),"00000")="89011", TEXT(TRIM(N656),"00000")="89012"), "Suburban SE",
  OR(TEXT(TRIM(N656),"00000")="89117", TEXT(TRIM(N656),"00000")="89128", TEXT(TRIM(N656),"00000")="89135", TEXT(TRIM(N656),"00000")="89144", TEXT(TRIM(N656),"00000")="89145", TEXT(TRIM(N656),"00000")="89147"), "West Valley",
  TRUE, "Other"
)</f>
        <v>Urban Core</v>
      </c>
      <c r="P656" t="s">
        <v>3298</v>
      </c>
      <c r="Q656" t="str">
        <f t="shared" si="42"/>
        <v>Outdoors/Public</v>
      </c>
      <c r="R656" t="s">
        <v>4763</v>
      </c>
      <c r="S656" t="s">
        <v>5119</v>
      </c>
      <c r="T656" t="str" cm="1">
        <f t="array" ref="T656">_xlfn.IFS(
  TEXT(TRIM(S656),"00000")="NULL", "Missing/Unknown",
  OR(TEXT(TRIM(S656),"00000")="89101", TEXT(TRIM(S656),"00000")="89104", TEXT(TRIM(S656),"00000")="89106", TEXT(TRIM(S656),"00000")="89102", TEXT(TRIM(S656),"00000")="89107", TEXT(TRIM(S656),"00000")="89108"), "Urban Core",
  OR(TEXT(TRIM(S656),"00000")="89110", TEXT(TRIM(S656),"00000")="89115", TEXT(TRIM(S656),"00000")="89121", TEXT(TRIM(S656),"00000")="89122", TEXT(TRIM(S656),"00000")="89142", TEXT(TRIM(S656),"00000")="89156"), "East Valley",
  OR(TEXT(TRIM(S656),"00000")="89030", TEXT(TRIM(S656),"00000")="89031", TEXT(TRIM(S656),"00000")="89032", TEXT(TRIM(S656),"00000")="89086", TEXT(TRIM(S656),"00000")="89084", TEXT(TRIM(S656),"00000")="89081"), "North LV",
  OR(TEXT(TRIM(S656),"00000")="89109", TEXT(TRIM(S656),"00000")="89103", TEXT(TRIM(S656),"00000")="89119", TEXT(TRIM(S656),"00000")="89123", TEXT(TRIM(S656),"00000")="89169", TEXT(TRIM(S656),"00000")="89118"), "South/Strip",
  OR(TEXT(TRIM(S656),"00000")="89074", TEXT(TRIM(S656),"00000")="89014", TEXT(TRIM(S656),"00000")="89015", TEXT(TRIM(S656),"00000")="89011", TEXT(TRIM(S656),"00000")="89012"), "Suburban SE",
  OR(TEXT(TRIM(S656),"00000")="89117", TEXT(TRIM(S656),"00000")="89128", TEXT(TRIM(S656),"00000")="89135", TEXT(TRIM(S656),"00000")="89144", TEXT(TRIM(S656),"00000")="89145", TEXT(TRIM(S656),"00000")="89147"), "West Valley",
  TRUE, "Other"
)</f>
        <v>Urban Core</v>
      </c>
      <c r="U656" t="s">
        <v>3298</v>
      </c>
      <c r="V656" t="str">
        <f t="shared" si="43"/>
        <v>Outdoors/Public</v>
      </c>
    </row>
    <row r="657" spans="1:22">
      <c r="A657" t="s">
        <v>497</v>
      </c>
      <c r="B657" t="s">
        <v>498</v>
      </c>
      <c r="C657" s="1">
        <v>45127</v>
      </c>
      <c r="D657" s="4">
        <v>111.92</v>
      </c>
      <c r="E657">
        <v>43</v>
      </c>
      <c r="F657" t="str">
        <f t="shared" si="40"/>
        <v>40's</v>
      </c>
      <c r="G657" t="str" cm="1">
        <f t="array" ref="G657">_xlfn.IFS(
  F657="10's", "Child (5–12)",
  OR(F657="20's", F657="30's"), "Young Adult (20–39)",
  OR(F657="40's", F657="50's"), "Adult (40–59)",
  OR(F657="60's", F657="70's", F657="80's", F657="90's"), "Senior (60+)",
  TRUE, "Unknown"
)</f>
        <v>Adult (40–59)</v>
      </c>
      <c r="H657" t="s">
        <v>778</v>
      </c>
      <c r="I657" t="s">
        <v>4053</v>
      </c>
      <c r="J657" t="str">
        <f t="shared" si="41"/>
        <v>Methamphetamine-related</v>
      </c>
      <c r="K657" t="s">
        <v>54</v>
      </c>
      <c r="L657" t="s">
        <v>250</v>
      </c>
      <c r="M657" t="s">
        <v>4762</v>
      </c>
      <c r="N657" t="s">
        <v>5121</v>
      </c>
      <c r="O657" t="str" cm="1">
        <f t="array" ref="O657">_xlfn.IFS(
  TEXT(TRIM(N657),"00000")="NULL", "Missing/Unknown",
  OR(TEXT(TRIM(N657),"00000")="89101", TEXT(TRIM(N657),"00000")="89104", TEXT(TRIM(N657),"00000")="89106", TEXT(TRIM(N657),"00000")="89102", TEXT(TRIM(N657),"00000")="89107", TEXT(TRIM(N657),"00000")="89108"), "Urban Core",
  OR(TEXT(TRIM(N657),"00000")="89110", TEXT(TRIM(N657),"00000")="89115", TEXT(TRIM(N657),"00000")="89121", TEXT(TRIM(N657),"00000")="89122", TEXT(TRIM(N657),"00000")="89142", TEXT(TRIM(N657),"00000")="89156"), "East Valley",
  OR(TEXT(TRIM(N657),"00000")="89030", TEXT(TRIM(N657),"00000")="89031", TEXT(TRIM(N657),"00000")="89032", TEXT(TRIM(N657),"00000")="89086", TEXT(TRIM(N657),"00000")="89084", TEXT(TRIM(N657),"00000")="89081"), "North LV",
  OR(TEXT(TRIM(N657),"00000")="89109", TEXT(TRIM(N657),"00000")="89103", TEXT(TRIM(N657),"00000")="89119", TEXT(TRIM(N657),"00000")="89123", TEXT(TRIM(N657),"00000")="89169", TEXT(TRIM(N657),"00000")="89118"), "South/Strip",
  OR(TEXT(TRIM(N657),"00000")="89074", TEXT(TRIM(N657),"00000")="89014", TEXT(TRIM(N657),"00000")="89015", TEXT(TRIM(N657),"00000")="89011", TEXT(TRIM(N657),"00000")="89012"), "Suburban SE",
  OR(TEXT(TRIM(N657),"00000")="89117", TEXT(TRIM(N657),"00000")="89128", TEXT(TRIM(N657),"00000")="89135", TEXT(TRIM(N657),"00000")="89144", TEXT(TRIM(N657),"00000")="89145", TEXT(TRIM(N657),"00000")="89147"), "West Valley",
  TRUE, "Other"
)</f>
        <v>East Valley</v>
      </c>
      <c r="P657" t="s">
        <v>3298</v>
      </c>
      <c r="Q657" t="str">
        <f t="shared" si="42"/>
        <v>Outdoors/Public</v>
      </c>
      <c r="R657" t="s">
        <v>4762</v>
      </c>
      <c r="S657" t="s">
        <v>5121</v>
      </c>
      <c r="T657" t="str" cm="1">
        <f t="array" ref="T657">_xlfn.IFS(
  TEXT(TRIM(S657),"00000")="NULL", "Missing/Unknown",
  OR(TEXT(TRIM(S657),"00000")="89101", TEXT(TRIM(S657),"00000")="89104", TEXT(TRIM(S657),"00000")="89106", TEXT(TRIM(S657),"00000")="89102", TEXT(TRIM(S657),"00000")="89107", TEXT(TRIM(S657),"00000")="89108"), "Urban Core",
  OR(TEXT(TRIM(S657),"00000")="89110", TEXT(TRIM(S657),"00000")="89115", TEXT(TRIM(S657),"00000")="89121", TEXT(TRIM(S657),"00000")="89122", TEXT(TRIM(S657),"00000")="89142", TEXT(TRIM(S657),"00000")="89156"), "East Valley",
  OR(TEXT(TRIM(S657),"00000")="89030", TEXT(TRIM(S657),"00000")="89031", TEXT(TRIM(S657),"00000")="89032", TEXT(TRIM(S657),"00000")="89086", TEXT(TRIM(S657),"00000")="89084", TEXT(TRIM(S657),"00000")="89081"), "North LV",
  OR(TEXT(TRIM(S657),"00000")="89109", TEXT(TRIM(S657),"00000")="89103", TEXT(TRIM(S657),"00000")="89119", TEXT(TRIM(S657),"00000")="89123", TEXT(TRIM(S657),"00000")="89169", TEXT(TRIM(S657),"00000")="89118"), "South/Strip",
  OR(TEXT(TRIM(S657),"00000")="89074", TEXT(TRIM(S657),"00000")="89014", TEXT(TRIM(S657),"00000")="89015", TEXT(TRIM(S657),"00000")="89011", TEXT(TRIM(S657),"00000")="89012"), "Suburban SE",
  OR(TEXT(TRIM(S657),"00000")="89117", TEXT(TRIM(S657),"00000")="89128", TEXT(TRIM(S657),"00000")="89135", TEXT(TRIM(S657),"00000")="89144", TEXT(TRIM(S657),"00000")="89145", TEXT(TRIM(S657),"00000")="89147"), "West Valley",
  TRUE, "Other"
)</f>
        <v>East Valley</v>
      </c>
      <c r="U657" t="s">
        <v>3298</v>
      </c>
      <c r="V657" t="str">
        <f t="shared" si="43"/>
        <v>Outdoors/Public</v>
      </c>
    </row>
    <row r="658" spans="1:22">
      <c r="A658" t="s">
        <v>490</v>
      </c>
      <c r="B658" t="s">
        <v>491</v>
      </c>
      <c r="C658" s="1">
        <v>45127</v>
      </c>
      <c r="D658" s="4">
        <v>111.92</v>
      </c>
      <c r="E658">
        <v>66</v>
      </c>
      <c r="F658" t="str">
        <f t="shared" si="40"/>
        <v>60's</v>
      </c>
      <c r="G658" t="str" cm="1">
        <f t="array" ref="G658">_xlfn.IFS(
  F658="10's", "Child (5–12)",
  OR(F658="20's", F658="30's"), "Young Adult (20–39)",
  OR(F658="40's", F658="50's"), "Adult (40–59)",
  OR(F658="60's", F658="70's", F658="80's", F658="90's"), "Senior (60+)",
  TRUE, "Unknown"
)</f>
        <v>Senior (60+)</v>
      </c>
      <c r="H658" t="s">
        <v>841</v>
      </c>
      <c r="I658" t="s">
        <v>4089</v>
      </c>
      <c r="J658" t="str">
        <f t="shared" si="41"/>
        <v>Other / Unknown</v>
      </c>
      <c r="K658" t="s">
        <v>4224</v>
      </c>
      <c r="L658" t="s">
        <v>1071</v>
      </c>
      <c r="M658" t="s">
        <v>4395</v>
      </c>
      <c r="N658" t="s">
        <v>5130</v>
      </c>
      <c r="O658" t="str" cm="1">
        <f t="array" ref="O658">_xlfn.IFS(
  TEXT(TRIM(N658),"00000")="NULL", "Missing/Unknown",
  OR(TEXT(TRIM(N658),"00000")="89101", TEXT(TRIM(N658),"00000")="89104", TEXT(TRIM(N658),"00000")="89106", TEXT(TRIM(N658),"00000")="89102", TEXT(TRIM(N658),"00000")="89107", TEXT(TRIM(N658),"00000")="89108"), "Urban Core",
  OR(TEXT(TRIM(N658),"00000")="89110", TEXT(TRIM(N658),"00000")="89115", TEXT(TRIM(N658),"00000")="89121", TEXT(TRIM(N658),"00000")="89122", TEXT(TRIM(N658),"00000")="89142", TEXT(TRIM(N658),"00000")="89156"), "East Valley",
  OR(TEXT(TRIM(N658),"00000")="89030", TEXT(TRIM(N658),"00000")="89031", TEXT(TRIM(N658),"00000")="89032", TEXT(TRIM(N658),"00000")="89086", TEXT(TRIM(N658),"00000")="89084", TEXT(TRIM(N658),"00000")="89081"), "North LV",
  OR(TEXT(TRIM(N658),"00000")="89109", TEXT(TRIM(N658),"00000")="89103", TEXT(TRIM(N658),"00000")="89119", TEXT(TRIM(N658),"00000")="89123", TEXT(TRIM(N658),"00000")="89169", TEXT(TRIM(N658),"00000")="89118"), "South/Strip",
  OR(TEXT(TRIM(N658),"00000")="89074", TEXT(TRIM(N658),"00000")="89014", TEXT(TRIM(N658),"00000")="89015", TEXT(TRIM(N658),"00000")="89011", TEXT(TRIM(N658),"00000")="89012"), "Suburban SE",
  OR(TEXT(TRIM(N658),"00000")="89117", TEXT(TRIM(N658),"00000")="89128", TEXT(TRIM(N658),"00000")="89135", TEXT(TRIM(N658),"00000")="89144", TEXT(TRIM(N658),"00000")="89145", TEXT(TRIM(N658),"00000")="89147"), "West Valley",
  TRUE, "Other"
)</f>
        <v>Other</v>
      </c>
      <c r="P658" t="s">
        <v>38</v>
      </c>
      <c r="Q658" t="str">
        <f t="shared" si="42"/>
        <v>Home/Residence</v>
      </c>
      <c r="R658" t="s">
        <v>4395</v>
      </c>
      <c r="S658" t="s">
        <v>5130</v>
      </c>
      <c r="T658" t="str" cm="1">
        <f t="array" ref="T658">_xlfn.IFS(
  TEXT(TRIM(S658),"00000")="NULL", "Missing/Unknown",
  OR(TEXT(TRIM(S658),"00000")="89101", TEXT(TRIM(S658),"00000")="89104", TEXT(TRIM(S658),"00000")="89106", TEXT(TRIM(S658),"00000")="89102", TEXT(TRIM(S658),"00000")="89107", TEXT(TRIM(S658),"00000")="89108"), "Urban Core",
  OR(TEXT(TRIM(S658),"00000")="89110", TEXT(TRIM(S658),"00000")="89115", TEXT(TRIM(S658),"00000")="89121", TEXT(TRIM(S658),"00000")="89122", TEXT(TRIM(S658),"00000")="89142", TEXT(TRIM(S658),"00000")="89156"), "East Valley",
  OR(TEXT(TRIM(S658),"00000")="89030", TEXT(TRIM(S658),"00000")="89031", TEXT(TRIM(S658),"00000")="89032", TEXT(TRIM(S658),"00000")="89086", TEXT(TRIM(S658),"00000")="89084", TEXT(TRIM(S658),"00000")="89081"), "North LV",
  OR(TEXT(TRIM(S658),"00000")="89109", TEXT(TRIM(S658),"00000")="89103", TEXT(TRIM(S658),"00000")="89119", TEXT(TRIM(S658),"00000")="89123", TEXT(TRIM(S658),"00000")="89169", TEXT(TRIM(S658),"00000")="89118"), "South/Strip",
  OR(TEXT(TRIM(S658),"00000")="89074", TEXT(TRIM(S658),"00000")="89014", TEXT(TRIM(S658),"00000")="89015", TEXT(TRIM(S658),"00000")="89011", TEXT(TRIM(S658),"00000")="89012"), "Suburban SE",
  OR(TEXT(TRIM(S658),"00000")="89117", TEXT(TRIM(S658),"00000")="89128", TEXT(TRIM(S658),"00000")="89135", TEXT(TRIM(S658),"00000")="89144", TEXT(TRIM(S658),"00000")="89145", TEXT(TRIM(S658),"00000")="89147"), "West Valley",
  TRUE, "Other"
)</f>
        <v>Other</v>
      </c>
      <c r="U658" t="s">
        <v>38</v>
      </c>
      <c r="V658" t="str">
        <f t="shared" si="43"/>
        <v>Home/Residence</v>
      </c>
    </row>
    <row r="659" spans="1:22">
      <c r="A659" t="s">
        <v>450</v>
      </c>
      <c r="B659" t="s">
        <v>451</v>
      </c>
      <c r="C659" s="1">
        <v>45127</v>
      </c>
      <c r="D659" s="4">
        <v>111.92</v>
      </c>
      <c r="E659">
        <v>72</v>
      </c>
      <c r="F659" t="str">
        <f t="shared" si="40"/>
        <v>70's</v>
      </c>
      <c r="G659" t="str" cm="1">
        <f t="array" ref="G659">_xlfn.IFS(
  F659="10's", "Child (5–12)",
  OR(F659="20's", F659="30's"), "Young Adult (20–39)",
  OR(F659="40's", F659="50's"), "Adult (40–59)",
  OR(F659="60's", F659="70's", F659="80's", F659="90's"), "Senior (60+)",
  TRUE, "Unknown"
)</f>
        <v>Senior (60+)</v>
      </c>
      <c r="H659" t="s">
        <v>4309</v>
      </c>
      <c r="I659" t="s">
        <v>452</v>
      </c>
      <c r="J659" t="str">
        <f t="shared" si="41"/>
        <v>Other / Unknown</v>
      </c>
      <c r="K659" t="s">
        <v>54</v>
      </c>
      <c r="L659" t="s">
        <v>1071</v>
      </c>
      <c r="M659" t="s">
        <v>4391</v>
      </c>
      <c r="N659" t="s">
        <v>5097</v>
      </c>
      <c r="O659" t="str" cm="1">
        <f t="array" ref="O659">_xlfn.IFS(
  TEXT(TRIM(N659),"00000")="NULL", "Missing/Unknown",
  OR(TEXT(TRIM(N659),"00000")="89101", TEXT(TRIM(N659),"00000")="89104", TEXT(TRIM(N659),"00000")="89106", TEXT(TRIM(N659),"00000")="89102", TEXT(TRIM(N659),"00000")="89107", TEXT(TRIM(N659),"00000")="89108"), "Urban Core",
  OR(TEXT(TRIM(N659),"00000")="89110", TEXT(TRIM(N659),"00000")="89115", TEXT(TRIM(N659),"00000")="89121", TEXT(TRIM(N659),"00000")="89122", TEXT(TRIM(N659),"00000")="89142", TEXT(TRIM(N659),"00000")="89156"), "East Valley",
  OR(TEXT(TRIM(N659),"00000")="89030", TEXT(TRIM(N659),"00000")="89031", TEXT(TRIM(N659),"00000")="89032", TEXT(TRIM(N659),"00000")="89086", TEXT(TRIM(N659),"00000")="89084", TEXT(TRIM(N659),"00000")="89081"), "North LV",
  OR(TEXT(TRIM(N659),"00000")="89109", TEXT(TRIM(N659),"00000")="89103", TEXT(TRIM(N659),"00000")="89119", TEXT(TRIM(N659),"00000")="89123", TEXT(TRIM(N659),"00000")="89169", TEXT(TRIM(N659),"00000")="89118"), "South/Strip",
  OR(TEXT(TRIM(N659),"00000")="89074", TEXT(TRIM(N659),"00000")="89014", TEXT(TRIM(N659),"00000")="89015", TEXT(TRIM(N659),"00000")="89011", TEXT(TRIM(N659),"00000")="89012"), "Suburban SE",
  OR(TEXT(TRIM(N659),"00000")="89117", TEXT(TRIM(N659),"00000")="89128", TEXT(TRIM(N659),"00000")="89135", TEXT(TRIM(N659),"00000")="89144", TEXT(TRIM(N659),"00000")="89145", TEXT(TRIM(N659),"00000")="89147"), "West Valley",
  TRUE, "Other"
)</f>
        <v>Urban Core</v>
      </c>
      <c r="P659" t="s">
        <v>38</v>
      </c>
      <c r="Q659" t="str">
        <f t="shared" si="42"/>
        <v>Home/Residence</v>
      </c>
      <c r="R659" t="s">
        <v>4391</v>
      </c>
      <c r="S659" t="s">
        <v>5097</v>
      </c>
      <c r="T659" t="str" cm="1">
        <f t="array" ref="T659">_xlfn.IFS(
  TEXT(TRIM(S659),"00000")="NULL", "Missing/Unknown",
  OR(TEXT(TRIM(S659),"00000")="89101", TEXT(TRIM(S659),"00000")="89104", TEXT(TRIM(S659),"00000")="89106", TEXT(TRIM(S659),"00000")="89102", TEXT(TRIM(S659),"00000")="89107", TEXT(TRIM(S659),"00000")="89108"), "Urban Core",
  OR(TEXT(TRIM(S659),"00000")="89110", TEXT(TRIM(S659),"00000")="89115", TEXT(TRIM(S659),"00000")="89121", TEXT(TRIM(S659),"00000")="89122", TEXT(TRIM(S659),"00000")="89142", TEXT(TRIM(S659),"00000")="89156"), "East Valley",
  OR(TEXT(TRIM(S659),"00000")="89030", TEXT(TRIM(S659),"00000")="89031", TEXT(TRIM(S659),"00000")="89032", TEXT(TRIM(S659),"00000")="89086", TEXT(TRIM(S659),"00000")="89084", TEXT(TRIM(S659),"00000")="89081"), "North LV",
  OR(TEXT(TRIM(S659),"00000")="89109", TEXT(TRIM(S659),"00000")="89103", TEXT(TRIM(S659),"00000")="89119", TEXT(TRIM(S659),"00000")="89123", TEXT(TRIM(S659),"00000")="89169", TEXT(TRIM(S659),"00000")="89118"), "South/Strip",
  OR(TEXT(TRIM(S659),"00000")="89074", TEXT(TRIM(S659),"00000")="89014", TEXT(TRIM(S659),"00000")="89015", TEXT(TRIM(S659),"00000")="89011", TEXT(TRIM(S659),"00000")="89012"), "Suburban SE",
  OR(TEXT(TRIM(S659),"00000")="89117", TEXT(TRIM(S659),"00000")="89128", TEXT(TRIM(S659),"00000")="89135", TEXT(TRIM(S659),"00000")="89144", TEXT(TRIM(S659),"00000")="89145", TEXT(TRIM(S659),"00000")="89147"), "West Valley",
  TRUE, "Other"
)</f>
        <v>Urban Core</v>
      </c>
      <c r="U659" t="s">
        <v>38</v>
      </c>
      <c r="V659" t="str">
        <f t="shared" si="43"/>
        <v>Home/Residence</v>
      </c>
    </row>
    <row r="660" spans="1:22">
      <c r="A660" t="s">
        <v>518</v>
      </c>
      <c r="B660" t="s">
        <v>519</v>
      </c>
      <c r="C660" s="1">
        <v>45127</v>
      </c>
      <c r="D660" s="4">
        <v>111.92</v>
      </c>
      <c r="E660">
        <v>54</v>
      </c>
      <c r="F660" t="str">
        <f t="shared" si="40"/>
        <v>50's</v>
      </c>
      <c r="G660" t="str" cm="1">
        <f t="array" ref="G660">_xlfn.IFS(
  F660="10's", "Child (5–12)",
  OR(F660="20's", F660="30's"), "Young Adult (20–39)",
  OR(F660="40's", F660="50's"), "Adult (40–59)",
  OR(F660="60's", F660="70's", F660="80's", F660="90's"), "Senior (60+)",
  TRUE, "Unknown"
)</f>
        <v>Adult (40–59)</v>
      </c>
      <c r="H660" t="s">
        <v>841</v>
      </c>
      <c r="I660" t="s">
        <v>97</v>
      </c>
      <c r="J660" t="str">
        <f t="shared" si="41"/>
        <v>Environmental Heat</v>
      </c>
      <c r="K660" t="s">
        <v>98</v>
      </c>
      <c r="L660" t="s">
        <v>250</v>
      </c>
      <c r="M660" t="s">
        <v>4336</v>
      </c>
      <c r="N660" t="s">
        <v>5101</v>
      </c>
      <c r="O660" t="str" cm="1">
        <f t="array" ref="O660">_xlfn.IFS(
  TEXT(TRIM(N660),"00000")="NULL", "Missing/Unknown",
  OR(TEXT(TRIM(N660),"00000")="89101", TEXT(TRIM(N660),"00000")="89104", TEXT(TRIM(N660),"00000")="89106", TEXT(TRIM(N660),"00000")="89102", TEXT(TRIM(N660),"00000")="89107", TEXT(TRIM(N660),"00000")="89108"), "Urban Core",
  OR(TEXT(TRIM(N660),"00000")="89110", TEXT(TRIM(N660),"00000")="89115", TEXT(TRIM(N660),"00000")="89121", TEXT(TRIM(N660),"00000")="89122", TEXT(TRIM(N660),"00000")="89142", TEXT(TRIM(N660),"00000")="89156"), "East Valley",
  OR(TEXT(TRIM(N660),"00000")="89030", TEXT(TRIM(N660),"00000")="89031", TEXT(TRIM(N660),"00000")="89032", TEXT(TRIM(N660),"00000")="89086", TEXT(TRIM(N660),"00000")="89084", TEXT(TRIM(N660),"00000")="89081"), "North LV",
  OR(TEXT(TRIM(N660),"00000")="89109", TEXT(TRIM(N660),"00000")="89103", TEXT(TRIM(N660),"00000")="89119", TEXT(TRIM(N660),"00000")="89123", TEXT(TRIM(N660),"00000")="89169", TEXT(TRIM(N660),"00000")="89118"), "South/Strip",
  OR(TEXT(TRIM(N660),"00000")="89074", TEXT(TRIM(N660),"00000")="89014", TEXT(TRIM(N660),"00000")="89015", TEXT(TRIM(N660),"00000")="89011", TEXT(TRIM(N660),"00000")="89012"), "Suburban SE",
  OR(TEXT(TRIM(N660),"00000")="89117", TEXT(TRIM(N660),"00000")="89128", TEXT(TRIM(N660),"00000")="89135", TEXT(TRIM(N660),"00000")="89144", TEXT(TRIM(N660),"00000")="89145", TEXT(TRIM(N660),"00000")="89147"), "West Valley",
  TRUE, "Other"
)</f>
        <v>Urban Core</v>
      </c>
      <c r="P660" t="s">
        <v>3298</v>
      </c>
      <c r="Q660" t="str">
        <f t="shared" si="42"/>
        <v>Outdoors/Public</v>
      </c>
      <c r="R660" t="s">
        <v>5054</v>
      </c>
      <c r="S660" t="s">
        <v>5097</v>
      </c>
      <c r="T660" t="str" cm="1">
        <f t="array" ref="T660">_xlfn.IFS(
  TEXT(TRIM(S660),"00000")="NULL", "Missing/Unknown",
  OR(TEXT(TRIM(S660),"00000")="89101", TEXT(TRIM(S660),"00000")="89104", TEXT(TRIM(S660),"00000")="89106", TEXT(TRIM(S660),"00000")="89102", TEXT(TRIM(S660),"00000")="89107", TEXT(TRIM(S660),"00000")="89108"), "Urban Core",
  OR(TEXT(TRIM(S660),"00000")="89110", TEXT(TRIM(S660),"00000")="89115", TEXT(TRIM(S660),"00000")="89121", TEXT(TRIM(S660),"00000")="89122", TEXT(TRIM(S660),"00000")="89142", TEXT(TRIM(S660),"00000")="89156"), "East Valley",
  OR(TEXT(TRIM(S660),"00000")="89030", TEXT(TRIM(S660),"00000")="89031", TEXT(TRIM(S660),"00000")="89032", TEXT(TRIM(S660),"00000")="89086", TEXT(TRIM(S660),"00000")="89084", TEXT(TRIM(S660),"00000")="89081"), "North LV",
  OR(TEXT(TRIM(S660),"00000")="89109", TEXT(TRIM(S660),"00000")="89103", TEXT(TRIM(S660),"00000")="89119", TEXT(TRIM(S660),"00000")="89123", TEXT(TRIM(S660),"00000")="89169", TEXT(TRIM(S660),"00000")="89118"), "South/Strip",
  OR(TEXT(TRIM(S660),"00000")="89074", TEXT(TRIM(S660),"00000")="89014", TEXT(TRIM(S660),"00000")="89015", TEXT(TRIM(S660),"00000")="89011", TEXT(TRIM(S660),"00000")="89012"), "Suburban SE",
  OR(TEXT(TRIM(S660),"00000")="89117", TEXT(TRIM(S660),"00000")="89128", TEXT(TRIM(S660),"00000")="89135", TEXT(TRIM(S660),"00000")="89144", TEXT(TRIM(S660),"00000")="89145", TEXT(TRIM(S660),"00000")="89147"), "West Valley",
  TRUE, "Other"
)</f>
        <v>Urban Core</v>
      </c>
      <c r="U660" t="s">
        <v>4301</v>
      </c>
      <c r="V660" t="str">
        <f t="shared" si="43"/>
        <v>Medical Facility</v>
      </c>
    </row>
    <row r="661" spans="1:22">
      <c r="A661" t="s">
        <v>512</v>
      </c>
      <c r="B661" t="s">
        <v>513</v>
      </c>
      <c r="C661" s="1">
        <v>45127</v>
      </c>
      <c r="D661" s="4">
        <v>111.92</v>
      </c>
      <c r="E661">
        <v>87</v>
      </c>
      <c r="F661" t="str">
        <f t="shared" si="40"/>
        <v>80's</v>
      </c>
      <c r="G661" t="str" cm="1">
        <f t="array" ref="G661">_xlfn.IFS(
  F661="10's", "Child (5–12)",
  OR(F661="20's", F661="30's"), "Young Adult (20–39)",
  OR(F661="40's", F661="50's"), "Adult (40–59)",
  OR(F661="60's", F661="70's", F661="80's", F661="90's"), "Senior (60+)",
  TRUE, "Unknown"
)</f>
        <v>Senior (60+)</v>
      </c>
      <c r="H661" t="s">
        <v>778</v>
      </c>
      <c r="I661" t="s">
        <v>28</v>
      </c>
      <c r="J661" t="str">
        <f t="shared" si="41"/>
        <v>Cardiovascular Disease</v>
      </c>
      <c r="K661" t="s">
        <v>54</v>
      </c>
      <c r="L661" t="s">
        <v>1071</v>
      </c>
      <c r="M661" t="s">
        <v>4638</v>
      </c>
      <c r="N661" t="s">
        <v>5100</v>
      </c>
      <c r="O661" t="str" cm="1">
        <f t="array" ref="O661">_xlfn.IFS(
  TEXT(TRIM(N661),"00000")="NULL", "Missing/Unknown",
  OR(TEXT(TRIM(N661),"00000")="89101", TEXT(TRIM(N661),"00000")="89104", TEXT(TRIM(N661),"00000")="89106", TEXT(TRIM(N661),"00000")="89102", TEXT(TRIM(N661),"00000")="89107", TEXT(TRIM(N661),"00000")="89108"), "Urban Core",
  OR(TEXT(TRIM(N661),"00000")="89110", TEXT(TRIM(N661),"00000")="89115", TEXT(TRIM(N661),"00000")="89121", TEXT(TRIM(N661),"00000")="89122", TEXT(TRIM(N661),"00000")="89142", TEXT(TRIM(N661),"00000")="89156"), "East Valley",
  OR(TEXT(TRIM(N661),"00000")="89030", TEXT(TRIM(N661),"00000")="89031", TEXT(TRIM(N661),"00000")="89032", TEXT(TRIM(N661),"00000")="89086", TEXT(TRIM(N661),"00000")="89084", TEXT(TRIM(N661),"00000")="89081"), "North LV",
  OR(TEXT(TRIM(N661),"00000")="89109", TEXT(TRIM(N661),"00000")="89103", TEXT(TRIM(N661),"00000")="89119", TEXT(TRIM(N661),"00000")="89123", TEXT(TRIM(N661),"00000")="89169", TEXT(TRIM(N661),"00000")="89118"), "South/Strip",
  OR(TEXT(TRIM(N661),"00000")="89074", TEXT(TRIM(N661),"00000")="89014", TEXT(TRIM(N661),"00000")="89015", TEXT(TRIM(N661),"00000")="89011", TEXT(TRIM(N661),"00000")="89012"), "Suburban SE",
  OR(TEXT(TRIM(N661),"00000")="89117", TEXT(TRIM(N661),"00000")="89128", TEXT(TRIM(N661),"00000")="89135", TEXT(TRIM(N661),"00000")="89144", TEXT(TRIM(N661),"00000")="89145", TEXT(TRIM(N661),"00000")="89147"), "West Valley",
  TRUE, "Other"
)</f>
        <v>North LV</v>
      </c>
      <c r="P661" t="s">
        <v>3298</v>
      </c>
      <c r="Q661" t="str">
        <f t="shared" si="42"/>
        <v>Outdoors/Public</v>
      </c>
      <c r="R661" t="s">
        <v>4638</v>
      </c>
      <c r="S661" t="s">
        <v>5100</v>
      </c>
      <c r="T661" t="str" cm="1">
        <f t="array" ref="T661">_xlfn.IFS(
  TEXT(TRIM(S661),"00000")="NULL", "Missing/Unknown",
  OR(TEXT(TRIM(S661),"00000")="89101", TEXT(TRIM(S661),"00000")="89104", TEXT(TRIM(S661),"00000")="89106", TEXT(TRIM(S661),"00000")="89102", TEXT(TRIM(S661),"00000")="89107", TEXT(TRIM(S661),"00000")="89108"), "Urban Core",
  OR(TEXT(TRIM(S661),"00000")="89110", TEXT(TRIM(S661),"00000")="89115", TEXT(TRIM(S661),"00000")="89121", TEXT(TRIM(S661),"00000")="89122", TEXT(TRIM(S661),"00000")="89142", TEXT(TRIM(S661),"00000")="89156"), "East Valley",
  OR(TEXT(TRIM(S661),"00000")="89030", TEXT(TRIM(S661),"00000")="89031", TEXT(TRIM(S661),"00000")="89032", TEXT(TRIM(S661),"00000")="89086", TEXT(TRIM(S661),"00000")="89084", TEXT(TRIM(S661),"00000")="89081"), "North LV",
  OR(TEXT(TRIM(S661),"00000")="89109", TEXT(TRIM(S661),"00000")="89103", TEXT(TRIM(S661),"00000")="89119", TEXT(TRIM(S661),"00000")="89123", TEXT(TRIM(S661),"00000")="89169", TEXT(TRIM(S661),"00000")="89118"), "South/Strip",
  OR(TEXT(TRIM(S661),"00000")="89074", TEXT(TRIM(S661),"00000")="89014", TEXT(TRIM(S661),"00000")="89015", TEXT(TRIM(S661),"00000")="89011", TEXT(TRIM(S661),"00000")="89012"), "Suburban SE",
  OR(TEXT(TRIM(S661),"00000")="89117", TEXT(TRIM(S661),"00000")="89128", TEXT(TRIM(S661),"00000")="89135", TEXT(TRIM(S661),"00000")="89144", TEXT(TRIM(S661),"00000")="89145", TEXT(TRIM(S661),"00000")="89147"), "West Valley",
  TRUE, "Other"
)</f>
        <v>North LV</v>
      </c>
      <c r="U661" t="s">
        <v>3298</v>
      </c>
      <c r="V661" t="str">
        <f t="shared" si="43"/>
        <v>Outdoors/Public</v>
      </c>
    </row>
    <row r="662" spans="1:22">
      <c r="A662" t="s">
        <v>443</v>
      </c>
      <c r="B662" t="s">
        <v>444</v>
      </c>
      <c r="C662" s="1">
        <v>45127</v>
      </c>
      <c r="D662" s="4">
        <v>111.92</v>
      </c>
      <c r="E662">
        <v>53</v>
      </c>
      <c r="F662" t="str">
        <f t="shared" si="40"/>
        <v>50's</v>
      </c>
      <c r="G662" t="str" cm="1">
        <f t="array" ref="G662">_xlfn.IFS(
  F662="10's", "Child (5–12)",
  OR(F662="20's", F662="30's"), "Young Adult (20–39)",
  OR(F662="40's", F662="50's"), "Adult (40–59)",
  OR(F662="60's", F662="70's", F662="80's", F662="90's"), "Senior (60+)",
  TRUE, "Unknown"
)</f>
        <v>Adult (40–59)</v>
      </c>
      <c r="H662" t="s">
        <v>778</v>
      </c>
      <c r="I662" t="s">
        <v>4025</v>
      </c>
      <c r="J662" t="str">
        <f t="shared" si="41"/>
        <v>Methamphetamine-related</v>
      </c>
      <c r="K662" t="s">
        <v>54</v>
      </c>
      <c r="L662" t="s">
        <v>250</v>
      </c>
      <c r="M662" t="s">
        <v>4736</v>
      </c>
      <c r="N662" t="s">
        <v>5119</v>
      </c>
      <c r="O662" t="str" cm="1">
        <f t="array" ref="O662">_xlfn.IFS(
  TEXT(TRIM(N662),"00000")="NULL", "Missing/Unknown",
  OR(TEXT(TRIM(N662),"00000")="89101", TEXT(TRIM(N662),"00000")="89104", TEXT(TRIM(N662),"00000")="89106", TEXT(TRIM(N662),"00000")="89102", TEXT(TRIM(N662),"00000")="89107", TEXT(TRIM(N662),"00000")="89108"), "Urban Core",
  OR(TEXT(TRIM(N662),"00000")="89110", TEXT(TRIM(N662),"00000")="89115", TEXT(TRIM(N662),"00000")="89121", TEXT(TRIM(N662),"00000")="89122", TEXT(TRIM(N662),"00000")="89142", TEXT(TRIM(N662),"00000")="89156"), "East Valley",
  OR(TEXT(TRIM(N662),"00000")="89030", TEXT(TRIM(N662),"00000")="89031", TEXT(TRIM(N662),"00000")="89032", TEXT(TRIM(N662),"00000")="89086", TEXT(TRIM(N662),"00000")="89084", TEXT(TRIM(N662),"00000")="89081"), "North LV",
  OR(TEXT(TRIM(N662),"00000")="89109", TEXT(TRIM(N662),"00000")="89103", TEXT(TRIM(N662),"00000")="89119", TEXT(TRIM(N662),"00000")="89123", TEXT(TRIM(N662),"00000")="89169", TEXT(TRIM(N662),"00000")="89118"), "South/Strip",
  OR(TEXT(TRIM(N662),"00000")="89074", TEXT(TRIM(N662),"00000")="89014", TEXT(TRIM(N662),"00000")="89015", TEXT(TRIM(N662),"00000")="89011", TEXT(TRIM(N662),"00000")="89012"), "Suburban SE",
  OR(TEXT(TRIM(N662),"00000")="89117", TEXT(TRIM(N662),"00000")="89128", TEXT(TRIM(N662),"00000")="89135", TEXT(TRIM(N662),"00000")="89144", TEXT(TRIM(N662),"00000")="89145", TEXT(TRIM(N662),"00000")="89147"), "West Valley",
  TRUE, "Other"
)</f>
        <v>Urban Core</v>
      </c>
      <c r="P662" t="s">
        <v>3298</v>
      </c>
      <c r="Q662" t="str">
        <f t="shared" si="42"/>
        <v>Outdoors/Public</v>
      </c>
      <c r="R662" t="s">
        <v>4736</v>
      </c>
      <c r="S662" t="s">
        <v>5119</v>
      </c>
      <c r="T662" t="str" cm="1">
        <f t="array" ref="T662">_xlfn.IFS(
  TEXT(TRIM(S662),"00000")="NULL", "Missing/Unknown",
  OR(TEXT(TRIM(S662),"00000")="89101", TEXT(TRIM(S662),"00000")="89104", TEXT(TRIM(S662),"00000")="89106", TEXT(TRIM(S662),"00000")="89102", TEXT(TRIM(S662),"00000")="89107", TEXT(TRIM(S662),"00000")="89108"), "Urban Core",
  OR(TEXT(TRIM(S662),"00000")="89110", TEXT(TRIM(S662),"00000")="89115", TEXT(TRIM(S662),"00000")="89121", TEXT(TRIM(S662),"00000")="89122", TEXT(TRIM(S662),"00000")="89142", TEXT(TRIM(S662),"00000")="89156"), "East Valley",
  OR(TEXT(TRIM(S662),"00000")="89030", TEXT(TRIM(S662),"00000")="89031", TEXT(TRIM(S662),"00000")="89032", TEXT(TRIM(S662),"00000")="89086", TEXT(TRIM(S662),"00000")="89084", TEXT(TRIM(S662),"00000")="89081"), "North LV",
  OR(TEXT(TRIM(S662),"00000")="89109", TEXT(TRIM(S662),"00000")="89103", TEXT(TRIM(S662),"00000")="89119", TEXT(TRIM(S662),"00000")="89123", TEXT(TRIM(S662),"00000")="89169", TEXT(TRIM(S662),"00000")="89118"), "South/Strip",
  OR(TEXT(TRIM(S662),"00000")="89074", TEXT(TRIM(S662),"00000")="89014", TEXT(TRIM(S662),"00000")="89015", TEXT(TRIM(S662),"00000")="89011", TEXT(TRIM(S662),"00000")="89012"), "Suburban SE",
  OR(TEXT(TRIM(S662),"00000")="89117", TEXT(TRIM(S662),"00000")="89128", TEXT(TRIM(S662),"00000")="89135", TEXT(TRIM(S662),"00000")="89144", TEXT(TRIM(S662),"00000")="89145", TEXT(TRIM(S662),"00000")="89147"), "West Valley",
  TRUE, "Other"
)</f>
        <v>Urban Core</v>
      </c>
      <c r="U662" t="s">
        <v>3298</v>
      </c>
      <c r="V662" t="str">
        <f t="shared" si="43"/>
        <v>Outdoors/Public</v>
      </c>
    </row>
    <row r="663" spans="1:22">
      <c r="A663" t="s">
        <v>470</v>
      </c>
      <c r="B663" t="s">
        <v>471</v>
      </c>
      <c r="C663" s="1">
        <v>45127</v>
      </c>
      <c r="D663" s="4">
        <v>111.92</v>
      </c>
      <c r="E663">
        <v>53</v>
      </c>
      <c r="F663" t="str">
        <f t="shared" si="40"/>
        <v>50's</v>
      </c>
      <c r="G663" t="str" cm="1">
        <f t="array" ref="G663">_xlfn.IFS(
  F663="10's", "Child (5–12)",
  OR(F663="20's", F663="30's"), "Young Adult (20–39)",
  OR(F663="40's", F663="50's"), "Adult (40–59)",
  OR(F663="60's", F663="70's", F663="80's", F663="90's"), "Senior (60+)",
  TRUE, "Unknown"
)</f>
        <v>Adult (40–59)</v>
      </c>
      <c r="H663" t="s">
        <v>841</v>
      </c>
      <c r="I663" t="s">
        <v>97</v>
      </c>
      <c r="J663" t="str">
        <f t="shared" si="41"/>
        <v>Environmental Heat</v>
      </c>
      <c r="K663" t="s">
        <v>472</v>
      </c>
      <c r="L663" t="s">
        <v>250</v>
      </c>
      <c r="N663" t="s">
        <v>5095</v>
      </c>
      <c r="O663" t="str" cm="1">
        <f t="array" ref="O663">_xlfn.IFS(
  TEXT(TRIM(N663),"00000")="NULL", "Missing/Unknown",
  OR(TEXT(TRIM(N663),"00000")="89101", TEXT(TRIM(N663),"00000")="89104", TEXT(TRIM(N663),"00000")="89106", TEXT(TRIM(N663),"00000")="89102", TEXT(TRIM(N663),"00000")="89107", TEXT(TRIM(N663),"00000")="89108"), "Urban Core",
  OR(TEXT(TRIM(N663),"00000")="89110", TEXT(TRIM(N663),"00000")="89115", TEXT(TRIM(N663),"00000")="89121", TEXT(TRIM(N663),"00000")="89122", TEXT(TRIM(N663),"00000")="89142", TEXT(TRIM(N663),"00000")="89156"), "East Valley",
  OR(TEXT(TRIM(N663),"00000")="89030", TEXT(TRIM(N663),"00000")="89031", TEXT(TRIM(N663),"00000")="89032", TEXT(TRIM(N663),"00000")="89086", TEXT(TRIM(N663),"00000")="89084", TEXT(TRIM(N663),"00000")="89081"), "North LV",
  OR(TEXT(TRIM(N663),"00000")="89109", TEXT(TRIM(N663),"00000")="89103", TEXT(TRIM(N663),"00000")="89119", TEXT(TRIM(N663),"00000")="89123", TEXT(TRIM(N663),"00000")="89169", TEXT(TRIM(N663),"00000")="89118"), "South/Strip",
  OR(TEXT(TRIM(N663),"00000")="89074", TEXT(TRIM(N663),"00000")="89014", TEXT(TRIM(N663),"00000")="89015", TEXT(TRIM(N663),"00000")="89011", TEXT(TRIM(N663),"00000")="89012"), "Suburban SE",
  OR(TEXT(TRIM(N663),"00000")="89117", TEXT(TRIM(N663),"00000")="89128", TEXT(TRIM(N663),"00000")="89135", TEXT(TRIM(N663),"00000")="89144", TEXT(TRIM(N663),"00000")="89145", TEXT(TRIM(N663),"00000")="89147"), "West Valley",
  TRUE, "Other"
)</f>
        <v>Missing/Unknown</v>
      </c>
      <c r="P663" t="s">
        <v>3298</v>
      </c>
      <c r="Q663" t="str">
        <f t="shared" si="42"/>
        <v>Outdoors/Public</v>
      </c>
      <c r="R663" t="s">
        <v>5054</v>
      </c>
      <c r="S663" t="s">
        <v>5097</v>
      </c>
      <c r="T663" t="str" cm="1">
        <f t="array" ref="T663">_xlfn.IFS(
  TEXT(TRIM(S663),"00000")="NULL", "Missing/Unknown",
  OR(TEXT(TRIM(S663),"00000")="89101", TEXT(TRIM(S663),"00000")="89104", TEXT(TRIM(S663),"00000")="89106", TEXT(TRIM(S663),"00000")="89102", TEXT(TRIM(S663),"00000")="89107", TEXT(TRIM(S663),"00000")="89108"), "Urban Core",
  OR(TEXT(TRIM(S663),"00000")="89110", TEXT(TRIM(S663),"00000")="89115", TEXT(TRIM(S663),"00000")="89121", TEXT(TRIM(S663),"00000")="89122", TEXT(TRIM(S663),"00000")="89142", TEXT(TRIM(S663),"00000")="89156"), "East Valley",
  OR(TEXT(TRIM(S663),"00000")="89030", TEXT(TRIM(S663),"00000")="89031", TEXT(TRIM(S663),"00000")="89032", TEXT(TRIM(S663),"00000")="89086", TEXT(TRIM(S663),"00000")="89084", TEXT(TRIM(S663),"00000")="89081"), "North LV",
  OR(TEXT(TRIM(S663),"00000")="89109", TEXT(TRIM(S663),"00000")="89103", TEXT(TRIM(S663),"00000")="89119", TEXT(TRIM(S663),"00000")="89123", TEXT(TRIM(S663),"00000")="89169", TEXT(TRIM(S663),"00000")="89118"), "South/Strip",
  OR(TEXT(TRIM(S663),"00000")="89074", TEXT(TRIM(S663),"00000")="89014", TEXT(TRIM(S663),"00000")="89015", TEXT(TRIM(S663),"00000")="89011", TEXT(TRIM(S663),"00000")="89012"), "Suburban SE",
  OR(TEXT(TRIM(S663),"00000")="89117", TEXT(TRIM(S663),"00000")="89128", TEXT(TRIM(S663),"00000")="89135", TEXT(TRIM(S663),"00000")="89144", TEXT(TRIM(S663),"00000")="89145", TEXT(TRIM(S663),"00000")="89147"), "West Valley",
  TRUE, "Other"
)</f>
        <v>Urban Core</v>
      </c>
      <c r="U663" t="s">
        <v>4305</v>
      </c>
      <c r="V663" t="str">
        <f t="shared" si="43"/>
        <v>Medical Facility</v>
      </c>
    </row>
    <row r="664" spans="1:22">
      <c r="A664" t="s">
        <v>495</v>
      </c>
      <c r="B664" t="s">
        <v>496</v>
      </c>
      <c r="C664" s="1">
        <v>45127</v>
      </c>
      <c r="D664" s="4">
        <v>111.92</v>
      </c>
      <c r="E664">
        <v>56</v>
      </c>
      <c r="F664" t="str">
        <f t="shared" si="40"/>
        <v>50's</v>
      </c>
      <c r="G664" t="str" cm="1">
        <f t="array" ref="G664">_xlfn.IFS(
  F664="10's", "Child (5–12)",
  OR(F664="20's", F664="30's"), "Young Adult (20–39)",
  OR(F664="40's", F664="50's"), "Adult (40–59)",
  OR(F664="60's", F664="70's", F664="80's", F664="90's"), "Senior (60+)",
  TRUE, "Unknown"
)</f>
        <v>Adult (40–59)</v>
      </c>
      <c r="H664" t="s">
        <v>778</v>
      </c>
      <c r="I664" t="s">
        <v>54</v>
      </c>
      <c r="J664" t="str">
        <f t="shared" si="41"/>
        <v>Environmental Heat</v>
      </c>
      <c r="K664" t="s">
        <v>63</v>
      </c>
      <c r="L664" t="s">
        <v>250</v>
      </c>
      <c r="N664" t="s">
        <v>5095</v>
      </c>
      <c r="O664" t="str" cm="1">
        <f t="array" ref="O664">_xlfn.IFS(
  TEXT(TRIM(N664),"00000")="NULL", "Missing/Unknown",
  OR(TEXT(TRIM(N664),"00000")="89101", TEXT(TRIM(N664),"00000")="89104", TEXT(TRIM(N664),"00000")="89106", TEXT(TRIM(N664),"00000")="89102", TEXT(TRIM(N664),"00000")="89107", TEXT(TRIM(N664),"00000")="89108"), "Urban Core",
  OR(TEXT(TRIM(N664),"00000")="89110", TEXT(TRIM(N664),"00000")="89115", TEXT(TRIM(N664),"00000")="89121", TEXT(TRIM(N664),"00000")="89122", TEXT(TRIM(N664),"00000")="89142", TEXT(TRIM(N664),"00000")="89156"), "East Valley",
  OR(TEXT(TRIM(N664),"00000")="89030", TEXT(TRIM(N664),"00000")="89031", TEXT(TRIM(N664),"00000")="89032", TEXT(TRIM(N664),"00000")="89086", TEXT(TRIM(N664),"00000")="89084", TEXT(TRIM(N664),"00000")="89081"), "North LV",
  OR(TEXT(TRIM(N664),"00000")="89109", TEXT(TRIM(N664),"00000")="89103", TEXT(TRIM(N664),"00000")="89119", TEXT(TRIM(N664),"00000")="89123", TEXT(TRIM(N664),"00000")="89169", TEXT(TRIM(N664),"00000")="89118"), "South/Strip",
  OR(TEXT(TRIM(N664),"00000")="89074", TEXT(TRIM(N664),"00000")="89014", TEXT(TRIM(N664),"00000")="89015", TEXT(TRIM(N664),"00000")="89011", TEXT(TRIM(N664),"00000")="89012"), "Suburban SE",
  OR(TEXT(TRIM(N664),"00000")="89117", TEXT(TRIM(N664),"00000")="89128", TEXT(TRIM(N664),"00000")="89135", TEXT(TRIM(N664),"00000")="89144", TEXT(TRIM(N664),"00000")="89145", TEXT(TRIM(N664),"00000")="89147"), "West Valley",
  TRUE, "Other"
)</f>
        <v>Missing/Unknown</v>
      </c>
      <c r="P664" t="s">
        <v>3298</v>
      </c>
      <c r="Q664" t="str">
        <f t="shared" si="42"/>
        <v>Outdoors/Public</v>
      </c>
      <c r="S664" t="s">
        <v>5095</v>
      </c>
      <c r="T664" t="str" cm="1">
        <f t="array" ref="T664">_xlfn.IFS(
  TEXT(TRIM(S664),"00000")="NULL", "Missing/Unknown",
  OR(TEXT(TRIM(S664),"00000")="89101", TEXT(TRIM(S664),"00000")="89104", TEXT(TRIM(S664),"00000")="89106", TEXT(TRIM(S664),"00000")="89102", TEXT(TRIM(S664),"00000")="89107", TEXT(TRIM(S664),"00000")="89108"), "Urban Core",
  OR(TEXT(TRIM(S664),"00000")="89110", TEXT(TRIM(S664),"00000")="89115", TEXT(TRIM(S664),"00000")="89121", TEXT(TRIM(S664),"00000")="89122", TEXT(TRIM(S664),"00000")="89142", TEXT(TRIM(S664),"00000")="89156"), "East Valley",
  OR(TEXT(TRIM(S664),"00000")="89030", TEXT(TRIM(S664),"00000")="89031", TEXT(TRIM(S664),"00000")="89032", TEXT(TRIM(S664),"00000")="89086", TEXT(TRIM(S664),"00000")="89084", TEXT(TRIM(S664),"00000")="89081"), "North LV",
  OR(TEXT(TRIM(S664),"00000")="89109", TEXT(TRIM(S664),"00000")="89103", TEXT(TRIM(S664),"00000")="89119", TEXT(TRIM(S664),"00000")="89123", TEXT(TRIM(S664),"00000")="89169", TEXT(TRIM(S664),"00000")="89118"), "South/Strip",
  OR(TEXT(TRIM(S664),"00000")="89074", TEXT(TRIM(S664),"00000")="89014", TEXT(TRIM(S664),"00000")="89015", TEXT(TRIM(S664),"00000")="89011", TEXT(TRIM(S664),"00000")="89012"), "Suburban SE",
  OR(TEXT(TRIM(S664),"00000")="89117", TEXT(TRIM(S664),"00000")="89128", TEXT(TRIM(S664),"00000")="89135", TEXT(TRIM(S664),"00000")="89144", TEXT(TRIM(S664),"00000")="89145", TEXT(TRIM(S664),"00000")="89147"), "West Valley",
  TRUE, "Other"
)</f>
        <v>Missing/Unknown</v>
      </c>
      <c r="U664" t="s">
        <v>3298</v>
      </c>
      <c r="V664" t="str">
        <f t="shared" si="43"/>
        <v>Outdoors/Public</v>
      </c>
    </row>
    <row r="665" spans="1:22">
      <c r="A665" t="s">
        <v>400</v>
      </c>
      <c r="B665" t="s">
        <v>401</v>
      </c>
      <c r="C665" s="1">
        <v>45126</v>
      </c>
      <c r="D665" s="4">
        <v>111.02</v>
      </c>
      <c r="E665">
        <v>63</v>
      </c>
      <c r="F665" t="str">
        <f t="shared" si="40"/>
        <v>60's</v>
      </c>
      <c r="G665" t="str" cm="1">
        <f t="array" ref="G665">_xlfn.IFS(
  F665="10's", "Child (5–12)",
  OR(F665="20's", F665="30's"), "Young Adult (20–39)",
  OR(F665="40's", F665="50's"), "Adult (40–59)",
  OR(F665="60's", F665="70's", F665="80's", F665="90's"), "Senior (60+)",
  TRUE, "Unknown"
)</f>
        <v>Senior (60+)</v>
      </c>
      <c r="H665" t="s">
        <v>778</v>
      </c>
      <c r="I665" t="s">
        <v>299</v>
      </c>
      <c r="J665" t="str">
        <f t="shared" si="41"/>
        <v>Cardiovascular Disease</v>
      </c>
      <c r="K665" t="s">
        <v>54</v>
      </c>
      <c r="L665" t="s">
        <v>1071</v>
      </c>
      <c r="M665" t="s">
        <v>4398</v>
      </c>
      <c r="N665" t="s">
        <v>5100</v>
      </c>
      <c r="O665" t="str" cm="1">
        <f t="array" ref="O665">_xlfn.IFS(
  TEXT(TRIM(N665),"00000")="NULL", "Missing/Unknown",
  OR(TEXT(TRIM(N665),"00000")="89101", TEXT(TRIM(N665),"00000")="89104", TEXT(TRIM(N665),"00000")="89106", TEXT(TRIM(N665),"00000")="89102", TEXT(TRIM(N665),"00000")="89107", TEXT(TRIM(N665),"00000")="89108"), "Urban Core",
  OR(TEXT(TRIM(N665),"00000")="89110", TEXT(TRIM(N665),"00000")="89115", TEXT(TRIM(N665),"00000")="89121", TEXT(TRIM(N665),"00000")="89122", TEXT(TRIM(N665),"00000")="89142", TEXT(TRIM(N665),"00000")="89156"), "East Valley",
  OR(TEXT(TRIM(N665),"00000")="89030", TEXT(TRIM(N665),"00000")="89031", TEXT(TRIM(N665),"00000")="89032", TEXT(TRIM(N665),"00000")="89086", TEXT(TRIM(N665),"00000")="89084", TEXT(TRIM(N665),"00000")="89081"), "North LV",
  OR(TEXT(TRIM(N665),"00000")="89109", TEXT(TRIM(N665),"00000")="89103", TEXT(TRIM(N665),"00000")="89119", TEXT(TRIM(N665),"00000")="89123", TEXT(TRIM(N665),"00000")="89169", TEXT(TRIM(N665),"00000")="89118"), "South/Strip",
  OR(TEXT(TRIM(N665),"00000")="89074", TEXT(TRIM(N665),"00000")="89014", TEXT(TRIM(N665),"00000")="89015", TEXT(TRIM(N665),"00000")="89011", TEXT(TRIM(N665),"00000")="89012"), "Suburban SE",
  OR(TEXT(TRIM(N665),"00000")="89117", TEXT(TRIM(N665),"00000")="89128", TEXT(TRIM(N665),"00000")="89135", TEXT(TRIM(N665),"00000")="89144", TEXT(TRIM(N665),"00000")="89145", TEXT(TRIM(N665),"00000")="89147"), "West Valley",
  TRUE, "Other"
)</f>
        <v>North LV</v>
      </c>
      <c r="P665" t="s">
        <v>38</v>
      </c>
      <c r="Q665" t="str">
        <f t="shared" si="42"/>
        <v>Home/Residence</v>
      </c>
      <c r="R665" t="s">
        <v>4398</v>
      </c>
      <c r="S665" t="s">
        <v>5100</v>
      </c>
      <c r="T665" t="str" cm="1">
        <f t="array" ref="T665">_xlfn.IFS(
  TEXT(TRIM(S665),"00000")="NULL", "Missing/Unknown",
  OR(TEXT(TRIM(S665),"00000")="89101", TEXT(TRIM(S665),"00000")="89104", TEXT(TRIM(S665),"00000")="89106", TEXT(TRIM(S665),"00000")="89102", TEXT(TRIM(S665),"00000")="89107", TEXT(TRIM(S665),"00000")="89108"), "Urban Core",
  OR(TEXT(TRIM(S665),"00000")="89110", TEXT(TRIM(S665),"00000")="89115", TEXT(TRIM(S665),"00000")="89121", TEXT(TRIM(S665),"00000")="89122", TEXT(TRIM(S665),"00000")="89142", TEXT(TRIM(S665),"00000")="89156"), "East Valley",
  OR(TEXT(TRIM(S665),"00000")="89030", TEXT(TRIM(S665),"00000")="89031", TEXT(TRIM(S665),"00000")="89032", TEXT(TRIM(S665),"00000")="89086", TEXT(TRIM(S665),"00000")="89084", TEXT(TRIM(S665),"00000")="89081"), "North LV",
  OR(TEXT(TRIM(S665),"00000")="89109", TEXT(TRIM(S665),"00000")="89103", TEXT(TRIM(S665),"00000")="89119", TEXT(TRIM(S665),"00000")="89123", TEXT(TRIM(S665),"00000")="89169", TEXT(TRIM(S665),"00000")="89118"), "South/Strip",
  OR(TEXT(TRIM(S665),"00000")="89074", TEXT(TRIM(S665),"00000")="89014", TEXT(TRIM(S665),"00000")="89015", TEXT(TRIM(S665),"00000")="89011", TEXT(TRIM(S665),"00000")="89012"), "Suburban SE",
  OR(TEXT(TRIM(S665),"00000")="89117", TEXT(TRIM(S665),"00000")="89128", TEXT(TRIM(S665),"00000")="89135", TEXT(TRIM(S665),"00000")="89144", TEXT(TRIM(S665),"00000")="89145", TEXT(TRIM(S665),"00000")="89147"), "West Valley",
  TRUE, "Other"
)</f>
        <v>North LV</v>
      </c>
      <c r="U665" t="s">
        <v>38</v>
      </c>
      <c r="V665" t="str">
        <f t="shared" si="43"/>
        <v>Home/Residence</v>
      </c>
    </row>
    <row r="666" spans="1:22">
      <c r="A666" t="s">
        <v>424</v>
      </c>
      <c r="B666" t="s">
        <v>425</v>
      </c>
      <c r="C666" s="1">
        <v>45126</v>
      </c>
      <c r="D666" s="4">
        <v>111.02</v>
      </c>
      <c r="E666">
        <v>77</v>
      </c>
      <c r="F666" t="str">
        <f t="shared" si="40"/>
        <v>70's</v>
      </c>
      <c r="G666" t="str" cm="1">
        <f t="array" ref="G666">_xlfn.IFS(
  F666="10's", "Child (5–12)",
  OR(F666="20's", F666="30's"), "Young Adult (20–39)",
  OR(F666="40's", F666="50's"), "Adult (40–59)",
  OR(F666="60's", F666="70's", F666="80's", F666="90's"), "Senior (60+)",
  TRUE, "Unknown"
)</f>
        <v>Senior (60+)</v>
      </c>
      <c r="H666" t="s">
        <v>841</v>
      </c>
      <c r="I666" t="s">
        <v>28</v>
      </c>
      <c r="J666" t="str">
        <f t="shared" si="41"/>
        <v>Cardiovascular Disease</v>
      </c>
      <c r="K666" t="s">
        <v>54</v>
      </c>
      <c r="L666" t="s">
        <v>1071</v>
      </c>
      <c r="M666" t="s">
        <v>4400</v>
      </c>
      <c r="N666" t="s">
        <v>5147</v>
      </c>
      <c r="O666" t="str" cm="1">
        <f t="array" ref="O666">_xlfn.IFS(
  TEXT(TRIM(N666),"00000")="NULL", "Missing/Unknown",
  OR(TEXT(TRIM(N666),"00000")="89101", TEXT(TRIM(N666),"00000")="89104", TEXT(TRIM(N666),"00000")="89106", TEXT(TRIM(N666),"00000")="89102", TEXT(TRIM(N666),"00000")="89107", TEXT(TRIM(N666),"00000")="89108"), "Urban Core",
  OR(TEXT(TRIM(N666),"00000")="89110", TEXT(TRIM(N666),"00000")="89115", TEXT(TRIM(N666),"00000")="89121", TEXT(TRIM(N666),"00000")="89122", TEXT(TRIM(N666),"00000")="89142", TEXT(TRIM(N666),"00000")="89156"), "East Valley",
  OR(TEXT(TRIM(N666),"00000")="89030", TEXT(TRIM(N666),"00000")="89031", TEXT(TRIM(N666),"00000")="89032", TEXT(TRIM(N666),"00000")="89086", TEXT(TRIM(N666),"00000")="89084", TEXT(TRIM(N666),"00000")="89081"), "North LV",
  OR(TEXT(TRIM(N666),"00000")="89109", TEXT(TRIM(N666),"00000")="89103", TEXT(TRIM(N666),"00000")="89119", TEXT(TRIM(N666),"00000")="89123", TEXT(TRIM(N666),"00000")="89169", TEXT(TRIM(N666),"00000")="89118"), "South/Strip",
  OR(TEXT(TRIM(N666),"00000")="89074", TEXT(TRIM(N666),"00000")="89014", TEXT(TRIM(N666),"00000")="89015", TEXT(TRIM(N666),"00000")="89011", TEXT(TRIM(N666),"00000")="89012"), "Suburban SE",
  OR(TEXT(TRIM(N666),"00000")="89117", TEXT(TRIM(N666),"00000")="89128", TEXT(TRIM(N666),"00000")="89135", TEXT(TRIM(N666),"00000")="89144", TEXT(TRIM(N666),"00000")="89145", TEXT(TRIM(N666),"00000")="89147"), "West Valley",
  TRUE, "Other"
)</f>
        <v>Other</v>
      </c>
      <c r="P666" t="s">
        <v>38</v>
      </c>
      <c r="Q666" t="str">
        <f t="shared" si="42"/>
        <v>Home/Residence</v>
      </c>
      <c r="R666" t="s">
        <v>4400</v>
      </c>
      <c r="S666" t="s">
        <v>5147</v>
      </c>
      <c r="T666" t="str" cm="1">
        <f t="array" ref="T666">_xlfn.IFS(
  TEXT(TRIM(S666),"00000")="NULL", "Missing/Unknown",
  OR(TEXT(TRIM(S666),"00000")="89101", TEXT(TRIM(S666),"00000")="89104", TEXT(TRIM(S666),"00000")="89106", TEXT(TRIM(S666),"00000")="89102", TEXT(TRIM(S666),"00000")="89107", TEXT(TRIM(S666),"00000")="89108"), "Urban Core",
  OR(TEXT(TRIM(S666),"00000")="89110", TEXT(TRIM(S666),"00000")="89115", TEXT(TRIM(S666),"00000")="89121", TEXT(TRIM(S666),"00000")="89122", TEXT(TRIM(S666),"00000")="89142", TEXT(TRIM(S666),"00000")="89156"), "East Valley",
  OR(TEXT(TRIM(S666),"00000")="89030", TEXT(TRIM(S666),"00000")="89031", TEXT(TRIM(S666),"00000")="89032", TEXT(TRIM(S666),"00000")="89086", TEXT(TRIM(S666),"00000")="89084", TEXT(TRIM(S666),"00000")="89081"), "North LV",
  OR(TEXT(TRIM(S666),"00000")="89109", TEXT(TRIM(S666),"00000")="89103", TEXT(TRIM(S666),"00000")="89119", TEXT(TRIM(S666),"00000")="89123", TEXT(TRIM(S666),"00000")="89169", TEXT(TRIM(S666),"00000")="89118"), "South/Strip",
  OR(TEXT(TRIM(S666),"00000")="89074", TEXT(TRIM(S666),"00000")="89014", TEXT(TRIM(S666),"00000")="89015", TEXT(TRIM(S666),"00000")="89011", TEXT(TRIM(S666),"00000")="89012"), "Suburban SE",
  OR(TEXT(TRIM(S666),"00000")="89117", TEXT(TRIM(S666),"00000")="89128", TEXT(TRIM(S666),"00000")="89135", TEXT(TRIM(S666),"00000")="89144", TEXT(TRIM(S666),"00000")="89145", TEXT(TRIM(S666),"00000")="89147"), "West Valley",
  TRUE, "Other"
)</f>
        <v>Other</v>
      </c>
      <c r="U666" t="s">
        <v>38</v>
      </c>
      <c r="V666" t="str">
        <f t="shared" si="43"/>
        <v>Home/Residence</v>
      </c>
    </row>
    <row r="667" spans="1:22">
      <c r="A667" t="s">
        <v>411</v>
      </c>
      <c r="B667" t="s">
        <v>412</v>
      </c>
      <c r="C667" s="1">
        <v>45126</v>
      </c>
      <c r="D667" s="4">
        <v>111.02</v>
      </c>
      <c r="E667">
        <v>46</v>
      </c>
      <c r="F667" t="str">
        <f t="shared" si="40"/>
        <v>40's</v>
      </c>
      <c r="G667" t="str" cm="1">
        <f t="array" ref="G667">_xlfn.IFS(
  F667="10's", "Child (5–12)",
  OR(F667="20's", F667="30's"), "Young Adult (20–39)",
  OR(F667="40's", F667="50's"), "Adult (40–59)",
  OR(F667="60's", F667="70's", F667="80's", F667="90's"), "Senior (60+)",
  TRUE, "Unknown"
)</f>
        <v>Adult (40–59)</v>
      </c>
      <c r="H667" t="s">
        <v>27</v>
      </c>
      <c r="I667" t="s">
        <v>97</v>
      </c>
      <c r="J667" t="str">
        <f t="shared" si="41"/>
        <v>Environmental Heat</v>
      </c>
      <c r="K667" t="s">
        <v>98</v>
      </c>
      <c r="L667" t="s">
        <v>250</v>
      </c>
      <c r="M667" t="s">
        <v>4540</v>
      </c>
      <c r="N667" t="s">
        <v>5122</v>
      </c>
      <c r="O667" t="str" cm="1">
        <f t="array" ref="O667">_xlfn.IFS(
  TEXT(TRIM(N667),"00000")="NULL", "Missing/Unknown",
  OR(TEXT(TRIM(N667),"00000")="89101", TEXT(TRIM(N667),"00000")="89104", TEXT(TRIM(N667),"00000")="89106", TEXT(TRIM(N667),"00000")="89102", TEXT(TRIM(N667),"00000")="89107", TEXT(TRIM(N667),"00000")="89108"), "Urban Core",
  OR(TEXT(TRIM(N667),"00000")="89110", TEXT(TRIM(N667),"00000")="89115", TEXT(TRIM(N667),"00000")="89121", TEXT(TRIM(N667),"00000")="89122", TEXT(TRIM(N667),"00000")="89142", TEXT(TRIM(N667),"00000")="89156"), "East Valley",
  OR(TEXT(TRIM(N667),"00000")="89030", TEXT(TRIM(N667),"00000")="89031", TEXT(TRIM(N667),"00000")="89032", TEXT(TRIM(N667),"00000")="89086", TEXT(TRIM(N667),"00000")="89084", TEXT(TRIM(N667),"00000")="89081"), "North LV",
  OR(TEXT(TRIM(N667),"00000")="89109", TEXT(TRIM(N667),"00000")="89103", TEXT(TRIM(N667),"00000")="89119", TEXT(TRIM(N667),"00000")="89123", TEXT(TRIM(N667),"00000")="89169", TEXT(TRIM(N667),"00000")="89118"), "South/Strip",
  OR(TEXT(TRIM(N667),"00000")="89074", TEXT(TRIM(N667),"00000")="89014", TEXT(TRIM(N667),"00000")="89015", TEXT(TRIM(N667),"00000")="89011", TEXT(TRIM(N667),"00000")="89012"), "Suburban SE",
  OR(TEXT(TRIM(N667),"00000")="89117", TEXT(TRIM(N667),"00000")="89128", TEXT(TRIM(N667),"00000")="89135", TEXT(TRIM(N667),"00000")="89144", TEXT(TRIM(N667),"00000")="89145", TEXT(TRIM(N667),"00000")="89147"), "West Valley",
  TRUE, "Other"
)</f>
        <v>East Valley</v>
      </c>
      <c r="P667" t="s">
        <v>3298</v>
      </c>
      <c r="Q667" t="str">
        <f t="shared" si="42"/>
        <v>Outdoors/Public</v>
      </c>
      <c r="R667" t="s">
        <v>4341</v>
      </c>
      <c r="S667" t="s">
        <v>5100</v>
      </c>
      <c r="T667" t="str" cm="1">
        <f t="array" ref="T667">_xlfn.IFS(
  TEXT(TRIM(S667),"00000")="NULL", "Missing/Unknown",
  OR(TEXT(TRIM(S667),"00000")="89101", TEXT(TRIM(S667),"00000")="89104", TEXT(TRIM(S667),"00000")="89106", TEXT(TRIM(S667),"00000")="89102", TEXT(TRIM(S667),"00000")="89107", TEXT(TRIM(S667),"00000")="89108"), "Urban Core",
  OR(TEXT(TRIM(S667),"00000")="89110", TEXT(TRIM(S667),"00000")="89115", TEXT(TRIM(S667),"00000")="89121", TEXT(TRIM(S667),"00000")="89122", TEXT(TRIM(S667),"00000")="89142", TEXT(TRIM(S667),"00000")="89156"), "East Valley",
  OR(TEXT(TRIM(S667),"00000")="89030", TEXT(TRIM(S667),"00000")="89031", TEXT(TRIM(S667),"00000")="89032", TEXT(TRIM(S667),"00000")="89086", TEXT(TRIM(S667),"00000")="89084", TEXT(TRIM(S667),"00000")="89081"), "North LV",
  OR(TEXT(TRIM(S667),"00000")="89109", TEXT(TRIM(S667),"00000")="89103", TEXT(TRIM(S667),"00000")="89119", TEXT(TRIM(S667),"00000")="89123", TEXT(TRIM(S667),"00000")="89169", TEXT(TRIM(S667),"00000")="89118"), "South/Strip",
  OR(TEXT(TRIM(S667),"00000")="89074", TEXT(TRIM(S667),"00000")="89014", TEXT(TRIM(S667),"00000")="89015", TEXT(TRIM(S667),"00000")="89011", TEXT(TRIM(S667),"00000")="89012"), "Suburban SE",
  OR(TEXT(TRIM(S667),"00000")="89117", TEXT(TRIM(S667),"00000")="89128", TEXT(TRIM(S667),"00000")="89135", TEXT(TRIM(S667),"00000")="89144", TEXT(TRIM(S667),"00000")="89145", TEXT(TRIM(S667),"00000")="89147"), "West Valley",
  TRUE, "Other"
)</f>
        <v>North LV</v>
      </c>
      <c r="U667" t="s">
        <v>4301</v>
      </c>
      <c r="V667" t="str">
        <f t="shared" si="43"/>
        <v>Medical Facility</v>
      </c>
    </row>
    <row r="668" spans="1:22">
      <c r="A668" t="s">
        <v>421</v>
      </c>
      <c r="B668" t="s">
        <v>422</v>
      </c>
      <c r="C668" s="1">
        <v>45126</v>
      </c>
      <c r="D668" s="4">
        <v>111.02</v>
      </c>
      <c r="E668">
        <v>36</v>
      </c>
      <c r="F668" t="str">
        <f t="shared" si="40"/>
        <v>30's</v>
      </c>
      <c r="G668" t="str" cm="1">
        <f t="array" ref="G668">_xlfn.IFS(
  F668="10's", "Child (5–12)",
  OR(F668="20's", F668="30's"), "Young Adult (20–39)",
  OR(F668="40's", F668="50's"), "Adult (40–59)",
  OR(F668="60's", F668="70's", F668="80's", F668="90's"), "Senior (60+)",
  TRUE, "Unknown"
)</f>
        <v>Young Adult (20–39)</v>
      </c>
      <c r="H668" t="s">
        <v>841</v>
      </c>
      <c r="I668" t="s">
        <v>54</v>
      </c>
      <c r="J668" t="str">
        <f t="shared" si="41"/>
        <v>Environmental Heat</v>
      </c>
      <c r="K668" t="s">
        <v>199</v>
      </c>
      <c r="L668" t="s">
        <v>250</v>
      </c>
      <c r="M668" t="s">
        <v>4765</v>
      </c>
      <c r="N668" t="s">
        <v>5101</v>
      </c>
      <c r="O668" t="str" cm="1">
        <f t="array" ref="O668">_xlfn.IFS(
  TEXT(TRIM(N668),"00000")="NULL", "Missing/Unknown",
  OR(TEXT(TRIM(N668),"00000")="89101", TEXT(TRIM(N668),"00000")="89104", TEXT(TRIM(N668),"00000")="89106", TEXT(TRIM(N668),"00000")="89102", TEXT(TRIM(N668),"00000")="89107", TEXT(TRIM(N668),"00000")="89108"), "Urban Core",
  OR(TEXT(TRIM(N668),"00000")="89110", TEXT(TRIM(N668),"00000")="89115", TEXT(TRIM(N668),"00000")="89121", TEXT(TRIM(N668),"00000")="89122", TEXT(TRIM(N668),"00000")="89142", TEXT(TRIM(N668),"00000")="89156"), "East Valley",
  OR(TEXT(TRIM(N668),"00000")="89030", TEXT(TRIM(N668),"00000")="89031", TEXT(TRIM(N668),"00000")="89032", TEXT(TRIM(N668),"00000")="89086", TEXT(TRIM(N668),"00000")="89084", TEXT(TRIM(N668),"00000")="89081"), "North LV",
  OR(TEXT(TRIM(N668),"00000")="89109", TEXT(TRIM(N668),"00000")="89103", TEXT(TRIM(N668),"00000")="89119", TEXT(TRIM(N668),"00000")="89123", TEXT(TRIM(N668),"00000")="89169", TEXT(TRIM(N668),"00000")="89118"), "South/Strip",
  OR(TEXT(TRIM(N668),"00000")="89074", TEXT(TRIM(N668),"00000")="89014", TEXT(TRIM(N668),"00000")="89015", TEXT(TRIM(N668),"00000")="89011", TEXT(TRIM(N668),"00000")="89012"), "Suburban SE",
  OR(TEXT(TRIM(N668),"00000")="89117", TEXT(TRIM(N668),"00000")="89128", TEXT(TRIM(N668),"00000")="89135", TEXT(TRIM(N668),"00000")="89144", TEXT(TRIM(N668),"00000")="89145", TEXT(TRIM(N668),"00000")="89147"), "West Valley",
  TRUE, "Other"
)</f>
        <v>Urban Core</v>
      </c>
      <c r="P668" t="s">
        <v>3298</v>
      </c>
      <c r="Q668" t="str">
        <f t="shared" si="42"/>
        <v>Outdoors/Public</v>
      </c>
      <c r="R668" t="s">
        <v>4765</v>
      </c>
      <c r="S668" t="s">
        <v>5101</v>
      </c>
      <c r="T668" t="str" cm="1">
        <f t="array" ref="T668">_xlfn.IFS(
  TEXT(TRIM(S668),"00000")="NULL", "Missing/Unknown",
  OR(TEXT(TRIM(S668),"00000")="89101", TEXT(TRIM(S668),"00000")="89104", TEXT(TRIM(S668),"00000")="89106", TEXT(TRIM(S668),"00000")="89102", TEXT(TRIM(S668),"00000")="89107", TEXT(TRIM(S668),"00000")="89108"), "Urban Core",
  OR(TEXT(TRIM(S668),"00000")="89110", TEXT(TRIM(S668),"00000")="89115", TEXT(TRIM(S668),"00000")="89121", TEXT(TRIM(S668),"00000")="89122", TEXT(TRIM(S668),"00000")="89142", TEXT(TRIM(S668),"00000")="89156"), "East Valley",
  OR(TEXT(TRIM(S668),"00000")="89030", TEXT(TRIM(S668),"00000")="89031", TEXT(TRIM(S668),"00000")="89032", TEXT(TRIM(S668),"00000")="89086", TEXT(TRIM(S668),"00000")="89084", TEXT(TRIM(S668),"00000")="89081"), "North LV",
  OR(TEXT(TRIM(S668),"00000")="89109", TEXT(TRIM(S668),"00000")="89103", TEXT(TRIM(S668),"00000")="89119", TEXT(TRIM(S668),"00000")="89123", TEXT(TRIM(S668),"00000")="89169", TEXT(TRIM(S668),"00000")="89118"), "South/Strip",
  OR(TEXT(TRIM(S668),"00000")="89074", TEXT(TRIM(S668),"00000")="89014", TEXT(TRIM(S668),"00000")="89015", TEXT(TRIM(S668),"00000")="89011", TEXT(TRIM(S668),"00000")="89012"), "Suburban SE",
  OR(TEXT(TRIM(S668),"00000")="89117", TEXT(TRIM(S668),"00000")="89128", TEXT(TRIM(S668),"00000")="89135", TEXT(TRIM(S668),"00000")="89144", TEXT(TRIM(S668),"00000")="89145", TEXT(TRIM(S668),"00000")="89147"), "West Valley",
  TRUE, "Other"
)</f>
        <v>Urban Core</v>
      </c>
      <c r="U668" t="s">
        <v>3298</v>
      </c>
      <c r="V668" t="str">
        <f t="shared" si="43"/>
        <v>Outdoors/Public</v>
      </c>
    </row>
    <row r="669" spans="1:22">
      <c r="A669" t="s">
        <v>439</v>
      </c>
      <c r="B669" t="s">
        <v>440</v>
      </c>
      <c r="C669" s="1">
        <v>45126</v>
      </c>
      <c r="D669" s="4">
        <v>111.02</v>
      </c>
      <c r="E669">
        <v>30</v>
      </c>
      <c r="F669" t="str">
        <f t="shared" si="40"/>
        <v>30's</v>
      </c>
      <c r="G669" t="str" cm="1">
        <f t="array" ref="G669">_xlfn.IFS(
  F669="10's", "Child (5–12)",
  OR(F669="20's", F669="30's"), "Young Adult (20–39)",
  OR(F669="40's", F669="50's"), "Adult (40–59)",
  OR(F669="60's", F669="70's", F669="80's", F669="90's"), "Senior (60+)",
  TRUE, "Unknown"
)</f>
        <v>Young Adult (20–39)</v>
      </c>
      <c r="H669" t="s">
        <v>841</v>
      </c>
      <c r="I669" t="s">
        <v>4036</v>
      </c>
      <c r="J669" t="str">
        <f t="shared" si="41"/>
        <v>Methamphetamine-related</v>
      </c>
      <c r="K669" t="s">
        <v>54</v>
      </c>
      <c r="L669" t="s">
        <v>250</v>
      </c>
      <c r="M669" t="s">
        <v>4555</v>
      </c>
      <c r="N669" t="s">
        <v>5098</v>
      </c>
      <c r="O669" t="str" cm="1">
        <f t="array" ref="O669">_xlfn.IFS(
  TEXT(TRIM(N669),"00000")="NULL", "Missing/Unknown",
  OR(TEXT(TRIM(N669),"00000")="89101", TEXT(TRIM(N669),"00000")="89104", TEXT(TRIM(N669),"00000")="89106", TEXT(TRIM(N669),"00000")="89102", TEXT(TRIM(N669),"00000")="89107", TEXT(TRIM(N669),"00000")="89108"), "Urban Core",
  OR(TEXT(TRIM(N669),"00000")="89110", TEXT(TRIM(N669),"00000")="89115", TEXT(TRIM(N669),"00000")="89121", TEXT(TRIM(N669),"00000")="89122", TEXT(TRIM(N669),"00000")="89142", TEXT(TRIM(N669),"00000")="89156"), "East Valley",
  OR(TEXT(TRIM(N669),"00000")="89030", TEXT(TRIM(N669),"00000")="89031", TEXT(TRIM(N669),"00000")="89032", TEXT(TRIM(N669),"00000")="89086", TEXT(TRIM(N669),"00000")="89084", TEXT(TRIM(N669),"00000")="89081"), "North LV",
  OR(TEXT(TRIM(N669),"00000")="89109", TEXT(TRIM(N669),"00000")="89103", TEXT(TRIM(N669),"00000")="89119", TEXT(TRIM(N669),"00000")="89123", TEXT(TRIM(N669),"00000")="89169", TEXT(TRIM(N669),"00000")="89118"), "South/Strip",
  OR(TEXT(TRIM(N669),"00000")="89074", TEXT(TRIM(N669),"00000")="89014", TEXT(TRIM(N669),"00000")="89015", TEXT(TRIM(N669),"00000")="89011", TEXT(TRIM(N669),"00000")="89012"), "Suburban SE",
  OR(TEXT(TRIM(N669),"00000")="89117", TEXT(TRIM(N669),"00000")="89128", TEXT(TRIM(N669),"00000")="89135", TEXT(TRIM(N669),"00000")="89144", TEXT(TRIM(N669),"00000")="89145", TEXT(TRIM(N669),"00000")="89147"), "West Valley",
  TRUE, "Other"
)</f>
        <v>Urban Core</v>
      </c>
      <c r="P669" t="s">
        <v>3298</v>
      </c>
      <c r="Q669" t="str">
        <f t="shared" si="42"/>
        <v>Outdoors/Public</v>
      </c>
      <c r="R669" t="s">
        <v>4555</v>
      </c>
      <c r="S669" t="s">
        <v>5098</v>
      </c>
      <c r="T669" t="str" cm="1">
        <f t="array" ref="T669">_xlfn.IFS(
  TEXT(TRIM(S669),"00000")="NULL", "Missing/Unknown",
  OR(TEXT(TRIM(S669),"00000")="89101", TEXT(TRIM(S669),"00000")="89104", TEXT(TRIM(S669),"00000")="89106", TEXT(TRIM(S669),"00000")="89102", TEXT(TRIM(S669),"00000")="89107", TEXT(TRIM(S669),"00000")="89108"), "Urban Core",
  OR(TEXT(TRIM(S669),"00000")="89110", TEXT(TRIM(S669),"00000")="89115", TEXT(TRIM(S669),"00000")="89121", TEXT(TRIM(S669),"00000")="89122", TEXT(TRIM(S669),"00000")="89142", TEXT(TRIM(S669),"00000")="89156"), "East Valley",
  OR(TEXT(TRIM(S669),"00000")="89030", TEXT(TRIM(S669),"00000")="89031", TEXT(TRIM(S669),"00000")="89032", TEXT(TRIM(S669),"00000")="89086", TEXT(TRIM(S669),"00000")="89084", TEXT(TRIM(S669),"00000")="89081"), "North LV",
  OR(TEXT(TRIM(S669),"00000")="89109", TEXT(TRIM(S669),"00000")="89103", TEXT(TRIM(S669),"00000")="89119", TEXT(TRIM(S669),"00000")="89123", TEXT(TRIM(S669),"00000")="89169", TEXT(TRIM(S669),"00000")="89118"), "South/Strip",
  OR(TEXT(TRIM(S669),"00000")="89074", TEXT(TRIM(S669),"00000")="89014", TEXT(TRIM(S669),"00000")="89015", TEXT(TRIM(S669),"00000")="89011", TEXT(TRIM(S669),"00000")="89012"), "Suburban SE",
  OR(TEXT(TRIM(S669),"00000")="89117", TEXT(TRIM(S669),"00000")="89128", TEXT(TRIM(S669),"00000")="89135", TEXT(TRIM(S669),"00000")="89144", TEXT(TRIM(S669),"00000")="89145", TEXT(TRIM(S669),"00000")="89147"), "West Valley",
  TRUE, "Other"
)</f>
        <v>Urban Core</v>
      </c>
      <c r="U669" t="s">
        <v>3298</v>
      </c>
      <c r="V669" t="str">
        <f t="shared" si="43"/>
        <v>Outdoors/Public</v>
      </c>
    </row>
    <row r="670" spans="1:22">
      <c r="A670" t="s">
        <v>406</v>
      </c>
      <c r="B670" t="s">
        <v>407</v>
      </c>
      <c r="C670" s="1">
        <v>45126</v>
      </c>
      <c r="D670" s="4">
        <v>111.02</v>
      </c>
      <c r="E670">
        <v>55</v>
      </c>
      <c r="F670" t="str">
        <f t="shared" si="40"/>
        <v>50's</v>
      </c>
      <c r="G670" t="str" cm="1">
        <f t="array" ref="G670">_xlfn.IFS(
  F670="10's", "Child (5–12)",
  OR(F670="20's", F670="30's"), "Young Adult (20–39)",
  OR(F670="40's", F670="50's"), "Adult (40–59)",
  OR(F670="60's", F670="70's", F670="80's", F670="90's"), "Senior (60+)",
  TRUE, "Unknown"
)</f>
        <v>Adult (40–59)</v>
      </c>
      <c r="H670" t="s">
        <v>27</v>
      </c>
      <c r="I670" t="s">
        <v>4090</v>
      </c>
      <c r="J670" t="str">
        <f t="shared" si="41"/>
        <v>Methamphetamine-related</v>
      </c>
      <c r="K670" t="s">
        <v>409</v>
      </c>
      <c r="L670" t="s">
        <v>250</v>
      </c>
      <c r="M670" t="s">
        <v>4618</v>
      </c>
      <c r="N670" t="s">
        <v>5101</v>
      </c>
      <c r="O670" t="str" cm="1">
        <f t="array" ref="O670">_xlfn.IFS(
  TEXT(TRIM(N670),"00000")="NULL", "Missing/Unknown",
  OR(TEXT(TRIM(N670),"00000")="89101", TEXT(TRIM(N670),"00000")="89104", TEXT(TRIM(N670),"00000")="89106", TEXT(TRIM(N670),"00000")="89102", TEXT(TRIM(N670),"00000")="89107", TEXT(TRIM(N670),"00000")="89108"), "Urban Core",
  OR(TEXT(TRIM(N670),"00000")="89110", TEXT(TRIM(N670),"00000")="89115", TEXT(TRIM(N670),"00000")="89121", TEXT(TRIM(N670),"00000")="89122", TEXT(TRIM(N670),"00000")="89142", TEXT(TRIM(N670),"00000")="89156"), "East Valley",
  OR(TEXT(TRIM(N670),"00000")="89030", TEXT(TRIM(N670),"00000")="89031", TEXT(TRIM(N670),"00000")="89032", TEXT(TRIM(N670),"00000")="89086", TEXT(TRIM(N670),"00000")="89084", TEXT(TRIM(N670),"00000")="89081"), "North LV",
  OR(TEXT(TRIM(N670),"00000")="89109", TEXT(TRIM(N670),"00000")="89103", TEXT(TRIM(N670),"00000")="89119", TEXT(TRIM(N670),"00000")="89123", TEXT(TRIM(N670),"00000")="89169", TEXT(TRIM(N670),"00000")="89118"), "South/Strip",
  OR(TEXT(TRIM(N670),"00000")="89074", TEXT(TRIM(N670),"00000")="89014", TEXT(TRIM(N670),"00000")="89015", TEXT(TRIM(N670),"00000")="89011", TEXT(TRIM(N670),"00000")="89012"), "Suburban SE",
  OR(TEXT(TRIM(N670),"00000")="89117", TEXT(TRIM(N670),"00000")="89128", TEXT(TRIM(N670),"00000")="89135", TEXT(TRIM(N670),"00000")="89144", TEXT(TRIM(N670),"00000")="89145", TEXT(TRIM(N670),"00000")="89147"), "West Valley",
  TRUE, "Other"
)</f>
        <v>Urban Core</v>
      </c>
      <c r="P670" t="s">
        <v>271</v>
      </c>
      <c r="Q670" t="str">
        <f t="shared" si="42"/>
        <v>Home/Residence</v>
      </c>
      <c r="R670" t="s">
        <v>4618</v>
      </c>
      <c r="S670" t="s">
        <v>5101</v>
      </c>
      <c r="T670" t="str" cm="1">
        <f t="array" ref="T670">_xlfn.IFS(
  TEXT(TRIM(S670),"00000")="NULL", "Missing/Unknown",
  OR(TEXT(TRIM(S670),"00000")="89101", TEXT(TRIM(S670),"00000")="89104", TEXT(TRIM(S670),"00000")="89106", TEXT(TRIM(S670),"00000")="89102", TEXT(TRIM(S670),"00000")="89107", TEXT(TRIM(S670),"00000")="89108"), "Urban Core",
  OR(TEXT(TRIM(S670),"00000")="89110", TEXT(TRIM(S670),"00000")="89115", TEXT(TRIM(S670),"00000")="89121", TEXT(TRIM(S670),"00000")="89122", TEXT(TRIM(S670),"00000")="89142", TEXT(TRIM(S670),"00000")="89156"), "East Valley",
  OR(TEXT(TRIM(S670),"00000")="89030", TEXT(TRIM(S670),"00000")="89031", TEXT(TRIM(S670),"00000")="89032", TEXT(TRIM(S670),"00000")="89086", TEXT(TRIM(S670),"00000")="89084", TEXT(TRIM(S670),"00000")="89081"), "North LV",
  OR(TEXT(TRIM(S670),"00000")="89109", TEXT(TRIM(S670),"00000")="89103", TEXT(TRIM(S670),"00000")="89119", TEXT(TRIM(S670),"00000")="89123", TEXT(TRIM(S670),"00000")="89169", TEXT(TRIM(S670),"00000")="89118"), "South/Strip",
  OR(TEXT(TRIM(S670),"00000")="89074", TEXT(TRIM(S670),"00000")="89014", TEXT(TRIM(S670),"00000")="89015", TEXT(TRIM(S670),"00000")="89011", TEXT(TRIM(S670),"00000")="89012"), "Suburban SE",
  OR(TEXT(TRIM(S670),"00000")="89117", TEXT(TRIM(S670),"00000")="89128", TEXT(TRIM(S670),"00000")="89135", TEXT(TRIM(S670),"00000")="89144", TEXT(TRIM(S670),"00000")="89145", TEXT(TRIM(S670),"00000")="89147"), "West Valley",
  TRUE, "Other"
)</f>
        <v>Urban Core</v>
      </c>
      <c r="U670" t="s">
        <v>271</v>
      </c>
      <c r="V670" t="str">
        <f t="shared" si="43"/>
        <v>Home/Residence</v>
      </c>
    </row>
    <row r="671" spans="1:22">
      <c r="A671" t="s">
        <v>432</v>
      </c>
      <c r="B671" t="s">
        <v>433</v>
      </c>
      <c r="C671" s="1">
        <v>45126</v>
      </c>
      <c r="D671" s="4">
        <v>111.02</v>
      </c>
      <c r="E671">
        <v>47</v>
      </c>
      <c r="F671" t="str">
        <f t="shared" si="40"/>
        <v>40's</v>
      </c>
      <c r="G671" t="str" cm="1">
        <f t="array" ref="G671">_xlfn.IFS(
  F671="10's", "Child (5–12)",
  OR(F671="20's", F671="30's"), "Young Adult (20–39)",
  OR(F671="40's", F671="50's"), "Adult (40–59)",
  OR(F671="60's", F671="70's", F671="80's", F671="90's"), "Senior (60+)",
  TRUE, "Unknown"
)</f>
        <v>Adult (40–59)</v>
      </c>
      <c r="H671" t="s">
        <v>778</v>
      </c>
      <c r="I671" t="s">
        <v>163</v>
      </c>
      <c r="J671" t="str">
        <f t="shared" si="41"/>
        <v>Environmental Heat</v>
      </c>
      <c r="K671" t="s">
        <v>434</v>
      </c>
      <c r="L671" t="s">
        <v>250</v>
      </c>
      <c r="M671" t="s">
        <v>4500</v>
      </c>
      <c r="N671" t="s">
        <v>5116</v>
      </c>
      <c r="O671" t="str" cm="1">
        <f t="array" ref="O671">_xlfn.IFS(
  TEXT(TRIM(N671),"00000")="NULL", "Missing/Unknown",
  OR(TEXT(TRIM(N671),"00000")="89101", TEXT(TRIM(N671),"00000")="89104", TEXT(TRIM(N671),"00000")="89106", TEXT(TRIM(N671),"00000")="89102", TEXT(TRIM(N671),"00000")="89107", TEXT(TRIM(N671),"00000")="89108"), "Urban Core",
  OR(TEXT(TRIM(N671),"00000")="89110", TEXT(TRIM(N671),"00000")="89115", TEXT(TRIM(N671),"00000")="89121", TEXT(TRIM(N671),"00000")="89122", TEXT(TRIM(N671),"00000")="89142", TEXT(TRIM(N671),"00000")="89156"), "East Valley",
  OR(TEXT(TRIM(N671),"00000")="89030", TEXT(TRIM(N671),"00000")="89031", TEXT(TRIM(N671),"00000")="89032", TEXT(TRIM(N671),"00000")="89086", TEXT(TRIM(N671),"00000")="89084", TEXT(TRIM(N671),"00000")="89081"), "North LV",
  OR(TEXT(TRIM(N671),"00000")="89109", TEXT(TRIM(N671),"00000")="89103", TEXT(TRIM(N671),"00000")="89119", TEXT(TRIM(N671),"00000")="89123", TEXT(TRIM(N671),"00000")="89169", TEXT(TRIM(N671),"00000")="89118"), "South/Strip",
  OR(TEXT(TRIM(N671),"00000")="89074", TEXT(TRIM(N671),"00000")="89014", TEXT(TRIM(N671),"00000")="89015", TEXT(TRIM(N671),"00000")="89011", TEXT(TRIM(N671),"00000")="89012"), "Suburban SE",
  OR(TEXT(TRIM(N671),"00000")="89117", TEXT(TRIM(N671),"00000")="89128", TEXT(TRIM(N671),"00000")="89135", TEXT(TRIM(N671),"00000")="89144", TEXT(TRIM(N671),"00000")="89145", TEXT(TRIM(N671),"00000")="89147"), "West Valley",
  TRUE, "Other"
)</f>
        <v>West Valley</v>
      </c>
      <c r="P671" t="s">
        <v>3298</v>
      </c>
      <c r="Q671" t="str">
        <f t="shared" si="42"/>
        <v>Outdoors/Public</v>
      </c>
      <c r="R671" t="s">
        <v>4500</v>
      </c>
      <c r="S671" t="s">
        <v>5116</v>
      </c>
      <c r="T671" t="str" cm="1">
        <f t="array" ref="T671">_xlfn.IFS(
  TEXT(TRIM(S671),"00000")="NULL", "Missing/Unknown",
  OR(TEXT(TRIM(S671),"00000")="89101", TEXT(TRIM(S671),"00000")="89104", TEXT(TRIM(S671),"00000")="89106", TEXT(TRIM(S671),"00000")="89102", TEXT(TRIM(S671),"00000")="89107", TEXT(TRIM(S671),"00000")="89108"), "Urban Core",
  OR(TEXT(TRIM(S671),"00000")="89110", TEXT(TRIM(S671),"00000")="89115", TEXT(TRIM(S671),"00000")="89121", TEXT(TRIM(S671),"00000")="89122", TEXT(TRIM(S671),"00000")="89142", TEXT(TRIM(S671),"00000")="89156"), "East Valley",
  OR(TEXT(TRIM(S671),"00000")="89030", TEXT(TRIM(S671),"00000")="89031", TEXT(TRIM(S671),"00000")="89032", TEXT(TRIM(S671),"00000")="89086", TEXT(TRIM(S671),"00000")="89084", TEXT(TRIM(S671),"00000")="89081"), "North LV",
  OR(TEXT(TRIM(S671),"00000")="89109", TEXT(TRIM(S671),"00000")="89103", TEXT(TRIM(S671),"00000")="89119", TEXT(TRIM(S671),"00000")="89123", TEXT(TRIM(S671),"00000")="89169", TEXT(TRIM(S671),"00000")="89118"), "South/Strip",
  OR(TEXT(TRIM(S671),"00000")="89074", TEXT(TRIM(S671),"00000")="89014", TEXT(TRIM(S671),"00000")="89015", TEXT(TRIM(S671),"00000")="89011", TEXT(TRIM(S671),"00000")="89012"), "Suburban SE",
  OR(TEXT(TRIM(S671),"00000")="89117", TEXT(TRIM(S671),"00000")="89128", TEXT(TRIM(S671),"00000")="89135", TEXT(TRIM(S671),"00000")="89144", TEXT(TRIM(S671),"00000")="89145", TEXT(TRIM(S671),"00000")="89147"), "West Valley",
  TRUE, "Other"
)</f>
        <v>West Valley</v>
      </c>
      <c r="U671" t="s">
        <v>4301</v>
      </c>
      <c r="V671" t="str">
        <f t="shared" si="43"/>
        <v>Medical Facility</v>
      </c>
    </row>
    <row r="672" spans="1:22">
      <c r="A672" t="s">
        <v>403</v>
      </c>
      <c r="B672" t="s">
        <v>404</v>
      </c>
      <c r="C672" s="1">
        <v>45126</v>
      </c>
      <c r="D672" s="4">
        <v>111.02</v>
      </c>
      <c r="E672">
        <v>74</v>
      </c>
      <c r="F672" t="str">
        <f t="shared" si="40"/>
        <v>70's</v>
      </c>
      <c r="G672" t="str" cm="1">
        <f t="array" ref="G672">_xlfn.IFS(
  F672="10's", "Child (5–12)",
  OR(F672="20's", F672="30's"), "Young Adult (20–39)",
  OR(F672="40's", F672="50's"), "Adult (40–59)",
  OR(F672="60's", F672="70's", F672="80's", F672="90's"), "Senior (60+)",
  TRUE, "Unknown"
)</f>
        <v>Senior (60+)</v>
      </c>
      <c r="H672" t="s">
        <v>841</v>
      </c>
      <c r="I672" t="s">
        <v>63</v>
      </c>
      <c r="J672" t="str">
        <f t="shared" si="41"/>
        <v>Cardiovascular Disease</v>
      </c>
      <c r="K672" t="s">
        <v>54</v>
      </c>
      <c r="L672" t="s">
        <v>250</v>
      </c>
      <c r="M672" t="s">
        <v>4624</v>
      </c>
      <c r="N672" t="s">
        <v>5107</v>
      </c>
      <c r="O672" t="str" cm="1">
        <f t="array" ref="O672">_xlfn.IFS(
  TEXT(TRIM(N672),"00000")="NULL", "Missing/Unknown",
  OR(TEXT(TRIM(N672),"00000")="89101", TEXT(TRIM(N672),"00000")="89104", TEXT(TRIM(N672),"00000")="89106", TEXT(TRIM(N672),"00000")="89102", TEXT(TRIM(N672),"00000")="89107", TEXT(TRIM(N672),"00000")="89108"), "Urban Core",
  OR(TEXT(TRIM(N672),"00000")="89110", TEXT(TRIM(N672),"00000")="89115", TEXT(TRIM(N672),"00000")="89121", TEXT(TRIM(N672),"00000")="89122", TEXT(TRIM(N672),"00000")="89142", TEXT(TRIM(N672),"00000")="89156"), "East Valley",
  OR(TEXT(TRIM(N672),"00000")="89030", TEXT(TRIM(N672),"00000")="89031", TEXT(TRIM(N672),"00000")="89032", TEXT(TRIM(N672),"00000")="89086", TEXT(TRIM(N672),"00000")="89084", TEXT(TRIM(N672),"00000")="89081"), "North LV",
  OR(TEXT(TRIM(N672),"00000")="89109", TEXT(TRIM(N672),"00000")="89103", TEXT(TRIM(N672),"00000")="89119", TEXT(TRIM(N672),"00000")="89123", TEXT(TRIM(N672),"00000")="89169", TEXT(TRIM(N672),"00000")="89118"), "South/Strip",
  OR(TEXT(TRIM(N672),"00000")="89074", TEXT(TRIM(N672),"00000")="89014", TEXT(TRIM(N672),"00000")="89015", TEXT(TRIM(N672),"00000")="89011", TEXT(TRIM(N672),"00000")="89012"), "Suburban SE",
  OR(TEXT(TRIM(N672),"00000")="89117", TEXT(TRIM(N672),"00000")="89128", TEXT(TRIM(N672),"00000")="89135", TEXT(TRIM(N672),"00000")="89144", TEXT(TRIM(N672),"00000")="89145", TEXT(TRIM(N672),"00000")="89147"), "West Valley",
  TRUE, "Other"
)</f>
        <v>South/Strip</v>
      </c>
      <c r="P672" t="s">
        <v>38</v>
      </c>
      <c r="Q672" t="str">
        <f t="shared" si="42"/>
        <v>Home/Residence</v>
      </c>
      <c r="R672" t="s">
        <v>4624</v>
      </c>
      <c r="S672" t="s">
        <v>5107</v>
      </c>
      <c r="T672" t="str" cm="1">
        <f t="array" ref="T672">_xlfn.IFS(
  TEXT(TRIM(S672),"00000")="NULL", "Missing/Unknown",
  OR(TEXT(TRIM(S672),"00000")="89101", TEXT(TRIM(S672),"00000")="89104", TEXT(TRIM(S672),"00000")="89106", TEXT(TRIM(S672),"00000")="89102", TEXT(TRIM(S672),"00000")="89107", TEXT(TRIM(S672),"00000")="89108"), "Urban Core",
  OR(TEXT(TRIM(S672),"00000")="89110", TEXT(TRIM(S672),"00000")="89115", TEXT(TRIM(S672),"00000")="89121", TEXT(TRIM(S672),"00000")="89122", TEXT(TRIM(S672),"00000")="89142", TEXT(TRIM(S672),"00000")="89156"), "East Valley",
  OR(TEXT(TRIM(S672),"00000")="89030", TEXT(TRIM(S672),"00000")="89031", TEXT(TRIM(S672),"00000")="89032", TEXT(TRIM(S672),"00000")="89086", TEXT(TRIM(S672),"00000")="89084", TEXT(TRIM(S672),"00000")="89081"), "North LV",
  OR(TEXT(TRIM(S672),"00000")="89109", TEXT(TRIM(S672),"00000")="89103", TEXT(TRIM(S672),"00000")="89119", TEXT(TRIM(S672),"00000")="89123", TEXT(TRIM(S672),"00000")="89169", TEXT(TRIM(S672),"00000")="89118"), "South/Strip",
  OR(TEXT(TRIM(S672),"00000")="89074", TEXT(TRIM(S672),"00000")="89014", TEXT(TRIM(S672),"00000")="89015", TEXT(TRIM(S672),"00000")="89011", TEXT(TRIM(S672),"00000")="89012"), "Suburban SE",
  OR(TEXT(TRIM(S672),"00000")="89117", TEXT(TRIM(S672),"00000")="89128", TEXT(TRIM(S672),"00000")="89135", TEXT(TRIM(S672),"00000")="89144", TEXT(TRIM(S672),"00000")="89145", TEXT(TRIM(S672),"00000")="89147"), "West Valley",
  TRUE, "Other"
)</f>
        <v>South/Strip</v>
      </c>
      <c r="U672" t="s">
        <v>3298</v>
      </c>
      <c r="V672" t="str">
        <f t="shared" si="43"/>
        <v>Outdoors/Public</v>
      </c>
    </row>
    <row r="673" spans="1:22">
      <c r="A673" t="s">
        <v>427</v>
      </c>
      <c r="B673" t="s">
        <v>428</v>
      </c>
      <c r="C673" s="1">
        <v>45126</v>
      </c>
      <c r="D673" s="4">
        <v>111.02</v>
      </c>
      <c r="E673">
        <v>58</v>
      </c>
      <c r="F673" t="str">
        <f t="shared" si="40"/>
        <v>50's</v>
      </c>
      <c r="G673" t="str" cm="1">
        <f t="array" ref="G673">_xlfn.IFS(
  F673="10's", "Child (5–12)",
  OR(F673="20's", F673="30's"), "Young Adult (20–39)",
  OR(F673="40's", F673="50's"), "Adult (40–59)",
  OR(F673="60's", F673="70's", F673="80's", F673="90's"), "Senior (60+)",
  TRUE, "Unknown"
)</f>
        <v>Adult (40–59)</v>
      </c>
      <c r="H673" t="s">
        <v>841</v>
      </c>
      <c r="I673" t="s">
        <v>54</v>
      </c>
      <c r="J673" t="str">
        <f t="shared" si="41"/>
        <v>Environmental Heat</v>
      </c>
      <c r="K673" t="s">
        <v>379</v>
      </c>
      <c r="L673" t="s">
        <v>250</v>
      </c>
      <c r="M673" t="s">
        <v>4723</v>
      </c>
      <c r="N673" t="s">
        <v>5146</v>
      </c>
      <c r="O673" t="str" cm="1">
        <f t="array" ref="O673">_xlfn.IFS(
  TEXT(TRIM(N673),"00000")="NULL", "Missing/Unknown",
  OR(TEXT(TRIM(N673),"00000")="89101", TEXT(TRIM(N673),"00000")="89104", TEXT(TRIM(N673),"00000")="89106", TEXT(TRIM(N673),"00000")="89102", TEXT(TRIM(N673),"00000")="89107", TEXT(TRIM(N673),"00000")="89108"), "Urban Core",
  OR(TEXT(TRIM(N673),"00000")="89110", TEXT(TRIM(N673),"00000")="89115", TEXT(TRIM(N673),"00000")="89121", TEXT(TRIM(N673),"00000")="89122", TEXT(TRIM(N673),"00000")="89142", TEXT(TRIM(N673),"00000")="89156"), "East Valley",
  OR(TEXT(TRIM(N673),"00000")="89030", TEXT(TRIM(N673),"00000")="89031", TEXT(TRIM(N673),"00000")="89032", TEXT(TRIM(N673),"00000")="89086", TEXT(TRIM(N673),"00000")="89084", TEXT(TRIM(N673),"00000")="89081"), "North LV",
  OR(TEXT(TRIM(N673),"00000")="89109", TEXT(TRIM(N673),"00000")="89103", TEXT(TRIM(N673),"00000")="89119", TEXT(TRIM(N673),"00000")="89123", TEXT(TRIM(N673),"00000")="89169", TEXT(TRIM(N673),"00000")="89118"), "South/Strip",
  OR(TEXT(TRIM(N673),"00000")="89074", TEXT(TRIM(N673),"00000")="89014", TEXT(TRIM(N673),"00000")="89015", TEXT(TRIM(N673),"00000")="89011", TEXT(TRIM(N673),"00000")="89012"), "Suburban SE",
  OR(TEXT(TRIM(N673),"00000")="89117", TEXT(TRIM(N673),"00000")="89128", TEXT(TRIM(N673),"00000")="89135", TEXT(TRIM(N673),"00000")="89144", TEXT(TRIM(N673),"00000")="89145", TEXT(TRIM(N673),"00000")="89147"), "West Valley",
  TRUE, "Other"
)</f>
        <v>North LV</v>
      </c>
      <c r="P673" t="s">
        <v>3298</v>
      </c>
      <c r="Q673" t="str">
        <f t="shared" si="42"/>
        <v>Outdoors/Public</v>
      </c>
      <c r="R673" t="s">
        <v>4723</v>
      </c>
      <c r="S673" t="s">
        <v>5146</v>
      </c>
      <c r="T673" t="str" cm="1">
        <f t="array" ref="T673">_xlfn.IFS(
  TEXT(TRIM(S673),"00000")="NULL", "Missing/Unknown",
  OR(TEXT(TRIM(S673),"00000")="89101", TEXT(TRIM(S673),"00000")="89104", TEXT(TRIM(S673),"00000")="89106", TEXT(TRIM(S673),"00000")="89102", TEXT(TRIM(S673),"00000")="89107", TEXT(TRIM(S673),"00000")="89108"), "Urban Core",
  OR(TEXT(TRIM(S673),"00000")="89110", TEXT(TRIM(S673),"00000")="89115", TEXT(TRIM(S673),"00000")="89121", TEXT(TRIM(S673),"00000")="89122", TEXT(TRIM(S673),"00000")="89142", TEXT(TRIM(S673),"00000")="89156"), "East Valley",
  OR(TEXT(TRIM(S673),"00000")="89030", TEXT(TRIM(S673),"00000")="89031", TEXT(TRIM(S673),"00000")="89032", TEXT(TRIM(S673),"00000")="89086", TEXT(TRIM(S673),"00000")="89084", TEXT(TRIM(S673),"00000")="89081"), "North LV",
  OR(TEXT(TRIM(S673),"00000")="89109", TEXT(TRIM(S673),"00000")="89103", TEXT(TRIM(S673),"00000")="89119", TEXT(TRIM(S673),"00000")="89123", TEXT(TRIM(S673),"00000")="89169", TEXT(TRIM(S673),"00000")="89118"), "South/Strip",
  OR(TEXT(TRIM(S673),"00000")="89074", TEXT(TRIM(S673),"00000")="89014", TEXT(TRIM(S673),"00000")="89015", TEXT(TRIM(S673),"00000")="89011", TEXT(TRIM(S673),"00000")="89012"), "Suburban SE",
  OR(TEXT(TRIM(S673),"00000")="89117", TEXT(TRIM(S673),"00000")="89128", TEXT(TRIM(S673),"00000")="89135", TEXT(TRIM(S673),"00000")="89144", TEXT(TRIM(S673),"00000")="89145", TEXT(TRIM(S673),"00000")="89147"), "West Valley",
  TRUE, "Other"
)</f>
        <v>North LV</v>
      </c>
      <c r="U673" t="s">
        <v>3298</v>
      </c>
      <c r="V673" t="str">
        <f t="shared" si="43"/>
        <v>Outdoors/Public</v>
      </c>
    </row>
    <row r="674" spans="1:22">
      <c r="A674" t="s">
        <v>436</v>
      </c>
      <c r="B674" t="s">
        <v>437</v>
      </c>
      <c r="C674" s="1">
        <v>45126</v>
      </c>
      <c r="D674" s="4">
        <v>111.02</v>
      </c>
      <c r="E674">
        <v>75</v>
      </c>
      <c r="F674" t="str">
        <f t="shared" si="40"/>
        <v>70's</v>
      </c>
      <c r="G674" t="str" cm="1">
        <f t="array" ref="G674">_xlfn.IFS(
  F674="10's", "Child (5–12)",
  OR(F674="20's", F674="30's"), "Young Adult (20–39)",
  OR(F674="40's", F674="50's"), "Adult (40–59)",
  OR(F674="60's", F674="70's", F674="80's", F674="90's"), "Senior (60+)",
  TRUE, "Unknown"
)</f>
        <v>Senior (60+)</v>
      </c>
      <c r="H674" t="s">
        <v>841</v>
      </c>
      <c r="I674" t="s">
        <v>4012</v>
      </c>
      <c r="J674" t="str">
        <f t="shared" si="41"/>
        <v>Cardiovascular Disease</v>
      </c>
      <c r="K674" t="s">
        <v>54</v>
      </c>
      <c r="L674" t="s">
        <v>1071</v>
      </c>
      <c r="M674" t="s">
        <v>4401</v>
      </c>
      <c r="N674" t="s">
        <v>5105</v>
      </c>
      <c r="O674" t="str" cm="1">
        <f t="array" ref="O674">_xlfn.IFS(
  TEXT(TRIM(N674),"00000")="NULL", "Missing/Unknown",
  OR(TEXT(TRIM(N674),"00000")="89101", TEXT(TRIM(N674),"00000")="89104", TEXT(TRIM(N674),"00000")="89106", TEXT(TRIM(N674),"00000")="89102", TEXT(TRIM(N674),"00000")="89107", TEXT(TRIM(N674),"00000")="89108"), "Urban Core",
  OR(TEXT(TRIM(N674),"00000")="89110", TEXT(TRIM(N674),"00000")="89115", TEXT(TRIM(N674),"00000")="89121", TEXT(TRIM(N674),"00000")="89122", TEXT(TRIM(N674),"00000")="89142", TEXT(TRIM(N674),"00000")="89156"), "East Valley",
  OR(TEXT(TRIM(N674),"00000")="89030", TEXT(TRIM(N674),"00000")="89031", TEXT(TRIM(N674),"00000")="89032", TEXT(TRIM(N674),"00000")="89086", TEXT(TRIM(N674),"00000")="89084", TEXT(TRIM(N674),"00000")="89081"), "North LV",
  OR(TEXT(TRIM(N674),"00000")="89109", TEXT(TRIM(N674),"00000")="89103", TEXT(TRIM(N674),"00000")="89119", TEXT(TRIM(N674),"00000")="89123", TEXT(TRIM(N674),"00000")="89169", TEXT(TRIM(N674),"00000")="89118"), "South/Strip",
  OR(TEXT(TRIM(N674),"00000")="89074", TEXT(TRIM(N674),"00000")="89014", TEXT(TRIM(N674),"00000")="89015", TEXT(TRIM(N674),"00000")="89011", TEXT(TRIM(N674),"00000")="89012"), "Suburban SE",
  OR(TEXT(TRIM(N674),"00000")="89117", TEXT(TRIM(N674),"00000")="89128", TEXT(TRIM(N674),"00000")="89135", TEXT(TRIM(N674),"00000")="89144", TEXT(TRIM(N674),"00000")="89145", TEXT(TRIM(N674),"00000")="89147"), "West Valley",
  TRUE, "Other"
)</f>
        <v>East Valley</v>
      </c>
      <c r="P674" t="s">
        <v>38</v>
      </c>
      <c r="Q674" t="str">
        <f t="shared" si="42"/>
        <v>Home/Residence</v>
      </c>
      <c r="R674" t="s">
        <v>4401</v>
      </c>
      <c r="S674" t="s">
        <v>5105</v>
      </c>
      <c r="T674" t="str" cm="1">
        <f t="array" ref="T674">_xlfn.IFS(
  TEXT(TRIM(S674),"00000")="NULL", "Missing/Unknown",
  OR(TEXT(TRIM(S674),"00000")="89101", TEXT(TRIM(S674),"00000")="89104", TEXT(TRIM(S674),"00000")="89106", TEXT(TRIM(S674),"00000")="89102", TEXT(TRIM(S674),"00000")="89107", TEXT(TRIM(S674),"00000")="89108"), "Urban Core",
  OR(TEXT(TRIM(S674),"00000")="89110", TEXT(TRIM(S674),"00000")="89115", TEXT(TRIM(S674),"00000")="89121", TEXT(TRIM(S674),"00000")="89122", TEXT(TRIM(S674),"00000")="89142", TEXT(TRIM(S674),"00000")="89156"), "East Valley",
  OR(TEXT(TRIM(S674),"00000")="89030", TEXT(TRIM(S674),"00000")="89031", TEXT(TRIM(S674),"00000")="89032", TEXT(TRIM(S674),"00000")="89086", TEXT(TRIM(S674),"00000")="89084", TEXT(TRIM(S674),"00000")="89081"), "North LV",
  OR(TEXT(TRIM(S674),"00000")="89109", TEXT(TRIM(S674),"00000")="89103", TEXT(TRIM(S674),"00000")="89119", TEXT(TRIM(S674),"00000")="89123", TEXT(TRIM(S674),"00000")="89169", TEXT(TRIM(S674),"00000")="89118"), "South/Strip",
  OR(TEXT(TRIM(S674),"00000")="89074", TEXT(TRIM(S674),"00000")="89014", TEXT(TRIM(S674),"00000")="89015", TEXT(TRIM(S674),"00000")="89011", TEXT(TRIM(S674),"00000")="89012"), "Suburban SE",
  OR(TEXT(TRIM(S674),"00000")="89117", TEXT(TRIM(S674),"00000")="89128", TEXT(TRIM(S674),"00000")="89135", TEXT(TRIM(S674),"00000")="89144", TEXT(TRIM(S674),"00000")="89145", TEXT(TRIM(S674),"00000")="89147"), "West Valley",
  TRUE, "Other"
)</f>
        <v>East Valley</v>
      </c>
      <c r="U674" t="s">
        <v>38</v>
      </c>
      <c r="V674" t="str">
        <f t="shared" si="43"/>
        <v>Home/Residence</v>
      </c>
    </row>
    <row r="675" spans="1:22">
      <c r="A675" t="s">
        <v>414</v>
      </c>
      <c r="B675" t="s">
        <v>415</v>
      </c>
      <c r="C675" s="1">
        <v>45126</v>
      </c>
      <c r="D675" s="4">
        <v>111.02</v>
      </c>
      <c r="E675">
        <v>65</v>
      </c>
      <c r="F675" t="str">
        <f t="shared" si="40"/>
        <v>60's</v>
      </c>
      <c r="G675" t="str" cm="1">
        <f t="array" ref="G675">_xlfn.IFS(
  F675="10's", "Child (5–12)",
  OR(F675="20's", F675="30's"), "Young Adult (20–39)",
  OR(F675="40's", F675="50's"), "Adult (40–59)",
  OR(F675="60's", F675="70's", F675="80's", F675="90's"), "Senior (60+)",
  TRUE, "Unknown"
)</f>
        <v>Senior (60+)</v>
      </c>
      <c r="H675" t="s">
        <v>778</v>
      </c>
      <c r="I675" t="s">
        <v>4025</v>
      </c>
      <c r="J675" t="str">
        <f t="shared" si="41"/>
        <v>Methamphetamine-related</v>
      </c>
      <c r="K675" t="s">
        <v>416</v>
      </c>
      <c r="L675" t="s">
        <v>1071</v>
      </c>
      <c r="M675" t="s">
        <v>4399</v>
      </c>
      <c r="N675" t="s">
        <v>5105</v>
      </c>
      <c r="O675" t="str" cm="1">
        <f t="array" ref="O675">_xlfn.IFS(
  TEXT(TRIM(N675),"00000")="NULL", "Missing/Unknown",
  OR(TEXT(TRIM(N675),"00000")="89101", TEXT(TRIM(N675),"00000")="89104", TEXT(TRIM(N675),"00000")="89106", TEXT(TRIM(N675),"00000")="89102", TEXT(TRIM(N675),"00000")="89107", TEXT(TRIM(N675),"00000")="89108"), "Urban Core",
  OR(TEXT(TRIM(N675),"00000")="89110", TEXT(TRIM(N675),"00000")="89115", TEXT(TRIM(N675),"00000")="89121", TEXT(TRIM(N675),"00000")="89122", TEXT(TRIM(N675),"00000")="89142", TEXT(TRIM(N675),"00000")="89156"), "East Valley",
  OR(TEXT(TRIM(N675),"00000")="89030", TEXT(TRIM(N675),"00000")="89031", TEXT(TRIM(N675),"00000")="89032", TEXT(TRIM(N675),"00000")="89086", TEXT(TRIM(N675),"00000")="89084", TEXT(TRIM(N675),"00000")="89081"), "North LV",
  OR(TEXT(TRIM(N675),"00000")="89109", TEXT(TRIM(N675),"00000")="89103", TEXT(TRIM(N675),"00000")="89119", TEXT(TRIM(N675),"00000")="89123", TEXT(TRIM(N675),"00000")="89169", TEXT(TRIM(N675),"00000")="89118"), "South/Strip",
  OR(TEXT(TRIM(N675),"00000")="89074", TEXT(TRIM(N675),"00000")="89014", TEXT(TRIM(N675),"00000")="89015", TEXT(TRIM(N675),"00000")="89011", TEXT(TRIM(N675),"00000")="89012"), "Suburban SE",
  OR(TEXT(TRIM(N675),"00000")="89117", TEXT(TRIM(N675),"00000")="89128", TEXT(TRIM(N675),"00000")="89135", TEXT(TRIM(N675),"00000")="89144", TEXT(TRIM(N675),"00000")="89145", TEXT(TRIM(N675),"00000")="89147"), "West Valley",
  TRUE, "Other"
)</f>
        <v>East Valley</v>
      </c>
      <c r="P675" t="s">
        <v>38</v>
      </c>
      <c r="Q675" t="str">
        <f t="shared" si="42"/>
        <v>Home/Residence</v>
      </c>
      <c r="R675" t="s">
        <v>4399</v>
      </c>
      <c r="S675" t="s">
        <v>5105</v>
      </c>
      <c r="T675" t="str" cm="1">
        <f t="array" ref="T675">_xlfn.IFS(
  TEXT(TRIM(S675),"00000")="NULL", "Missing/Unknown",
  OR(TEXT(TRIM(S675),"00000")="89101", TEXT(TRIM(S675),"00000")="89104", TEXT(TRIM(S675),"00000")="89106", TEXT(TRIM(S675),"00000")="89102", TEXT(TRIM(S675),"00000")="89107", TEXT(TRIM(S675),"00000")="89108"), "Urban Core",
  OR(TEXT(TRIM(S675),"00000")="89110", TEXT(TRIM(S675),"00000")="89115", TEXT(TRIM(S675),"00000")="89121", TEXT(TRIM(S675),"00000")="89122", TEXT(TRIM(S675),"00000")="89142", TEXT(TRIM(S675),"00000")="89156"), "East Valley",
  OR(TEXT(TRIM(S675),"00000")="89030", TEXT(TRIM(S675),"00000")="89031", TEXT(TRIM(S675),"00000")="89032", TEXT(TRIM(S675),"00000")="89086", TEXT(TRIM(S675),"00000")="89084", TEXT(TRIM(S675),"00000")="89081"), "North LV",
  OR(TEXT(TRIM(S675),"00000")="89109", TEXT(TRIM(S675),"00000")="89103", TEXT(TRIM(S675),"00000")="89119", TEXT(TRIM(S675),"00000")="89123", TEXT(TRIM(S675),"00000")="89169", TEXT(TRIM(S675),"00000")="89118"), "South/Strip",
  OR(TEXT(TRIM(S675),"00000")="89074", TEXT(TRIM(S675),"00000")="89014", TEXT(TRIM(S675),"00000")="89015", TEXT(TRIM(S675),"00000")="89011", TEXT(TRIM(S675),"00000")="89012"), "Suburban SE",
  OR(TEXT(TRIM(S675),"00000")="89117", TEXT(TRIM(S675),"00000")="89128", TEXT(TRIM(S675),"00000")="89135", TEXT(TRIM(S675),"00000")="89144", TEXT(TRIM(S675),"00000")="89145", TEXT(TRIM(S675),"00000")="89147"), "West Valley",
  TRUE, "Other"
)</f>
        <v>East Valley</v>
      </c>
      <c r="U675" t="s">
        <v>38</v>
      </c>
      <c r="V675" t="str">
        <f t="shared" si="43"/>
        <v>Home/Residence</v>
      </c>
    </row>
    <row r="676" spans="1:22">
      <c r="A676" t="s">
        <v>418</v>
      </c>
      <c r="B676" t="s">
        <v>419</v>
      </c>
      <c r="C676" s="1">
        <v>45126</v>
      </c>
      <c r="D676" s="4">
        <v>111.02</v>
      </c>
      <c r="E676">
        <v>40</v>
      </c>
      <c r="F676" t="str">
        <f t="shared" si="40"/>
        <v>40's</v>
      </c>
      <c r="G676" t="str" cm="1">
        <f t="array" ref="G676">_xlfn.IFS(
  F676="10's", "Child (5–12)",
  OR(F676="20's", F676="30's"), "Young Adult (20–39)",
  OR(F676="40's", F676="50's"), "Adult (40–59)",
  OR(F676="60's", F676="70's", F676="80's", F676="90's"), "Senior (60+)",
  TRUE, "Unknown"
)</f>
        <v>Adult (40–59)</v>
      </c>
      <c r="H676" t="s">
        <v>778</v>
      </c>
      <c r="I676" t="s">
        <v>54</v>
      </c>
      <c r="J676" t="str">
        <f t="shared" si="41"/>
        <v>Environmental Heat</v>
      </c>
      <c r="K676" t="s">
        <v>98</v>
      </c>
      <c r="L676" t="s">
        <v>250</v>
      </c>
      <c r="M676" t="s">
        <v>4764</v>
      </c>
      <c r="N676" t="s">
        <v>5101</v>
      </c>
      <c r="O676" t="str" cm="1">
        <f t="array" ref="O676">_xlfn.IFS(
  TEXT(TRIM(N676),"00000")="NULL", "Missing/Unknown",
  OR(TEXT(TRIM(N676),"00000")="89101", TEXT(TRIM(N676),"00000")="89104", TEXT(TRIM(N676),"00000")="89106", TEXT(TRIM(N676),"00000")="89102", TEXT(TRIM(N676),"00000")="89107", TEXT(TRIM(N676),"00000")="89108"), "Urban Core",
  OR(TEXT(TRIM(N676),"00000")="89110", TEXT(TRIM(N676),"00000")="89115", TEXT(TRIM(N676),"00000")="89121", TEXT(TRIM(N676),"00000")="89122", TEXT(TRIM(N676),"00000")="89142", TEXT(TRIM(N676),"00000")="89156"), "East Valley",
  OR(TEXT(TRIM(N676),"00000")="89030", TEXT(TRIM(N676),"00000")="89031", TEXT(TRIM(N676),"00000")="89032", TEXT(TRIM(N676),"00000")="89086", TEXT(TRIM(N676),"00000")="89084", TEXT(TRIM(N676),"00000")="89081"), "North LV",
  OR(TEXT(TRIM(N676),"00000")="89109", TEXT(TRIM(N676),"00000")="89103", TEXT(TRIM(N676),"00000")="89119", TEXT(TRIM(N676),"00000")="89123", TEXT(TRIM(N676),"00000")="89169", TEXT(TRIM(N676),"00000")="89118"), "South/Strip",
  OR(TEXT(TRIM(N676),"00000")="89074", TEXT(TRIM(N676),"00000")="89014", TEXT(TRIM(N676),"00000")="89015", TEXT(TRIM(N676),"00000")="89011", TEXT(TRIM(N676),"00000")="89012"), "Suburban SE",
  OR(TEXT(TRIM(N676),"00000")="89117", TEXT(TRIM(N676),"00000")="89128", TEXT(TRIM(N676),"00000")="89135", TEXT(TRIM(N676),"00000")="89144", TEXT(TRIM(N676),"00000")="89145", TEXT(TRIM(N676),"00000")="89147"), "West Valley",
  TRUE, "Other"
)</f>
        <v>Urban Core</v>
      </c>
      <c r="P676" t="s">
        <v>3298</v>
      </c>
      <c r="Q676" t="str">
        <f t="shared" si="42"/>
        <v>Outdoors/Public</v>
      </c>
      <c r="R676" t="s">
        <v>4764</v>
      </c>
      <c r="S676" t="s">
        <v>5101</v>
      </c>
      <c r="T676" t="str" cm="1">
        <f t="array" ref="T676">_xlfn.IFS(
  TEXT(TRIM(S676),"00000")="NULL", "Missing/Unknown",
  OR(TEXT(TRIM(S676),"00000")="89101", TEXT(TRIM(S676),"00000")="89104", TEXT(TRIM(S676),"00000")="89106", TEXT(TRIM(S676),"00000")="89102", TEXT(TRIM(S676),"00000")="89107", TEXT(TRIM(S676),"00000")="89108"), "Urban Core",
  OR(TEXT(TRIM(S676),"00000")="89110", TEXT(TRIM(S676),"00000")="89115", TEXT(TRIM(S676),"00000")="89121", TEXT(TRIM(S676),"00000")="89122", TEXT(TRIM(S676),"00000")="89142", TEXT(TRIM(S676),"00000")="89156"), "East Valley",
  OR(TEXT(TRIM(S676),"00000")="89030", TEXT(TRIM(S676),"00000")="89031", TEXT(TRIM(S676),"00000")="89032", TEXT(TRIM(S676),"00000")="89086", TEXT(TRIM(S676),"00000")="89084", TEXT(TRIM(S676),"00000")="89081"), "North LV",
  OR(TEXT(TRIM(S676),"00000")="89109", TEXT(TRIM(S676),"00000")="89103", TEXT(TRIM(S676),"00000")="89119", TEXT(TRIM(S676),"00000")="89123", TEXT(TRIM(S676),"00000")="89169", TEXT(TRIM(S676),"00000")="89118"), "South/Strip",
  OR(TEXT(TRIM(S676),"00000")="89074", TEXT(TRIM(S676),"00000")="89014", TEXT(TRIM(S676),"00000")="89015", TEXT(TRIM(S676),"00000")="89011", TEXT(TRIM(S676),"00000")="89012"), "Suburban SE",
  OR(TEXT(TRIM(S676),"00000")="89117", TEXT(TRIM(S676),"00000")="89128", TEXT(TRIM(S676),"00000")="89135", TEXT(TRIM(S676),"00000")="89144", TEXT(TRIM(S676),"00000")="89145", TEXT(TRIM(S676),"00000")="89147"), "West Valley",
  TRUE, "Other"
)</f>
        <v>Urban Core</v>
      </c>
      <c r="U676" t="s">
        <v>3298</v>
      </c>
      <c r="V676" t="str">
        <f t="shared" si="43"/>
        <v>Outdoors/Public</v>
      </c>
    </row>
    <row r="677" spans="1:22">
      <c r="A677" t="s">
        <v>397</v>
      </c>
      <c r="B677" t="s">
        <v>398</v>
      </c>
      <c r="C677" s="1">
        <v>45126</v>
      </c>
      <c r="D677" s="4">
        <v>111.02</v>
      </c>
      <c r="E677">
        <v>56</v>
      </c>
      <c r="F677" t="str">
        <f t="shared" si="40"/>
        <v>50's</v>
      </c>
      <c r="G677" t="str" cm="1">
        <f t="array" ref="G677">_xlfn.IFS(
  F677="10's", "Child (5–12)",
  OR(F677="20's", F677="30's"), "Young Adult (20–39)",
  OR(F677="40's", F677="50's"), "Adult (40–59)",
  OR(F677="60's", F677="70's", F677="80's", F677="90's"), "Senior (60+)",
  TRUE, "Unknown"
)</f>
        <v>Adult (40–59)</v>
      </c>
      <c r="H677" t="s">
        <v>841</v>
      </c>
      <c r="I677" t="s">
        <v>54</v>
      </c>
      <c r="J677" t="str">
        <f t="shared" si="41"/>
        <v>Environmental Heat</v>
      </c>
      <c r="K677" t="s">
        <v>63</v>
      </c>
      <c r="L677" t="s">
        <v>250</v>
      </c>
      <c r="M677" t="s">
        <v>4336</v>
      </c>
      <c r="N677" t="s">
        <v>5101</v>
      </c>
      <c r="O677" t="str" cm="1">
        <f t="array" ref="O677">_xlfn.IFS(
  TEXT(TRIM(N677),"00000")="NULL", "Missing/Unknown",
  OR(TEXT(TRIM(N677),"00000")="89101", TEXT(TRIM(N677),"00000")="89104", TEXT(TRIM(N677),"00000")="89106", TEXT(TRIM(N677),"00000")="89102", TEXT(TRIM(N677),"00000")="89107", TEXT(TRIM(N677),"00000")="89108"), "Urban Core",
  OR(TEXT(TRIM(N677),"00000")="89110", TEXT(TRIM(N677),"00000")="89115", TEXT(TRIM(N677),"00000")="89121", TEXT(TRIM(N677),"00000")="89122", TEXT(TRIM(N677),"00000")="89142", TEXT(TRIM(N677),"00000")="89156"), "East Valley",
  OR(TEXT(TRIM(N677),"00000")="89030", TEXT(TRIM(N677),"00000")="89031", TEXT(TRIM(N677),"00000")="89032", TEXT(TRIM(N677),"00000")="89086", TEXT(TRIM(N677),"00000")="89084", TEXT(TRIM(N677),"00000")="89081"), "North LV",
  OR(TEXT(TRIM(N677),"00000")="89109", TEXT(TRIM(N677),"00000")="89103", TEXT(TRIM(N677),"00000")="89119", TEXT(TRIM(N677),"00000")="89123", TEXT(TRIM(N677),"00000")="89169", TEXT(TRIM(N677),"00000")="89118"), "South/Strip",
  OR(TEXT(TRIM(N677),"00000")="89074", TEXT(TRIM(N677),"00000")="89014", TEXT(TRIM(N677),"00000")="89015", TEXT(TRIM(N677),"00000")="89011", TEXT(TRIM(N677),"00000")="89012"), "Suburban SE",
  OR(TEXT(TRIM(N677),"00000")="89117", TEXT(TRIM(N677),"00000")="89128", TEXT(TRIM(N677),"00000")="89135", TEXT(TRIM(N677),"00000")="89144", TEXT(TRIM(N677),"00000")="89145", TEXT(TRIM(N677),"00000")="89147"), "West Valley",
  TRUE, "Other"
)</f>
        <v>Urban Core</v>
      </c>
      <c r="P677" t="s">
        <v>3298</v>
      </c>
      <c r="Q677" t="str">
        <f t="shared" si="42"/>
        <v>Outdoors/Public</v>
      </c>
      <c r="R677" t="s">
        <v>4336</v>
      </c>
      <c r="S677" t="s">
        <v>5101</v>
      </c>
      <c r="T677" t="str" cm="1">
        <f t="array" ref="T677">_xlfn.IFS(
  TEXT(TRIM(S677),"00000")="NULL", "Missing/Unknown",
  OR(TEXT(TRIM(S677),"00000")="89101", TEXT(TRIM(S677),"00000")="89104", TEXT(TRIM(S677),"00000")="89106", TEXT(TRIM(S677),"00000")="89102", TEXT(TRIM(S677),"00000")="89107", TEXT(TRIM(S677),"00000")="89108"), "Urban Core",
  OR(TEXT(TRIM(S677),"00000")="89110", TEXT(TRIM(S677),"00000")="89115", TEXT(TRIM(S677),"00000")="89121", TEXT(TRIM(S677),"00000")="89122", TEXT(TRIM(S677),"00000")="89142", TEXT(TRIM(S677),"00000")="89156"), "East Valley",
  OR(TEXT(TRIM(S677),"00000")="89030", TEXT(TRIM(S677),"00000")="89031", TEXT(TRIM(S677),"00000")="89032", TEXT(TRIM(S677),"00000")="89086", TEXT(TRIM(S677),"00000")="89084", TEXT(TRIM(S677),"00000")="89081"), "North LV",
  OR(TEXT(TRIM(S677),"00000")="89109", TEXT(TRIM(S677),"00000")="89103", TEXT(TRIM(S677),"00000")="89119", TEXT(TRIM(S677),"00000")="89123", TEXT(TRIM(S677),"00000")="89169", TEXT(TRIM(S677),"00000")="89118"), "South/Strip",
  OR(TEXT(TRIM(S677),"00000")="89074", TEXT(TRIM(S677),"00000")="89014", TEXT(TRIM(S677),"00000")="89015", TEXT(TRIM(S677),"00000")="89011", TEXT(TRIM(S677),"00000")="89012"), "Suburban SE",
  OR(TEXT(TRIM(S677),"00000")="89117", TEXT(TRIM(S677),"00000")="89128", TEXT(TRIM(S677),"00000")="89135", TEXT(TRIM(S677),"00000")="89144", TEXT(TRIM(S677),"00000")="89145", TEXT(TRIM(S677),"00000")="89147"), "West Valley",
  TRUE, "Other"
)</f>
        <v>Urban Core</v>
      </c>
      <c r="U677" t="s">
        <v>3298</v>
      </c>
      <c r="V677" t="str">
        <f t="shared" si="43"/>
        <v>Outdoors/Public</v>
      </c>
    </row>
    <row r="678" spans="1:22">
      <c r="A678" t="s">
        <v>430</v>
      </c>
      <c r="B678" t="s">
        <v>431</v>
      </c>
      <c r="C678" s="1">
        <v>45126</v>
      </c>
      <c r="D678" s="4">
        <v>111.02</v>
      </c>
      <c r="E678">
        <v>59</v>
      </c>
      <c r="F678" t="str">
        <f t="shared" si="40"/>
        <v>50's</v>
      </c>
      <c r="G678" t="str" cm="1">
        <f t="array" ref="G678">_xlfn.IFS(
  F678="10's", "Child (5–12)",
  OR(F678="20's", F678="30's"), "Young Adult (20–39)",
  OR(F678="40's", F678="50's"), "Adult (40–59)",
  OR(F678="60's", F678="70's", F678="80's", F678="90's"), "Senior (60+)",
  TRUE, "Unknown"
)</f>
        <v>Adult (40–59)</v>
      </c>
      <c r="H678" t="s">
        <v>778</v>
      </c>
      <c r="I678" t="s">
        <v>172</v>
      </c>
      <c r="J678" t="str">
        <f t="shared" si="41"/>
        <v>Methamphetamine-related</v>
      </c>
      <c r="K678" t="s">
        <v>54</v>
      </c>
      <c r="L678" t="s">
        <v>250</v>
      </c>
      <c r="N678" t="s">
        <v>5095</v>
      </c>
      <c r="O678" t="str" cm="1">
        <f t="array" ref="O678">_xlfn.IFS(
  TEXT(TRIM(N678),"00000")="NULL", "Missing/Unknown",
  OR(TEXT(TRIM(N678),"00000")="89101", TEXT(TRIM(N678),"00000")="89104", TEXT(TRIM(N678),"00000")="89106", TEXT(TRIM(N678),"00000")="89102", TEXT(TRIM(N678),"00000")="89107", TEXT(TRIM(N678),"00000")="89108"), "Urban Core",
  OR(TEXT(TRIM(N678),"00000")="89110", TEXT(TRIM(N678),"00000")="89115", TEXT(TRIM(N678),"00000")="89121", TEXT(TRIM(N678),"00000")="89122", TEXT(TRIM(N678),"00000")="89142", TEXT(TRIM(N678),"00000")="89156"), "East Valley",
  OR(TEXT(TRIM(N678),"00000")="89030", TEXT(TRIM(N678),"00000")="89031", TEXT(TRIM(N678),"00000")="89032", TEXT(TRIM(N678),"00000")="89086", TEXT(TRIM(N678),"00000")="89084", TEXT(TRIM(N678),"00000")="89081"), "North LV",
  OR(TEXT(TRIM(N678),"00000")="89109", TEXT(TRIM(N678),"00000")="89103", TEXT(TRIM(N678),"00000")="89119", TEXT(TRIM(N678),"00000")="89123", TEXT(TRIM(N678),"00000")="89169", TEXT(TRIM(N678),"00000")="89118"), "South/Strip",
  OR(TEXT(TRIM(N678),"00000")="89074", TEXT(TRIM(N678),"00000")="89014", TEXT(TRIM(N678),"00000")="89015", TEXT(TRIM(N678),"00000")="89011", TEXT(TRIM(N678),"00000")="89012"), "Suburban SE",
  OR(TEXT(TRIM(N678),"00000")="89117", TEXT(TRIM(N678),"00000")="89128", TEXT(TRIM(N678),"00000")="89135", TEXT(TRIM(N678),"00000")="89144", TEXT(TRIM(N678),"00000")="89145", TEXT(TRIM(N678),"00000")="89147"), "West Valley",
  TRUE, "Other"
)</f>
        <v>Missing/Unknown</v>
      </c>
      <c r="P678" t="s">
        <v>3298</v>
      </c>
      <c r="Q678" t="str">
        <f t="shared" si="42"/>
        <v>Outdoors/Public</v>
      </c>
      <c r="S678" t="s">
        <v>5095</v>
      </c>
      <c r="T678" t="str" cm="1">
        <f t="array" ref="T678">_xlfn.IFS(
  TEXT(TRIM(S678),"00000")="NULL", "Missing/Unknown",
  OR(TEXT(TRIM(S678),"00000")="89101", TEXT(TRIM(S678),"00000")="89104", TEXT(TRIM(S678),"00000")="89106", TEXT(TRIM(S678),"00000")="89102", TEXT(TRIM(S678),"00000")="89107", TEXT(TRIM(S678),"00000")="89108"), "Urban Core",
  OR(TEXT(TRIM(S678),"00000")="89110", TEXT(TRIM(S678),"00000")="89115", TEXT(TRIM(S678),"00000")="89121", TEXT(TRIM(S678),"00000")="89122", TEXT(TRIM(S678),"00000")="89142", TEXT(TRIM(S678),"00000")="89156"), "East Valley",
  OR(TEXT(TRIM(S678),"00000")="89030", TEXT(TRIM(S678),"00000")="89031", TEXT(TRIM(S678),"00000")="89032", TEXT(TRIM(S678),"00000")="89086", TEXT(TRIM(S678),"00000")="89084", TEXT(TRIM(S678),"00000")="89081"), "North LV",
  OR(TEXT(TRIM(S678),"00000")="89109", TEXT(TRIM(S678),"00000")="89103", TEXT(TRIM(S678),"00000")="89119", TEXT(TRIM(S678),"00000")="89123", TEXT(TRIM(S678),"00000")="89169", TEXT(TRIM(S678),"00000")="89118"), "South/Strip",
  OR(TEXT(TRIM(S678),"00000")="89074", TEXT(TRIM(S678),"00000")="89014", TEXT(TRIM(S678),"00000")="89015", TEXT(TRIM(S678),"00000")="89011", TEXT(TRIM(S678),"00000")="89012"), "Suburban SE",
  OR(TEXT(TRIM(S678),"00000")="89117", TEXT(TRIM(S678),"00000")="89128", TEXT(TRIM(S678),"00000")="89135", TEXT(TRIM(S678),"00000")="89144", TEXT(TRIM(S678),"00000")="89145", TEXT(TRIM(S678),"00000")="89147"), "West Valley",
  TRUE, "Other"
)</f>
        <v>Missing/Unknown</v>
      </c>
      <c r="U678" t="s">
        <v>3298</v>
      </c>
      <c r="V678" t="str">
        <f t="shared" si="43"/>
        <v>Outdoors/Public</v>
      </c>
    </row>
    <row r="679" spans="1:22">
      <c r="A679" t="s">
        <v>334</v>
      </c>
      <c r="B679" t="s">
        <v>335</v>
      </c>
      <c r="C679" s="1">
        <v>45125</v>
      </c>
      <c r="D679" s="4">
        <v>111.92</v>
      </c>
      <c r="E679">
        <v>35</v>
      </c>
      <c r="F679" t="str">
        <f t="shared" si="40"/>
        <v>30's</v>
      </c>
      <c r="G679" t="str" cm="1">
        <f t="array" ref="G679">_xlfn.IFS(
  F679="10's", "Child (5–12)",
  OR(F679="20's", F679="30's"), "Young Adult (20–39)",
  OR(F679="40's", F679="50's"), "Adult (40–59)",
  OR(F679="60's", F679="70's", F679="80's", F679="90's"), "Senior (60+)",
  TRUE, "Unknown"
)</f>
        <v>Young Adult (20–39)</v>
      </c>
      <c r="H679" t="s">
        <v>841</v>
      </c>
      <c r="I679" t="s">
        <v>54</v>
      </c>
      <c r="J679" t="str">
        <f t="shared" si="41"/>
        <v>Environmental Heat</v>
      </c>
      <c r="K679" t="s">
        <v>98</v>
      </c>
      <c r="L679" t="s">
        <v>250</v>
      </c>
      <c r="M679" t="s">
        <v>4766</v>
      </c>
      <c r="N679" t="s">
        <v>5098</v>
      </c>
      <c r="O679" t="str" cm="1">
        <f t="array" ref="O679">_xlfn.IFS(
  TEXT(TRIM(N679),"00000")="NULL", "Missing/Unknown",
  OR(TEXT(TRIM(N679),"00000")="89101", TEXT(TRIM(N679),"00000")="89104", TEXT(TRIM(N679),"00000")="89106", TEXT(TRIM(N679),"00000")="89102", TEXT(TRIM(N679),"00000")="89107", TEXT(TRIM(N679),"00000")="89108"), "Urban Core",
  OR(TEXT(TRIM(N679),"00000")="89110", TEXT(TRIM(N679),"00000")="89115", TEXT(TRIM(N679),"00000")="89121", TEXT(TRIM(N679),"00000")="89122", TEXT(TRIM(N679),"00000")="89142", TEXT(TRIM(N679),"00000")="89156"), "East Valley",
  OR(TEXT(TRIM(N679),"00000")="89030", TEXT(TRIM(N679),"00000")="89031", TEXT(TRIM(N679),"00000")="89032", TEXT(TRIM(N679),"00000")="89086", TEXT(TRIM(N679),"00000")="89084", TEXT(TRIM(N679),"00000")="89081"), "North LV",
  OR(TEXT(TRIM(N679),"00000")="89109", TEXT(TRIM(N679),"00000")="89103", TEXT(TRIM(N679),"00000")="89119", TEXT(TRIM(N679),"00000")="89123", TEXT(TRIM(N679),"00000")="89169", TEXT(TRIM(N679),"00000")="89118"), "South/Strip",
  OR(TEXT(TRIM(N679),"00000")="89074", TEXT(TRIM(N679),"00000")="89014", TEXT(TRIM(N679),"00000")="89015", TEXT(TRIM(N679),"00000")="89011", TEXT(TRIM(N679),"00000")="89012"), "Suburban SE",
  OR(TEXT(TRIM(N679),"00000")="89117", TEXT(TRIM(N679),"00000")="89128", TEXT(TRIM(N679),"00000")="89135", TEXT(TRIM(N679),"00000")="89144", TEXT(TRIM(N679),"00000")="89145", TEXT(TRIM(N679),"00000")="89147"), "West Valley",
  TRUE, "Other"
)</f>
        <v>Urban Core</v>
      </c>
      <c r="P679" t="s">
        <v>3298</v>
      </c>
      <c r="Q679" t="str">
        <f t="shared" si="42"/>
        <v>Outdoors/Public</v>
      </c>
      <c r="R679" t="s">
        <v>4766</v>
      </c>
      <c r="S679" t="s">
        <v>5098</v>
      </c>
      <c r="T679" t="str" cm="1">
        <f t="array" ref="T679">_xlfn.IFS(
  TEXT(TRIM(S679),"00000")="NULL", "Missing/Unknown",
  OR(TEXT(TRIM(S679),"00000")="89101", TEXT(TRIM(S679),"00000")="89104", TEXT(TRIM(S679),"00000")="89106", TEXT(TRIM(S679),"00000")="89102", TEXT(TRIM(S679),"00000")="89107", TEXT(TRIM(S679),"00000")="89108"), "Urban Core",
  OR(TEXT(TRIM(S679),"00000")="89110", TEXT(TRIM(S679),"00000")="89115", TEXT(TRIM(S679),"00000")="89121", TEXT(TRIM(S679),"00000")="89122", TEXT(TRIM(S679),"00000")="89142", TEXT(TRIM(S679),"00000")="89156"), "East Valley",
  OR(TEXT(TRIM(S679),"00000")="89030", TEXT(TRIM(S679),"00000")="89031", TEXT(TRIM(S679),"00000")="89032", TEXT(TRIM(S679),"00000")="89086", TEXT(TRIM(S679),"00000")="89084", TEXT(TRIM(S679),"00000")="89081"), "North LV",
  OR(TEXT(TRIM(S679),"00000")="89109", TEXT(TRIM(S679),"00000")="89103", TEXT(TRIM(S679),"00000")="89119", TEXT(TRIM(S679),"00000")="89123", TEXT(TRIM(S679),"00000")="89169", TEXT(TRIM(S679),"00000")="89118"), "South/Strip",
  OR(TEXT(TRIM(S679),"00000")="89074", TEXT(TRIM(S679),"00000")="89014", TEXT(TRIM(S679),"00000")="89015", TEXT(TRIM(S679),"00000")="89011", TEXT(TRIM(S679),"00000")="89012"), "Suburban SE",
  OR(TEXT(TRIM(S679),"00000")="89117", TEXT(TRIM(S679),"00000")="89128", TEXT(TRIM(S679),"00000")="89135", TEXT(TRIM(S679),"00000")="89144", TEXT(TRIM(S679),"00000")="89145", TEXT(TRIM(S679),"00000")="89147"), "West Valley",
  TRUE, "Other"
)</f>
        <v>Urban Core</v>
      </c>
      <c r="U679" t="s">
        <v>3298</v>
      </c>
      <c r="V679" t="str">
        <f t="shared" si="43"/>
        <v>Outdoors/Public</v>
      </c>
    </row>
    <row r="680" spans="1:22">
      <c r="A680" t="s">
        <v>386</v>
      </c>
      <c r="B680" t="s">
        <v>387</v>
      </c>
      <c r="C680" s="1">
        <v>45125</v>
      </c>
      <c r="D680" s="4">
        <v>111.92</v>
      </c>
      <c r="E680">
        <v>59</v>
      </c>
      <c r="F680" t="str">
        <f t="shared" si="40"/>
        <v>50's</v>
      </c>
      <c r="G680" t="str" cm="1">
        <f t="array" ref="G680">_xlfn.IFS(
  F680="10's", "Child (5–12)",
  OR(F680="20's", F680="30's"), "Young Adult (20–39)",
  OR(F680="40's", F680="50's"), "Adult (40–59)",
  OR(F680="60's", F680="70's", F680="80's", F680="90's"), "Senior (60+)",
  TRUE, "Unknown"
)</f>
        <v>Adult (40–59)</v>
      </c>
      <c r="H680" t="s">
        <v>841</v>
      </c>
      <c r="I680" t="s">
        <v>4025</v>
      </c>
      <c r="J680" t="str">
        <f t="shared" si="41"/>
        <v>Methamphetamine-related</v>
      </c>
      <c r="K680" t="s">
        <v>388</v>
      </c>
      <c r="L680" t="s">
        <v>1071</v>
      </c>
      <c r="M680" t="s">
        <v>4407</v>
      </c>
      <c r="N680" t="s">
        <v>5154</v>
      </c>
      <c r="O680" t="str" cm="1">
        <f t="array" ref="O680">_xlfn.IFS(
  TEXT(TRIM(N680),"00000")="NULL", "Missing/Unknown",
  OR(TEXT(TRIM(N680),"00000")="89101", TEXT(TRIM(N680),"00000")="89104", TEXT(TRIM(N680),"00000")="89106", TEXT(TRIM(N680),"00000")="89102", TEXT(TRIM(N680),"00000")="89107", TEXT(TRIM(N680),"00000")="89108"), "Urban Core",
  OR(TEXT(TRIM(N680),"00000")="89110", TEXT(TRIM(N680),"00000")="89115", TEXT(TRIM(N680),"00000")="89121", TEXT(TRIM(N680),"00000")="89122", TEXT(TRIM(N680),"00000")="89142", TEXT(TRIM(N680),"00000")="89156"), "East Valley",
  OR(TEXT(TRIM(N680),"00000")="89030", TEXT(TRIM(N680),"00000")="89031", TEXT(TRIM(N680),"00000")="89032", TEXT(TRIM(N680),"00000")="89086", TEXT(TRIM(N680),"00000")="89084", TEXT(TRIM(N680),"00000")="89081"), "North LV",
  OR(TEXT(TRIM(N680),"00000")="89109", TEXT(TRIM(N680),"00000")="89103", TEXT(TRIM(N680),"00000")="89119", TEXT(TRIM(N680),"00000")="89123", TEXT(TRIM(N680),"00000")="89169", TEXT(TRIM(N680),"00000")="89118"), "South/Strip",
  OR(TEXT(TRIM(N680),"00000")="89074", TEXT(TRIM(N680),"00000")="89014", TEXT(TRIM(N680),"00000")="89015", TEXT(TRIM(N680),"00000")="89011", TEXT(TRIM(N680),"00000")="89012"), "Suburban SE",
  OR(TEXT(TRIM(N680),"00000")="89117", TEXT(TRIM(N680),"00000")="89128", TEXT(TRIM(N680),"00000")="89135", TEXT(TRIM(N680),"00000")="89144", TEXT(TRIM(N680),"00000")="89145", TEXT(TRIM(N680),"00000")="89147"), "West Valley",
  TRUE, "Other"
)</f>
        <v>West Valley</v>
      </c>
      <c r="P680" t="s">
        <v>38</v>
      </c>
      <c r="Q680" t="str">
        <f t="shared" si="42"/>
        <v>Home/Residence</v>
      </c>
      <c r="R680" t="s">
        <v>4407</v>
      </c>
      <c r="S680" t="s">
        <v>5154</v>
      </c>
      <c r="T680" t="str" cm="1">
        <f t="array" ref="T680">_xlfn.IFS(
  TEXT(TRIM(S680),"00000")="NULL", "Missing/Unknown",
  OR(TEXT(TRIM(S680),"00000")="89101", TEXT(TRIM(S680),"00000")="89104", TEXT(TRIM(S680),"00000")="89106", TEXT(TRIM(S680),"00000")="89102", TEXT(TRIM(S680),"00000")="89107", TEXT(TRIM(S680),"00000")="89108"), "Urban Core",
  OR(TEXT(TRIM(S680),"00000")="89110", TEXT(TRIM(S680),"00000")="89115", TEXT(TRIM(S680),"00000")="89121", TEXT(TRIM(S680),"00000")="89122", TEXT(TRIM(S680),"00000")="89142", TEXT(TRIM(S680),"00000")="89156"), "East Valley",
  OR(TEXT(TRIM(S680),"00000")="89030", TEXT(TRIM(S680),"00000")="89031", TEXT(TRIM(S680),"00000")="89032", TEXT(TRIM(S680),"00000")="89086", TEXT(TRIM(S680),"00000")="89084", TEXT(TRIM(S680),"00000")="89081"), "North LV",
  OR(TEXT(TRIM(S680),"00000")="89109", TEXT(TRIM(S680),"00000")="89103", TEXT(TRIM(S680),"00000")="89119", TEXT(TRIM(S680),"00000")="89123", TEXT(TRIM(S680),"00000")="89169", TEXT(TRIM(S680),"00000")="89118"), "South/Strip",
  OR(TEXT(TRIM(S680),"00000")="89074", TEXT(TRIM(S680),"00000")="89014", TEXT(TRIM(S680),"00000")="89015", TEXT(TRIM(S680),"00000")="89011", TEXT(TRIM(S680),"00000")="89012"), "Suburban SE",
  OR(TEXT(TRIM(S680),"00000")="89117", TEXT(TRIM(S680),"00000")="89128", TEXT(TRIM(S680),"00000")="89135", TEXT(TRIM(S680),"00000")="89144", TEXT(TRIM(S680),"00000")="89145", TEXT(TRIM(S680),"00000")="89147"), "West Valley",
  TRUE, "Other"
)</f>
        <v>West Valley</v>
      </c>
      <c r="U680" t="s">
        <v>38</v>
      </c>
      <c r="V680" t="str">
        <f t="shared" si="43"/>
        <v>Home/Residence</v>
      </c>
    </row>
    <row r="681" spans="1:22">
      <c r="A681" t="s">
        <v>377</v>
      </c>
      <c r="B681" t="s">
        <v>378</v>
      </c>
      <c r="C681" s="1">
        <v>45125</v>
      </c>
      <c r="D681" s="4">
        <v>111.92</v>
      </c>
      <c r="E681">
        <v>61</v>
      </c>
      <c r="F681" t="str">
        <f t="shared" si="40"/>
        <v>60's</v>
      </c>
      <c r="G681" t="str" cm="1">
        <f t="array" ref="G681">_xlfn.IFS(
  F681="10's", "Child (5–12)",
  OR(F681="20's", F681="30's"), "Young Adult (20–39)",
  OR(F681="40's", F681="50's"), "Adult (40–59)",
  OR(F681="60's", F681="70's", F681="80's", F681="90's"), "Senior (60+)",
  TRUE, "Unknown"
)</f>
        <v>Senior (60+)</v>
      </c>
      <c r="H681" t="s">
        <v>841</v>
      </c>
      <c r="I681" t="s">
        <v>163</v>
      </c>
      <c r="J681" t="str">
        <f t="shared" si="41"/>
        <v>Environmental Heat</v>
      </c>
      <c r="K681" t="s">
        <v>379</v>
      </c>
      <c r="L681" t="s">
        <v>250</v>
      </c>
      <c r="M681" t="s">
        <v>4342</v>
      </c>
      <c r="N681" t="s">
        <v>5101</v>
      </c>
      <c r="O681" t="str" cm="1">
        <f t="array" ref="O681">_xlfn.IFS(
  TEXT(TRIM(N681),"00000")="NULL", "Missing/Unknown",
  OR(TEXT(TRIM(N681),"00000")="89101", TEXT(TRIM(N681),"00000")="89104", TEXT(TRIM(N681),"00000")="89106", TEXT(TRIM(N681),"00000")="89102", TEXT(TRIM(N681),"00000")="89107", TEXT(TRIM(N681),"00000")="89108"), "Urban Core",
  OR(TEXT(TRIM(N681),"00000")="89110", TEXT(TRIM(N681),"00000")="89115", TEXT(TRIM(N681),"00000")="89121", TEXT(TRIM(N681),"00000")="89122", TEXT(TRIM(N681),"00000")="89142", TEXT(TRIM(N681),"00000")="89156"), "East Valley",
  OR(TEXT(TRIM(N681),"00000")="89030", TEXT(TRIM(N681),"00000")="89031", TEXT(TRIM(N681),"00000")="89032", TEXT(TRIM(N681),"00000")="89086", TEXT(TRIM(N681),"00000")="89084", TEXT(TRIM(N681),"00000")="89081"), "North LV",
  OR(TEXT(TRIM(N681),"00000")="89109", TEXT(TRIM(N681),"00000")="89103", TEXT(TRIM(N681),"00000")="89119", TEXT(TRIM(N681),"00000")="89123", TEXT(TRIM(N681),"00000")="89169", TEXT(TRIM(N681),"00000")="89118"), "South/Strip",
  OR(TEXT(TRIM(N681),"00000")="89074", TEXT(TRIM(N681),"00000")="89014", TEXT(TRIM(N681),"00000")="89015", TEXT(TRIM(N681),"00000")="89011", TEXT(TRIM(N681),"00000")="89012"), "Suburban SE",
  OR(TEXT(TRIM(N681),"00000")="89117", TEXT(TRIM(N681),"00000")="89128", TEXT(TRIM(N681),"00000")="89135", TEXT(TRIM(N681),"00000")="89144", TEXT(TRIM(N681),"00000")="89145", TEXT(TRIM(N681),"00000")="89147"), "West Valley",
  TRUE, "Other"
)</f>
        <v>Urban Core</v>
      </c>
      <c r="P681" t="s">
        <v>3298</v>
      </c>
      <c r="Q681" t="str">
        <f t="shared" si="42"/>
        <v>Outdoors/Public</v>
      </c>
      <c r="R681" t="s">
        <v>4341</v>
      </c>
      <c r="S681" t="s">
        <v>5100</v>
      </c>
      <c r="T681" t="str" cm="1">
        <f t="array" ref="T681">_xlfn.IFS(
  TEXT(TRIM(S681),"00000")="NULL", "Missing/Unknown",
  OR(TEXT(TRIM(S681),"00000")="89101", TEXT(TRIM(S681),"00000")="89104", TEXT(TRIM(S681),"00000")="89106", TEXT(TRIM(S681),"00000")="89102", TEXT(TRIM(S681),"00000")="89107", TEXT(TRIM(S681),"00000")="89108"), "Urban Core",
  OR(TEXT(TRIM(S681),"00000")="89110", TEXT(TRIM(S681),"00000")="89115", TEXT(TRIM(S681),"00000")="89121", TEXT(TRIM(S681),"00000")="89122", TEXT(TRIM(S681),"00000")="89142", TEXT(TRIM(S681),"00000")="89156"), "East Valley",
  OR(TEXT(TRIM(S681),"00000")="89030", TEXT(TRIM(S681),"00000")="89031", TEXT(TRIM(S681),"00000")="89032", TEXT(TRIM(S681),"00000")="89086", TEXT(TRIM(S681),"00000")="89084", TEXT(TRIM(S681),"00000")="89081"), "North LV",
  OR(TEXT(TRIM(S681),"00000")="89109", TEXT(TRIM(S681),"00000")="89103", TEXT(TRIM(S681),"00000")="89119", TEXT(TRIM(S681),"00000")="89123", TEXT(TRIM(S681),"00000")="89169", TEXT(TRIM(S681),"00000")="89118"), "South/Strip",
  OR(TEXT(TRIM(S681),"00000")="89074", TEXT(TRIM(S681),"00000")="89014", TEXT(TRIM(S681),"00000")="89015", TEXT(TRIM(S681),"00000")="89011", TEXT(TRIM(S681),"00000")="89012"), "Suburban SE",
  OR(TEXT(TRIM(S681),"00000")="89117", TEXT(TRIM(S681),"00000")="89128", TEXT(TRIM(S681),"00000")="89135", TEXT(TRIM(S681),"00000")="89144", TEXT(TRIM(S681),"00000")="89145", TEXT(TRIM(S681),"00000")="89147"), "West Valley",
  TRUE, "Other"
)</f>
        <v>North LV</v>
      </c>
      <c r="U681" t="s">
        <v>4301</v>
      </c>
      <c r="V681" t="str">
        <f t="shared" si="43"/>
        <v>Medical Facility</v>
      </c>
    </row>
    <row r="682" spans="1:22">
      <c r="A682" t="s">
        <v>381</v>
      </c>
      <c r="B682" t="s">
        <v>382</v>
      </c>
      <c r="C682" s="1">
        <v>45125</v>
      </c>
      <c r="D682" s="4">
        <v>111.92</v>
      </c>
      <c r="E682">
        <v>55</v>
      </c>
      <c r="F682" t="str">
        <f t="shared" si="40"/>
        <v>50's</v>
      </c>
      <c r="G682" t="str" cm="1">
        <f t="array" ref="G682">_xlfn.IFS(
  F682="10's", "Child (5–12)",
  OR(F682="20's", F682="30's"), "Young Adult (20–39)",
  OR(F682="40's", F682="50's"), "Adult (40–59)",
  OR(F682="60's", F682="70's", F682="80's", F682="90's"), "Senior (60+)",
  TRUE, "Unknown"
)</f>
        <v>Adult (40–59)</v>
      </c>
      <c r="H682" t="s">
        <v>841</v>
      </c>
      <c r="I682" t="s">
        <v>97</v>
      </c>
      <c r="J682" t="str">
        <f t="shared" si="41"/>
        <v>Environmental Heat</v>
      </c>
      <c r="K682" t="s">
        <v>98</v>
      </c>
      <c r="L682" t="s">
        <v>250</v>
      </c>
      <c r="M682" t="s">
        <v>4336</v>
      </c>
      <c r="N682" t="s">
        <v>5101</v>
      </c>
      <c r="O682" t="str" cm="1">
        <f t="array" ref="O682">_xlfn.IFS(
  TEXT(TRIM(N682),"00000")="NULL", "Missing/Unknown",
  OR(TEXT(TRIM(N682),"00000")="89101", TEXT(TRIM(N682),"00000")="89104", TEXT(TRIM(N682),"00000")="89106", TEXT(TRIM(N682),"00000")="89102", TEXT(TRIM(N682),"00000")="89107", TEXT(TRIM(N682),"00000")="89108"), "Urban Core",
  OR(TEXT(TRIM(N682),"00000")="89110", TEXT(TRIM(N682),"00000")="89115", TEXT(TRIM(N682),"00000")="89121", TEXT(TRIM(N682),"00000")="89122", TEXT(TRIM(N682),"00000")="89142", TEXT(TRIM(N682),"00000")="89156"), "East Valley",
  OR(TEXT(TRIM(N682),"00000")="89030", TEXT(TRIM(N682),"00000")="89031", TEXT(TRIM(N682),"00000")="89032", TEXT(TRIM(N682),"00000")="89086", TEXT(TRIM(N682),"00000")="89084", TEXT(TRIM(N682),"00000")="89081"), "North LV",
  OR(TEXT(TRIM(N682),"00000")="89109", TEXT(TRIM(N682),"00000")="89103", TEXT(TRIM(N682),"00000")="89119", TEXT(TRIM(N682),"00000")="89123", TEXT(TRIM(N682),"00000")="89169", TEXT(TRIM(N682),"00000")="89118"), "South/Strip",
  OR(TEXT(TRIM(N682),"00000")="89074", TEXT(TRIM(N682),"00000")="89014", TEXT(TRIM(N682),"00000")="89015", TEXT(TRIM(N682),"00000")="89011", TEXT(TRIM(N682),"00000")="89012"), "Suburban SE",
  OR(TEXT(TRIM(N682),"00000")="89117", TEXT(TRIM(N682),"00000")="89128", TEXT(TRIM(N682),"00000")="89135", TEXT(TRIM(N682),"00000")="89144", TEXT(TRIM(N682),"00000")="89145", TEXT(TRIM(N682),"00000")="89147"), "West Valley",
  TRUE, "Other"
)</f>
        <v>Urban Core</v>
      </c>
      <c r="P682" t="s">
        <v>3298</v>
      </c>
      <c r="Q682" t="str">
        <f t="shared" si="42"/>
        <v>Outdoors/Public</v>
      </c>
      <c r="R682" t="s">
        <v>4341</v>
      </c>
      <c r="S682" t="s">
        <v>5100</v>
      </c>
      <c r="T682" t="str" cm="1">
        <f t="array" ref="T682">_xlfn.IFS(
  TEXT(TRIM(S682),"00000")="NULL", "Missing/Unknown",
  OR(TEXT(TRIM(S682),"00000")="89101", TEXT(TRIM(S682),"00000")="89104", TEXT(TRIM(S682),"00000")="89106", TEXT(TRIM(S682),"00000")="89102", TEXT(TRIM(S682),"00000")="89107", TEXT(TRIM(S682),"00000")="89108"), "Urban Core",
  OR(TEXT(TRIM(S682),"00000")="89110", TEXT(TRIM(S682),"00000")="89115", TEXT(TRIM(S682),"00000")="89121", TEXT(TRIM(S682),"00000")="89122", TEXT(TRIM(S682),"00000")="89142", TEXT(TRIM(S682),"00000")="89156"), "East Valley",
  OR(TEXT(TRIM(S682),"00000")="89030", TEXT(TRIM(S682),"00000")="89031", TEXT(TRIM(S682),"00000")="89032", TEXT(TRIM(S682),"00000")="89086", TEXT(TRIM(S682),"00000")="89084", TEXT(TRIM(S682),"00000")="89081"), "North LV",
  OR(TEXT(TRIM(S682),"00000")="89109", TEXT(TRIM(S682),"00000")="89103", TEXT(TRIM(S682),"00000")="89119", TEXT(TRIM(S682),"00000")="89123", TEXT(TRIM(S682),"00000")="89169", TEXT(TRIM(S682),"00000")="89118"), "South/Strip",
  OR(TEXT(TRIM(S682),"00000")="89074", TEXT(TRIM(S682),"00000")="89014", TEXT(TRIM(S682),"00000")="89015", TEXT(TRIM(S682),"00000")="89011", TEXT(TRIM(S682),"00000")="89012"), "Suburban SE",
  OR(TEXT(TRIM(S682),"00000")="89117", TEXT(TRIM(S682),"00000")="89128", TEXT(TRIM(S682),"00000")="89135", TEXT(TRIM(S682),"00000")="89144", TEXT(TRIM(S682),"00000")="89145", TEXT(TRIM(S682),"00000")="89147"), "West Valley",
  TRUE, "Other"
)</f>
        <v>North LV</v>
      </c>
      <c r="U682" t="s">
        <v>4301</v>
      </c>
      <c r="V682" t="str">
        <f t="shared" si="43"/>
        <v>Medical Facility</v>
      </c>
    </row>
    <row r="683" spans="1:22">
      <c r="A683" t="s">
        <v>383</v>
      </c>
      <c r="B683" t="s">
        <v>384</v>
      </c>
      <c r="C683" s="1">
        <v>45125</v>
      </c>
      <c r="D683" s="4">
        <v>111.92</v>
      </c>
      <c r="E683">
        <v>40</v>
      </c>
      <c r="F683" t="str">
        <f t="shared" si="40"/>
        <v>40's</v>
      </c>
      <c r="G683" t="str" cm="1">
        <f t="array" ref="G683">_xlfn.IFS(
  F683="10's", "Child (5–12)",
  OR(F683="20's", F683="30's"), "Young Adult (20–39)",
  OR(F683="40's", F683="50's"), "Adult (40–59)",
  OR(F683="60's", F683="70's", F683="80's", F683="90's"), "Senior (60+)",
  TRUE, "Unknown"
)</f>
        <v>Adult (40–59)</v>
      </c>
      <c r="H683" t="s">
        <v>778</v>
      </c>
      <c r="I683" t="s">
        <v>97</v>
      </c>
      <c r="J683" t="str">
        <f t="shared" si="41"/>
        <v>Environmental Heat</v>
      </c>
      <c r="K683" t="s">
        <v>98</v>
      </c>
      <c r="L683" t="s">
        <v>250</v>
      </c>
      <c r="M683" t="s">
        <v>4323</v>
      </c>
      <c r="N683" t="s">
        <v>5100</v>
      </c>
      <c r="O683" t="str" cm="1">
        <f t="array" ref="O683">_xlfn.IFS(
  TEXT(TRIM(N683),"00000")="NULL", "Missing/Unknown",
  OR(TEXT(TRIM(N683),"00000")="89101", TEXT(TRIM(N683),"00000")="89104", TEXT(TRIM(N683),"00000")="89106", TEXT(TRIM(N683),"00000")="89102", TEXT(TRIM(N683),"00000")="89107", TEXT(TRIM(N683),"00000")="89108"), "Urban Core",
  OR(TEXT(TRIM(N683),"00000")="89110", TEXT(TRIM(N683),"00000")="89115", TEXT(TRIM(N683),"00000")="89121", TEXT(TRIM(N683),"00000")="89122", TEXT(TRIM(N683),"00000")="89142", TEXT(TRIM(N683),"00000")="89156"), "East Valley",
  OR(TEXT(TRIM(N683),"00000")="89030", TEXT(TRIM(N683),"00000")="89031", TEXT(TRIM(N683),"00000")="89032", TEXT(TRIM(N683),"00000")="89086", TEXT(TRIM(N683),"00000")="89084", TEXT(TRIM(N683),"00000")="89081"), "North LV",
  OR(TEXT(TRIM(N683),"00000")="89109", TEXT(TRIM(N683),"00000")="89103", TEXT(TRIM(N683),"00000")="89119", TEXT(TRIM(N683),"00000")="89123", TEXT(TRIM(N683),"00000")="89169", TEXT(TRIM(N683),"00000")="89118"), "South/Strip",
  OR(TEXT(TRIM(N683),"00000")="89074", TEXT(TRIM(N683),"00000")="89014", TEXT(TRIM(N683),"00000")="89015", TEXT(TRIM(N683),"00000")="89011", TEXT(TRIM(N683),"00000")="89012"), "Suburban SE",
  OR(TEXT(TRIM(N683),"00000")="89117", TEXT(TRIM(N683),"00000")="89128", TEXT(TRIM(N683),"00000")="89135", TEXT(TRIM(N683),"00000")="89144", TEXT(TRIM(N683),"00000")="89145", TEXT(TRIM(N683),"00000")="89147"), "West Valley",
  TRUE, "Other"
)</f>
        <v>North LV</v>
      </c>
      <c r="P683" t="s">
        <v>3298</v>
      </c>
      <c r="Q683" t="str">
        <f t="shared" si="42"/>
        <v>Outdoors/Public</v>
      </c>
      <c r="R683" t="s">
        <v>4341</v>
      </c>
      <c r="S683" t="s">
        <v>5100</v>
      </c>
      <c r="T683" t="str" cm="1">
        <f t="array" ref="T683">_xlfn.IFS(
  TEXT(TRIM(S683),"00000")="NULL", "Missing/Unknown",
  OR(TEXT(TRIM(S683),"00000")="89101", TEXT(TRIM(S683),"00000")="89104", TEXT(TRIM(S683),"00000")="89106", TEXT(TRIM(S683),"00000")="89102", TEXT(TRIM(S683),"00000")="89107", TEXT(TRIM(S683),"00000")="89108"), "Urban Core",
  OR(TEXT(TRIM(S683),"00000")="89110", TEXT(TRIM(S683),"00000")="89115", TEXT(TRIM(S683),"00000")="89121", TEXT(TRIM(S683),"00000")="89122", TEXT(TRIM(S683),"00000")="89142", TEXT(TRIM(S683),"00000")="89156"), "East Valley",
  OR(TEXT(TRIM(S683),"00000")="89030", TEXT(TRIM(S683),"00000")="89031", TEXT(TRIM(S683),"00000")="89032", TEXT(TRIM(S683),"00000")="89086", TEXT(TRIM(S683),"00000")="89084", TEXT(TRIM(S683),"00000")="89081"), "North LV",
  OR(TEXT(TRIM(S683),"00000")="89109", TEXT(TRIM(S683),"00000")="89103", TEXT(TRIM(S683),"00000")="89119", TEXT(TRIM(S683),"00000")="89123", TEXT(TRIM(S683),"00000")="89169", TEXT(TRIM(S683),"00000")="89118"), "South/Strip",
  OR(TEXT(TRIM(S683),"00000")="89074", TEXT(TRIM(S683),"00000")="89014", TEXT(TRIM(S683),"00000")="89015", TEXT(TRIM(S683),"00000")="89011", TEXT(TRIM(S683),"00000")="89012"), "Suburban SE",
  OR(TEXT(TRIM(S683),"00000")="89117", TEXT(TRIM(S683),"00000")="89128", TEXT(TRIM(S683),"00000")="89135", TEXT(TRIM(S683),"00000")="89144", TEXT(TRIM(S683),"00000")="89145", TEXT(TRIM(S683),"00000")="89147"), "West Valley",
  TRUE, "Other"
)</f>
        <v>North LV</v>
      </c>
      <c r="U683" t="s">
        <v>4301</v>
      </c>
      <c r="V683" t="str">
        <f t="shared" si="43"/>
        <v>Medical Facility</v>
      </c>
    </row>
    <row r="684" spans="1:22">
      <c r="A684" t="s">
        <v>351</v>
      </c>
      <c r="B684" t="s">
        <v>352</v>
      </c>
      <c r="C684" s="1">
        <v>45125</v>
      </c>
      <c r="D684" s="4">
        <v>111.92</v>
      </c>
      <c r="E684">
        <v>79</v>
      </c>
      <c r="F684" t="str">
        <f t="shared" si="40"/>
        <v>70's</v>
      </c>
      <c r="G684" t="str" cm="1">
        <f t="array" ref="G684">_xlfn.IFS(
  F684="10's", "Child (5–12)",
  OR(F684="20's", F684="30's"), "Young Adult (20–39)",
  OR(F684="40's", F684="50's"), "Adult (40–59)",
  OR(F684="60's", F684="70's", F684="80's", F684="90's"), "Senior (60+)",
  TRUE, "Unknown"
)</f>
        <v>Senior (60+)</v>
      </c>
      <c r="H684" t="s">
        <v>841</v>
      </c>
      <c r="I684" t="s">
        <v>63</v>
      </c>
      <c r="J684" t="str">
        <f t="shared" si="41"/>
        <v>Cardiovascular Disease</v>
      </c>
      <c r="K684" t="s">
        <v>54</v>
      </c>
      <c r="L684" t="s">
        <v>1071</v>
      </c>
      <c r="M684" t="s">
        <v>4406</v>
      </c>
      <c r="N684" t="s">
        <v>5119</v>
      </c>
      <c r="O684" t="str" cm="1">
        <f t="array" ref="O684">_xlfn.IFS(
  TEXT(TRIM(N684),"00000")="NULL", "Missing/Unknown",
  OR(TEXT(TRIM(N684),"00000")="89101", TEXT(TRIM(N684),"00000")="89104", TEXT(TRIM(N684),"00000")="89106", TEXT(TRIM(N684),"00000")="89102", TEXT(TRIM(N684),"00000")="89107", TEXT(TRIM(N684),"00000")="89108"), "Urban Core",
  OR(TEXT(TRIM(N684),"00000")="89110", TEXT(TRIM(N684),"00000")="89115", TEXT(TRIM(N684),"00000")="89121", TEXT(TRIM(N684),"00000")="89122", TEXT(TRIM(N684),"00000")="89142", TEXT(TRIM(N684),"00000")="89156"), "East Valley",
  OR(TEXT(TRIM(N684),"00000")="89030", TEXT(TRIM(N684),"00000")="89031", TEXT(TRIM(N684),"00000")="89032", TEXT(TRIM(N684),"00000")="89086", TEXT(TRIM(N684),"00000")="89084", TEXT(TRIM(N684),"00000")="89081"), "North LV",
  OR(TEXT(TRIM(N684),"00000")="89109", TEXT(TRIM(N684),"00000")="89103", TEXT(TRIM(N684),"00000")="89119", TEXT(TRIM(N684),"00000")="89123", TEXT(TRIM(N684),"00000")="89169", TEXT(TRIM(N684),"00000")="89118"), "South/Strip",
  OR(TEXT(TRIM(N684),"00000")="89074", TEXT(TRIM(N684),"00000")="89014", TEXT(TRIM(N684),"00000")="89015", TEXT(TRIM(N684),"00000")="89011", TEXT(TRIM(N684),"00000")="89012"), "Suburban SE",
  OR(TEXT(TRIM(N684),"00000")="89117", TEXT(TRIM(N684),"00000")="89128", TEXT(TRIM(N684),"00000")="89135", TEXT(TRIM(N684),"00000")="89144", TEXT(TRIM(N684),"00000")="89145", TEXT(TRIM(N684),"00000")="89147"), "West Valley",
  TRUE, "Other"
)</f>
        <v>Urban Core</v>
      </c>
      <c r="P684" t="s">
        <v>38</v>
      </c>
      <c r="Q684" t="str">
        <f t="shared" si="42"/>
        <v>Home/Residence</v>
      </c>
      <c r="R684" t="s">
        <v>4406</v>
      </c>
      <c r="S684" t="s">
        <v>5119</v>
      </c>
      <c r="T684" t="str" cm="1">
        <f t="array" ref="T684">_xlfn.IFS(
  TEXT(TRIM(S684),"00000")="NULL", "Missing/Unknown",
  OR(TEXT(TRIM(S684),"00000")="89101", TEXT(TRIM(S684),"00000")="89104", TEXT(TRIM(S684),"00000")="89106", TEXT(TRIM(S684),"00000")="89102", TEXT(TRIM(S684),"00000")="89107", TEXT(TRIM(S684),"00000")="89108"), "Urban Core",
  OR(TEXT(TRIM(S684),"00000")="89110", TEXT(TRIM(S684),"00000")="89115", TEXT(TRIM(S684),"00000")="89121", TEXT(TRIM(S684),"00000")="89122", TEXT(TRIM(S684),"00000")="89142", TEXT(TRIM(S684),"00000")="89156"), "East Valley",
  OR(TEXT(TRIM(S684),"00000")="89030", TEXT(TRIM(S684),"00000")="89031", TEXT(TRIM(S684),"00000")="89032", TEXT(TRIM(S684),"00000")="89086", TEXT(TRIM(S684),"00000")="89084", TEXT(TRIM(S684),"00000")="89081"), "North LV",
  OR(TEXT(TRIM(S684),"00000")="89109", TEXT(TRIM(S684),"00000")="89103", TEXT(TRIM(S684),"00000")="89119", TEXT(TRIM(S684),"00000")="89123", TEXT(TRIM(S684),"00000")="89169", TEXT(TRIM(S684),"00000")="89118"), "South/Strip",
  OR(TEXT(TRIM(S684),"00000")="89074", TEXT(TRIM(S684),"00000")="89014", TEXT(TRIM(S684),"00000")="89015", TEXT(TRIM(S684),"00000")="89011", TEXT(TRIM(S684),"00000")="89012"), "Suburban SE",
  OR(TEXT(TRIM(S684),"00000")="89117", TEXT(TRIM(S684),"00000")="89128", TEXT(TRIM(S684),"00000")="89135", TEXT(TRIM(S684),"00000")="89144", TEXT(TRIM(S684),"00000")="89145", TEXT(TRIM(S684),"00000")="89147"), "West Valley",
  TRUE, "Other"
)</f>
        <v>Urban Core</v>
      </c>
      <c r="U684" t="s">
        <v>38</v>
      </c>
      <c r="V684" t="str">
        <f t="shared" si="43"/>
        <v>Home/Residence</v>
      </c>
    </row>
    <row r="685" spans="1:22">
      <c r="A685" t="s">
        <v>323</v>
      </c>
      <c r="B685" t="s">
        <v>324</v>
      </c>
      <c r="C685" s="1">
        <v>45125</v>
      </c>
      <c r="D685" s="4">
        <v>111.92</v>
      </c>
      <c r="E685">
        <v>93</v>
      </c>
      <c r="F685" t="str">
        <f t="shared" si="40"/>
        <v>90's</v>
      </c>
      <c r="G685" t="str" cm="1">
        <f t="array" ref="G685">_xlfn.IFS(
  F685="10's", "Child (5–12)",
  OR(F685="20's", F685="30's"), "Young Adult (20–39)",
  OR(F685="40's", F685="50's"), "Adult (40–59)",
  OR(F685="60's", F685="70's", F685="80's", F685="90's"), "Senior (60+)",
  TRUE, "Unknown"
)</f>
        <v>Senior (60+)</v>
      </c>
      <c r="H685" t="s">
        <v>778</v>
      </c>
      <c r="I685" t="s">
        <v>73</v>
      </c>
      <c r="J685" t="str">
        <f t="shared" si="41"/>
        <v>Cardiovascular Disease</v>
      </c>
      <c r="K685" t="s">
        <v>54</v>
      </c>
      <c r="L685" t="s">
        <v>1071</v>
      </c>
      <c r="M685" t="s">
        <v>4402</v>
      </c>
      <c r="N685" t="s">
        <v>5120</v>
      </c>
      <c r="O685" t="str" cm="1">
        <f t="array" ref="O685">_xlfn.IFS(
  TEXT(TRIM(N685),"00000")="NULL", "Missing/Unknown",
  OR(TEXT(TRIM(N685),"00000")="89101", TEXT(TRIM(N685),"00000")="89104", TEXT(TRIM(N685),"00000")="89106", TEXT(TRIM(N685),"00000")="89102", TEXT(TRIM(N685),"00000")="89107", TEXT(TRIM(N685),"00000")="89108"), "Urban Core",
  OR(TEXT(TRIM(N685),"00000")="89110", TEXT(TRIM(N685),"00000")="89115", TEXT(TRIM(N685),"00000")="89121", TEXT(TRIM(N685),"00000")="89122", TEXT(TRIM(N685),"00000")="89142", TEXT(TRIM(N685),"00000")="89156"), "East Valley",
  OR(TEXT(TRIM(N685),"00000")="89030", TEXT(TRIM(N685),"00000")="89031", TEXT(TRIM(N685),"00000")="89032", TEXT(TRIM(N685),"00000")="89086", TEXT(TRIM(N685),"00000")="89084", TEXT(TRIM(N685),"00000")="89081"), "North LV",
  OR(TEXT(TRIM(N685),"00000")="89109", TEXT(TRIM(N685),"00000")="89103", TEXT(TRIM(N685),"00000")="89119", TEXT(TRIM(N685),"00000")="89123", TEXT(TRIM(N685),"00000")="89169", TEXT(TRIM(N685),"00000")="89118"), "South/Strip",
  OR(TEXT(TRIM(N685),"00000")="89074", TEXT(TRIM(N685),"00000")="89014", TEXT(TRIM(N685),"00000")="89015", TEXT(TRIM(N685),"00000")="89011", TEXT(TRIM(N685),"00000")="89012"), "Suburban SE",
  OR(TEXT(TRIM(N685),"00000")="89117", TEXT(TRIM(N685),"00000")="89128", TEXT(TRIM(N685),"00000")="89135", TEXT(TRIM(N685),"00000")="89144", TEXT(TRIM(N685),"00000")="89145", TEXT(TRIM(N685),"00000")="89147"), "West Valley",
  TRUE, "Other"
)</f>
        <v>Suburban SE</v>
      </c>
      <c r="P685" t="s">
        <v>38</v>
      </c>
      <c r="Q685" t="str">
        <f t="shared" si="42"/>
        <v>Home/Residence</v>
      </c>
      <c r="R685" t="s">
        <v>4402</v>
      </c>
      <c r="S685" t="s">
        <v>5120</v>
      </c>
      <c r="T685" t="str" cm="1">
        <f t="array" ref="T685">_xlfn.IFS(
  TEXT(TRIM(S685),"00000")="NULL", "Missing/Unknown",
  OR(TEXT(TRIM(S685),"00000")="89101", TEXT(TRIM(S685),"00000")="89104", TEXT(TRIM(S685),"00000")="89106", TEXT(TRIM(S685),"00000")="89102", TEXT(TRIM(S685),"00000")="89107", TEXT(TRIM(S685),"00000")="89108"), "Urban Core",
  OR(TEXT(TRIM(S685),"00000")="89110", TEXT(TRIM(S685),"00000")="89115", TEXT(TRIM(S685),"00000")="89121", TEXT(TRIM(S685),"00000")="89122", TEXT(TRIM(S685),"00000")="89142", TEXT(TRIM(S685),"00000")="89156"), "East Valley",
  OR(TEXT(TRIM(S685),"00000")="89030", TEXT(TRIM(S685),"00000")="89031", TEXT(TRIM(S685),"00000")="89032", TEXT(TRIM(S685),"00000")="89086", TEXT(TRIM(S685),"00000")="89084", TEXT(TRIM(S685),"00000")="89081"), "North LV",
  OR(TEXT(TRIM(S685),"00000")="89109", TEXT(TRIM(S685),"00000")="89103", TEXT(TRIM(S685),"00000")="89119", TEXT(TRIM(S685),"00000")="89123", TEXT(TRIM(S685),"00000")="89169", TEXT(TRIM(S685),"00000")="89118"), "South/Strip",
  OR(TEXT(TRIM(S685),"00000")="89074", TEXT(TRIM(S685),"00000")="89014", TEXT(TRIM(S685),"00000")="89015", TEXT(TRIM(S685),"00000")="89011", TEXT(TRIM(S685),"00000")="89012"), "Suburban SE",
  OR(TEXT(TRIM(S685),"00000")="89117", TEXT(TRIM(S685),"00000")="89128", TEXT(TRIM(S685),"00000")="89135", TEXT(TRIM(S685),"00000")="89144", TEXT(TRIM(S685),"00000")="89145", TEXT(TRIM(S685),"00000")="89147"), "West Valley",
  TRUE, "Other"
)</f>
        <v>Suburban SE</v>
      </c>
      <c r="U685" t="s">
        <v>38</v>
      </c>
      <c r="V685" t="str">
        <f t="shared" si="43"/>
        <v>Home/Residence</v>
      </c>
    </row>
    <row r="686" spans="1:22">
      <c r="A686" t="s">
        <v>373</v>
      </c>
      <c r="B686" t="s">
        <v>374</v>
      </c>
      <c r="C686" s="1">
        <v>45125</v>
      </c>
      <c r="D686" s="4">
        <v>111.92</v>
      </c>
      <c r="E686">
        <v>58</v>
      </c>
      <c r="F686" t="str">
        <f t="shared" si="40"/>
        <v>50's</v>
      </c>
      <c r="G686" t="str" cm="1">
        <f t="array" ref="G686">_xlfn.IFS(
  F686="10's", "Child (5–12)",
  OR(F686="20's", F686="30's"), "Young Adult (20–39)",
  OR(F686="40's", F686="50's"), "Adult (40–59)",
  OR(F686="60's", F686="70's", F686="80's", F686="90's"), "Senior (60+)",
  TRUE, "Unknown"
)</f>
        <v>Adult (40–59)</v>
      </c>
      <c r="H686" t="s">
        <v>841</v>
      </c>
      <c r="I686" t="s">
        <v>4025</v>
      </c>
      <c r="J686" t="str">
        <f t="shared" si="41"/>
        <v>Methamphetamine-related</v>
      </c>
      <c r="K686" t="s">
        <v>375</v>
      </c>
      <c r="L686" t="s">
        <v>1071</v>
      </c>
      <c r="M686" t="s">
        <v>4639</v>
      </c>
      <c r="N686" t="s">
        <v>5136</v>
      </c>
      <c r="O686" t="str" cm="1">
        <f t="array" ref="O686">_xlfn.IFS(
  TEXT(TRIM(N686),"00000")="NULL", "Missing/Unknown",
  OR(TEXT(TRIM(N686),"00000")="89101", TEXT(TRIM(N686),"00000")="89104", TEXT(TRIM(N686),"00000")="89106", TEXT(TRIM(N686),"00000")="89102", TEXT(TRIM(N686),"00000")="89107", TEXT(TRIM(N686),"00000")="89108"), "Urban Core",
  OR(TEXT(TRIM(N686),"00000")="89110", TEXT(TRIM(N686),"00000")="89115", TEXT(TRIM(N686),"00000")="89121", TEXT(TRIM(N686),"00000")="89122", TEXT(TRIM(N686),"00000")="89142", TEXT(TRIM(N686),"00000")="89156"), "East Valley",
  OR(TEXT(TRIM(N686),"00000")="89030", TEXT(TRIM(N686),"00000")="89031", TEXT(TRIM(N686),"00000")="89032", TEXT(TRIM(N686),"00000")="89086", TEXT(TRIM(N686),"00000")="89084", TEXT(TRIM(N686),"00000")="89081"), "North LV",
  OR(TEXT(TRIM(N686),"00000")="89109", TEXT(TRIM(N686),"00000")="89103", TEXT(TRIM(N686),"00000")="89119", TEXT(TRIM(N686),"00000")="89123", TEXT(TRIM(N686),"00000")="89169", TEXT(TRIM(N686),"00000")="89118"), "South/Strip",
  OR(TEXT(TRIM(N686),"00000")="89074", TEXT(TRIM(N686),"00000")="89014", TEXT(TRIM(N686),"00000")="89015", TEXT(TRIM(N686),"00000")="89011", TEXT(TRIM(N686),"00000")="89012"), "Suburban SE",
  OR(TEXT(TRIM(N686),"00000")="89117", TEXT(TRIM(N686),"00000")="89128", TEXT(TRIM(N686),"00000")="89135", TEXT(TRIM(N686),"00000")="89144", TEXT(TRIM(N686),"00000")="89145", TEXT(TRIM(N686),"00000")="89147"), "West Valley",
  TRUE, "Other"
)</f>
        <v>Other</v>
      </c>
      <c r="P686" t="s">
        <v>3298</v>
      </c>
      <c r="Q686" t="str">
        <f t="shared" si="42"/>
        <v>Outdoors/Public</v>
      </c>
      <c r="R686" t="s">
        <v>4639</v>
      </c>
      <c r="S686" t="s">
        <v>5136</v>
      </c>
      <c r="T686" t="str" cm="1">
        <f t="array" ref="T686">_xlfn.IFS(
  TEXT(TRIM(S686),"00000")="NULL", "Missing/Unknown",
  OR(TEXT(TRIM(S686),"00000")="89101", TEXT(TRIM(S686),"00000")="89104", TEXT(TRIM(S686),"00000")="89106", TEXT(TRIM(S686),"00000")="89102", TEXT(TRIM(S686),"00000")="89107", TEXT(TRIM(S686),"00000")="89108"), "Urban Core",
  OR(TEXT(TRIM(S686),"00000")="89110", TEXT(TRIM(S686),"00000")="89115", TEXT(TRIM(S686),"00000")="89121", TEXT(TRIM(S686),"00000")="89122", TEXT(TRIM(S686),"00000")="89142", TEXT(TRIM(S686),"00000")="89156"), "East Valley",
  OR(TEXT(TRIM(S686),"00000")="89030", TEXT(TRIM(S686),"00000")="89031", TEXT(TRIM(S686),"00000")="89032", TEXT(TRIM(S686),"00000")="89086", TEXT(TRIM(S686),"00000")="89084", TEXT(TRIM(S686),"00000")="89081"), "North LV",
  OR(TEXT(TRIM(S686),"00000")="89109", TEXT(TRIM(S686),"00000")="89103", TEXT(TRIM(S686),"00000")="89119", TEXT(TRIM(S686),"00000")="89123", TEXT(TRIM(S686),"00000")="89169", TEXT(TRIM(S686),"00000")="89118"), "South/Strip",
  OR(TEXT(TRIM(S686),"00000")="89074", TEXT(TRIM(S686),"00000")="89014", TEXT(TRIM(S686),"00000")="89015", TEXT(TRIM(S686),"00000")="89011", TEXT(TRIM(S686),"00000")="89012"), "Suburban SE",
  OR(TEXT(TRIM(S686),"00000")="89117", TEXT(TRIM(S686),"00000")="89128", TEXT(TRIM(S686),"00000")="89135", TEXT(TRIM(S686),"00000")="89144", TEXT(TRIM(S686),"00000")="89145", TEXT(TRIM(S686),"00000")="89147"), "West Valley",
  TRUE, "Other"
)</f>
        <v>Other</v>
      </c>
      <c r="U686" t="s">
        <v>3298</v>
      </c>
      <c r="V686" t="str">
        <f t="shared" si="43"/>
        <v>Outdoors/Public</v>
      </c>
    </row>
    <row r="687" spans="1:22">
      <c r="A687" t="s">
        <v>337</v>
      </c>
      <c r="B687" t="s">
        <v>338</v>
      </c>
      <c r="C687" s="1">
        <v>45125</v>
      </c>
      <c r="D687" s="4">
        <v>111.92</v>
      </c>
      <c r="E687">
        <v>56</v>
      </c>
      <c r="F687" t="str">
        <f t="shared" si="40"/>
        <v>50's</v>
      </c>
      <c r="G687" t="str" cm="1">
        <f t="array" ref="G687">_xlfn.IFS(
  F687="10's", "Child (5–12)",
  OR(F687="20's", F687="30's"), "Young Adult (20–39)",
  OR(F687="40's", F687="50's"), "Adult (40–59)",
  OR(F687="60's", F687="70's", F687="80's", F687="90's"), "Senior (60+)",
  TRUE, "Unknown"
)</f>
        <v>Adult (40–59)</v>
      </c>
      <c r="H687" t="s">
        <v>841</v>
      </c>
      <c r="I687" t="s">
        <v>4025</v>
      </c>
      <c r="J687" t="str">
        <f t="shared" si="41"/>
        <v>Methamphetamine-related</v>
      </c>
      <c r="K687" t="s">
        <v>54</v>
      </c>
      <c r="L687" t="s">
        <v>250</v>
      </c>
      <c r="M687" t="s">
        <v>4767</v>
      </c>
      <c r="N687" t="s">
        <v>5101</v>
      </c>
      <c r="O687" t="str" cm="1">
        <f t="array" ref="O687">_xlfn.IFS(
  TEXT(TRIM(N687),"00000")="NULL", "Missing/Unknown",
  OR(TEXT(TRIM(N687),"00000")="89101", TEXT(TRIM(N687),"00000")="89104", TEXT(TRIM(N687),"00000")="89106", TEXT(TRIM(N687),"00000")="89102", TEXT(TRIM(N687),"00000")="89107", TEXT(TRIM(N687),"00000")="89108"), "Urban Core",
  OR(TEXT(TRIM(N687),"00000")="89110", TEXT(TRIM(N687),"00000")="89115", TEXT(TRIM(N687),"00000")="89121", TEXT(TRIM(N687),"00000")="89122", TEXT(TRIM(N687),"00000")="89142", TEXT(TRIM(N687),"00000")="89156"), "East Valley",
  OR(TEXT(TRIM(N687),"00000")="89030", TEXT(TRIM(N687),"00000")="89031", TEXT(TRIM(N687),"00000")="89032", TEXT(TRIM(N687),"00000")="89086", TEXT(TRIM(N687),"00000")="89084", TEXT(TRIM(N687),"00000")="89081"), "North LV",
  OR(TEXT(TRIM(N687),"00000")="89109", TEXT(TRIM(N687),"00000")="89103", TEXT(TRIM(N687),"00000")="89119", TEXT(TRIM(N687),"00000")="89123", TEXT(TRIM(N687),"00000")="89169", TEXT(TRIM(N687),"00000")="89118"), "South/Strip",
  OR(TEXT(TRIM(N687),"00000")="89074", TEXT(TRIM(N687),"00000")="89014", TEXT(TRIM(N687),"00000")="89015", TEXT(TRIM(N687),"00000")="89011", TEXT(TRIM(N687),"00000")="89012"), "Suburban SE",
  OR(TEXT(TRIM(N687),"00000")="89117", TEXT(TRIM(N687),"00000")="89128", TEXT(TRIM(N687),"00000")="89135", TEXT(TRIM(N687),"00000")="89144", TEXT(TRIM(N687),"00000")="89145", TEXT(TRIM(N687),"00000")="89147"), "West Valley",
  TRUE, "Other"
)</f>
        <v>Urban Core</v>
      </c>
      <c r="P687" t="s">
        <v>3298</v>
      </c>
      <c r="Q687" t="str">
        <f t="shared" si="42"/>
        <v>Outdoors/Public</v>
      </c>
      <c r="R687" t="s">
        <v>4767</v>
      </c>
      <c r="S687" t="s">
        <v>5101</v>
      </c>
      <c r="T687" t="str" cm="1">
        <f t="array" ref="T687">_xlfn.IFS(
  TEXT(TRIM(S687),"00000")="NULL", "Missing/Unknown",
  OR(TEXT(TRIM(S687),"00000")="89101", TEXT(TRIM(S687),"00000")="89104", TEXT(TRIM(S687),"00000")="89106", TEXT(TRIM(S687),"00000")="89102", TEXT(TRIM(S687),"00000")="89107", TEXT(TRIM(S687),"00000")="89108"), "Urban Core",
  OR(TEXT(TRIM(S687),"00000")="89110", TEXT(TRIM(S687),"00000")="89115", TEXT(TRIM(S687),"00000")="89121", TEXT(TRIM(S687),"00000")="89122", TEXT(TRIM(S687),"00000")="89142", TEXT(TRIM(S687),"00000")="89156"), "East Valley",
  OR(TEXT(TRIM(S687),"00000")="89030", TEXT(TRIM(S687),"00000")="89031", TEXT(TRIM(S687),"00000")="89032", TEXT(TRIM(S687),"00000")="89086", TEXT(TRIM(S687),"00000")="89084", TEXT(TRIM(S687),"00000")="89081"), "North LV",
  OR(TEXT(TRIM(S687),"00000")="89109", TEXT(TRIM(S687),"00000")="89103", TEXT(TRIM(S687),"00000")="89119", TEXT(TRIM(S687),"00000")="89123", TEXT(TRIM(S687),"00000")="89169", TEXT(TRIM(S687),"00000")="89118"), "South/Strip",
  OR(TEXT(TRIM(S687),"00000")="89074", TEXT(TRIM(S687),"00000")="89014", TEXT(TRIM(S687),"00000")="89015", TEXT(TRIM(S687),"00000")="89011", TEXT(TRIM(S687),"00000")="89012"), "Suburban SE",
  OR(TEXT(TRIM(S687),"00000")="89117", TEXT(TRIM(S687),"00000")="89128", TEXT(TRIM(S687),"00000")="89135", TEXT(TRIM(S687),"00000")="89144", TEXT(TRIM(S687),"00000")="89145", TEXT(TRIM(S687),"00000")="89147"), "West Valley",
  TRUE, "Other"
)</f>
        <v>Urban Core</v>
      </c>
      <c r="U687" t="s">
        <v>3298</v>
      </c>
      <c r="V687" t="str">
        <f t="shared" si="43"/>
        <v>Outdoors/Public</v>
      </c>
    </row>
    <row r="688" spans="1:22">
      <c r="A688" t="s">
        <v>370</v>
      </c>
      <c r="B688" t="s">
        <v>371</v>
      </c>
      <c r="C688" s="1">
        <v>45125</v>
      </c>
      <c r="D688" s="4">
        <v>111.92</v>
      </c>
      <c r="E688">
        <v>47</v>
      </c>
      <c r="F688" t="str">
        <f t="shared" si="40"/>
        <v>40's</v>
      </c>
      <c r="G688" t="str" cm="1">
        <f t="array" ref="G688">_xlfn.IFS(
  F688="10's", "Child (5–12)",
  OR(F688="20's", F688="30's"), "Young Adult (20–39)",
  OR(F688="40's", F688="50's"), "Adult (40–59)",
  OR(F688="60's", F688="70's", F688="80's", F688="90's"), "Senior (60+)",
  TRUE, "Unknown"
)</f>
        <v>Adult (40–59)</v>
      </c>
      <c r="H688" t="s">
        <v>778</v>
      </c>
      <c r="I688" t="s">
        <v>54</v>
      </c>
      <c r="J688" t="str">
        <f t="shared" si="41"/>
        <v>Environmental Heat</v>
      </c>
      <c r="K688" t="s">
        <v>4025</v>
      </c>
      <c r="L688" t="s">
        <v>250</v>
      </c>
      <c r="M688" t="s">
        <v>4326</v>
      </c>
      <c r="N688" t="s">
        <v>5098</v>
      </c>
      <c r="O688" t="str" cm="1">
        <f t="array" ref="O688">_xlfn.IFS(
  TEXT(TRIM(N688),"00000")="NULL", "Missing/Unknown",
  OR(TEXT(TRIM(N688),"00000")="89101", TEXT(TRIM(N688),"00000")="89104", TEXT(TRIM(N688),"00000")="89106", TEXT(TRIM(N688),"00000")="89102", TEXT(TRIM(N688),"00000")="89107", TEXT(TRIM(N688),"00000")="89108"), "Urban Core",
  OR(TEXT(TRIM(N688),"00000")="89110", TEXT(TRIM(N688),"00000")="89115", TEXT(TRIM(N688),"00000")="89121", TEXT(TRIM(N688),"00000")="89122", TEXT(TRIM(N688),"00000")="89142", TEXT(TRIM(N688),"00000")="89156"), "East Valley",
  OR(TEXT(TRIM(N688),"00000")="89030", TEXT(TRIM(N688),"00000")="89031", TEXT(TRIM(N688),"00000")="89032", TEXT(TRIM(N688),"00000")="89086", TEXT(TRIM(N688),"00000")="89084", TEXT(TRIM(N688),"00000")="89081"), "North LV",
  OR(TEXT(TRIM(N688),"00000")="89109", TEXT(TRIM(N688),"00000")="89103", TEXT(TRIM(N688),"00000")="89119", TEXT(TRIM(N688),"00000")="89123", TEXT(TRIM(N688),"00000")="89169", TEXT(TRIM(N688),"00000")="89118"), "South/Strip",
  OR(TEXT(TRIM(N688),"00000")="89074", TEXT(TRIM(N688),"00000")="89014", TEXT(TRIM(N688),"00000")="89015", TEXT(TRIM(N688),"00000")="89011", TEXT(TRIM(N688),"00000")="89012"), "Suburban SE",
  OR(TEXT(TRIM(N688),"00000")="89117", TEXT(TRIM(N688),"00000")="89128", TEXT(TRIM(N688),"00000")="89135", TEXT(TRIM(N688),"00000")="89144", TEXT(TRIM(N688),"00000")="89145", TEXT(TRIM(N688),"00000")="89147"), "West Valley",
  TRUE, "Other"
)</f>
        <v>Urban Core</v>
      </c>
      <c r="P688" t="s">
        <v>3298</v>
      </c>
      <c r="Q688" t="str">
        <f t="shared" si="42"/>
        <v>Outdoors/Public</v>
      </c>
      <c r="R688" t="s">
        <v>4713</v>
      </c>
      <c r="S688" t="s">
        <v>5125</v>
      </c>
      <c r="T688" t="str" cm="1">
        <f t="array" ref="T688">_xlfn.IFS(
  TEXT(TRIM(S688),"00000")="NULL", "Missing/Unknown",
  OR(TEXT(TRIM(S688),"00000")="89101", TEXT(TRIM(S688),"00000")="89104", TEXT(TRIM(S688),"00000")="89106", TEXT(TRIM(S688),"00000")="89102", TEXT(TRIM(S688),"00000")="89107", TEXT(TRIM(S688),"00000")="89108"), "Urban Core",
  OR(TEXT(TRIM(S688),"00000")="89110", TEXT(TRIM(S688),"00000")="89115", TEXT(TRIM(S688),"00000")="89121", TEXT(TRIM(S688),"00000")="89122", TEXT(TRIM(S688),"00000")="89142", TEXT(TRIM(S688),"00000")="89156"), "East Valley",
  OR(TEXT(TRIM(S688),"00000")="89030", TEXT(TRIM(S688),"00000")="89031", TEXT(TRIM(S688),"00000")="89032", TEXT(TRIM(S688),"00000")="89086", TEXT(TRIM(S688),"00000")="89084", TEXT(TRIM(S688),"00000")="89081"), "North LV",
  OR(TEXT(TRIM(S688),"00000")="89109", TEXT(TRIM(S688),"00000")="89103", TEXT(TRIM(S688),"00000")="89119", TEXT(TRIM(S688),"00000")="89123", TEXT(TRIM(S688),"00000")="89169", TEXT(TRIM(S688),"00000")="89118"), "South/Strip",
  OR(TEXT(TRIM(S688),"00000")="89074", TEXT(TRIM(S688),"00000")="89014", TEXT(TRIM(S688),"00000")="89015", TEXT(TRIM(S688),"00000")="89011", TEXT(TRIM(S688),"00000")="89012"), "Suburban SE",
  OR(TEXT(TRIM(S688),"00000")="89117", TEXT(TRIM(S688),"00000")="89128", TEXT(TRIM(S688),"00000")="89135", TEXT(TRIM(S688),"00000")="89144", TEXT(TRIM(S688),"00000")="89145", TEXT(TRIM(S688),"00000")="89147"), "West Valley",
  TRUE, "Other"
)</f>
        <v>South/Strip</v>
      </c>
      <c r="U688" t="s">
        <v>4301</v>
      </c>
      <c r="V688" t="str">
        <f t="shared" si="43"/>
        <v>Medical Facility</v>
      </c>
    </row>
    <row r="689" spans="1:22">
      <c r="A689" t="s">
        <v>394</v>
      </c>
      <c r="B689" t="s">
        <v>395</v>
      </c>
      <c r="C689" s="1">
        <v>45125</v>
      </c>
      <c r="D689" s="4">
        <v>111.92</v>
      </c>
      <c r="E689">
        <v>61</v>
      </c>
      <c r="F689" t="str">
        <f t="shared" si="40"/>
        <v>60's</v>
      </c>
      <c r="G689" t="str" cm="1">
        <f t="array" ref="G689">_xlfn.IFS(
  F689="10's", "Child (5–12)",
  OR(F689="20's", F689="30's"), "Young Adult (20–39)",
  OR(F689="40's", F689="50's"), "Adult (40–59)",
  OR(F689="60's", F689="70's", F689="80's", F689="90's"), "Senior (60+)",
  TRUE, "Unknown"
)</f>
        <v>Senior (60+)</v>
      </c>
      <c r="H689" t="s">
        <v>778</v>
      </c>
      <c r="I689" t="s">
        <v>54</v>
      </c>
      <c r="J689" t="str">
        <f t="shared" si="41"/>
        <v>Environmental Heat</v>
      </c>
      <c r="K689" t="s">
        <v>4227</v>
      </c>
      <c r="L689" t="s">
        <v>250</v>
      </c>
      <c r="N689" t="s">
        <v>5095</v>
      </c>
      <c r="O689" t="str" cm="1">
        <f t="array" ref="O689">_xlfn.IFS(
  TEXT(TRIM(N689),"00000")="NULL", "Missing/Unknown",
  OR(TEXT(TRIM(N689),"00000")="89101", TEXT(TRIM(N689),"00000")="89104", TEXT(TRIM(N689),"00000")="89106", TEXT(TRIM(N689),"00000")="89102", TEXT(TRIM(N689),"00000")="89107", TEXT(TRIM(N689),"00000")="89108"), "Urban Core",
  OR(TEXT(TRIM(N689),"00000")="89110", TEXT(TRIM(N689),"00000")="89115", TEXT(TRIM(N689),"00000")="89121", TEXT(TRIM(N689),"00000")="89122", TEXT(TRIM(N689),"00000")="89142", TEXT(TRIM(N689),"00000")="89156"), "East Valley",
  OR(TEXT(TRIM(N689),"00000")="89030", TEXT(TRIM(N689),"00000")="89031", TEXT(TRIM(N689),"00000")="89032", TEXT(TRIM(N689),"00000")="89086", TEXT(TRIM(N689),"00000")="89084", TEXT(TRIM(N689),"00000")="89081"), "North LV",
  OR(TEXT(TRIM(N689),"00000")="89109", TEXT(TRIM(N689),"00000")="89103", TEXT(TRIM(N689),"00000")="89119", TEXT(TRIM(N689),"00000")="89123", TEXT(TRIM(N689),"00000")="89169", TEXT(TRIM(N689),"00000")="89118"), "South/Strip",
  OR(TEXT(TRIM(N689),"00000")="89074", TEXT(TRIM(N689),"00000")="89014", TEXT(TRIM(N689),"00000")="89015", TEXT(TRIM(N689),"00000")="89011", TEXT(TRIM(N689),"00000")="89012"), "Suburban SE",
  OR(TEXT(TRIM(N689),"00000")="89117", TEXT(TRIM(N689),"00000")="89128", TEXT(TRIM(N689),"00000")="89135", TEXT(TRIM(N689),"00000")="89144", TEXT(TRIM(N689),"00000")="89145", TEXT(TRIM(N689),"00000")="89147"), "West Valley",
  TRUE, "Other"
)</f>
        <v>Missing/Unknown</v>
      </c>
      <c r="P689" t="s">
        <v>3298</v>
      </c>
      <c r="Q689" t="str">
        <f t="shared" si="42"/>
        <v>Outdoors/Public</v>
      </c>
      <c r="R689" t="s">
        <v>4713</v>
      </c>
      <c r="S689" t="s">
        <v>5125</v>
      </c>
      <c r="T689" t="str" cm="1">
        <f t="array" ref="T689">_xlfn.IFS(
  TEXT(TRIM(S689),"00000")="NULL", "Missing/Unknown",
  OR(TEXT(TRIM(S689),"00000")="89101", TEXT(TRIM(S689),"00000")="89104", TEXT(TRIM(S689),"00000")="89106", TEXT(TRIM(S689),"00000")="89102", TEXT(TRIM(S689),"00000")="89107", TEXT(TRIM(S689),"00000")="89108"), "Urban Core",
  OR(TEXT(TRIM(S689),"00000")="89110", TEXT(TRIM(S689),"00000")="89115", TEXT(TRIM(S689),"00000")="89121", TEXT(TRIM(S689),"00000")="89122", TEXT(TRIM(S689),"00000")="89142", TEXT(TRIM(S689),"00000")="89156"), "East Valley",
  OR(TEXT(TRIM(S689),"00000")="89030", TEXT(TRIM(S689),"00000")="89031", TEXT(TRIM(S689),"00000")="89032", TEXT(TRIM(S689),"00000")="89086", TEXT(TRIM(S689),"00000")="89084", TEXT(TRIM(S689),"00000")="89081"), "North LV",
  OR(TEXT(TRIM(S689),"00000")="89109", TEXT(TRIM(S689),"00000")="89103", TEXT(TRIM(S689),"00000")="89119", TEXT(TRIM(S689),"00000")="89123", TEXT(TRIM(S689),"00000")="89169", TEXT(TRIM(S689),"00000")="89118"), "South/Strip",
  OR(TEXT(TRIM(S689),"00000")="89074", TEXT(TRIM(S689),"00000")="89014", TEXT(TRIM(S689),"00000")="89015", TEXT(TRIM(S689),"00000")="89011", TEXT(TRIM(S689),"00000")="89012"), "Suburban SE",
  OR(TEXT(TRIM(S689),"00000")="89117", TEXT(TRIM(S689),"00000")="89128", TEXT(TRIM(S689),"00000")="89135", TEXT(TRIM(S689),"00000")="89144", TEXT(TRIM(S689),"00000")="89145", TEXT(TRIM(S689),"00000")="89147"), "West Valley",
  TRUE, "Other"
)</f>
        <v>South/Strip</v>
      </c>
      <c r="U689" t="s">
        <v>4301</v>
      </c>
      <c r="V689" t="str">
        <f t="shared" si="43"/>
        <v>Medical Facility</v>
      </c>
    </row>
    <row r="690" spans="1:22">
      <c r="A690" t="s">
        <v>326</v>
      </c>
      <c r="B690" t="s">
        <v>327</v>
      </c>
      <c r="C690" s="1">
        <v>45125</v>
      </c>
      <c r="D690" s="4">
        <v>111.92</v>
      </c>
      <c r="E690">
        <v>83</v>
      </c>
      <c r="F690" t="str">
        <f t="shared" si="40"/>
        <v>80's</v>
      </c>
      <c r="G690" t="str" cm="1">
        <f t="array" ref="G690">_xlfn.IFS(
  F690="10's", "Child (5–12)",
  OR(F690="20's", F690="30's"), "Young Adult (20–39)",
  OR(F690="40's", F690="50's"), "Adult (40–59)",
  OR(F690="60's", F690="70's", F690="80's", F690="90's"), "Senior (60+)",
  TRUE, "Unknown"
)</f>
        <v>Senior (60+)</v>
      </c>
      <c r="H690" t="s">
        <v>841</v>
      </c>
      <c r="I690" t="s">
        <v>4084</v>
      </c>
      <c r="J690" t="str">
        <f t="shared" si="41"/>
        <v>Cardiovascular Disease</v>
      </c>
      <c r="K690" t="s">
        <v>54</v>
      </c>
      <c r="L690" t="s">
        <v>1071</v>
      </c>
      <c r="M690" t="s">
        <v>4403</v>
      </c>
      <c r="N690" t="s">
        <v>5147</v>
      </c>
      <c r="O690" t="str" cm="1">
        <f t="array" ref="O690">_xlfn.IFS(
  TEXT(TRIM(N690),"00000")="NULL", "Missing/Unknown",
  OR(TEXT(TRIM(N690),"00000")="89101", TEXT(TRIM(N690),"00000")="89104", TEXT(TRIM(N690),"00000")="89106", TEXT(TRIM(N690),"00000")="89102", TEXT(TRIM(N690),"00000")="89107", TEXT(TRIM(N690),"00000")="89108"), "Urban Core",
  OR(TEXT(TRIM(N690),"00000")="89110", TEXT(TRIM(N690),"00000")="89115", TEXT(TRIM(N690),"00000")="89121", TEXT(TRIM(N690),"00000")="89122", TEXT(TRIM(N690),"00000")="89142", TEXT(TRIM(N690),"00000")="89156"), "East Valley",
  OR(TEXT(TRIM(N690),"00000")="89030", TEXT(TRIM(N690),"00000")="89031", TEXT(TRIM(N690),"00000")="89032", TEXT(TRIM(N690),"00000")="89086", TEXT(TRIM(N690),"00000")="89084", TEXT(TRIM(N690),"00000")="89081"), "North LV",
  OR(TEXT(TRIM(N690),"00000")="89109", TEXT(TRIM(N690),"00000")="89103", TEXT(TRIM(N690),"00000")="89119", TEXT(TRIM(N690),"00000")="89123", TEXT(TRIM(N690),"00000")="89169", TEXT(TRIM(N690),"00000")="89118"), "South/Strip",
  OR(TEXT(TRIM(N690),"00000")="89074", TEXT(TRIM(N690),"00000")="89014", TEXT(TRIM(N690),"00000")="89015", TEXT(TRIM(N690),"00000")="89011", TEXT(TRIM(N690),"00000")="89012"), "Suburban SE",
  OR(TEXT(TRIM(N690),"00000")="89117", TEXT(TRIM(N690),"00000")="89128", TEXT(TRIM(N690),"00000")="89135", TEXT(TRIM(N690),"00000")="89144", TEXT(TRIM(N690),"00000")="89145", TEXT(TRIM(N690),"00000")="89147"), "West Valley",
  TRUE, "Other"
)</f>
        <v>Other</v>
      </c>
      <c r="P690" t="s">
        <v>38</v>
      </c>
      <c r="Q690" t="str">
        <f t="shared" si="42"/>
        <v>Home/Residence</v>
      </c>
      <c r="R690" t="s">
        <v>4403</v>
      </c>
      <c r="S690" t="s">
        <v>5147</v>
      </c>
      <c r="T690" t="str" cm="1">
        <f t="array" ref="T690">_xlfn.IFS(
  TEXT(TRIM(S690),"00000")="NULL", "Missing/Unknown",
  OR(TEXT(TRIM(S690),"00000")="89101", TEXT(TRIM(S690),"00000")="89104", TEXT(TRIM(S690),"00000")="89106", TEXT(TRIM(S690),"00000")="89102", TEXT(TRIM(S690),"00000")="89107", TEXT(TRIM(S690),"00000")="89108"), "Urban Core",
  OR(TEXT(TRIM(S690),"00000")="89110", TEXT(TRIM(S690),"00000")="89115", TEXT(TRIM(S690),"00000")="89121", TEXT(TRIM(S690),"00000")="89122", TEXT(TRIM(S690),"00000")="89142", TEXT(TRIM(S690),"00000")="89156"), "East Valley",
  OR(TEXT(TRIM(S690),"00000")="89030", TEXT(TRIM(S690),"00000")="89031", TEXT(TRIM(S690),"00000")="89032", TEXT(TRIM(S690),"00000")="89086", TEXT(TRIM(S690),"00000")="89084", TEXT(TRIM(S690),"00000")="89081"), "North LV",
  OR(TEXT(TRIM(S690),"00000")="89109", TEXT(TRIM(S690),"00000")="89103", TEXT(TRIM(S690),"00000")="89119", TEXT(TRIM(S690),"00000")="89123", TEXT(TRIM(S690),"00000")="89169", TEXT(TRIM(S690),"00000")="89118"), "South/Strip",
  OR(TEXT(TRIM(S690),"00000")="89074", TEXT(TRIM(S690),"00000")="89014", TEXT(TRIM(S690),"00000")="89015", TEXT(TRIM(S690),"00000")="89011", TEXT(TRIM(S690),"00000")="89012"), "Suburban SE",
  OR(TEXT(TRIM(S690),"00000")="89117", TEXT(TRIM(S690),"00000")="89128", TEXT(TRIM(S690),"00000")="89135", TEXT(TRIM(S690),"00000")="89144", TEXT(TRIM(S690),"00000")="89145", TEXT(TRIM(S690),"00000")="89147"), "West Valley",
  TRUE, "Other"
)</f>
        <v>Other</v>
      </c>
      <c r="U690" t="s">
        <v>38</v>
      </c>
      <c r="V690" t="str">
        <f t="shared" si="43"/>
        <v>Home/Residence</v>
      </c>
    </row>
    <row r="691" spans="1:22">
      <c r="A691" t="s">
        <v>347</v>
      </c>
      <c r="B691" t="s">
        <v>348</v>
      </c>
      <c r="C691" s="1">
        <v>45125</v>
      </c>
      <c r="D691" s="4">
        <v>111.92</v>
      </c>
      <c r="E691">
        <v>46</v>
      </c>
      <c r="F691" t="str">
        <f t="shared" si="40"/>
        <v>40's</v>
      </c>
      <c r="G691" t="str" cm="1">
        <f t="array" ref="G691">_xlfn.IFS(
  F691="10's", "Child (5–12)",
  OR(F691="20's", F691="30's"), "Young Adult (20–39)",
  OR(F691="40's", F691="50's"), "Adult (40–59)",
  OR(F691="60's", F691="70's", F691="80's", F691="90's"), "Senior (60+)",
  TRUE, "Unknown"
)</f>
        <v>Adult (40–59)</v>
      </c>
      <c r="H691" t="s">
        <v>841</v>
      </c>
      <c r="I691" t="s">
        <v>349</v>
      </c>
      <c r="J691" t="str">
        <f t="shared" si="41"/>
        <v>Other / Unknown</v>
      </c>
      <c r="K691" t="s">
        <v>159</v>
      </c>
      <c r="L691" t="s">
        <v>1071</v>
      </c>
      <c r="M691" t="s">
        <v>4405</v>
      </c>
      <c r="N691" t="s">
        <v>5106</v>
      </c>
      <c r="O691" t="str" cm="1">
        <f t="array" ref="O691">_xlfn.IFS(
  TEXT(TRIM(N691),"00000")="NULL", "Missing/Unknown",
  OR(TEXT(TRIM(N691),"00000")="89101", TEXT(TRIM(N691),"00000")="89104", TEXT(TRIM(N691),"00000")="89106", TEXT(TRIM(N691),"00000")="89102", TEXT(TRIM(N691),"00000")="89107", TEXT(TRIM(N691),"00000")="89108"), "Urban Core",
  OR(TEXT(TRIM(N691),"00000")="89110", TEXT(TRIM(N691),"00000")="89115", TEXT(TRIM(N691),"00000")="89121", TEXT(TRIM(N691),"00000")="89122", TEXT(TRIM(N691),"00000")="89142", TEXT(TRIM(N691),"00000")="89156"), "East Valley",
  OR(TEXT(TRIM(N691),"00000")="89030", TEXT(TRIM(N691),"00000")="89031", TEXT(TRIM(N691),"00000")="89032", TEXT(TRIM(N691),"00000")="89086", TEXT(TRIM(N691),"00000")="89084", TEXT(TRIM(N691),"00000")="89081"), "North LV",
  OR(TEXT(TRIM(N691),"00000")="89109", TEXT(TRIM(N691),"00000")="89103", TEXT(TRIM(N691),"00000")="89119", TEXT(TRIM(N691),"00000")="89123", TEXT(TRIM(N691),"00000")="89169", TEXT(TRIM(N691),"00000")="89118"), "South/Strip",
  OR(TEXT(TRIM(N691),"00000")="89074", TEXT(TRIM(N691),"00000")="89014", TEXT(TRIM(N691),"00000")="89015", TEXT(TRIM(N691),"00000")="89011", TEXT(TRIM(N691),"00000")="89012"), "Suburban SE",
  OR(TEXT(TRIM(N691),"00000")="89117", TEXT(TRIM(N691),"00000")="89128", TEXT(TRIM(N691),"00000")="89135", TEXT(TRIM(N691),"00000")="89144", TEXT(TRIM(N691),"00000")="89145", TEXT(TRIM(N691),"00000")="89147"), "West Valley",
  TRUE, "Other"
)</f>
        <v>East Valley</v>
      </c>
      <c r="P691" t="s">
        <v>38</v>
      </c>
      <c r="Q691" t="str">
        <f t="shared" si="42"/>
        <v>Home/Residence</v>
      </c>
      <c r="R691" t="s">
        <v>4405</v>
      </c>
      <c r="S691" t="s">
        <v>5106</v>
      </c>
      <c r="T691" t="str" cm="1">
        <f t="array" ref="T691">_xlfn.IFS(
  TEXT(TRIM(S691),"00000")="NULL", "Missing/Unknown",
  OR(TEXT(TRIM(S691),"00000")="89101", TEXT(TRIM(S691),"00000")="89104", TEXT(TRIM(S691),"00000")="89106", TEXT(TRIM(S691),"00000")="89102", TEXT(TRIM(S691),"00000")="89107", TEXT(TRIM(S691),"00000")="89108"), "Urban Core",
  OR(TEXT(TRIM(S691),"00000")="89110", TEXT(TRIM(S691),"00000")="89115", TEXT(TRIM(S691),"00000")="89121", TEXT(TRIM(S691),"00000")="89122", TEXT(TRIM(S691),"00000")="89142", TEXT(TRIM(S691),"00000")="89156"), "East Valley",
  OR(TEXT(TRIM(S691),"00000")="89030", TEXT(TRIM(S691),"00000")="89031", TEXT(TRIM(S691),"00000")="89032", TEXT(TRIM(S691),"00000")="89086", TEXT(TRIM(S691),"00000")="89084", TEXT(TRIM(S691),"00000")="89081"), "North LV",
  OR(TEXT(TRIM(S691),"00000")="89109", TEXT(TRIM(S691),"00000")="89103", TEXT(TRIM(S691),"00000")="89119", TEXT(TRIM(S691),"00000")="89123", TEXT(TRIM(S691),"00000")="89169", TEXT(TRIM(S691),"00000")="89118"), "South/Strip",
  OR(TEXT(TRIM(S691),"00000")="89074", TEXT(TRIM(S691),"00000")="89014", TEXT(TRIM(S691),"00000")="89015", TEXT(TRIM(S691),"00000")="89011", TEXT(TRIM(S691),"00000")="89012"), "Suburban SE",
  OR(TEXT(TRIM(S691),"00000")="89117", TEXT(TRIM(S691),"00000")="89128", TEXT(TRIM(S691),"00000")="89135", TEXT(TRIM(S691),"00000")="89144", TEXT(TRIM(S691),"00000")="89145", TEXT(TRIM(S691),"00000")="89147"), "West Valley",
  TRUE, "Other"
)</f>
        <v>East Valley</v>
      </c>
      <c r="U691" t="s">
        <v>38</v>
      </c>
      <c r="V691" t="str">
        <f t="shared" si="43"/>
        <v>Home/Residence</v>
      </c>
    </row>
    <row r="692" spans="1:22">
      <c r="A692" t="s">
        <v>365</v>
      </c>
      <c r="B692" t="s">
        <v>366</v>
      </c>
      <c r="C692" s="1">
        <v>45125</v>
      </c>
      <c r="D692" s="4">
        <v>111.92</v>
      </c>
      <c r="E692">
        <v>53</v>
      </c>
      <c r="F692" t="str">
        <f t="shared" si="40"/>
        <v>50's</v>
      </c>
      <c r="G692" t="str" cm="1">
        <f t="array" ref="G692">_xlfn.IFS(
  F692="10's", "Child (5–12)",
  OR(F692="20's", F692="30's"), "Young Adult (20–39)",
  OR(F692="40's", F692="50's"), "Adult (40–59)",
  OR(F692="60's", F692="70's", F692="80's", F692="90's"), "Senior (60+)",
  TRUE, "Unknown"
)</f>
        <v>Adult (40–59)</v>
      </c>
      <c r="H692" t="s">
        <v>841</v>
      </c>
      <c r="I692" t="s">
        <v>367</v>
      </c>
      <c r="J692" t="str">
        <f t="shared" si="41"/>
        <v>Methamphetamine-related</v>
      </c>
      <c r="K692" t="s">
        <v>4226</v>
      </c>
      <c r="L692" t="s">
        <v>250</v>
      </c>
      <c r="N692" t="s">
        <v>5095</v>
      </c>
      <c r="O692" t="str" cm="1">
        <f t="array" ref="O692">_xlfn.IFS(
  TEXT(TRIM(N692),"00000")="NULL", "Missing/Unknown",
  OR(TEXT(TRIM(N692),"00000")="89101", TEXT(TRIM(N692),"00000")="89104", TEXT(TRIM(N692),"00000")="89106", TEXT(TRIM(N692),"00000")="89102", TEXT(TRIM(N692),"00000")="89107", TEXT(TRIM(N692),"00000")="89108"), "Urban Core",
  OR(TEXT(TRIM(N692),"00000")="89110", TEXT(TRIM(N692),"00000")="89115", TEXT(TRIM(N692),"00000")="89121", TEXT(TRIM(N692),"00000")="89122", TEXT(TRIM(N692),"00000")="89142", TEXT(TRIM(N692),"00000")="89156"), "East Valley",
  OR(TEXT(TRIM(N692),"00000")="89030", TEXT(TRIM(N692),"00000")="89031", TEXT(TRIM(N692),"00000")="89032", TEXT(TRIM(N692),"00000")="89086", TEXT(TRIM(N692),"00000")="89084", TEXT(TRIM(N692),"00000")="89081"), "North LV",
  OR(TEXT(TRIM(N692),"00000")="89109", TEXT(TRIM(N692),"00000")="89103", TEXT(TRIM(N692),"00000")="89119", TEXT(TRIM(N692),"00000")="89123", TEXT(TRIM(N692),"00000")="89169", TEXT(TRIM(N692),"00000")="89118"), "South/Strip",
  OR(TEXT(TRIM(N692),"00000")="89074", TEXT(TRIM(N692),"00000")="89014", TEXT(TRIM(N692),"00000")="89015", TEXT(TRIM(N692),"00000")="89011", TEXT(TRIM(N692),"00000")="89012"), "Suburban SE",
  OR(TEXT(TRIM(N692),"00000")="89117", TEXT(TRIM(N692),"00000")="89128", TEXT(TRIM(N692),"00000")="89135", TEXT(TRIM(N692),"00000")="89144", TEXT(TRIM(N692),"00000")="89145", TEXT(TRIM(N692),"00000")="89147"), "West Valley",
  TRUE, "Other"
)</f>
        <v>Missing/Unknown</v>
      </c>
      <c r="P692" t="s">
        <v>65</v>
      </c>
      <c r="Q692" t="str">
        <f t="shared" si="42"/>
        <v>Vehicle-related</v>
      </c>
      <c r="R692" t="s">
        <v>4576</v>
      </c>
      <c r="S692" t="s">
        <v>5118</v>
      </c>
      <c r="T692" t="str" cm="1">
        <f t="array" ref="T692">_xlfn.IFS(
  TEXT(TRIM(S692),"00000")="NULL", "Missing/Unknown",
  OR(TEXT(TRIM(S692),"00000")="89101", TEXT(TRIM(S692),"00000")="89104", TEXT(TRIM(S692),"00000")="89106", TEXT(TRIM(S692),"00000")="89102", TEXT(TRIM(S692),"00000")="89107", TEXT(TRIM(S692),"00000")="89108"), "Urban Core",
  OR(TEXT(TRIM(S692),"00000")="89110", TEXT(TRIM(S692),"00000")="89115", TEXT(TRIM(S692),"00000")="89121", TEXT(TRIM(S692),"00000")="89122", TEXT(TRIM(S692),"00000")="89142", TEXT(TRIM(S692),"00000")="89156"), "East Valley",
  OR(TEXT(TRIM(S692),"00000")="89030", TEXT(TRIM(S692),"00000")="89031", TEXT(TRIM(S692),"00000")="89032", TEXT(TRIM(S692),"00000")="89086", TEXT(TRIM(S692),"00000")="89084", TEXT(TRIM(S692),"00000")="89081"), "North LV",
  OR(TEXT(TRIM(S692),"00000")="89109", TEXT(TRIM(S692),"00000")="89103", TEXT(TRIM(S692),"00000")="89119", TEXT(TRIM(S692),"00000")="89123", TEXT(TRIM(S692),"00000")="89169", TEXT(TRIM(S692),"00000")="89118"), "South/Strip",
  OR(TEXT(TRIM(S692),"00000")="89074", TEXT(TRIM(S692),"00000")="89014", TEXT(TRIM(S692),"00000")="89015", TEXT(TRIM(S692),"00000")="89011", TEXT(TRIM(S692),"00000")="89012"), "Suburban SE",
  OR(TEXT(TRIM(S692),"00000")="89117", TEXT(TRIM(S692),"00000")="89128", TEXT(TRIM(S692),"00000")="89135", TEXT(TRIM(S692),"00000")="89144", TEXT(TRIM(S692),"00000")="89145", TEXT(TRIM(S692),"00000")="89147"), "West Valley",
  TRUE, "Other"
)</f>
        <v>South/Strip</v>
      </c>
      <c r="U692" t="s">
        <v>4301</v>
      </c>
      <c r="V692" t="str">
        <f t="shared" si="43"/>
        <v>Medical Facility</v>
      </c>
    </row>
    <row r="693" spans="1:22">
      <c r="A693" t="s">
        <v>341</v>
      </c>
      <c r="B693" t="s">
        <v>342</v>
      </c>
      <c r="C693" s="1">
        <v>45125</v>
      </c>
      <c r="D693" s="4">
        <v>111.92</v>
      </c>
      <c r="E693">
        <v>64</v>
      </c>
      <c r="F693" t="str">
        <f t="shared" si="40"/>
        <v>60's</v>
      </c>
      <c r="G693" t="str" cm="1">
        <f t="array" ref="G693">_xlfn.IFS(
  F693="10's", "Child (5–12)",
  OR(F693="20's", F693="30's"), "Young Adult (20–39)",
  OR(F693="40's", F693="50's"), "Adult (40–59)",
  OR(F693="60's", F693="70's", F693="80's", F693="90's"), "Senior (60+)",
  TRUE, "Unknown"
)</f>
        <v>Senior (60+)</v>
      </c>
      <c r="H693" t="s">
        <v>841</v>
      </c>
      <c r="I693" t="s">
        <v>54</v>
      </c>
      <c r="J693" t="str">
        <f t="shared" si="41"/>
        <v>Environmental Heat</v>
      </c>
      <c r="K693" t="s">
        <v>4225</v>
      </c>
      <c r="L693" t="s">
        <v>1071</v>
      </c>
      <c r="M693" t="s">
        <v>4404</v>
      </c>
      <c r="N693" t="s">
        <v>5121</v>
      </c>
      <c r="O693" t="str" cm="1">
        <f t="array" ref="O693">_xlfn.IFS(
  TEXT(TRIM(N693),"00000")="NULL", "Missing/Unknown",
  OR(TEXT(TRIM(N693),"00000")="89101", TEXT(TRIM(N693),"00000")="89104", TEXT(TRIM(N693),"00000")="89106", TEXT(TRIM(N693),"00000")="89102", TEXT(TRIM(N693),"00000")="89107", TEXT(TRIM(N693),"00000")="89108"), "Urban Core",
  OR(TEXT(TRIM(N693),"00000")="89110", TEXT(TRIM(N693),"00000")="89115", TEXT(TRIM(N693),"00000")="89121", TEXT(TRIM(N693),"00000")="89122", TEXT(TRIM(N693),"00000")="89142", TEXT(TRIM(N693),"00000")="89156"), "East Valley",
  OR(TEXT(TRIM(N693),"00000")="89030", TEXT(TRIM(N693),"00000")="89031", TEXT(TRIM(N693),"00000")="89032", TEXT(TRIM(N693),"00000")="89086", TEXT(TRIM(N693),"00000")="89084", TEXT(TRIM(N693),"00000")="89081"), "North LV",
  OR(TEXT(TRIM(N693),"00000")="89109", TEXT(TRIM(N693),"00000")="89103", TEXT(TRIM(N693),"00000")="89119", TEXT(TRIM(N693),"00000")="89123", TEXT(TRIM(N693),"00000")="89169", TEXT(TRIM(N693),"00000")="89118"), "South/Strip",
  OR(TEXT(TRIM(N693),"00000")="89074", TEXT(TRIM(N693),"00000")="89014", TEXT(TRIM(N693),"00000")="89015", TEXT(TRIM(N693),"00000")="89011", TEXT(TRIM(N693),"00000")="89012"), "Suburban SE",
  OR(TEXT(TRIM(N693),"00000")="89117", TEXT(TRIM(N693),"00000")="89128", TEXT(TRIM(N693),"00000")="89135", TEXT(TRIM(N693),"00000")="89144", TEXT(TRIM(N693),"00000")="89145", TEXT(TRIM(N693),"00000")="89147"), "West Valley",
  TRUE, "Other"
)</f>
        <v>East Valley</v>
      </c>
      <c r="P693" t="s">
        <v>38</v>
      </c>
      <c r="Q693" t="str">
        <f t="shared" si="42"/>
        <v>Home/Residence</v>
      </c>
      <c r="R693" t="s">
        <v>4404</v>
      </c>
      <c r="S693" t="s">
        <v>5121</v>
      </c>
      <c r="T693" t="str" cm="1">
        <f t="array" ref="T693">_xlfn.IFS(
  TEXT(TRIM(S693),"00000")="NULL", "Missing/Unknown",
  OR(TEXT(TRIM(S693),"00000")="89101", TEXT(TRIM(S693),"00000")="89104", TEXT(TRIM(S693),"00000")="89106", TEXT(TRIM(S693),"00000")="89102", TEXT(TRIM(S693),"00000")="89107", TEXT(TRIM(S693),"00000")="89108"), "Urban Core",
  OR(TEXT(TRIM(S693),"00000")="89110", TEXT(TRIM(S693),"00000")="89115", TEXT(TRIM(S693),"00000")="89121", TEXT(TRIM(S693),"00000")="89122", TEXT(TRIM(S693),"00000")="89142", TEXT(TRIM(S693),"00000")="89156"), "East Valley",
  OR(TEXT(TRIM(S693),"00000")="89030", TEXT(TRIM(S693),"00000")="89031", TEXT(TRIM(S693),"00000")="89032", TEXT(TRIM(S693),"00000")="89086", TEXT(TRIM(S693),"00000")="89084", TEXT(TRIM(S693),"00000")="89081"), "North LV",
  OR(TEXT(TRIM(S693),"00000")="89109", TEXT(TRIM(S693),"00000")="89103", TEXT(TRIM(S693),"00000")="89119", TEXT(TRIM(S693),"00000")="89123", TEXT(TRIM(S693),"00000")="89169", TEXT(TRIM(S693),"00000")="89118"), "South/Strip",
  OR(TEXT(TRIM(S693),"00000")="89074", TEXT(TRIM(S693),"00000")="89014", TEXT(TRIM(S693),"00000")="89015", TEXT(TRIM(S693),"00000")="89011", TEXT(TRIM(S693),"00000")="89012"), "Suburban SE",
  OR(TEXT(TRIM(S693),"00000")="89117", TEXT(TRIM(S693),"00000")="89128", TEXT(TRIM(S693),"00000")="89135", TEXT(TRIM(S693),"00000")="89144", TEXT(TRIM(S693),"00000")="89145", TEXT(TRIM(S693),"00000")="89147"), "West Valley",
  TRUE, "Other"
)</f>
        <v>East Valley</v>
      </c>
      <c r="U693" t="s">
        <v>38</v>
      </c>
      <c r="V693" t="str">
        <f t="shared" si="43"/>
        <v>Home/Residence</v>
      </c>
    </row>
    <row r="694" spans="1:22">
      <c r="A694" t="s">
        <v>390</v>
      </c>
      <c r="B694" t="s">
        <v>391</v>
      </c>
      <c r="C694" s="1">
        <v>45125</v>
      </c>
      <c r="D694" s="4">
        <v>111.92</v>
      </c>
      <c r="E694">
        <v>51</v>
      </c>
      <c r="F694" t="str">
        <f t="shared" si="40"/>
        <v>50's</v>
      </c>
      <c r="G694" t="str" cm="1">
        <f t="array" ref="G694">_xlfn.IFS(
  F694="10's", "Child (5–12)",
  OR(F694="20's", F694="30's"), "Young Adult (20–39)",
  OR(F694="40's", F694="50's"), "Adult (40–59)",
  OR(F694="60's", F694="70's", F694="80's", F694="90's"), "Senior (60+)",
  TRUE, "Unknown"
)</f>
        <v>Adult (40–59)</v>
      </c>
      <c r="H694" t="s">
        <v>841</v>
      </c>
      <c r="I694" t="s">
        <v>54</v>
      </c>
      <c r="J694" t="str">
        <f t="shared" si="41"/>
        <v>Environmental Heat</v>
      </c>
      <c r="K694" t="s">
        <v>392</v>
      </c>
      <c r="L694" t="s">
        <v>250</v>
      </c>
      <c r="M694" t="s">
        <v>4336</v>
      </c>
      <c r="N694" t="s">
        <v>5101</v>
      </c>
      <c r="O694" t="str" cm="1">
        <f t="array" ref="O694">_xlfn.IFS(
  TEXT(TRIM(N694),"00000")="NULL", "Missing/Unknown",
  OR(TEXT(TRIM(N694),"00000")="89101", TEXT(TRIM(N694),"00000")="89104", TEXT(TRIM(N694),"00000")="89106", TEXT(TRIM(N694),"00000")="89102", TEXT(TRIM(N694),"00000")="89107", TEXT(TRIM(N694),"00000")="89108"), "Urban Core",
  OR(TEXT(TRIM(N694),"00000")="89110", TEXT(TRIM(N694),"00000")="89115", TEXT(TRIM(N694),"00000")="89121", TEXT(TRIM(N694),"00000")="89122", TEXT(TRIM(N694),"00000")="89142", TEXT(TRIM(N694),"00000")="89156"), "East Valley",
  OR(TEXT(TRIM(N694),"00000")="89030", TEXT(TRIM(N694),"00000")="89031", TEXT(TRIM(N694),"00000")="89032", TEXT(TRIM(N694),"00000")="89086", TEXT(TRIM(N694),"00000")="89084", TEXT(TRIM(N694),"00000")="89081"), "North LV",
  OR(TEXT(TRIM(N694),"00000")="89109", TEXT(TRIM(N694),"00000")="89103", TEXT(TRIM(N694),"00000")="89119", TEXT(TRIM(N694),"00000")="89123", TEXT(TRIM(N694),"00000")="89169", TEXT(TRIM(N694),"00000")="89118"), "South/Strip",
  OR(TEXT(TRIM(N694),"00000")="89074", TEXT(TRIM(N694),"00000")="89014", TEXT(TRIM(N694),"00000")="89015", TEXT(TRIM(N694),"00000")="89011", TEXT(TRIM(N694),"00000")="89012"), "Suburban SE",
  OR(TEXT(TRIM(N694),"00000")="89117", TEXT(TRIM(N694),"00000")="89128", TEXT(TRIM(N694),"00000")="89135", TEXT(TRIM(N694),"00000")="89144", TEXT(TRIM(N694),"00000")="89145", TEXT(TRIM(N694),"00000")="89147"), "West Valley",
  TRUE, "Other"
)</f>
        <v>Urban Core</v>
      </c>
      <c r="P694" t="s">
        <v>3298</v>
      </c>
      <c r="Q694" t="str">
        <f t="shared" si="42"/>
        <v>Outdoors/Public</v>
      </c>
      <c r="R694" t="s">
        <v>4336</v>
      </c>
      <c r="S694" t="s">
        <v>5101</v>
      </c>
      <c r="T694" t="str" cm="1">
        <f t="array" ref="T694">_xlfn.IFS(
  TEXT(TRIM(S694),"00000")="NULL", "Missing/Unknown",
  OR(TEXT(TRIM(S694),"00000")="89101", TEXT(TRIM(S694),"00000")="89104", TEXT(TRIM(S694),"00000")="89106", TEXT(TRIM(S694),"00000")="89102", TEXT(TRIM(S694),"00000")="89107", TEXT(TRIM(S694),"00000")="89108"), "Urban Core",
  OR(TEXT(TRIM(S694),"00000")="89110", TEXT(TRIM(S694),"00000")="89115", TEXT(TRIM(S694),"00000")="89121", TEXT(TRIM(S694),"00000")="89122", TEXT(TRIM(S694),"00000")="89142", TEXT(TRIM(S694),"00000")="89156"), "East Valley",
  OR(TEXT(TRIM(S694),"00000")="89030", TEXT(TRIM(S694),"00000")="89031", TEXT(TRIM(S694),"00000")="89032", TEXT(TRIM(S694),"00000")="89086", TEXT(TRIM(S694),"00000")="89084", TEXT(TRIM(S694),"00000")="89081"), "North LV",
  OR(TEXT(TRIM(S694),"00000")="89109", TEXT(TRIM(S694),"00000")="89103", TEXT(TRIM(S694),"00000")="89119", TEXT(TRIM(S694),"00000")="89123", TEXT(TRIM(S694),"00000")="89169", TEXT(TRIM(S694),"00000")="89118"), "South/Strip",
  OR(TEXT(TRIM(S694),"00000")="89074", TEXT(TRIM(S694),"00000")="89014", TEXT(TRIM(S694),"00000")="89015", TEXT(TRIM(S694),"00000")="89011", TEXT(TRIM(S694),"00000")="89012"), "Suburban SE",
  OR(TEXT(TRIM(S694),"00000")="89117", TEXT(TRIM(S694),"00000")="89128", TEXT(TRIM(S694),"00000")="89135", TEXT(TRIM(S694),"00000")="89144", TEXT(TRIM(S694),"00000")="89145", TEXT(TRIM(S694),"00000")="89147"), "West Valley",
  TRUE, "Other"
)</f>
        <v>Urban Core</v>
      </c>
      <c r="U694" t="s">
        <v>3298</v>
      </c>
      <c r="V694" t="str">
        <f t="shared" si="43"/>
        <v>Outdoors/Public</v>
      </c>
    </row>
    <row r="695" spans="1:22">
      <c r="A695" t="s">
        <v>354</v>
      </c>
      <c r="B695" t="s">
        <v>355</v>
      </c>
      <c r="C695" s="1">
        <v>45125</v>
      </c>
      <c r="D695" s="4">
        <v>111.92</v>
      </c>
      <c r="E695">
        <v>59</v>
      </c>
      <c r="F695" t="str">
        <f t="shared" si="40"/>
        <v>50's</v>
      </c>
      <c r="G695" t="str" cm="1">
        <f t="array" ref="G695">_xlfn.IFS(
  F695="10's", "Child (5–12)",
  OR(F695="20's", F695="30's"), "Young Adult (20–39)",
  OR(F695="40's", F695="50's"), "Adult (40–59)",
  OR(F695="60's", F695="70's", F695="80's", F695="90's"), "Senior (60+)",
  TRUE, "Unknown"
)</f>
        <v>Adult (40–59)</v>
      </c>
      <c r="H695" t="s">
        <v>841</v>
      </c>
      <c r="I695" t="s">
        <v>97</v>
      </c>
      <c r="J695" t="str">
        <f t="shared" si="41"/>
        <v>Environmental Heat</v>
      </c>
      <c r="K695" t="s">
        <v>356</v>
      </c>
      <c r="L695" t="s">
        <v>250</v>
      </c>
      <c r="M695" t="s">
        <v>4570</v>
      </c>
      <c r="N695" t="s">
        <v>5098</v>
      </c>
      <c r="O695" t="str" cm="1">
        <f t="array" ref="O695">_xlfn.IFS(
  TEXT(TRIM(N695),"00000")="NULL", "Missing/Unknown",
  OR(TEXT(TRIM(N695),"00000")="89101", TEXT(TRIM(N695),"00000")="89104", TEXT(TRIM(N695),"00000")="89106", TEXT(TRIM(N695),"00000")="89102", TEXT(TRIM(N695),"00000")="89107", TEXT(TRIM(N695),"00000")="89108"), "Urban Core",
  OR(TEXT(TRIM(N695),"00000")="89110", TEXT(TRIM(N695),"00000")="89115", TEXT(TRIM(N695),"00000")="89121", TEXT(TRIM(N695),"00000")="89122", TEXT(TRIM(N695),"00000")="89142", TEXT(TRIM(N695),"00000")="89156"), "East Valley",
  OR(TEXT(TRIM(N695),"00000")="89030", TEXT(TRIM(N695),"00000")="89031", TEXT(TRIM(N695),"00000")="89032", TEXT(TRIM(N695),"00000")="89086", TEXT(TRIM(N695),"00000")="89084", TEXT(TRIM(N695),"00000")="89081"), "North LV",
  OR(TEXT(TRIM(N695),"00000")="89109", TEXT(TRIM(N695),"00000")="89103", TEXT(TRIM(N695),"00000")="89119", TEXT(TRIM(N695),"00000")="89123", TEXT(TRIM(N695),"00000")="89169", TEXT(TRIM(N695),"00000")="89118"), "South/Strip",
  OR(TEXT(TRIM(N695),"00000")="89074", TEXT(TRIM(N695),"00000")="89014", TEXT(TRIM(N695),"00000")="89015", TEXT(TRIM(N695),"00000")="89011", TEXT(TRIM(N695),"00000")="89012"), "Suburban SE",
  OR(TEXT(TRIM(N695),"00000")="89117", TEXT(TRIM(N695),"00000")="89128", TEXT(TRIM(N695),"00000")="89135", TEXT(TRIM(N695),"00000")="89144", TEXT(TRIM(N695),"00000")="89145", TEXT(TRIM(N695),"00000")="89147"), "West Valley",
  TRUE, "Other"
)</f>
        <v>Urban Core</v>
      </c>
      <c r="P695" t="s">
        <v>65</v>
      </c>
      <c r="Q695" t="str">
        <f t="shared" si="42"/>
        <v>Vehicle-related</v>
      </c>
      <c r="R695" t="s">
        <v>4713</v>
      </c>
      <c r="S695" t="s">
        <v>5125</v>
      </c>
      <c r="T695" t="str" cm="1">
        <f t="array" ref="T695">_xlfn.IFS(
  TEXT(TRIM(S695),"00000")="NULL", "Missing/Unknown",
  OR(TEXT(TRIM(S695),"00000")="89101", TEXT(TRIM(S695),"00000")="89104", TEXT(TRIM(S695),"00000")="89106", TEXT(TRIM(S695),"00000")="89102", TEXT(TRIM(S695),"00000")="89107", TEXT(TRIM(S695),"00000")="89108"), "Urban Core",
  OR(TEXT(TRIM(S695),"00000")="89110", TEXT(TRIM(S695),"00000")="89115", TEXT(TRIM(S695),"00000")="89121", TEXT(TRIM(S695),"00000")="89122", TEXT(TRIM(S695),"00000")="89142", TEXT(TRIM(S695),"00000")="89156"), "East Valley",
  OR(TEXT(TRIM(S695),"00000")="89030", TEXT(TRIM(S695),"00000")="89031", TEXT(TRIM(S695),"00000")="89032", TEXT(TRIM(S695),"00000")="89086", TEXT(TRIM(S695),"00000")="89084", TEXT(TRIM(S695),"00000")="89081"), "North LV",
  OR(TEXT(TRIM(S695),"00000")="89109", TEXT(TRIM(S695),"00000")="89103", TEXT(TRIM(S695),"00000")="89119", TEXT(TRIM(S695),"00000")="89123", TEXT(TRIM(S695),"00000")="89169", TEXT(TRIM(S695),"00000")="89118"), "South/Strip",
  OR(TEXT(TRIM(S695),"00000")="89074", TEXT(TRIM(S695),"00000")="89014", TEXT(TRIM(S695),"00000")="89015", TEXT(TRIM(S695),"00000")="89011", TEXT(TRIM(S695),"00000")="89012"), "Suburban SE",
  OR(TEXT(TRIM(S695),"00000")="89117", TEXT(TRIM(S695),"00000")="89128", TEXT(TRIM(S695),"00000")="89135", TEXT(TRIM(S695),"00000")="89144", TEXT(TRIM(S695),"00000")="89145", TEXT(TRIM(S695),"00000")="89147"), "West Valley",
  TRUE, "Other"
)</f>
        <v>South/Strip</v>
      </c>
      <c r="U695" t="s">
        <v>4301</v>
      </c>
      <c r="V695" t="str">
        <f t="shared" si="43"/>
        <v>Medical Facility</v>
      </c>
    </row>
    <row r="696" spans="1:22">
      <c r="A696" t="s">
        <v>358</v>
      </c>
      <c r="B696" t="s">
        <v>359</v>
      </c>
      <c r="C696" s="1">
        <v>45125</v>
      </c>
      <c r="D696" s="4">
        <v>111.92</v>
      </c>
      <c r="E696">
        <v>38</v>
      </c>
      <c r="F696" t="str">
        <f t="shared" si="40"/>
        <v>30's</v>
      </c>
      <c r="G696" t="str" cm="1">
        <f t="array" ref="G696">_xlfn.IFS(
  F696="10's", "Child (5–12)",
  OR(F696="20's", F696="30's"), "Young Adult (20–39)",
  OR(F696="40's", F696="50's"), "Adult (40–59)",
  OR(F696="60's", F696="70's", F696="80's", F696="90's"), "Senior (60+)",
  TRUE, "Unknown"
)</f>
        <v>Young Adult (20–39)</v>
      </c>
      <c r="H696" t="s">
        <v>841</v>
      </c>
      <c r="I696" t="s">
        <v>97</v>
      </c>
      <c r="J696" t="str">
        <f t="shared" si="41"/>
        <v>Environmental Heat</v>
      </c>
      <c r="K696" t="s">
        <v>4177</v>
      </c>
      <c r="L696" t="s">
        <v>250</v>
      </c>
      <c r="N696" t="s">
        <v>5095</v>
      </c>
      <c r="O696" t="str" cm="1">
        <f t="array" ref="O696">_xlfn.IFS(
  TEXT(TRIM(N696),"00000")="NULL", "Missing/Unknown",
  OR(TEXT(TRIM(N696),"00000")="89101", TEXT(TRIM(N696),"00000")="89104", TEXT(TRIM(N696),"00000")="89106", TEXT(TRIM(N696),"00000")="89102", TEXT(TRIM(N696),"00000")="89107", TEXT(TRIM(N696),"00000")="89108"), "Urban Core",
  OR(TEXT(TRIM(N696),"00000")="89110", TEXT(TRIM(N696),"00000")="89115", TEXT(TRIM(N696),"00000")="89121", TEXT(TRIM(N696),"00000")="89122", TEXT(TRIM(N696),"00000")="89142", TEXT(TRIM(N696),"00000")="89156"), "East Valley",
  OR(TEXT(TRIM(N696),"00000")="89030", TEXT(TRIM(N696),"00000")="89031", TEXT(TRIM(N696),"00000")="89032", TEXT(TRIM(N696),"00000")="89086", TEXT(TRIM(N696),"00000")="89084", TEXT(TRIM(N696),"00000")="89081"), "North LV",
  OR(TEXT(TRIM(N696),"00000")="89109", TEXT(TRIM(N696),"00000")="89103", TEXT(TRIM(N696),"00000")="89119", TEXT(TRIM(N696),"00000")="89123", TEXT(TRIM(N696),"00000")="89169", TEXT(TRIM(N696),"00000")="89118"), "South/Strip",
  OR(TEXT(TRIM(N696),"00000")="89074", TEXT(TRIM(N696),"00000")="89014", TEXT(TRIM(N696),"00000")="89015", TEXT(TRIM(N696),"00000")="89011", TEXT(TRIM(N696),"00000")="89012"), "Suburban SE",
  OR(TEXT(TRIM(N696),"00000")="89117", TEXT(TRIM(N696),"00000")="89128", TEXT(TRIM(N696),"00000")="89135", TEXT(TRIM(N696),"00000")="89144", TEXT(TRIM(N696),"00000")="89145", TEXT(TRIM(N696),"00000")="89147"), "West Valley",
  TRUE, "Other"
)</f>
        <v>Missing/Unknown</v>
      </c>
      <c r="P696" t="s">
        <v>3298</v>
      </c>
      <c r="Q696" t="str">
        <f t="shared" si="42"/>
        <v>Outdoors/Public</v>
      </c>
      <c r="R696" t="s">
        <v>4713</v>
      </c>
      <c r="S696" t="s">
        <v>5125</v>
      </c>
      <c r="T696" t="str" cm="1">
        <f t="array" ref="T696">_xlfn.IFS(
  TEXT(TRIM(S696),"00000")="NULL", "Missing/Unknown",
  OR(TEXT(TRIM(S696),"00000")="89101", TEXT(TRIM(S696),"00000")="89104", TEXT(TRIM(S696),"00000")="89106", TEXT(TRIM(S696),"00000")="89102", TEXT(TRIM(S696),"00000")="89107", TEXT(TRIM(S696),"00000")="89108"), "Urban Core",
  OR(TEXT(TRIM(S696),"00000")="89110", TEXT(TRIM(S696),"00000")="89115", TEXT(TRIM(S696),"00000")="89121", TEXT(TRIM(S696),"00000")="89122", TEXT(TRIM(S696),"00000")="89142", TEXT(TRIM(S696),"00000")="89156"), "East Valley",
  OR(TEXT(TRIM(S696),"00000")="89030", TEXT(TRIM(S696),"00000")="89031", TEXT(TRIM(S696),"00000")="89032", TEXT(TRIM(S696),"00000")="89086", TEXT(TRIM(S696),"00000")="89084", TEXT(TRIM(S696),"00000")="89081"), "North LV",
  OR(TEXT(TRIM(S696),"00000")="89109", TEXT(TRIM(S696),"00000")="89103", TEXT(TRIM(S696),"00000")="89119", TEXT(TRIM(S696),"00000")="89123", TEXT(TRIM(S696),"00000")="89169", TEXT(TRIM(S696),"00000")="89118"), "South/Strip",
  OR(TEXT(TRIM(S696),"00000")="89074", TEXT(TRIM(S696),"00000")="89014", TEXT(TRIM(S696),"00000")="89015", TEXT(TRIM(S696),"00000")="89011", TEXT(TRIM(S696),"00000")="89012"), "Suburban SE",
  OR(TEXT(TRIM(S696),"00000")="89117", TEXT(TRIM(S696),"00000")="89128", TEXT(TRIM(S696),"00000")="89135", TEXT(TRIM(S696),"00000")="89144", TEXT(TRIM(S696),"00000")="89145", TEXT(TRIM(S696),"00000")="89147"), "West Valley",
  TRUE, "Other"
)</f>
        <v>South/Strip</v>
      </c>
      <c r="U696" t="s">
        <v>4305</v>
      </c>
      <c r="V696" t="str">
        <f t="shared" si="43"/>
        <v>Medical Facility</v>
      </c>
    </row>
    <row r="697" spans="1:22">
      <c r="A697" t="s">
        <v>361</v>
      </c>
      <c r="B697" t="s">
        <v>362</v>
      </c>
      <c r="C697" s="1">
        <v>45125</v>
      </c>
      <c r="D697" s="4">
        <v>111.92</v>
      </c>
      <c r="E697">
        <v>49</v>
      </c>
      <c r="F697" t="str">
        <f t="shared" si="40"/>
        <v>40's</v>
      </c>
      <c r="G697" t="str" cm="1">
        <f t="array" ref="G697">_xlfn.IFS(
  F697="10's", "Child (5–12)",
  OR(F697="20's", F697="30's"), "Young Adult (20–39)",
  OR(F697="40's", F697="50's"), "Adult (40–59)",
  OR(F697="60's", F697="70's", F697="80's", F697="90's"), "Senior (60+)",
  TRUE, "Unknown"
)</f>
        <v>Adult (40–59)</v>
      </c>
      <c r="H697" t="s">
        <v>778</v>
      </c>
      <c r="I697" t="s">
        <v>363</v>
      </c>
      <c r="J697" t="str">
        <f t="shared" si="41"/>
        <v>Methamphetamine-related</v>
      </c>
      <c r="K697" t="s">
        <v>364</v>
      </c>
      <c r="L697" t="s">
        <v>250</v>
      </c>
      <c r="N697" t="s">
        <v>5095</v>
      </c>
      <c r="O697" t="str" cm="1">
        <f t="array" ref="O697">_xlfn.IFS(
  TEXT(TRIM(N697),"00000")="NULL", "Missing/Unknown",
  OR(TEXT(TRIM(N697),"00000")="89101", TEXT(TRIM(N697),"00000")="89104", TEXT(TRIM(N697),"00000")="89106", TEXT(TRIM(N697),"00000")="89102", TEXT(TRIM(N697),"00000")="89107", TEXT(TRIM(N697),"00000")="89108"), "Urban Core",
  OR(TEXT(TRIM(N697),"00000")="89110", TEXT(TRIM(N697),"00000")="89115", TEXT(TRIM(N697),"00000")="89121", TEXT(TRIM(N697),"00000")="89122", TEXT(TRIM(N697),"00000")="89142", TEXT(TRIM(N697),"00000")="89156"), "East Valley",
  OR(TEXT(TRIM(N697),"00000")="89030", TEXT(TRIM(N697),"00000")="89031", TEXT(TRIM(N697),"00000")="89032", TEXT(TRIM(N697),"00000")="89086", TEXT(TRIM(N697),"00000")="89084", TEXT(TRIM(N697),"00000")="89081"), "North LV",
  OR(TEXT(TRIM(N697),"00000")="89109", TEXT(TRIM(N697),"00000")="89103", TEXT(TRIM(N697),"00000")="89119", TEXT(TRIM(N697),"00000")="89123", TEXT(TRIM(N697),"00000")="89169", TEXT(TRIM(N697),"00000")="89118"), "South/Strip",
  OR(TEXT(TRIM(N697),"00000")="89074", TEXT(TRIM(N697),"00000")="89014", TEXT(TRIM(N697),"00000")="89015", TEXT(TRIM(N697),"00000")="89011", TEXT(TRIM(N697),"00000")="89012"), "Suburban SE",
  OR(TEXT(TRIM(N697),"00000")="89117", TEXT(TRIM(N697),"00000")="89128", TEXT(TRIM(N697),"00000")="89135", TEXT(TRIM(N697),"00000")="89144", TEXT(TRIM(N697),"00000")="89145", TEXT(TRIM(N697),"00000")="89147"), "West Valley",
  TRUE, "Other"
)</f>
        <v>Missing/Unknown</v>
      </c>
      <c r="P697" t="s">
        <v>3298</v>
      </c>
      <c r="Q697" t="str">
        <f t="shared" si="42"/>
        <v>Outdoors/Public</v>
      </c>
      <c r="R697" t="s">
        <v>5053</v>
      </c>
      <c r="S697" t="s">
        <v>5110</v>
      </c>
      <c r="T697" t="str" cm="1">
        <f t="array" ref="T697">_xlfn.IFS(
  TEXT(TRIM(S697),"00000")="NULL", "Missing/Unknown",
  OR(TEXT(TRIM(S697),"00000")="89101", TEXT(TRIM(S697),"00000")="89104", TEXT(TRIM(S697),"00000")="89106", TEXT(TRIM(S697),"00000")="89102", TEXT(TRIM(S697),"00000")="89107", TEXT(TRIM(S697),"00000")="89108"), "Urban Core",
  OR(TEXT(TRIM(S697),"00000")="89110", TEXT(TRIM(S697),"00000")="89115", TEXT(TRIM(S697),"00000")="89121", TEXT(TRIM(S697),"00000")="89122", TEXT(TRIM(S697),"00000")="89142", TEXT(TRIM(S697),"00000")="89156"), "East Valley",
  OR(TEXT(TRIM(S697),"00000")="89030", TEXT(TRIM(S697),"00000")="89031", TEXT(TRIM(S697),"00000")="89032", TEXT(TRIM(S697),"00000")="89086", TEXT(TRIM(S697),"00000")="89084", TEXT(TRIM(S697),"00000")="89081"), "North LV",
  OR(TEXT(TRIM(S697),"00000")="89109", TEXT(TRIM(S697),"00000")="89103", TEXT(TRIM(S697),"00000")="89119", TEXT(TRIM(S697),"00000")="89123", TEXT(TRIM(S697),"00000")="89169", TEXT(TRIM(S697),"00000")="89118"), "South/Strip",
  OR(TEXT(TRIM(S697),"00000")="89074", TEXT(TRIM(S697),"00000")="89014", TEXT(TRIM(S697),"00000")="89015", TEXT(TRIM(S697),"00000")="89011", TEXT(TRIM(S697),"00000")="89012"), "Suburban SE",
  OR(TEXT(TRIM(S697),"00000")="89117", TEXT(TRIM(S697),"00000")="89128", TEXT(TRIM(S697),"00000")="89135", TEXT(TRIM(S697),"00000")="89144", TEXT(TRIM(S697),"00000")="89145", TEXT(TRIM(S697),"00000")="89147"), "West Valley",
  TRUE, "Other"
)</f>
        <v>Suburban SE</v>
      </c>
      <c r="U697" t="s">
        <v>4305</v>
      </c>
      <c r="V697" t="str">
        <f t="shared" si="43"/>
        <v>Medical Facility</v>
      </c>
    </row>
    <row r="698" spans="1:22">
      <c r="A698" t="s">
        <v>345</v>
      </c>
      <c r="B698" t="s">
        <v>346</v>
      </c>
      <c r="C698" s="1">
        <v>45125</v>
      </c>
      <c r="D698" s="4">
        <v>111.92</v>
      </c>
      <c r="E698">
        <v>32</v>
      </c>
      <c r="F698" t="str">
        <f t="shared" si="40"/>
        <v>30's</v>
      </c>
      <c r="G698" t="str" cm="1">
        <f t="array" ref="G698">_xlfn.IFS(
  F698="10's", "Child (5–12)",
  OR(F698="20's", F698="30's"), "Young Adult (20–39)",
  OR(F698="40's", F698="50's"), "Adult (40–59)",
  OR(F698="60's", F698="70's", F698="80's", F698="90's"), "Senior (60+)",
  TRUE, "Unknown"
)</f>
        <v>Young Adult (20–39)</v>
      </c>
      <c r="H698" t="s">
        <v>778</v>
      </c>
      <c r="I698" t="s">
        <v>4025</v>
      </c>
      <c r="J698" t="str">
        <f t="shared" si="41"/>
        <v>Methamphetamine-related</v>
      </c>
      <c r="K698" t="s">
        <v>54</v>
      </c>
      <c r="L698" t="s">
        <v>250</v>
      </c>
      <c r="N698" t="s">
        <v>5095</v>
      </c>
      <c r="O698" t="str" cm="1">
        <f t="array" ref="O698">_xlfn.IFS(
  TEXT(TRIM(N698),"00000")="NULL", "Missing/Unknown",
  OR(TEXT(TRIM(N698),"00000")="89101", TEXT(TRIM(N698),"00000")="89104", TEXT(TRIM(N698),"00000")="89106", TEXT(TRIM(N698),"00000")="89102", TEXT(TRIM(N698),"00000")="89107", TEXT(TRIM(N698),"00000")="89108"), "Urban Core",
  OR(TEXT(TRIM(N698),"00000")="89110", TEXT(TRIM(N698),"00000")="89115", TEXT(TRIM(N698),"00000")="89121", TEXT(TRIM(N698),"00000")="89122", TEXT(TRIM(N698),"00000")="89142", TEXT(TRIM(N698),"00000")="89156"), "East Valley",
  OR(TEXT(TRIM(N698),"00000")="89030", TEXT(TRIM(N698),"00000")="89031", TEXT(TRIM(N698),"00000")="89032", TEXT(TRIM(N698),"00000")="89086", TEXT(TRIM(N698),"00000")="89084", TEXT(TRIM(N698),"00000")="89081"), "North LV",
  OR(TEXT(TRIM(N698),"00000")="89109", TEXT(TRIM(N698),"00000")="89103", TEXT(TRIM(N698),"00000")="89119", TEXT(TRIM(N698),"00000")="89123", TEXT(TRIM(N698),"00000")="89169", TEXT(TRIM(N698),"00000")="89118"), "South/Strip",
  OR(TEXT(TRIM(N698),"00000")="89074", TEXT(TRIM(N698),"00000")="89014", TEXT(TRIM(N698),"00000")="89015", TEXT(TRIM(N698),"00000")="89011", TEXT(TRIM(N698),"00000")="89012"), "Suburban SE",
  OR(TEXT(TRIM(N698),"00000")="89117", TEXT(TRIM(N698),"00000")="89128", TEXT(TRIM(N698),"00000")="89135", TEXT(TRIM(N698),"00000")="89144", TEXT(TRIM(N698),"00000")="89145", TEXT(TRIM(N698),"00000")="89147"), "West Valley",
  TRUE, "Other"
)</f>
        <v>Missing/Unknown</v>
      </c>
      <c r="P698" t="s">
        <v>3298</v>
      </c>
      <c r="Q698" t="str">
        <f t="shared" si="42"/>
        <v>Outdoors/Public</v>
      </c>
      <c r="S698" t="s">
        <v>5095</v>
      </c>
      <c r="T698" t="str" cm="1">
        <f t="array" ref="T698">_xlfn.IFS(
  TEXT(TRIM(S698),"00000")="NULL", "Missing/Unknown",
  OR(TEXT(TRIM(S698),"00000")="89101", TEXT(TRIM(S698),"00000")="89104", TEXT(TRIM(S698),"00000")="89106", TEXT(TRIM(S698),"00000")="89102", TEXT(TRIM(S698),"00000")="89107", TEXT(TRIM(S698),"00000")="89108"), "Urban Core",
  OR(TEXT(TRIM(S698),"00000")="89110", TEXT(TRIM(S698),"00000")="89115", TEXT(TRIM(S698),"00000")="89121", TEXT(TRIM(S698),"00000")="89122", TEXT(TRIM(S698),"00000")="89142", TEXT(TRIM(S698),"00000")="89156"), "East Valley",
  OR(TEXT(TRIM(S698),"00000")="89030", TEXT(TRIM(S698),"00000")="89031", TEXT(TRIM(S698),"00000")="89032", TEXT(TRIM(S698),"00000")="89086", TEXT(TRIM(S698),"00000")="89084", TEXT(TRIM(S698),"00000")="89081"), "North LV",
  OR(TEXT(TRIM(S698),"00000")="89109", TEXT(TRIM(S698),"00000")="89103", TEXT(TRIM(S698),"00000")="89119", TEXT(TRIM(S698),"00000")="89123", TEXT(TRIM(S698),"00000")="89169", TEXT(TRIM(S698),"00000")="89118"), "South/Strip",
  OR(TEXT(TRIM(S698),"00000")="89074", TEXT(TRIM(S698),"00000")="89014", TEXT(TRIM(S698),"00000")="89015", TEXT(TRIM(S698),"00000")="89011", TEXT(TRIM(S698),"00000")="89012"), "Suburban SE",
  OR(TEXT(TRIM(S698),"00000")="89117", TEXT(TRIM(S698),"00000")="89128", TEXT(TRIM(S698),"00000")="89135", TEXT(TRIM(S698),"00000")="89144", TEXT(TRIM(S698),"00000")="89145", TEXT(TRIM(S698),"00000")="89147"), "West Valley",
  TRUE, "Other"
)</f>
        <v>Missing/Unknown</v>
      </c>
      <c r="U698" t="s">
        <v>3298</v>
      </c>
      <c r="V698" t="str">
        <f t="shared" si="43"/>
        <v>Outdoors/Public</v>
      </c>
    </row>
    <row r="699" spans="1:22">
      <c r="A699" t="s">
        <v>329</v>
      </c>
      <c r="B699" t="s">
        <v>330</v>
      </c>
      <c r="C699" s="1">
        <v>45125</v>
      </c>
      <c r="D699" s="4">
        <v>111.92</v>
      </c>
      <c r="E699">
        <v>49</v>
      </c>
      <c r="F699" t="str">
        <f t="shared" si="40"/>
        <v>40's</v>
      </c>
      <c r="G699" t="str" cm="1">
        <f t="array" ref="G699">_xlfn.IFS(
  F699="10's", "Child (5–12)",
  OR(F699="20's", F699="30's"), "Young Adult (20–39)",
  OR(F699="40's", F699="50's"), "Adult (40–59)",
  OR(F699="60's", F699="70's", F699="80's", F699="90's"), "Senior (60+)",
  TRUE, "Unknown"
)</f>
        <v>Adult (40–59)</v>
      </c>
      <c r="H699" t="s">
        <v>841</v>
      </c>
      <c r="I699" t="s">
        <v>54</v>
      </c>
      <c r="J699" t="str">
        <f t="shared" si="41"/>
        <v>Environmental Heat</v>
      </c>
      <c r="K699" t="s">
        <v>98</v>
      </c>
      <c r="L699" t="s">
        <v>250</v>
      </c>
      <c r="N699" t="s">
        <v>5095</v>
      </c>
      <c r="O699" t="str" cm="1">
        <f t="array" ref="O699">_xlfn.IFS(
  TEXT(TRIM(N699),"00000")="NULL", "Missing/Unknown",
  OR(TEXT(TRIM(N699),"00000")="89101", TEXT(TRIM(N699),"00000")="89104", TEXT(TRIM(N699),"00000")="89106", TEXT(TRIM(N699),"00000")="89102", TEXT(TRIM(N699),"00000")="89107", TEXT(TRIM(N699),"00000")="89108"), "Urban Core",
  OR(TEXT(TRIM(N699),"00000")="89110", TEXT(TRIM(N699),"00000")="89115", TEXT(TRIM(N699),"00000")="89121", TEXT(TRIM(N699),"00000")="89122", TEXT(TRIM(N699),"00000")="89142", TEXT(TRIM(N699),"00000")="89156"), "East Valley",
  OR(TEXT(TRIM(N699),"00000")="89030", TEXT(TRIM(N699),"00000")="89031", TEXT(TRIM(N699),"00000")="89032", TEXT(TRIM(N699),"00000")="89086", TEXT(TRIM(N699),"00000")="89084", TEXT(TRIM(N699),"00000")="89081"), "North LV",
  OR(TEXT(TRIM(N699),"00000")="89109", TEXT(TRIM(N699),"00000")="89103", TEXT(TRIM(N699),"00000")="89119", TEXT(TRIM(N699),"00000")="89123", TEXT(TRIM(N699),"00000")="89169", TEXT(TRIM(N699),"00000")="89118"), "South/Strip",
  OR(TEXT(TRIM(N699),"00000")="89074", TEXT(TRIM(N699),"00000")="89014", TEXT(TRIM(N699),"00000")="89015", TEXT(TRIM(N699),"00000")="89011", TEXT(TRIM(N699),"00000")="89012"), "Suburban SE",
  OR(TEXT(TRIM(N699),"00000")="89117", TEXT(TRIM(N699),"00000")="89128", TEXT(TRIM(N699),"00000")="89135", TEXT(TRIM(N699),"00000")="89144", TEXT(TRIM(N699),"00000")="89145", TEXT(TRIM(N699),"00000")="89147"), "West Valley",
  TRUE, "Other"
)</f>
        <v>Missing/Unknown</v>
      </c>
      <c r="P699" t="s">
        <v>331</v>
      </c>
      <c r="Q699" t="str">
        <f t="shared" si="42"/>
        <v>Business/Commercial</v>
      </c>
      <c r="R699" t="s">
        <v>4598</v>
      </c>
      <c r="S699" t="s">
        <v>5106</v>
      </c>
      <c r="T699" t="str" cm="1">
        <f t="array" ref="T699">_xlfn.IFS(
  TEXT(TRIM(S699),"00000")="NULL", "Missing/Unknown",
  OR(TEXT(TRIM(S699),"00000")="89101", TEXT(TRIM(S699),"00000")="89104", TEXT(TRIM(S699),"00000")="89106", TEXT(TRIM(S699),"00000")="89102", TEXT(TRIM(S699),"00000")="89107", TEXT(TRIM(S699),"00000")="89108"), "Urban Core",
  OR(TEXT(TRIM(S699),"00000")="89110", TEXT(TRIM(S699),"00000")="89115", TEXT(TRIM(S699),"00000")="89121", TEXT(TRIM(S699),"00000")="89122", TEXT(TRIM(S699),"00000")="89142", TEXT(TRIM(S699),"00000")="89156"), "East Valley",
  OR(TEXT(TRIM(S699),"00000")="89030", TEXT(TRIM(S699),"00000")="89031", TEXT(TRIM(S699),"00000")="89032", TEXT(TRIM(S699),"00000")="89086", TEXT(TRIM(S699),"00000")="89084", TEXT(TRIM(S699),"00000")="89081"), "North LV",
  OR(TEXT(TRIM(S699),"00000")="89109", TEXT(TRIM(S699),"00000")="89103", TEXT(TRIM(S699),"00000")="89119", TEXT(TRIM(S699),"00000")="89123", TEXT(TRIM(S699),"00000")="89169", TEXT(TRIM(S699),"00000")="89118"), "South/Strip",
  OR(TEXT(TRIM(S699),"00000")="89074", TEXT(TRIM(S699),"00000")="89014", TEXT(TRIM(S699),"00000")="89015", TEXT(TRIM(S699),"00000")="89011", TEXT(TRIM(S699),"00000")="89012"), "Suburban SE",
  OR(TEXT(TRIM(S699),"00000")="89117", TEXT(TRIM(S699),"00000")="89128", TEXT(TRIM(S699),"00000")="89135", TEXT(TRIM(S699),"00000")="89144", TEXT(TRIM(S699),"00000")="89145", TEXT(TRIM(S699),"00000")="89147"), "West Valley",
  TRUE, "Other"
)</f>
        <v>East Valley</v>
      </c>
      <c r="U699" t="s">
        <v>333</v>
      </c>
      <c r="V699" t="str">
        <f t="shared" si="43"/>
        <v>Other / Unknown</v>
      </c>
    </row>
    <row r="700" spans="1:22">
      <c r="A700" t="s">
        <v>313</v>
      </c>
      <c r="B700" t="s">
        <v>314</v>
      </c>
      <c r="C700" s="1">
        <v>45124</v>
      </c>
      <c r="D700" s="4">
        <v>114.08</v>
      </c>
      <c r="E700">
        <v>70</v>
      </c>
      <c r="F700" t="str">
        <f t="shared" si="40"/>
        <v>70's</v>
      </c>
      <c r="G700" t="str" cm="1">
        <f t="array" ref="G700">_xlfn.IFS(
  F700="10's", "Child (5–12)",
  OR(F700="20's", F700="30's"), "Young Adult (20–39)",
  OR(F700="40's", F700="50's"), "Adult (40–59)",
  OR(F700="60's", F700="70's", F700="80's", F700="90's"), "Senior (60+)",
  TRUE, "Unknown"
)</f>
        <v>Senior (60+)</v>
      </c>
      <c r="H700" t="s">
        <v>841</v>
      </c>
      <c r="I700" t="s">
        <v>54</v>
      </c>
      <c r="J700" t="str">
        <f t="shared" si="41"/>
        <v>Environmental Heat</v>
      </c>
      <c r="K700" t="s">
        <v>315</v>
      </c>
      <c r="L700" t="s">
        <v>1071</v>
      </c>
      <c r="M700" t="s">
        <v>4409</v>
      </c>
      <c r="N700" t="s">
        <v>5098</v>
      </c>
      <c r="O700" t="str" cm="1">
        <f t="array" ref="O700">_xlfn.IFS(
  TEXT(TRIM(N700),"00000")="NULL", "Missing/Unknown",
  OR(TEXT(TRIM(N700),"00000")="89101", TEXT(TRIM(N700),"00000")="89104", TEXT(TRIM(N700),"00000")="89106", TEXT(TRIM(N700),"00000")="89102", TEXT(TRIM(N700),"00000")="89107", TEXT(TRIM(N700),"00000")="89108"), "Urban Core",
  OR(TEXT(TRIM(N700),"00000")="89110", TEXT(TRIM(N700),"00000")="89115", TEXT(TRIM(N700),"00000")="89121", TEXT(TRIM(N700),"00000")="89122", TEXT(TRIM(N700),"00000")="89142", TEXT(TRIM(N700),"00000")="89156"), "East Valley",
  OR(TEXT(TRIM(N700),"00000")="89030", TEXT(TRIM(N700),"00000")="89031", TEXT(TRIM(N700),"00000")="89032", TEXT(TRIM(N700),"00000")="89086", TEXT(TRIM(N700),"00000")="89084", TEXT(TRIM(N700),"00000")="89081"), "North LV",
  OR(TEXT(TRIM(N700),"00000")="89109", TEXT(TRIM(N700),"00000")="89103", TEXT(TRIM(N700),"00000")="89119", TEXT(TRIM(N700),"00000")="89123", TEXT(TRIM(N700),"00000")="89169", TEXT(TRIM(N700),"00000")="89118"), "South/Strip",
  OR(TEXT(TRIM(N700),"00000")="89074", TEXT(TRIM(N700),"00000")="89014", TEXT(TRIM(N700),"00000")="89015", TEXT(TRIM(N700),"00000")="89011", TEXT(TRIM(N700),"00000")="89012"), "Suburban SE",
  OR(TEXT(TRIM(N700),"00000")="89117", TEXT(TRIM(N700),"00000")="89128", TEXT(TRIM(N700),"00000")="89135", TEXT(TRIM(N700),"00000")="89144", TEXT(TRIM(N700),"00000")="89145", TEXT(TRIM(N700),"00000")="89147"), "West Valley",
  TRUE, "Other"
)</f>
        <v>Urban Core</v>
      </c>
      <c r="P700" t="s">
        <v>38</v>
      </c>
      <c r="Q700" t="str">
        <f t="shared" si="42"/>
        <v>Home/Residence</v>
      </c>
      <c r="R700" t="s">
        <v>4409</v>
      </c>
      <c r="S700" t="s">
        <v>5098</v>
      </c>
      <c r="T700" t="str" cm="1">
        <f t="array" ref="T700">_xlfn.IFS(
  TEXT(TRIM(S700),"00000")="NULL", "Missing/Unknown",
  OR(TEXT(TRIM(S700),"00000")="89101", TEXT(TRIM(S700),"00000")="89104", TEXT(TRIM(S700),"00000")="89106", TEXT(TRIM(S700),"00000")="89102", TEXT(TRIM(S700),"00000")="89107", TEXT(TRIM(S700),"00000")="89108"), "Urban Core",
  OR(TEXT(TRIM(S700),"00000")="89110", TEXT(TRIM(S700),"00000")="89115", TEXT(TRIM(S700),"00000")="89121", TEXT(TRIM(S700),"00000")="89122", TEXT(TRIM(S700),"00000")="89142", TEXT(TRIM(S700),"00000")="89156"), "East Valley",
  OR(TEXT(TRIM(S700),"00000")="89030", TEXT(TRIM(S700),"00000")="89031", TEXT(TRIM(S700),"00000")="89032", TEXT(TRIM(S700),"00000")="89086", TEXT(TRIM(S700),"00000")="89084", TEXT(TRIM(S700),"00000")="89081"), "North LV",
  OR(TEXT(TRIM(S700),"00000")="89109", TEXT(TRIM(S700),"00000")="89103", TEXT(TRIM(S700),"00000")="89119", TEXT(TRIM(S700),"00000")="89123", TEXT(TRIM(S700),"00000")="89169", TEXT(TRIM(S700),"00000")="89118"), "South/Strip",
  OR(TEXT(TRIM(S700),"00000")="89074", TEXT(TRIM(S700),"00000")="89014", TEXT(TRIM(S700),"00000")="89015", TEXT(TRIM(S700),"00000")="89011", TEXT(TRIM(S700),"00000")="89012"), "Suburban SE",
  OR(TEXT(TRIM(S700),"00000")="89117", TEXT(TRIM(S700),"00000")="89128", TEXT(TRIM(S700),"00000")="89135", TEXT(TRIM(S700),"00000")="89144", TEXT(TRIM(S700),"00000")="89145", TEXT(TRIM(S700),"00000")="89147"), "West Valley",
  TRUE, "Other"
)</f>
        <v>Urban Core</v>
      </c>
      <c r="U700" t="s">
        <v>38</v>
      </c>
      <c r="V700" t="str">
        <f t="shared" si="43"/>
        <v>Home/Residence</v>
      </c>
    </row>
    <row r="701" spans="1:22">
      <c r="A701" t="s">
        <v>317</v>
      </c>
      <c r="B701" t="s">
        <v>318</v>
      </c>
      <c r="C701" s="1">
        <v>45124</v>
      </c>
      <c r="D701" s="4">
        <v>114.08</v>
      </c>
      <c r="E701">
        <v>61</v>
      </c>
      <c r="F701" t="str">
        <f t="shared" si="40"/>
        <v>60's</v>
      </c>
      <c r="G701" t="str" cm="1">
        <f t="array" ref="G701">_xlfn.IFS(
  F701="10's", "Child (5–12)",
  OR(F701="20's", F701="30's"), "Young Adult (20–39)",
  OR(F701="40's", F701="50's"), "Adult (40–59)",
  OR(F701="60's", F701="70's", F701="80's", F701="90's"), "Senior (60+)",
  TRUE, "Unknown"
)</f>
        <v>Senior (60+)</v>
      </c>
      <c r="H701" t="s">
        <v>841</v>
      </c>
      <c r="I701" t="s">
        <v>97</v>
      </c>
      <c r="J701" t="str">
        <f t="shared" si="41"/>
        <v>Environmental Heat</v>
      </c>
      <c r="K701" t="s">
        <v>98</v>
      </c>
      <c r="L701" t="s">
        <v>250</v>
      </c>
      <c r="M701" t="s">
        <v>4541</v>
      </c>
      <c r="N701" t="s">
        <v>5106</v>
      </c>
      <c r="O701" t="str" cm="1">
        <f t="array" ref="O701">_xlfn.IFS(
  TEXT(TRIM(N701),"00000")="NULL", "Missing/Unknown",
  OR(TEXT(TRIM(N701),"00000")="89101", TEXT(TRIM(N701),"00000")="89104", TEXT(TRIM(N701),"00000")="89106", TEXT(TRIM(N701),"00000")="89102", TEXT(TRIM(N701),"00000")="89107", TEXT(TRIM(N701),"00000")="89108"), "Urban Core",
  OR(TEXT(TRIM(N701),"00000")="89110", TEXT(TRIM(N701),"00000")="89115", TEXT(TRIM(N701),"00000")="89121", TEXT(TRIM(N701),"00000")="89122", TEXT(TRIM(N701),"00000")="89142", TEXT(TRIM(N701),"00000")="89156"), "East Valley",
  OR(TEXT(TRIM(N701),"00000")="89030", TEXT(TRIM(N701),"00000")="89031", TEXT(TRIM(N701),"00000")="89032", TEXT(TRIM(N701),"00000")="89086", TEXT(TRIM(N701),"00000")="89084", TEXT(TRIM(N701),"00000")="89081"), "North LV",
  OR(TEXT(TRIM(N701),"00000")="89109", TEXT(TRIM(N701),"00000")="89103", TEXT(TRIM(N701),"00000")="89119", TEXT(TRIM(N701),"00000")="89123", TEXT(TRIM(N701),"00000")="89169", TEXT(TRIM(N701),"00000")="89118"), "South/Strip",
  OR(TEXT(TRIM(N701),"00000")="89074", TEXT(TRIM(N701),"00000")="89014", TEXT(TRIM(N701),"00000")="89015", TEXT(TRIM(N701),"00000")="89011", TEXT(TRIM(N701),"00000")="89012"), "Suburban SE",
  OR(TEXT(TRIM(N701),"00000")="89117", TEXT(TRIM(N701),"00000")="89128", TEXT(TRIM(N701),"00000")="89135", TEXT(TRIM(N701),"00000")="89144", TEXT(TRIM(N701),"00000")="89145", TEXT(TRIM(N701),"00000")="89147"), "West Valley",
  TRUE, "Other"
)</f>
        <v>East Valley</v>
      </c>
      <c r="P701" t="s">
        <v>3298</v>
      </c>
      <c r="Q701" t="str">
        <f t="shared" si="42"/>
        <v>Outdoors/Public</v>
      </c>
      <c r="R701" t="s">
        <v>4341</v>
      </c>
      <c r="S701" t="s">
        <v>5100</v>
      </c>
      <c r="T701" t="str" cm="1">
        <f t="array" ref="T701">_xlfn.IFS(
  TEXT(TRIM(S701),"00000")="NULL", "Missing/Unknown",
  OR(TEXT(TRIM(S701),"00000")="89101", TEXT(TRIM(S701),"00000")="89104", TEXT(TRIM(S701),"00000")="89106", TEXT(TRIM(S701),"00000")="89102", TEXT(TRIM(S701),"00000")="89107", TEXT(TRIM(S701),"00000")="89108"), "Urban Core",
  OR(TEXT(TRIM(S701),"00000")="89110", TEXT(TRIM(S701),"00000")="89115", TEXT(TRIM(S701),"00000")="89121", TEXT(TRIM(S701),"00000")="89122", TEXT(TRIM(S701),"00000")="89142", TEXT(TRIM(S701),"00000")="89156"), "East Valley",
  OR(TEXT(TRIM(S701),"00000")="89030", TEXT(TRIM(S701),"00000")="89031", TEXT(TRIM(S701),"00000")="89032", TEXT(TRIM(S701),"00000")="89086", TEXT(TRIM(S701),"00000")="89084", TEXT(TRIM(S701),"00000")="89081"), "North LV",
  OR(TEXT(TRIM(S701),"00000")="89109", TEXT(TRIM(S701),"00000")="89103", TEXT(TRIM(S701),"00000")="89119", TEXT(TRIM(S701),"00000")="89123", TEXT(TRIM(S701),"00000")="89169", TEXT(TRIM(S701),"00000")="89118"), "South/Strip",
  OR(TEXT(TRIM(S701),"00000")="89074", TEXT(TRIM(S701),"00000")="89014", TEXT(TRIM(S701),"00000")="89015", TEXT(TRIM(S701),"00000")="89011", TEXT(TRIM(S701),"00000")="89012"), "Suburban SE",
  OR(TEXT(TRIM(S701),"00000")="89117", TEXT(TRIM(S701),"00000")="89128", TEXT(TRIM(S701),"00000")="89135", TEXT(TRIM(S701),"00000")="89144", TEXT(TRIM(S701),"00000")="89145", TEXT(TRIM(S701),"00000")="89147"), "West Valley",
  TRUE, "Other"
)</f>
        <v>North LV</v>
      </c>
      <c r="U701" t="s">
        <v>4301</v>
      </c>
      <c r="V701" t="str">
        <f t="shared" si="43"/>
        <v>Medical Facility</v>
      </c>
    </row>
    <row r="702" spans="1:22">
      <c r="A702" t="s">
        <v>309</v>
      </c>
      <c r="B702" t="s">
        <v>310</v>
      </c>
      <c r="C702" s="1">
        <v>45124</v>
      </c>
      <c r="D702" s="4">
        <v>114.08</v>
      </c>
      <c r="E702">
        <v>64</v>
      </c>
      <c r="F702" t="str">
        <f t="shared" si="40"/>
        <v>60's</v>
      </c>
      <c r="G702" t="str" cm="1">
        <f t="array" ref="G702">_xlfn.IFS(
  F702="10's", "Child (5–12)",
  OR(F702="20's", F702="30's"), "Young Adult (20–39)",
  OR(F702="40's", F702="50's"), "Adult (40–59)",
  OR(F702="60's", F702="70's", F702="80's", F702="90's"), "Senior (60+)",
  TRUE, "Unknown"
)</f>
        <v>Senior (60+)</v>
      </c>
      <c r="H702" t="s">
        <v>841</v>
      </c>
      <c r="I702" t="s">
        <v>4012</v>
      </c>
      <c r="J702" t="str">
        <f t="shared" si="41"/>
        <v>Cardiovascular Disease</v>
      </c>
      <c r="K702" t="s">
        <v>311</v>
      </c>
      <c r="L702" t="s">
        <v>250</v>
      </c>
      <c r="M702" t="s">
        <v>4768</v>
      </c>
      <c r="N702" t="s">
        <v>5106</v>
      </c>
      <c r="O702" t="str" cm="1">
        <f t="array" ref="O702">_xlfn.IFS(
  TEXT(TRIM(N702),"00000")="NULL", "Missing/Unknown",
  OR(TEXT(TRIM(N702),"00000")="89101", TEXT(TRIM(N702),"00000")="89104", TEXT(TRIM(N702),"00000")="89106", TEXT(TRIM(N702),"00000")="89102", TEXT(TRIM(N702),"00000")="89107", TEXT(TRIM(N702),"00000")="89108"), "Urban Core",
  OR(TEXT(TRIM(N702),"00000")="89110", TEXT(TRIM(N702),"00000")="89115", TEXT(TRIM(N702),"00000")="89121", TEXT(TRIM(N702),"00000")="89122", TEXT(TRIM(N702),"00000")="89142", TEXT(TRIM(N702),"00000")="89156"), "East Valley",
  OR(TEXT(TRIM(N702),"00000")="89030", TEXT(TRIM(N702),"00000")="89031", TEXT(TRIM(N702),"00000")="89032", TEXT(TRIM(N702),"00000")="89086", TEXT(TRIM(N702),"00000")="89084", TEXT(TRIM(N702),"00000")="89081"), "North LV",
  OR(TEXT(TRIM(N702),"00000")="89109", TEXT(TRIM(N702),"00000")="89103", TEXT(TRIM(N702),"00000")="89119", TEXT(TRIM(N702),"00000")="89123", TEXT(TRIM(N702),"00000")="89169", TEXT(TRIM(N702),"00000")="89118"), "South/Strip",
  OR(TEXT(TRIM(N702),"00000")="89074", TEXT(TRIM(N702),"00000")="89014", TEXT(TRIM(N702),"00000")="89015", TEXT(TRIM(N702),"00000")="89011", TEXT(TRIM(N702),"00000")="89012"), "Suburban SE",
  OR(TEXT(TRIM(N702),"00000")="89117", TEXT(TRIM(N702),"00000")="89128", TEXT(TRIM(N702),"00000")="89135", TEXT(TRIM(N702),"00000")="89144", TEXT(TRIM(N702),"00000")="89145", TEXT(TRIM(N702),"00000")="89147"), "West Valley",
  TRUE, "Other"
)</f>
        <v>East Valley</v>
      </c>
      <c r="P702" t="s">
        <v>3298</v>
      </c>
      <c r="Q702" t="str">
        <f t="shared" si="42"/>
        <v>Outdoors/Public</v>
      </c>
      <c r="R702" t="s">
        <v>4768</v>
      </c>
      <c r="S702" t="s">
        <v>5106</v>
      </c>
      <c r="T702" t="str" cm="1">
        <f t="array" ref="T702">_xlfn.IFS(
  TEXT(TRIM(S702),"00000")="NULL", "Missing/Unknown",
  OR(TEXT(TRIM(S702),"00000")="89101", TEXT(TRIM(S702),"00000")="89104", TEXT(TRIM(S702),"00000")="89106", TEXT(TRIM(S702),"00000")="89102", TEXT(TRIM(S702),"00000")="89107", TEXT(TRIM(S702),"00000")="89108"), "Urban Core",
  OR(TEXT(TRIM(S702),"00000")="89110", TEXT(TRIM(S702),"00000")="89115", TEXT(TRIM(S702),"00000")="89121", TEXT(TRIM(S702),"00000")="89122", TEXT(TRIM(S702),"00000")="89142", TEXT(TRIM(S702),"00000")="89156"), "East Valley",
  OR(TEXT(TRIM(S702),"00000")="89030", TEXT(TRIM(S702),"00000")="89031", TEXT(TRIM(S702),"00000")="89032", TEXT(TRIM(S702),"00000")="89086", TEXT(TRIM(S702),"00000")="89084", TEXT(TRIM(S702),"00000")="89081"), "North LV",
  OR(TEXT(TRIM(S702),"00000")="89109", TEXT(TRIM(S702),"00000")="89103", TEXT(TRIM(S702),"00000")="89119", TEXT(TRIM(S702),"00000")="89123", TEXT(TRIM(S702),"00000")="89169", TEXT(TRIM(S702),"00000")="89118"), "South/Strip",
  OR(TEXT(TRIM(S702),"00000")="89074", TEXT(TRIM(S702),"00000")="89014", TEXT(TRIM(S702),"00000")="89015", TEXT(TRIM(S702),"00000")="89011", TEXT(TRIM(S702),"00000")="89012"), "Suburban SE",
  OR(TEXT(TRIM(S702),"00000")="89117", TEXT(TRIM(S702),"00000")="89128", TEXT(TRIM(S702),"00000")="89135", TEXT(TRIM(S702),"00000")="89144", TEXT(TRIM(S702),"00000")="89145", TEXT(TRIM(S702),"00000")="89147"), "West Valley",
  TRUE, "Other"
)</f>
        <v>East Valley</v>
      </c>
      <c r="U702" t="s">
        <v>3298</v>
      </c>
      <c r="V702" t="str">
        <f t="shared" si="43"/>
        <v>Outdoors/Public</v>
      </c>
    </row>
    <row r="703" spans="1:22">
      <c r="A703" t="s">
        <v>320</v>
      </c>
      <c r="B703" t="s">
        <v>321</v>
      </c>
      <c r="C703" s="1">
        <v>45124</v>
      </c>
      <c r="D703" s="4">
        <v>114.08</v>
      </c>
      <c r="E703">
        <v>66</v>
      </c>
      <c r="F703" t="str">
        <f t="shared" si="40"/>
        <v>60's</v>
      </c>
      <c r="G703" t="str" cm="1">
        <f t="array" ref="G703">_xlfn.IFS(
  F703="10's", "Child (5–12)",
  OR(F703="20's", F703="30's"), "Young Adult (20–39)",
  OR(F703="40's", F703="50's"), "Adult (40–59)",
  OR(F703="60's", F703="70's", F703="80's", F703="90's"), "Senior (60+)",
  TRUE, "Unknown"
)</f>
        <v>Senior (60+)</v>
      </c>
      <c r="H703" t="s">
        <v>4309</v>
      </c>
      <c r="I703" t="s">
        <v>4012</v>
      </c>
      <c r="J703" t="str">
        <f t="shared" si="41"/>
        <v>Cardiovascular Disease</v>
      </c>
      <c r="K703" t="s">
        <v>54</v>
      </c>
      <c r="L703" t="s">
        <v>1071</v>
      </c>
      <c r="M703" t="s">
        <v>4640</v>
      </c>
      <c r="N703" t="s">
        <v>5098</v>
      </c>
      <c r="O703" t="str" cm="1">
        <f t="array" ref="O703">_xlfn.IFS(
  TEXT(TRIM(N703),"00000")="NULL", "Missing/Unknown",
  OR(TEXT(TRIM(N703),"00000")="89101", TEXT(TRIM(N703),"00000")="89104", TEXT(TRIM(N703),"00000")="89106", TEXT(TRIM(N703),"00000")="89102", TEXT(TRIM(N703),"00000")="89107", TEXT(TRIM(N703),"00000")="89108"), "Urban Core",
  OR(TEXT(TRIM(N703),"00000")="89110", TEXT(TRIM(N703),"00000")="89115", TEXT(TRIM(N703),"00000")="89121", TEXT(TRIM(N703),"00000")="89122", TEXT(TRIM(N703),"00000")="89142", TEXT(TRIM(N703),"00000")="89156"), "East Valley",
  OR(TEXT(TRIM(N703),"00000")="89030", TEXT(TRIM(N703),"00000")="89031", TEXT(TRIM(N703),"00000")="89032", TEXT(TRIM(N703),"00000")="89086", TEXT(TRIM(N703),"00000")="89084", TEXT(TRIM(N703),"00000")="89081"), "North LV",
  OR(TEXT(TRIM(N703),"00000")="89109", TEXT(TRIM(N703),"00000")="89103", TEXT(TRIM(N703),"00000")="89119", TEXT(TRIM(N703),"00000")="89123", TEXT(TRIM(N703),"00000")="89169", TEXT(TRIM(N703),"00000")="89118"), "South/Strip",
  OR(TEXT(TRIM(N703),"00000")="89074", TEXT(TRIM(N703),"00000")="89014", TEXT(TRIM(N703),"00000")="89015", TEXT(TRIM(N703),"00000")="89011", TEXT(TRIM(N703),"00000")="89012"), "Suburban SE",
  OR(TEXT(TRIM(N703),"00000")="89117", TEXT(TRIM(N703),"00000")="89128", TEXT(TRIM(N703),"00000")="89135", TEXT(TRIM(N703),"00000")="89144", TEXT(TRIM(N703),"00000")="89145", TEXT(TRIM(N703),"00000")="89147"), "West Valley",
  TRUE, "Other"
)</f>
        <v>Urban Core</v>
      </c>
      <c r="P703" t="s">
        <v>3298</v>
      </c>
      <c r="Q703" t="str">
        <f t="shared" si="42"/>
        <v>Outdoors/Public</v>
      </c>
      <c r="R703" t="s">
        <v>4640</v>
      </c>
      <c r="S703" t="s">
        <v>5098</v>
      </c>
      <c r="T703" t="str" cm="1">
        <f t="array" ref="T703">_xlfn.IFS(
  TEXT(TRIM(S703),"00000")="NULL", "Missing/Unknown",
  OR(TEXT(TRIM(S703),"00000")="89101", TEXT(TRIM(S703),"00000")="89104", TEXT(TRIM(S703),"00000")="89106", TEXT(TRIM(S703),"00000")="89102", TEXT(TRIM(S703),"00000")="89107", TEXT(TRIM(S703),"00000")="89108"), "Urban Core",
  OR(TEXT(TRIM(S703),"00000")="89110", TEXT(TRIM(S703),"00000")="89115", TEXT(TRIM(S703),"00000")="89121", TEXT(TRIM(S703),"00000")="89122", TEXT(TRIM(S703),"00000")="89142", TEXT(TRIM(S703),"00000")="89156"), "East Valley",
  OR(TEXT(TRIM(S703),"00000")="89030", TEXT(TRIM(S703),"00000")="89031", TEXT(TRIM(S703),"00000")="89032", TEXT(TRIM(S703),"00000")="89086", TEXT(TRIM(S703),"00000")="89084", TEXT(TRIM(S703),"00000")="89081"), "North LV",
  OR(TEXT(TRIM(S703),"00000")="89109", TEXT(TRIM(S703),"00000")="89103", TEXT(TRIM(S703),"00000")="89119", TEXT(TRIM(S703),"00000")="89123", TEXT(TRIM(S703),"00000")="89169", TEXT(TRIM(S703),"00000")="89118"), "South/Strip",
  OR(TEXT(TRIM(S703),"00000")="89074", TEXT(TRIM(S703),"00000")="89014", TEXT(TRIM(S703),"00000")="89015", TEXT(TRIM(S703),"00000")="89011", TEXT(TRIM(S703),"00000")="89012"), "Suburban SE",
  OR(TEXT(TRIM(S703),"00000")="89117", TEXT(TRIM(S703),"00000")="89128", TEXT(TRIM(S703),"00000")="89135", TEXT(TRIM(S703),"00000")="89144", TEXT(TRIM(S703),"00000")="89145", TEXT(TRIM(S703),"00000")="89147"), "West Valley",
  TRUE, "Other"
)</f>
        <v>Urban Core</v>
      </c>
      <c r="U703" t="s">
        <v>3298</v>
      </c>
      <c r="V703" t="str">
        <f t="shared" si="43"/>
        <v>Outdoors/Public</v>
      </c>
    </row>
    <row r="704" spans="1:22">
      <c r="A704" t="s">
        <v>305</v>
      </c>
      <c r="B704" t="s">
        <v>306</v>
      </c>
      <c r="C704" s="1">
        <v>45124</v>
      </c>
      <c r="D704" s="4">
        <v>114.08</v>
      </c>
      <c r="E704">
        <v>74</v>
      </c>
      <c r="F704" t="str">
        <f t="shared" si="40"/>
        <v>70's</v>
      </c>
      <c r="G704" t="str" cm="1">
        <f t="array" ref="G704">_xlfn.IFS(
  F704="10's", "Child (5–12)",
  OR(F704="20's", F704="30's"), "Young Adult (20–39)",
  OR(F704="40's", F704="50's"), "Adult (40–59)",
  OR(F704="60's", F704="70's", F704="80's", F704="90's"), "Senior (60+)",
  TRUE, "Unknown"
)</f>
        <v>Senior (60+)</v>
      </c>
      <c r="H704" t="s">
        <v>841</v>
      </c>
      <c r="I704" t="s">
        <v>80</v>
      </c>
      <c r="J704" t="str">
        <f t="shared" si="41"/>
        <v>Cardiovascular Disease</v>
      </c>
      <c r="K704" t="s">
        <v>307</v>
      </c>
      <c r="L704" t="s">
        <v>1071</v>
      </c>
      <c r="M704" t="s">
        <v>4408</v>
      </c>
      <c r="N704" t="s">
        <v>5126</v>
      </c>
      <c r="O704" t="str" cm="1">
        <f t="array" ref="O704">_xlfn.IFS(
  TEXT(TRIM(N704),"00000")="NULL", "Missing/Unknown",
  OR(TEXT(TRIM(N704),"00000")="89101", TEXT(TRIM(N704),"00000")="89104", TEXT(TRIM(N704),"00000")="89106", TEXT(TRIM(N704),"00000")="89102", TEXT(TRIM(N704),"00000")="89107", TEXT(TRIM(N704),"00000")="89108"), "Urban Core",
  OR(TEXT(TRIM(N704),"00000")="89110", TEXT(TRIM(N704),"00000")="89115", TEXT(TRIM(N704),"00000")="89121", TEXT(TRIM(N704),"00000")="89122", TEXT(TRIM(N704),"00000")="89142", TEXT(TRIM(N704),"00000")="89156"), "East Valley",
  OR(TEXT(TRIM(N704),"00000")="89030", TEXT(TRIM(N704),"00000")="89031", TEXT(TRIM(N704),"00000")="89032", TEXT(TRIM(N704),"00000")="89086", TEXT(TRIM(N704),"00000")="89084", TEXT(TRIM(N704),"00000")="89081"), "North LV",
  OR(TEXT(TRIM(N704),"00000")="89109", TEXT(TRIM(N704),"00000")="89103", TEXT(TRIM(N704),"00000")="89119", TEXT(TRIM(N704),"00000")="89123", TEXT(TRIM(N704),"00000")="89169", TEXT(TRIM(N704),"00000")="89118"), "South/Strip",
  OR(TEXT(TRIM(N704),"00000")="89074", TEXT(TRIM(N704),"00000")="89014", TEXT(TRIM(N704),"00000")="89015", TEXT(TRIM(N704),"00000")="89011", TEXT(TRIM(N704),"00000")="89012"), "Suburban SE",
  OR(TEXT(TRIM(N704),"00000")="89117", TEXT(TRIM(N704),"00000")="89128", TEXT(TRIM(N704),"00000")="89135", TEXT(TRIM(N704),"00000")="89144", TEXT(TRIM(N704),"00000")="89145", TEXT(TRIM(N704),"00000")="89147"), "West Valley",
  TRUE, "Other"
)</f>
        <v>Other</v>
      </c>
      <c r="P704" t="s">
        <v>38</v>
      </c>
      <c r="Q704" t="str">
        <f t="shared" si="42"/>
        <v>Home/Residence</v>
      </c>
      <c r="R704" t="s">
        <v>4408</v>
      </c>
      <c r="S704" t="s">
        <v>5126</v>
      </c>
      <c r="T704" t="str" cm="1">
        <f t="array" ref="T704">_xlfn.IFS(
  TEXT(TRIM(S704),"00000")="NULL", "Missing/Unknown",
  OR(TEXT(TRIM(S704),"00000")="89101", TEXT(TRIM(S704),"00000")="89104", TEXT(TRIM(S704),"00000")="89106", TEXT(TRIM(S704),"00000")="89102", TEXT(TRIM(S704),"00000")="89107", TEXT(TRIM(S704),"00000")="89108"), "Urban Core",
  OR(TEXT(TRIM(S704),"00000")="89110", TEXT(TRIM(S704),"00000")="89115", TEXT(TRIM(S704),"00000")="89121", TEXT(TRIM(S704),"00000")="89122", TEXT(TRIM(S704),"00000")="89142", TEXT(TRIM(S704),"00000")="89156"), "East Valley",
  OR(TEXT(TRIM(S704),"00000")="89030", TEXT(TRIM(S704),"00000")="89031", TEXT(TRIM(S704),"00000")="89032", TEXT(TRIM(S704),"00000")="89086", TEXT(TRIM(S704),"00000")="89084", TEXT(TRIM(S704),"00000")="89081"), "North LV",
  OR(TEXT(TRIM(S704),"00000")="89109", TEXT(TRIM(S704),"00000")="89103", TEXT(TRIM(S704),"00000")="89119", TEXT(TRIM(S704),"00000")="89123", TEXT(TRIM(S704),"00000")="89169", TEXT(TRIM(S704),"00000")="89118"), "South/Strip",
  OR(TEXT(TRIM(S704),"00000")="89074", TEXT(TRIM(S704),"00000")="89014", TEXT(TRIM(S704),"00000")="89015", TEXT(TRIM(S704),"00000")="89011", TEXT(TRIM(S704),"00000")="89012"), "Suburban SE",
  OR(TEXT(TRIM(S704),"00000")="89117", TEXT(TRIM(S704),"00000")="89128", TEXT(TRIM(S704),"00000")="89135", TEXT(TRIM(S704),"00000")="89144", TEXT(TRIM(S704),"00000")="89145", TEXT(TRIM(S704),"00000")="89147"), "West Valley",
  TRUE, "Other"
)</f>
        <v>Other</v>
      </c>
      <c r="U704" t="s">
        <v>38</v>
      </c>
      <c r="V704" t="str">
        <f t="shared" si="43"/>
        <v>Home/Residence</v>
      </c>
    </row>
    <row r="705" spans="1:22">
      <c r="A705" t="s">
        <v>301</v>
      </c>
      <c r="B705" t="s">
        <v>302</v>
      </c>
      <c r="C705" s="1">
        <v>45123</v>
      </c>
      <c r="D705" s="4">
        <v>116.06</v>
      </c>
      <c r="E705">
        <v>87</v>
      </c>
      <c r="F705" t="str">
        <f t="shared" si="40"/>
        <v>80's</v>
      </c>
      <c r="G705" t="str" cm="1">
        <f t="array" ref="G705">_xlfn.IFS(
  F705="10's", "Child (5–12)",
  OR(F705="20's", F705="30's"), "Young Adult (20–39)",
  OR(F705="40's", F705="50's"), "Adult (40–59)",
  OR(F705="60's", F705="70's", F705="80's", F705="90's"), "Senior (60+)",
  TRUE, "Unknown"
)</f>
        <v>Senior (60+)</v>
      </c>
      <c r="H705" t="s">
        <v>4309</v>
      </c>
      <c r="I705" t="s">
        <v>4012</v>
      </c>
      <c r="J705" t="str">
        <f t="shared" si="41"/>
        <v>Cardiovascular Disease</v>
      </c>
      <c r="K705" t="s">
        <v>54</v>
      </c>
      <c r="L705" t="s">
        <v>1071</v>
      </c>
      <c r="M705" t="s">
        <v>4411</v>
      </c>
      <c r="N705" t="s">
        <v>5141</v>
      </c>
      <c r="O705" t="str" cm="1">
        <f t="array" ref="O705">_xlfn.IFS(
  TEXT(TRIM(N705),"00000")="NULL", "Missing/Unknown",
  OR(TEXT(TRIM(N705),"00000")="89101", TEXT(TRIM(N705),"00000")="89104", TEXT(TRIM(N705),"00000")="89106", TEXT(TRIM(N705),"00000")="89102", TEXT(TRIM(N705),"00000")="89107", TEXT(TRIM(N705),"00000")="89108"), "Urban Core",
  OR(TEXT(TRIM(N705),"00000")="89110", TEXT(TRIM(N705),"00000")="89115", TEXT(TRIM(N705),"00000")="89121", TEXT(TRIM(N705),"00000")="89122", TEXT(TRIM(N705),"00000")="89142", TEXT(TRIM(N705),"00000")="89156"), "East Valley",
  OR(TEXT(TRIM(N705),"00000")="89030", TEXT(TRIM(N705),"00000")="89031", TEXT(TRIM(N705),"00000")="89032", TEXT(TRIM(N705),"00000")="89086", TEXT(TRIM(N705),"00000")="89084", TEXT(TRIM(N705),"00000")="89081"), "North LV",
  OR(TEXT(TRIM(N705),"00000")="89109", TEXT(TRIM(N705),"00000")="89103", TEXT(TRIM(N705),"00000")="89119", TEXT(TRIM(N705),"00000")="89123", TEXT(TRIM(N705),"00000")="89169", TEXT(TRIM(N705),"00000")="89118"), "South/Strip",
  OR(TEXT(TRIM(N705),"00000")="89074", TEXT(TRIM(N705),"00000")="89014", TEXT(TRIM(N705),"00000")="89015", TEXT(TRIM(N705),"00000")="89011", TEXT(TRIM(N705),"00000")="89012"), "Suburban SE",
  OR(TEXT(TRIM(N705),"00000")="89117", TEXT(TRIM(N705),"00000")="89128", TEXT(TRIM(N705),"00000")="89135", TEXT(TRIM(N705),"00000")="89144", TEXT(TRIM(N705),"00000")="89145", TEXT(TRIM(N705),"00000")="89147"), "West Valley",
  TRUE, "Other"
)</f>
        <v>Other</v>
      </c>
      <c r="P705" t="s">
        <v>38</v>
      </c>
      <c r="Q705" t="str">
        <f t="shared" si="42"/>
        <v>Home/Residence</v>
      </c>
      <c r="R705" t="s">
        <v>4411</v>
      </c>
      <c r="S705" t="s">
        <v>5141</v>
      </c>
      <c r="T705" t="str" cm="1">
        <f t="array" ref="T705">_xlfn.IFS(
  TEXT(TRIM(S705),"00000")="NULL", "Missing/Unknown",
  OR(TEXT(TRIM(S705),"00000")="89101", TEXT(TRIM(S705),"00000")="89104", TEXT(TRIM(S705),"00000")="89106", TEXT(TRIM(S705),"00000")="89102", TEXT(TRIM(S705),"00000")="89107", TEXT(TRIM(S705),"00000")="89108"), "Urban Core",
  OR(TEXT(TRIM(S705),"00000")="89110", TEXT(TRIM(S705),"00000")="89115", TEXT(TRIM(S705),"00000")="89121", TEXT(TRIM(S705),"00000")="89122", TEXT(TRIM(S705),"00000")="89142", TEXT(TRIM(S705),"00000")="89156"), "East Valley",
  OR(TEXT(TRIM(S705),"00000")="89030", TEXT(TRIM(S705),"00000")="89031", TEXT(TRIM(S705),"00000")="89032", TEXT(TRIM(S705),"00000")="89086", TEXT(TRIM(S705),"00000")="89084", TEXT(TRIM(S705),"00000")="89081"), "North LV",
  OR(TEXT(TRIM(S705),"00000")="89109", TEXT(TRIM(S705),"00000")="89103", TEXT(TRIM(S705),"00000")="89119", TEXT(TRIM(S705),"00000")="89123", TEXT(TRIM(S705),"00000")="89169", TEXT(TRIM(S705),"00000")="89118"), "South/Strip",
  OR(TEXT(TRIM(S705),"00000")="89074", TEXT(TRIM(S705),"00000")="89014", TEXT(TRIM(S705),"00000")="89015", TEXT(TRIM(S705),"00000")="89011", TEXT(TRIM(S705),"00000")="89012"), "Suburban SE",
  OR(TEXT(TRIM(S705),"00000")="89117", TEXT(TRIM(S705),"00000")="89128", TEXT(TRIM(S705),"00000")="89135", TEXT(TRIM(S705),"00000")="89144", TEXT(TRIM(S705),"00000")="89145", TEXT(TRIM(S705),"00000")="89147"), "West Valley",
  TRUE, "Other"
)</f>
        <v>Other</v>
      </c>
      <c r="U705" t="s">
        <v>38</v>
      </c>
      <c r="V705" t="str">
        <f t="shared" si="43"/>
        <v>Home/Residence</v>
      </c>
    </row>
    <row r="706" spans="1:22">
      <c r="A706" t="s">
        <v>296</v>
      </c>
      <c r="B706" t="s">
        <v>297</v>
      </c>
      <c r="C706" s="1">
        <v>45123</v>
      </c>
      <c r="D706" s="4">
        <v>116.06</v>
      </c>
      <c r="E706">
        <v>53</v>
      </c>
      <c r="F706" t="str">
        <f t="shared" ref="F706:F769" si="44">_xlfn.CONCAT(INT(E706/10)*10, "'s")</f>
        <v>50's</v>
      </c>
      <c r="G706" t="str" cm="1">
        <f t="array" ref="G706">_xlfn.IFS(
  F706="10's", "Child (5–12)",
  OR(F706="20's", F706="30's"), "Young Adult (20–39)",
  OR(F706="40's", F706="50's"), "Adult (40–59)",
  OR(F706="60's", F706="70's", F706="80's", F706="90's"), "Senior (60+)",
  TRUE, "Unknown"
)</f>
        <v>Adult (40–59)</v>
      </c>
      <c r="H706" t="s">
        <v>298</v>
      </c>
      <c r="I706" t="s">
        <v>299</v>
      </c>
      <c r="J706" t="str">
        <f t="shared" ref="J706:J769" si="45">IF(ISNUMBER(SEARCH("heat", I706)) + ISNUMBER(SEARCH("hyperthermia", I706)) + ISNUMBER(SEARCH("heat stroke", I706)) + ISNUMBER(SEARCH("environmental", I706)), "Environmental Heat",
IF(ISNUMBER(SEARCH("meth", I706)), "Methamphetamine-related",
IF(ISNUMBER(SEARCH("fentanyl", I706)), "Fentanyl-related",
IF(ISNUMBER(SEARCH("cardio", I706)) + ISNUMBER(SEARCH("heart", I706)) + ISNUMBER(SEARCH("atherosclerotic", I706)) + ISNUMBER(SEARCH("hypertensive", I706)) + ISNUMBER(SEARCH("myocardial", I706)) + ISNUMBER(SEARCH("infarction", I706)), "Cardiovascular Disease",
IF(ISNUMBER(SEARCH("ethanol", I706)) + ISNUMBER(SEARCH("alcohol", I706)), "Ethanol-related",
IF(ISNUMBER(SEARCH("dehydration", I706)) + ISNUMBER(SEARCH("hypernatrem", I706)) + ISNUMBER(SEARCH("hyponatrem", I706)), "Dehydration / Electrolyte",
IF(ISNUMBER(SEARCH("intoxication", I706)) + ISNUMBER(SEARCH("toxicity", I706)) + ISNUMBER(SEARCH("overdose", I706)), "Mixed Drug Toxicity",
"Other / Unknown")))))))</f>
        <v>Cardiovascular Disease</v>
      </c>
      <c r="K706" t="s">
        <v>54</v>
      </c>
      <c r="L706" t="s">
        <v>1071</v>
      </c>
      <c r="M706" t="s">
        <v>4410</v>
      </c>
      <c r="N706" t="s">
        <v>5108</v>
      </c>
      <c r="O706" t="str" cm="1">
        <f t="array" ref="O706">_xlfn.IFS(
  TEXT(TRIM(N706),"00000")="NULL", "Missing/Unknown",
  OR(TEXT(TRIM(N706),"00000")="89101", TEXT(TRIM(N706),"00000")="89104", TEXT(TRIM(N706),"00000")="89106", TEXT(TRIM(N706),"00000")="89102", TEXT(TRIM(N706),"00000")="89107", TEXT(TRIM(N706),"00000")="89108"), "Urban Core",
  OR(TEXT(TRIM(N706),"00000")="89110", TEXT(TRIM(N706),"00000")="89115", TEXT(TRIM(N706),"00000")="89121", TEXT(TRIM(N706),"00000")="89122", TEXT(TRIM(N706),"00000")="89142", TEXT(TRIM(N706),"00000")="89156"), "East Valley",
  OR(TEXT(TRIM(N706),"00000")="89030", TEXT(TRIM(N706),"00000")="89031", TEXT(TRIM(N706),"00000")="89032", TEXT(TRIM(N706),"00000")="89086", TEXT(TRIM(N706),"00000")="89084", TEXT(TRIM(N706),"00000")="89081"), "North LV",
  OR(TEXT(TRIM(N706),"00000")="89109", TEXT(TRIM(N706),"00000")="89103", TEXT(TRIM(N706),"00000")="89119", TEXT(TRIM(N706),"00000")="89123", TEXT(TRIM(N706),"00000")="89169", TEXT(TRIM(N706),"00000")="89118"), "South/Strip",
  OR(TEXT(TRIM(N706),"00000")="89074", TEXT(TRIM(N706),"00000")="89014", TEXT(TRIM(N706),"00000")="89015", TEXT(TRIM(N706),"00000")="89011", TEXT(TRIM(N706),"00000")="89012"), "Suburban SE",
  OR(TEXT(TRIM(N706),"00000")="89117", TEXT(TRIM(N706),"00000")="89128", TEXT(TRIM(N706),"00000")="89135", TEXT(TRIM(N706),"00000")="89144", TEXT(TRIM(N706),"00000")="89145", TEXT(TRIM(N706),"00000")="89147"), "West Valley",
  TRUE, "Other"
)</f>
        <v>East Valley</v>
      </c>
      <c r="P706" t="s">
        <v>38</v>
      </c>
      <c r="Q706" t="str">
        <f t="shared" ref="Q706:Q769" si="46">IF(OR(ISNUMBER(SEARCH("outdoor", P706)), ISNUMBER(SEARCH("park", P706)), ISNUMBER(SEARCH("road", P706)), ISNUMBER(SEARCH("sidewalk", P706)), ISNUMBER(SEARCH("desert", P706)), ISNUMBER(SEARCH("tunnel", P706)), ISNUMBER(SEARCH("lot", P706)), ISNUMBER(SEARCH("lake", P706)), ISNUMBER(SEARCH("bus", P706)), ISNUMBER(SEARCH("shed", P706)), ISNUMBER(SEARCH("amusement", P706))), "Outdoors/Public",
IF(OR(ISNUMBER(SEARCH("home", P706)), ISNUMBER(SEARCH("residence", P706)), ISNUMBER(SEARCH("rv", P706)), ISNUMBER(SEARCH("tent", P706)), ISNUMBER(SEARCH("bedroom", P706)), ISNUMBER(SEARCH("garage", P706)), ISNUMBER(SEARCH("trailer", P706)), ISNUMBER(SEARCH("backyard", P706))), "Home/Residence",
IF(OR(ISNUMBER(SEARCH("vehicle", P706)), ISNUMBER(SEARCH("car", P706)), ISNUMBER(SEARCH("wash", P706))), "Vehicle-related",
IF(OR(ISNUMBER(SEARCH("business", P706)), ISNUMBER(SEARCH("school", P706)), ISNUMBER(SEARCH("hotel", P706)), ISNUMBER(SEARCH("construction", P706)), ISNUMBER(SEARCH("furniture", P706)), ISNUMBER(SEARCH("public", P706))), "Business/Commercial",
IF(OR(ISNUMBER(SEARCH("hospital", P706)), ISNUMBER(SEARCH("assisted", P706)), ISNUMBER(SEARCH("residential care", P706))), "Medical Facility",
IF(OR(ISNUMBER(SEARCH("shelter", P706)), ISNUMBER(SEARCH("jail", P706))), "Shelter/Temporary Housing",
"Other / Unknown"))))))</f>
        <v>Home/Residence</v>
      </c>
      <c r="R706" t="s">
        <v>4410</v>
      </c>
      <c r="S706" t="s">
        <v>5108</v>
      </c>
      <c r="T706" t="str" cm="1">
        <f t="array" ref="T706">_xlfn.IFS(
  TEXT(TRIM(S706),"00000")="NULL", "Missing/Unknown",
  OR(TEXT(TRIM(S706),"00000")="89101", TEXT(TRIM(S706),"00000")="89104", TEXT(TRIM(S706),"00000")="89106", TEXT(TRIM(S706),"00000")="89102", TEXT(TRIM(S706),"00000")="89107", TEXT(TRIM(S706),"00000")="89108"), "Urban Core",
  OR(TEXT(TRIM(S706),"00000")="89110", TEXT(TRIM(S706),"00000")="89115", TEXT(TRIM(S706),"00000")="89121", TEXT(TRIM(S706),"00000")="89122", TEXT(TRIM(S706),"00000")="89142", TEXT(TRIM(S706),"00000")="89156"), "East Valley",
  OR(TEXT(TRIM(S706),"00000")="89030", TEXT(TRIM(S706),"00000")="89031", TEXT(TRIM(S706),"00000")="89032", TEXT(TRIM(S706),"00000")="89086", TEXT(TRIM(S706),"00000")="89084", TEXT(TRIM(S706),"00000")="89081"), "North LV",
  OR(TEXT(TRIM(S706),"00000")="89109", TEXT(TRIM(S706),"00000")="89103", TEXT(TRIM(S706),"00000")="89119", TEXT(TRIM(S706),"00000")="89123", TEXT(TRIM(S706),"00000")="89169", TEXT(TRIM(S706),"00000")="89118"), "South/Strip",
  OR(TEXT(TRIM(S706),"00000")="89074", TEXT(TRIM(S706),"00000")="89014", TEXT(TRIM(S706),"00000")="89015", TEXT(TRIM(S706),"00000")="89011", TEXT(TRIM(S706),"00000")="89012"), "Suburban SE",
  OR(TEXT(TRIM(S706),"00000")="89117", TEXT(TRIM(S706),"00000")="89128", TEXT(TRIM(S706),"00000")="89135", TEXT(TRIM(S706),"00000")="89144", TEXT(TRIM(S706),"00000")="89145", TEXT(TRIM(S706),"00000")="89147"), "West Valley",
  TRUE, "Other"
)</f>
        <v>East Valley</v>
      </c>
      <c r="U706" t="s">
        <v>38</v>
      </c>
      <c r="V706" t="str">
        <f t="shared" ref="V706:V769" si="47">IF(OR(ISNUMBER(SEARCH("outdoor", U706)), ISNUMBER(SEARCH("park", U706)), ISNUMBER(SEARCH("road", U706)), ISNUMBER(SEARCH("sidewalk", U706)), ISNUMBER(SEARCH("desert", U706)), ISNUMBER(SEARCH("tunnel", U706)), ISNUMBER(SEARCH("lot", U706)), ISNUMBER(SEARCH("lake", U706)), ISNUMBER(SEARCH("bus", U706)), ISNUMBER(SEARCH("shed", U706)), ISNUMBER(SEARCH("amusement", U706))), "Outdoors/Public",
IF(OR(ISNUMBER(SEARCH("home", U706)), ISNUMBER(SEARCH("residence", U706)), ISNUMBER(SEARCH("rv", U706)), ISNUMBER(SEARCH("tent", U706)), ISNUMBER(SEARCH("bedroom", U706)), ISNUMBER(SEARCH("garage", U706)), ISNUMBER(SEARCH("trailer", U706)), ISNUMBER(SEARCH("backyard", U706))), "Home/Residence",
IF(OR(ISNUMBER(SEARCH("vehicle", U706)), ISNUMBER(SEARCH("wash", U706))), "Vehicle-related",
IF(OR(ISNUMBER(SEARCH("business", U706)), ISNUMBER(SEARCH("school", U706)), ISNUMBER(SEARCH("hotel", U706)), ISNUMBER(SEARCH("construction", U706)), ISNUMBER(SEARCH("furniture", U706)), ISNUMBER(SEARCH("public", U706))), "Business/Commercial",
IF(OR(ISNUMBER(SEARCH("hospital", U706)), ISNUMBER(SEARCH("assisted", U706)), ISNUMBER(SEARCH("residential care", U706)), ISNUMBER(SEARCH("emergency room", U706)), ISNUMBER(SEARCH("emergency", U706)), ISNUMBER(SEARCH("intensive care unit", U706)), ISNUMBER(SEARCH("icu", U706))), "Medical Facility",
IF(OR(ISNUMBER(SEARCH("shelter", U706)), ISNUMBER(SEARCH("jail", U706))), "Shelter/Temporary Housing",
"Other / Unknown"))))))</f>
        <v>Home/Residence</v>
      </c>
    </row>
    <row r="707" spans="1:22">
      <c r="A707" t="s">
        <v>293</v>
      </c>
      <c r="B707" t="s">
        <v>294</v>
      </c>
      <c r="C707" s="1">
        <v>45123</v>
      </c>
      <c r="D707" s="4">
        <v>116.06</v>
      </c>
      <c r="E707">
        <v>44</v>
      </c>
      <c r="F707" t="str">
        <f t="shared" si="44"/>
        <v>40's</v>
      </c>
      <c r="G707" t="str" cm="1">
        <f t="array" ref="G707">_xlfn.IFS(
  F707="10's", "Child (5–12)",
  OR(F707="20's", F707="30's"), "Young Adult (20–39)",
  OR(F707="40's", F707="50's"), "Adult (40–59)",
  OR(F707="60's", F707="70's", F707="80's", F707="90's"), "Senior (60+)",
  TRUE, "Unknown"
)</f>
        <v>Adult (40–59)</v>
      </c>
      <c r="H707" t="s">
        <v>4310</v>
      </c>
      <c r="I707" t="s">
        <v>54</v>
      </c>
      <c r="J707" t="str">
        <f t="shared" si="45"/>
        <v>Environmental Heat</v>
      </c>
      <c r="K707" t="s">
        <v>63</v>
      </c>
      <c r="L707" t="s">
        <v>250</v>
      </c>
      <c r="M707" t="s">
        <v>4336</v>
      </c>
      <c r="N707" t="s">
        <v>5101</v>
      </c>
      <c r="O707" t="str" cm="1">
        <f t="array" ref="O707">_xlfn.IFS(
  TEXT(TRIM(N707),"00000")="NULL", "Missing/Unknown",
  OR(TEXT(TRIM(N707),"00000")="89101", TEXT(TRIM(N707),"00000")="89104", TEXT(TRIM(N707),"00000")="89106", TEXT(TRIM(N707),"00000")="89102", TEXT(TRIM(N707),"00000")="89107", TEXT(TRIM(N707),"00000")="89108"), "Urban Core",
  OR(TEXT(TRIM(N707),"00000")="89110", TEXT(TRIM(N707),"00000")="89115", TEXT(TRIM(N707),"00000")="89121", TEXT(TRIM(N707),"00000")="89122", TEXT(TRIM(N707),"00000")="89142", TEXT(TRIM(N707),"00000")="89156"), "East Valley",
  OR(TEXT(TRIM(N707),"00000")="89030", TEXT(TRIM(N707),"00000")="89031", TEXT(TRIM(N707),"00000")="89032", TEXT(TRIM(N707),"00000")="89086", TEXT(TRIM(N707),"00000")="89084", TEXT(TRIM(N707),"00000")="89081"), "North LV",
  OR(TEXT(TRIM(N707),"00000")="89109", TEXT(TRIM(N707),"00000")="89103", TEXT(TRIM(N707),"00000")="89119", TEXT(TRIM(N707),"00000")="89123", TEXT(TRIM(N707),"00000")="89169", TEXT(TRIM(N707),"00000")="89118"), "South/Strip",
  OR(TEXT(TRIM(N707),"00000")="89074", TEXT(TRIM(N707),"00000")="89014", TEXT(TRIM(N707),"00000")="89015", TEXT(TRIM(N707),"00000")="89011", TEXT(TRIM(N707),"00000")="89012"), "Suburban SE",
  OR(TEXT(TRIM(N707),"00000")="89117", TEXT(TRIM(N707),"00000")="89128", TEXT(TRIM(N707),"00000")="89135", TEXT(TRIM(N707),"00000")="89144", TEXT(TRIM(N707),"00000")="89145", TEXT(TRIM(N707),"00000")="89147"), "West Valley",
  TRUE, "Other"
)</f>
        <v>Urban Core</v>
      </c>
      <c r="P707" t="s">
        <v>3298</v>
      </c>
      <c r="Q707" t="str">
        <f t="shared" si="46"/>
        <v>Outdoors/Public</v>
      </c>
      <c r="R707" t="s">
        <v>4336</v>
      </c>
      <c r="S707" t="s">
        <v>5101</v>
      </c>
      <c r="T707" t="str" cm="1">
        <f t="array" ref="T707">_xlfn.IFS(
  TEXT(TRIM(S707),"00000")="NULL", "Missing/Unknown",
  OR(TEXT(TRIM(S707),"00000")="89101", TEXT(TRIM(S707),"00000")="89104", TEXT(TRIM(S707),"00000")="89106", TEXT(TRIM(S707),"00000")="89102", TEXT(TRIM(S707),"00000")="89107", TEXT(TRIM(S707),"00000")="89108"), "Urban Core",
  OR(TEXT(TRIM(S707),"00000")="89110", TEXT(TRIM(S707),"00000")="89115", TEXT(TRIM(S707),"00000")="89121", TEXT(TRIM(S707),"00000")="89122", TEXT(TRIM(S707),"00000")="89142", TEXT(TRIM(S707),"00000")="89156"), "East Valley",
  OR(TEXT(TRIM(S707),"00000")="89030", TEXT(TRIM(S707),"00000")="89031", TEXT(TRIM(S707),"00000")="89032", TEXT(TRIM(S707),"00000")="89086", TEXT(TRIM(S707),"00000")="89084", TEXT(TRIM(S707),"00000")="89081"), "North LV",
  OR(TEXT(TRIM(S707),"00000")="89109", TEXT(TRIM(S707),"00000")="89103", TEXT(TRIM(S707),"00000")="89119", TEXT(TRIM(S707),"00000")="89123", TEXT(TRIM(S707),"00000")="89169", TEXT(TRIM(S707),"00000")="89118"), "South/Strip",
  OR(TEXT(TRIM(S707),"00000")="89074", TEXT(TRIM(S707),"00000")="89014", TEXT(TRIM(S707),"00000")="89015", TEXT(TRIM(S707),"00000")="89011", TEXT(TRIM(S707),"00000")="89012"), "Suburban SE",
  OR(TEXT(TRIM(S707),"00000")="89117", TEXT(TRIM(S707),"00000")="89128", TEXT(TRIM(S707),"00000")="89135", TEXT(TRIM(S707),"00000")="89144", TEXT(TRIM(S707),"00000")="89145", TEXT(TRIM(S707),"00000")="89147"), "West Valley",
  TRUE, "Other"
)</f>
        <v>Urban Core</v>
      </c>
      <c r="U707" t="s">
        <v>3298</v>
      </c>
      <c r="V707" t="str">
        <f t="shared" si="47"/>
        <v>Outdoors/Public</v>
      </c>
    </row>
    <row r="708" spans="1:22">
      <c r="A708" t="s">
        <v>291</v>
      </c>
      <c r="B708" t="s">
        <v>292</v>
      </c>
      <c r="C708" s="1">
        <v>45122</v>
      </c>
      <c r="D708" s="4">
        <v>114.08</v>
      </c>
      <c r="E708">
        <v>40</v>
      </c>
      <c r="F708" t="str">
        <f t="shared" si="44"/>
        <v>40's</v>
      </c>
      <c r="G708" t="str" cm="1">
        <f t="array" ref="G708">_xlfn.IFS(
  F708="10's", "Child (5–12)",
  OR(F708="20's", F708="30's"), "Young Adult (20–39)",
  OR(F708="40's", F708="50's"), "Adult (40–59)",
  OR(F708="60's", F708="70's", F708="80's", F708="90's"), "Senior (60+)",
  TRUE, "Unknown"
)</f>
        <v>Adult (40–59)</v>
      </c>
      <c r="H708" t="s">
        <v>4310</v>
      </c>
      <c r="I708" t="s">
        <v>97</v>
      </c>
      <c r="J708" t="str">
        <f t="shared" si="45"/>
        <v>Environmental Heat</v>
      </c>
      <c r="K708" t="s">
        <v>98</v>
      </c>
      <c r="L708" t="s">
        <v>250</v>
      </c>
      <c r="N708" t="s">
        <v>5095</v>
      </c>
      <c r="O708" t="str" cm="1">
        <f t="array" ref="O708">_xlfn.IFS(
  TEXT(TRIM(N708),"00000")="NULL", "Missing/Unknown",
  OR(TEXT(TRIM(N708),"00000")="89101", TEXT(TRIM(N708),"00000")="89104", TEXT(TRIM(N708),"00000")="89106", TEXT(TRIM(N708),"00000")="89102", TEXT(TRIM(N708),"00000")="89107", TEXT(TRIM(N708),"00000")="89108"), "Urban Core",
  OR(TEXT(TRIM(N708),"00000")="89110", TEXT(TRIM(N708),"00000")="89115", TEXT(TRIM(N708),"00000")="89121", TEXT(TRIM(N708),"00000")="89122", TEXT(TRIM(N708),"00000")="89142", TEXT(TRIM(N708),"00000")="89156"), "East Valley",
  OR(TEXT(TRIM(N708),"00000")="89030", TEXT(TRIM(N708),"00000")="89031", TEXT(TRIM(N708),"00000")="89032", TEXT(TRIM(N708),"00000")="89086", TEXT(TRIM(N708),"00000")="89084", TEXT(TRIM(N708),"00000")="89081"), "North LV",
  OR(TEXT(TRIM(N708),"00000")="89109", TEXT(TRIM(N708),"00000")="89103", TEXT(TRIM(N708),"00000")="89119", TEXT(TRIM(N708),"00000")="89123", TEXT(TRIM(N708),"00000")="89169", TEXT(TRIM(N708),"00000")="89118"), "South/Strip",
  OR(TEXT(TRIM(N708),"00000")="89074", TEXT(TRIM(N708),"00000")="89014", TEXT(TRIM(N708),"00000")="89015", TEXT(TRIM(N708),"00000")="89011", TEXT(TRIM(N708),"00000")="89012"), "Suburban SE",
  OR(TEXT(TRIM(N708),"00000")="89117", TEXT(TRIM(N708),"00000")="89128", TEXT(TRIM(N708),"00000")="89135", TEXT(TRIM(N708),"00000")="89144", TEXT(TRIM(N708),"00000")="89145", TEXT(TRIM(N708),"00000")="89147"), "West Valley",
  TRUE, "Other"
)</f>
        <v>Missing/Unknown</v>
      </c>
      <c r="P708" t="s">
        <v>3298</v>
      </c>
      <c r="Q708" t="str">
        <f t="shared" si="46"/>
        <v>Outdoors/Public</v>
      </c>
      <c r="R708" t="s">
        <v>4341</v>
      </c>
      <c r="S708" t="s">
        <v>5100</v>
      </c>
      <c r="T708" t="str" cm="1">
        <f t="array" ref="T708">_xlfn.IFS(
  TEXT(TRIM(S708),"00000")="NULL", "Missing/Unknown",
  OR(TEXT(TRIM(S708),"00000")="89101", TEXT(TRIM(S708),"00000")="89104", TEXT(TRIM(S708),"00000")="89106", TEXT(TRIM(S708),"00000")="89102", TEXT(TRIM(S708),"00000")="89107", TEXT(TRIM(S708),"00000")="89108"), "Urban Core",
  OR(TEXT(TRIM(S708),"00000")="89110", TEXT(TRIM(S708),"00000")="89115", TEXT(TRIM(S708),"00000")="89121", TEXT(TRIM(S708),"00000")="89122", TEXT(TRIM(S708),"00000")="89142", TEXT(TRIM(S708),"00000")="89156"), "East Valley",
  OR(TEXT(TRIM(S708),"00000")="89030", TEXT(TRIM(S708),"00000")="89031", TEXT(TRIM(S708),"00000")="89032", TEXT(TRIM(S708),"00000")="89086", TEXT(TRIM(S708),"00000")="89084", TEXT(TRIM(S708),"00000")="89081"), "North LV",
  OR(TEXT(TRIM(S708),"00000")="89109", TEXT(TRIM(S708),"00000")="89103", TEXT(TRIM(S708),"00000")="89119", TEXT(TRIM(S708),"00000")="89123", TEXT(TRIM(S708),"00000")="89169", TEXT(TRIM(S708),"00000")="89118"), "South/Strip",
  OR(TEXT(TRIM(S708),"00000")="89074", TEXT(TRIM(S708),"00000")="89014", TEXT(TRIM(S708),"00000")="89015", TEXT(TRIM(S708),"00000")="89011", TEXT(TRIM(S708),"00000")="89012"), "Suburban SE",
  OR(TEXT(TRIM(S708),"00000")="89117", TEXT(TRIM(S708),"00000")="89128", TEXT(TRIM(S708),"00000")="89135", TEXT(TRIM(S708),"00000")="89144", TEXT(TRIM(S708),"00000")="89145", TEXT(TRIM(S708),"00000")="89147"), "West Valley",
  TRUE, "Other"
)</f>
        <v>North LV</v>
      </c>
      <c r="U708" t="s">
        <v>4305</v>
      </c>
      <c r="V708" t="str">
        <f t="shared" si="47"/>
        <v>Medical Facility</v>
      </c>
    </row>
    <row r="709" spans="1:22">
      <c r="A709" t="s">
        <v>289</v>
      </c>
      <c r="B709" t="s">
        <v>290</v>
      </c>
      <c r="C709" s="1">
        <v>45122</v>
      </c>
      <c r="D709" s="4">
        <v>114.08</v>
      </c>
      <c r="E709">
        <v>84</v>
      </c>
      <c r="F709" t="str">
        <f t="shared" si="44"/>
        <v>80's</v>
      </c>
      <c r="G709" t="str" cm="1">
        <f t="array" ref="G709">_xlfn.IFS(
  F709="10's", "Child (5–12)",
  OR(F709="20's", F709="30's"), "Young Adult (20–39)",
  OR(F709="40's", F709="50's"), "Adult (40–59)",
  OR(F709="60's", F709="70's", F709="80's", F709="90's"), "Senior (60+)",
  TRUE, "Unknown"
)</f>
        <v>Senior (60+)</v>
      </c>
      <c r="H709" t="s">
        <v>4309</v>
      </c>
      <c r="I709" t="s">
        <v>63</v>
      </c>
      <c r="J709" t="str">
        <f t="shared" si="45"/>
        <v>Cardiovascular Disease</v>
      </c>
      <c r="K709" t="s">
        <v>54</v>
      </c>
      <c r="L709" t="s">
        <v>250</v>
      </c>
      <c r="N709" t="s">
        <v>5095</v>
      </c>
      <c r="O709" t="str" cm="1">
        <f t="array" ref="O709">_xlfn.IFS(
  TEXT(TRIM(N709),"00000")="NULL", "Missing/Unknown",
  OR(TEXT(TRIM(N709),"00000")="89101", TEXT(TRIM(N709),"00000")="89104", TEXT(TRIM(N709),"00000")="89106", TEXT(TRIM(N709),"00000")="89102", TEXT(TRIM(N709),"00000")="89107", TEXT(TRIM(N709),"00000")="89108"), "Urban Core",
  OR(TEXT(TRIM(N709),"00000")="89110", TEXT(TRIM(N709),"00000")="89115", TEXT(TRIM(N709),"00000")="89121", TEXT(TRIM(N709),"00000")="89122", TEXT(TRIM(N709),"00000")="89142", TEXT(TRIM(N709),"00000")="89156"), "East Valley",
  OR(TEXT(TRIM(N709),"00000")="89030", TEXT(TRIM(N709),"00000")="89031", TEXT(TRIM(N709),"00000")="89032", TEXT(TRIM(N709),"00000")="89086", TEXT(TRIM(N709),"00000")="89084", TEXT(TRIM(N709),"00000")="89081"), "North LV",
  OR(TEXT(TRIM(N709),"00000")="89109", TEXT(TRIM(N709),"00000")="89103", TEXT(TRIM(N709),"00000")="89119", TEXT(TRIM(N709),"00000")="89123", TEXT(TRIM(N709),"00000")="89169", TEXT(TRIM(N709),"00000")="89118"), "South/Strip",
  OR(TEXT(TRIM(N709),"00000")="89074", TEXT(TRIM(N709),"00000")="89014", TEXT(TRIM(N709),"00000")="89015", TEXT(TRIM(N709),"00000")="89011", TEXT(TRIM(N709),"00000")="89012"), "Suburban SE",
  OR(TEXT(TRIM(N709),"00000")="89117", TEXT(TRIM(N709),"00000")="89128", TEXT(TRIM(N709),"00000")="89135", TEXT(TRIM(N709),"00000")="89144", TEXT(TRIM(N709),"00000")="89145", TEXT(TRIM(N709),"00000")="89147"), "West Valley",
  TRUE, "Other"
)</f>
        <v>Missing/Unknown</v>
      </c>
      <c r="P709" t="s">
        <v>208</v>
      </c>
      <c r="Q709" t="str">
        <f t="shared" si="46"/>
        <v>Outdoors/Public</v>
      </c>
      <c r="S709" t="s">
        <v>5095</v>
      </c>
      <c r="T709" t="str" cm="1">
        <f t="array" ref="T709">_xlfn.IFS(
  TEXT(TRIM(S709),"00000")="NULL", "Missing/Unknown",
  OR(TEXT(TRIM(S709),"00000")="89101", TEXT(TRIM(S709),"00000")="89104", TEXT(TRIM(S709),"00000")="89106", TEXT(TRIM(S709),"00000")="89102", TEXT(TRIM(S709),"00000")="89107", TEXT(TRIM(S709),"00000")="89108"), "Urban Core",
  OR(TEXT(TRIM(S709),"00000")="89110", TEXT(TRIM(S709),"00000")="89115", TEXT(TRIM(S709),"00000")="89121", TEXT(TRIM(S709),"00000")="89122", TEXT(TRIM(S709),"00000")="89142", TEXT(TRIM(S709),"00000")="89156"), "East Valley",
  OR(TEXT(TRIM(S709),"00000")="89030", TEXT(TRIM(S709),"00000")="89031", TEXT(TRIM(S709),"00000")="89032", TEXT(TRIM(S709),"00000")="89086", TEXT(TRIM(S709),"00000")="89084", TEXT(TRIM(S709),"00000")="89081"), "North LV",
  OR(TEXT(TRIM(S709),"00000")="89109", TEXT(TRIM(S709),"00000")="89103", TEXT(TRIM(S709),"00000")="89119", TEXT(TRIM(S709),"00000")="89123", TEXT(TRIM(S709),"00000")="89169", TEXT(TRIM(S709),"00000")="89118"), "South/Strip",
  OR(TEXT(TRIM(S709),"00000")="89074", TEXT(TRIM(S709),"00000")="89014", TEXT(TRIM(S709),"00000")="89015", TEXT(TRIM(S709),"00000")="89011", TEXT(TRIM(S709),"00000")="89012"), "Suburban SE",
  OR(TEXT(TRIM(S709),"00000")="89117", TEXT(TRIM(S709),"00000")="89128", TEXT(TRIM(S709),"00000")="89135", TEXT(TRIM(S709),"00000")="89144", TEXT(TRIM(S709),"00000")="89145", TEXT(TRIM(S709),"00000")="89147"), "West Valley",
  TRUE, "Other"
)</f>
        <v>Missing/Unknown</v>
      </c>
      <c r="U709" t="s">
        <v>208</v>
      </c>
      <c r="V709" t="str">
        <f t="shared" si="47"/>
        <v>Outdoors/Public</v>
      </c>
    </row>
    <row r="710" spans="1:22">
      <c r="A710" t="s">
        <v>284</v>
      </c>
      <c r="B710" t="s">
        <v>285</v>
      </c>
      <c r="C710" s="1">
        <v>45121</v>
      </c>
      <c r="D710" s="4">
        <v>111.02</v>
      </c>
      <c r="E710">
        <v>29</v>
      </c>
      <c r="F710" t="str">
        <f t="shared" si="44"/>
        <v>20's</v>
      </c>
      <c r="G710" t="str" cm="1">
        <f t="array" ref="G710">_xlfn.IFS(
  F710="10's", "Child (5–12)",
  OR(F710="20's", F710="30's"), "Young Adult (20–39)",
  OR(F710="40's", F710="50's"), "Adult (40–59)",
  OR(F710="60's", F710="70's", F710="80's", F710="90's"), "Senior (60+)",
  TRUE, "Unknown"
)</f>
        <v>Young Adult (20–39)</v>
      </c>
      <c r="H710" t="s">
        <v>841</v>
      </c>
      <c r="I710" t="s">
        <v>4311</v>
      </c>
      <c r="J710" t="str">
        <f t="shared" si="45"/>
        <v>Fentanyl-related</v>
      </c>
      <c r="K710" t="s">
        <v>287</v>
      </c>
      <c r="L710" t="s">
        <v>250</v>
      </c>
      <c r="M710" t="s">
        <v>5045</v>
      </c>
      <c r="N710" t="s">
        <v>5142</v>
      </c>
      <c r="O710" t="str" cm="1">
        <f t="array" ref="O710">_xlfn.IFS(
  TEXT(TRIM(N710),"00000")="NULL", "Missing/Unknown",
  OR(TEXT(TRIM(N710),"00000")="89101", TEXT(TRIM(N710),"00000")="89104", TEXT(TRIM(N710),"00000")="89106", TEXT(TRIM(N710),"00000")="89102", TEXT(TRIM(N710),"00000")="89107", TEXT(TRIM(N710),"00000")="89108"), "Urban Core",
  OR(TEXT(TRIM(N710),"00000")="89110", TEXT(TRIM(N710),"00000")="89115", TEXT(TRIM(N710),"00000")="89121", TEXT(TRIM(N710),"00000")="89122", TEXT(TRIM(N710),"00000")="89142", TEXT(TRIM(N710),"00000")="89156"), "East Valley",
  OR(TEXT(TRIM(N710),"00000")="89030", TEXT(TRIM(N710),"00000")="89031", TEXT(TRIM(N710),"00000")="89032", TEXT(TRIM(N710),"00000")="89086", TEXT(TRIM(N710),"00000")="89084", TEXT(TRIM(N710),"00000")="89081"), "North LV",
  OR(TEXT(TRIM(N710),"00000")="89109", TEXT(TRIM(N710),"00000")="89103", TEXT(TRIM(N710),"00000")="89119", TEXT(TRIM(N710),"00000")="89123", TEXT(TRIM(N710),"00000")="89169", TEXT(TRIM(N710),"00000")="89118"), "South/Strip",
  OR(TEXT(TRIM(N710),"00000")="89074", TEXT(TRIM(N710),"00000")="89014", TEXT(TRIM(N710),"00000")="89015", TEXT(TRIM(N710),"00000")="89011", TEXT(TRIM(N710),"00000")="89012"), "Suburban SE",
  OR(TEXT(TRIM(N710),"00000")="89117", TEXT(TRIM(N710),"00000")="89128", TEXT(TRIM(N710),"00000")="89135", TEXT(TRIM(N710),"00000")="89144", TEXT(TRIM(N710),"00000")="89145", TEXT(TRIM(N710),"00000")="89147"), "West Valley",
  TRUE, "Other"
)</f>
        <v>Suburban SE</v>
      </c>
      <c r="P710" t="s">
        <v>3298</v>
      </c>
      <c r="Q710" t="str">
        <f t="shared" si="46"/>
        <v>Outdoors/Public</v>
      </c>
      <c r="R710" t="s">
        <v>5053</v>
      </c>
      <c r="S710" t="s">
        <v>5110</v>
      </c>
      <c r="T710" t="str" cm="1">
        <f t="array" ref="T710">_xlfn.IFS(
  TEXT(TRIM(S710),"00000")="NULL", "Missing/Unknown",
  OR(TEXT(TRIM(S710),"00000")="89101", TEXT(TRIM(S710),"00000")="89104", TEXT(TRIM(S710),"00000")="89106", TEXT(TRIM(S710),"00000")="89102", TEXT(TRIM(S710),"00000")="89107", TEXT(TRIM(S710),"00000")="89108"), "Urban Core",
  OR(TEXT(TRIM(S710),"00000")="89110", TEXT(TRIM(S710),"00000")="89115", TEXT(TRIM(S710),"00000")="89121", TEXT(TRIM(S710),"00000")="89122", TEXT(TRIM(S710),"00000")="89142", TEXT(TRIM(S710),"00000")="89156"), "East Valley",
  OR(TEXT(TRIM(S710),"00000")="89030", TEXT(TRIM(S710),"00000")="89031", TEXT(TRIM(S710),"00000")="89032", TEXT(TRIM(S710),"00000")="89086", TEXT(TRIM(S710),"00000")="89084", TEXT(TRIM(S710),"00000")="89081"), "North LV",
  OR(TEXT(TRIM(S710),"00000")="89109", TEXT(TRIM(S710),"00000")="89103", TEXT(TRIM(S710),"00000")="89119", TEXT(TRIM(S710),"00000")="89123", TEXT(TRIM(S710),"00000")="89169", TEXT(TRIM(S710),"00000")="89118"), "South/Strip",
  OR(TEXT(TRIM(S710),"00000")="89074", TEXT(TRIM(S710),"00000")="89014", TEXT(TRIM(S710),"00000")="89015", TEXT(TRIM(S710),"00000")="89011", TEXT(TRIM(S710),"00000")="89012"), "Suburban SE",
  OR(TEXT(TRIM(S710),"00000")="89117", TEXT(TRIM(S710),"00000")="89128", TEXT(TRIM(S710),"00000")="89135", TEXT(TRIM(S710),"00000")="89144", TEXT(TRIM(S710),"00000")="89145", TEXT(TRIM(S710),"00000")="89147"), "West Valley",
  TRUE, "Other"
)</f>
        <v>Suburban SE</v>
      </c>
      <c r="U710" t="s">
        <v>4301</v>
      </c>
      <c r="V710" t="str">
        <f t="shared" si="47"/>
        <v>Medical Facility</v>
      </c>
    </row>
    <row r="711" spans="1:22">
      <c r="A711" t="s">
        <v>279</v>
      </c>
      <c r="B711" t="s">
        <v>280</v>
      </c>
      <c r="C711" s="1">
        <v>45121</v>
      </c>
      <c r="D711" s="4">
        <v>111.02</v>
      </c>
      <c r="E711">
        <v>69</v>
      </c>
      <c r="F711" t="str">
        <f t="shared" si="44"/>
        <v>60's</v>
      </c>
      <c r="G711" t="str" cm="1">
        <f t="array" ref="G711">_xlfn.IFS(
  F711="10's", "Child (5–12)",
  OR(F711="20's", F711="30's"), "Young Adult (20–39)",
  OR(F711="40's", F711="50's"), "Adult (40–59)",
  OR(F711="60's", F711="70's", F711="80's", F711="90's"), "Senior (60+)",
  TRUE, "Unknown"
)</f>
        <v>Senior (60+)</v>
      </c>
      <c r="H711" t="s">
        <v>841</v>
      </c>
      <c r="I711" t="s">
        <v>4084</v>
      </c>
      <c r="J711" t="str">
        <f t="shared" si="45"/>
        <v>Cardiovascular Disease</v>
      </c>
      <c r="K711" t="s">
        <v>4173</v>
      </c>
      <c r="L711" t="s">
        <v>1071</v>
      </c>
      <c r="M711" t="s">
        <v>4412</v>
      </c>
      <c r="N711" t="s">
        <v>5106</v>
      </c>
      <c r="O711" t="str" cm="1">
        <f t="array" ref="O711">_xlfn.IFS(
  TEXT(TRIM(N711),"00000")="NULL", "Missing/Unknown",
  OR(TEXT(TRIM(N711),"00000")="89101", TEXT(TRIM(N711),"00000")="89104", TEXT(TRIM(N711),"00000")="89106", TEXT(TRIM(N711),"00000")="89102", TEXT(TRIM(N711),"00000")="89107", TEXT(TRIM(N711),"00000")="89108"), "Urban Core",
  OR(TEXT(TRIM(N711),"00000")="89110", TEXT(TRIM(N711),"00000")="89115", TEXT(TRIM(N711),"00000")="89121", TEXT(TRIM(N711),"00000")="89122", TEXT(TRIM(N711),"00000")="89142", TEXT(TRIM(N711),"00000")="89156"), "East Valley",
  OR(TEXT(TRIM(N711),"00000")="89030", TEXT(TRIM(N711),"00000")="89031", TEXT(TRIM(N711),"00000")="89032", TEXT(TRIM(N711),"00000")="89086", TEXT(TRIM(N711),"00000")="89084", TEXT(TRIM(N711),"00000")="89081"), "North LV",
  OR(TEXT(TRIM(N711),"00000")="89109", TEXT(TRIM(N711),"00000")="89103", TEXT(TRIM(N711),"00000")="89119", TEXT(TRIM(N711),"00000")="89123", TEXT(TRIM(N711),"00000")="89169", TEXT(TRIM(N711),"00000")="89118"), "South/Strip",
  OR(TEXT(TRIM(N711),"00000")="89074", TEXT(TRIM(N711),"00000")="89014", TEXT(TRIM(N711),"00000")="89015", TEXT(TRIM(N711),"00000")="89011", TEXT(TRIM(N711),"00000")="89012"), "Suburban SE",
  OR(TEXT(TRIM(N711),"00000")="89117", TEXT(TRIM(N711),"00000")="89128", TEXT(TRIM(N711),"00000")="89135", TEXT(TRIM(N711),"00000")="89144", TEXT(TRIM(N711),"00000")="89145", TEXT(TRIM(N711),"00000")="89147"), "West Valley",
  TRUE, "Other"
)</f>
        <v>East Valley</v>
      </c>
      <c r="P711" t="s">
        <v>38</v>
      </c>
      <c r="Q711" t="str">
        <f t="shared" si="46"/>
        <v>Home/Residence</v>
      </c>
      <c r="R711" t="s">
        <v>4412</v>
      </c>
      <c r="S711" t="s">
        <v>5106</v>
      </c>
      <c r="T711" t="str" cm="1">
        <f t="array" ref="T711">_xlfn.IFS(
  TEXT(TRIM(S711),"00000")="NULL", "Missing/Unknown",
  OR(TEXT(TRIM(S711),"00000")="89101", TEXT(TRIM(S711),"00000")="89104", TEXT(TRIM(S711),"00000")="89106", TEXT(TRIM(S711),"00000")="89102", TEXT(TRIM(S711),"00000")="89107", TEXT(TRIM(S711),"00000")="89108"), "Urban Core",
  OR(TEXT(TRIM(S711),"00000")="89110", TEXT(TRIM(S711),"00000")="89115", TEXT(TRIM(S711),"00000")="89121", TEXT(TRIM(S711),"00000")="89122", TEXT(TRIM(S711),"00000")="89142", TEXT(TRIM(S711),"00000")="89156"), "East Valley",
  OR(TEXT(TRIM(S711),"00000")="89030", TEXT(TRIM(S711),"00000")="89031", TEXT(TRIM(S711),"00000")="89032", TEXT(TRIM(S711),"00000")="89086", TEXT(TRIM(S711),"00000")="89084", TEXT(TRIM(S711),"00000")="89081"), "North LV",
  OR(TEXT(TRIM(S711),"00000")="89109", TEXT(TRIM(S711),"00000")="89103", TEXT(TRIM(S711),"00000")="89119", TEXT(TRIM(S711),"00000")="89123", TEXT(TRIM(S711),"00000")="89169", TEXT(TRIM(S711),"00000")="89118"), "South/Strip",
  OR(TEXT(TRIM(S711),"00000")="89074", TEXT(TRIM(S711),"00000")="89014", TEXT(TRIM(S711),"00000")="89015", TEXT(TRIM(S711),"00000")="89011", TEXT(TRIM(S711),"00000")="89012"), "Suburban SE",
  OR(TEXT(TRIM(S711),"00000")="89117", TEXT(TRIM(S711),"00000")="89128", TEXT(TRIM(S711),"00000")="89135", TEXT(TRIM(S711),"00000")="89144", TEXT(TRIM(S711),"00000")="89145", TEXT(TRIM(S711),"00000")="89147"), "West Valley",
  TRUE, "Other"
)</f>
        <v>East Valley</v>
      </c>
      <c r="U711" t="s">
        <v>38</v>
      </c>
      <c r="V711" t="str">
        <f t="shared" si="47"/>
        <v>Home/Residence</v>
      </c>
    </row>
    <row r="712" spans="1:22">
      <c r="A712" t="s">
        <v>276</v>
      </c>
      <c r="B712" t="s">
        <v>277</v>
      </c>
      <c r="C712" s="1">
        <v>45121</v>
      </c>
      <c r="D712" s="4">
        <v>111.02</v>
      </c>
      <c r="E712">
        <v>44</v>
      </c>
      <c r="F712" t="str">
        <f t="shared" si="44"/>
        <v>40's</v>
      </c>
      <c r="G712" t="str" cm="1">
        <f t="array" ref="G712">_xlfn.IFS(
  F712="10's", "Child (5–12)",
  OR(F712="20's", F712="30's"), "Young Adult (20–39)",
  OR(F712="40's", F712="50's"), "Adult (40–59)",
  OR(F712="60's", F712="70's", F712="80's", F712="90's"), "Senior (60+)",
  TRUE, "Unknown"
)</f>
        <v>Adult (40–59)</v>
      </c>
      <c r="H712" t="s">
        <v>841</v>
      </c>
      <c r="I712" t="s">
        <v>54</v>
      </c>
      <c r="J712" t="str">
        <f t="shared" si="45"/>
        <v>Environmental Heat</v>
      </c>
      <c r="K712" t="s">
        <v>4228</v>
      </c>
      <c r="L712" t="s">
        <v>250</v>
      </c>
      <c r="N712" t="s">
        <v>5095</v>
      </c>
      <c r="O712" t="str" cm="1">
        <f t="array" ref="O712">_xlfn.IFS(
  TEXT(TRIM(N712),"00000")="NULL", "Missing/Unknown",
  OR(TEXT(TRIM(N712),"00000")="89101", TEXT(TRIM(N712),"00000")="89104", TEXT(TRIM(N712),"00000")="89106", TEXT(TRIM(N712),"00000")="89102", TEXT(TRIM(N712),"00000")="89107", TEXT(TRIM(N712),"00000")="89108"), "Urban Core",
  OR(TEXT(TRIM(N712),"00000")="89110", TEXT(TRIM(N712),"00000")="89115", TEXT(TRIM(N712),"00000")="89121", TEXT(TRIM(N712),"00000")="89122", TEXT(TRIM(N712),"00000")="89142", TEXT(TRIM(N712),"00000")="89156"), "East Valley",
  OR(TEXT(TRIM(N712),"00000")="89030", TEXT(TRIM(N712),"00000")="89031", TEXT(TRIM(N712),"00000")="89032", TEXT(TRIM(N712),"00000")="89086", TEXT(TRIM(N712),"00000")="89084", TEXT(TRIM(N712),"00000")="89081"), "North LV",
  OR(TEXT(TRIM(N712),"00000")="89109", TEXT(TRIM(N712),"00000")="89103", TEXT(TRIM(N712),"00000")="89119", TEXT(TRIM(N712),"00000")="89123", TEXT(TRIM(N712),"00000")="89169", TEXT(TRIM(N712),"00000")="89118"), "South/Strip",
  OR(TEXT(TRIM(N712),"00000")="89074", TEXT(TRIM(N712),"00000")="89014", TEXT(TRIM(N712),"00000")="89015", TEXT(TRIM(N712),"00000")="89011", TEXT(TRIM(N712),"00000")="89012"), "Suburban SE",
  OR(TEXT(TRIM(N712),"00000")="89117", TEXT(TRIM(N712),"00000")="89128", TEXT(TRIM(N712),"00000")="89135", TEXT(TRIM(N712),"00000")="89144", TEXT(TRIM(N712),"00000")="89145", TEXT(TRIM(N712),"00000")="89147"), "West Valley",
  TRUE, "Other"
)</f>
        <v>Missing/Unknown</v>
      </c>
      <c r="P712" t="s">
        <v>3298</v>
      </c>
      <c r="Q712" t="str">
        <f t="shared" si="46"/>
        <v>Outdoors/Public</v>
      </c>
      <c r="S712" t="s">
        <v>5095</v>
      </c>
      <c r="T712" t="str" cm="1">
        <f t="array" ref="T712">_xlfn.IFS(
  TEXT(TRIM(S712),"00000")="NULL", "Missing/Unknown",
  OR(TEXT(TRIM(S712),"00000")="89101", TEXT(TRIM(S712),"00000")="89104", TEXT(TRIM(S712),"00000")="89106", TEXT(TRIM(S712),"00000")="89102", TEXT(TRIM(S712),"00000")="89107", TEXT(TRIM(S712),"00000")="89108"), "Urban Core",
  OR(TEXT(TRIM(S712),"00000")="89110", TEXT(TRIM(S712),"00000")="89115", TEXT(TRIM(S712),"00000")="89121", TEXT(TRIM(S712),"00000")="89122", TEXT(TRIM(S712),"00000")="89142", TEXT(TRIM(S712),"00000")="89156"), "East Valley",
  OR(TEXT(TRIM(S712),"00000")="89030", TEXT(TRIM(S712),"00000")="89031", TEXT(TRIM(S712),"00000")="89032", TEXT(TRIM(S712),"00000")="89086", TEXT(TRIM(S712),"00000")="89084", TEXT(TRIM(S712),"00000")="89081"), "North LV",
  OR(TEXT(TRIM(S712),"00000")="89109", TEXT(TRIM(S712),"00000")="89103", TEXT(TRIM(S712),"00000")="89119", TEXT(TRIM(S712),"00000")="89123", TEXT(TRIM(S712),"00000")="89169", TEXT(TRIM(S712),"00000")="89118"), "South/Strip",
  OR(TEXT(TRIM(S712),"00000")="89074", TEXT(TRIM(S712),"00000")="89014", TEXT(TRIM(S712),"00000")="89015", TEXT(TRIM(S712),"00000")="89011", TEXT(TRIM(S712),"00000")="89012"), "Suburban SE",
  OR(TEXT(TRIM(S712),"00000")="89117", TEXT(TRIM(S712),"00000")="89128", TEXT(TRIM(S712),"00000")="89135", TEXT(TRIM(S712),"00000")="89144", TEXT(TRIM(S712),"00000")="89145", TEXT(TRIM(S712),"00000")="89147"), "West Valley",
  TRUE, "Other"
)</f>
        <v>Missing/Unknown</v>
      </c>
      <c r="U712" t="s">
        <v>3298</v>
      </c>
      <c r="V712" t="str">
        <f t="shared" si="47"/>
        <v>Outdoors/Public</v>
      </c>
    </row>
    <row r="713" spans="1:22">
      <c r="A713" t="s">
        <v>261</v>
      </c>
      <c r="B713" t="s">
        <v>262</v>
      </c>
      <c r="C713" s="1">
        <v>45120</v>
      </c>
      <c r="D713" s="4">
        <v>109.94</v>
      </c>
      <c r="E713">
        <v>32</v>
      </c>
      <c r="F713" t="str">
        <f t="shared" si="44"/>
        <v>30's</v>
      </c>
      <c r="G713" t="str" cm="1">
        <f t="array" ref="G713">_xlfn.IFS(
  F713="10's", "Child (5–12)",
  OR(F713="20's", F713="30's"), "Young Adult (20–39)",
  OR(F713="40's", F713="50's"), "Adult (40–59)",
  OR(F713="60's", F713="70's", F713="80's", F713="90's"), "Senior (60+)",
  TRUE, "Unknown"
)</f>
        <v>Young Adult (20–39)</v>
      </c>
      <c r="H713" t="s">
        <v>778</v>
      </c>
      <c r="I713" t="s">
        <v>4008</v>
      </c>
      <c r="J713" t="str">
        <f t="shared" si="45"/>
        <v>Environmental Heat</v>
      </c>
      <c r="K713" t="s">
        <v>54</v>
      </c>
      <c r="L713" t="s">
        <v>250</v>
      </c>
      <c r="M713" t="s">
        <v>4717</v>
      </c>
      <c r="N713" t="s">
        <v>5102</v>
      </c>
      <c r="O713" t="str" cm="1">
        <f t="array" ref="O713">_xlfn.IFS(
  TEXT(TRIM(N713),"00000")="NULL", "Missing/Unknown",
  OR(TEXT(TRIM(N713),"00000")="89101", TEXT(TRIM(N713),"00000")="89104", TEXT(TRIM(N713),"00000")="89106", TEXT(TRIM(N713),"00000")="89102", TEXT(TRIM(N713),"00000")="89107", TEXT(TRIM(N713),"00000")="89108"), "Urban Core",
  OR(TEXT(TRIM(N713),"00000")="89110", TEXT(TRIM(N713),"00000")="89115", TEXT(TRIM(N713),"00000")="89121", TEXT(TRIM(N713),"00000")="89122", TEXT(TRIM(N713),"00000")="89142", TEXT(TRIM(N713),"00000")="89156"), "East Valley",
  OR(TEXT(TRIM(N713),"00000")="89030", TEXT(TRIM(N713),"00000")="89031", TEXT(TRIM(N713),"00000")="89032", TEXT(TRIM(N713),"00000")="89086", TEXT(TRIM(N713),"00000")="89084", TEXT(TRIM(N713),"00000")="89081"), "North LV",
  OR(TEXT(TRIM(N713),"00000")="89109", TEXT(TRIM(N713),"00000")="89103", TEXT(TRIM(N713),"00000")="89119", TEXT(TRIM(N713),"00000")="89123", TEXT(TRIM(N713),"00000")="89169", TEXT(TRIM(N713),"00000")="89118"), "South/Strip",
  OR(TEXT(TRIM(N713),"00000")="89074", TEXT(TRIM(N713),"00000")="89014", TEXT(TRIM(N713),"00000")="89015", TEXT(TRIM(N713),"00000")="89011", TEXT(TRIM(N713),"00000")="89012"), "Suburban SE",
  OR(TEXT(TRIM(N713),"00000")="89117", TEXT(TRIM(N713),"00000")="89128", TEXT(TRIM(N713),"00000")="89135", TEXT(TRIM(N713),"00000")="89144", TEXT(TRIM(N713),"00000")="89145", TEXT(TRIM(N713),"00000")="89147"), "West Valley",
  TRUE, "Other"
)</f>
        <v>Urban Core</v>
      </c>
      <c r="P713" t="s">
        <v>3298</v>
      </c>
      <c r="Q713" t="str">
        <f t="shared" si="46"/>
        <v>Outdoors/Public</v>
      </c>
      <c r="R713" t="s">
        <v>4717</v>
      </c>
      <c r="S713" t="s">
        <v>5102</v>
      </c>
      <c r="T713" t="str" cm="1">
        <f t="array" ref="T713">_xlfn.IFS(
  TEXT(TRIM(S713),"00000")="NULL", "Missing/Unknown",
  OR(TEXT(TRIM(S713),"00000")="89101", TEXT(TRIM(S713),"00000")="89104", TEXT(TRIM(S713),"00000")="89106", TEXT(TRIM(S713),"00000")="89102", TEXT(TRIM(S713),"00000")="89107", TEXT(TRIM(S713),"00000")="89108"), "Urban Core",
  OR(TEXT(TRIM(S713),"00000")="89110", TEXT(TRIM(S713),"00000")="89115", TEXT(TRIM(S713),"00000")="89121", TEXT(TRIM(S713),"00000")="89122", TEXT(TRIM(S713),"00000")="89142", TEXT(TRIM(S713),"00000")="89156"), "East Valley",
  OR(TEXT(TRIM(S713),"00000")="89030", TEXT(TRIM(S713),"00000")="89031", TEXT(TRIM(S713),"00000")="89032", TEXT(TRIM(S713),"00000")="89086", TEXT(TRIM(S713),"00000")="89084", TEXT(TRIM(S713),"00000")="89081"), "North LV",
  OR(TEXT(TRIM(S713),"00000")="89109", TEXT(TRIM(S713),"00000")="89103", TEXT(TRIM(S713),"00000")="89119", TEXT(TRIM(S713),"00000")="89123", TEXT(TRIM(S713),"00000")="89169", TEXT(TRIM(S713),"00000")="89118"), "South/Strip",
  OR(TEXT(TRIM(S713),"00000")="89074", TEXT(TRIM(S713),"00000")="89014", TEXT(TRIM(S713),"00000")="89015", TEXT(TRIM(S713),"00000")="89011", TEXT(TRIM(S713),"00000")="89012"), "Suburban SE",
  OR(TEXT(TRIM(S713),"00000")="89117", TEXT(TRIM(S713),"00000")="89128", TEXT(TRIM(S713),"00000")="89135", TEXT(TRIM(S713),"00000")="89144", TEXT(TRIM(S713),"00000")="89145", TEXT(TRIM(S713),"00000")="89147"), "West Valley",
  TRUE, "Other"
)</f>
        <v>Urban Core</v>
      </c>
      <c r="U713" t="s">
        <v>3298</v>
      </c>
      <c r="V713" t="str">
        <f t="shared" si="47"/>
        <v>Outdoors/Public</v>
      </c>
    </row>
    <row r="714" spans="1:22">
      <c r="A714" t="s">
        <v>254</v>
      </c>
      <c r="B714" t="s">
        <v>255</v>
      </c>
      <c r="C714" s="1">
        <v>45120</v>
      </c>
      <c r="D714" s="4">
        <v>109.94</v>
      </c>
      <c r="E714">
        <v>54</v>
      </c>
      <c r="F714" t="str">
        <f t="shared" si="44"/>
        <v>50's</v>
      </c>
      <c r="G714" t="str" cm="1">
        <f t="array" ref="G714">_xlfn.IFS(
  F714="10's", "Child (5–12)",
  OR(F714="20's", F714="30's"), "Young Adult (20–39)",
  OR(F714="40's", F714="50's"), "Adult (40–59)",
  OR(F714="60's", F714="70's", F714="80's", F714="90's"), "Senior (60+)",
  TRUE, "Unknown"
)</f>
        <v>Adult (40–59)</v>
      </c>
      <c r="H714" t="s">
        <v>841</v>
      </c>
      <c r="I714" t="s">
        <v>54</v>
      </c>
      <c r="J714" t="str">
        <f t="shared" si="45"/>
        <v>Environmental Heat</v>
      </c>
      <c r="K714" t="s">
        <v>4016</v>
      </c>
      <c r="L714" t="s">
        <v>250</v>
      </c>
      <c r="M714" t="s">
        <v>4625</v>
      </c>
      <c r="N714" t="s">
        <v>5097</v>
      </c>
      <c r="O714" t="str" cm="1">
        <f t="array" ref="O714">_xlfn.IFS(
  TEXT(TRIM(N714),"00000")="NULL", "Missing/Unknown",
  OR(TEXT(TRIM(N714),"00000")="89101", TEXT(TRIM(N714),"00000")="89104", TEXT(TRIM(N714),"00000")="89106", TEXT(TRIM(N714),"00000")="89102", TEXT(TRIM(N714),"00000")="89107", TEXT(TRIM(N714),"00000")="89108"), "Urban Core",
  OR(TEXT(TRIM(N714),"00000")="89110", TEXT(TRIM(N714),"00000")="89115", TEXT(TRIM(N714),"00000")="89121", TEXT(TRIM(N714),"00000")="89122", TEXT(TRIM(N714),"00000")="89142", TEXT(TRIM(N714),"00000")="89156"), "East Valley",
  OR(TEXT(TRIM(N714),"00000")="89030", TEXT(TRIM(N714),"00000")="89031", TEXT(TRIM(N714),"00000")="89032", TEXT(TRIM(N714),"00000")="89086", TEXT(TRIM(N714),"00000")="89084", TEXT(TRIM(N714),"00000")="89081"), "North LV",
  OR(TEXT(TRIM(N714),"00000")="89109", TEXT(TRIM(N714),"00000")="89103", TEXT(TRIM(N714),"00000")="89119", TEXT(TRIM(N714),"00000")="89123", TEXT(TRIM(N714),"00000")="89169", TEXT(TRIM(N714),"00000")="89118"), "South/Strip",
  OR(TEXT(TRIM(N714),"00000")="89074", TEXT(TRIM(N714),"00000")="89014", TEXT(TRIM(N714),"00000")="89015", TEXT(TRIM(N714),"00000")="89011", TEXT(TRIM(N714),"00000")="89012"), "Suburban SE",
  OR(TEXT(TRIM(N714),"00000")="89117", TEXT(TRIM(N714),"00000")="89128", TEXT(TRIM(N714),"00000")="89135", TEXT(TRIM(N714),"00000")="89144", TEXT(TRIM(N714),"00000")="89145", TEXT(TRIM(N714),"00000")="89147"), "West Valley",
  TRUE, "Other"
)</f>
        <v>Urban Core</v>
      </c>
      <c r="P714" t="s">
        <v>38</v>
      </c>
      <c r="Q714" t="str">
        <f t="shared" si="46"/>
        <v>Home/Residence</v>
      </c>
      <c r="R714" t="s">
        <v>4625</v>
      </c>
      <c r="S714" t="s">
        <v>5097</v>
      </c>
      <c r="T714" t="str" cm="1">
        <f t="array" ref="T714">_xlfn.IFS(
  TEXT(TRIM(S714),"00000")="NULL", "Missing/Unknown",
  OR(TEXT(TRIM(S714),"00000")="89101", TEXT(TRIM(S714),"00000")="89104", TEXT(TRIM(S714),"00000")="89106", TEXT(TRIM(S714),"00000")="89102", TEXT(TRIM(S714),"00000")="89107", TEXT(TRIM(S714),"00000")="89108"), "Urban Core",
  OR(TEXT(TRIM(S714),"00000")="89110", TEXT(TRIM(S714),"00000")="89115", TEXT(TRIM(S714),"00000")="89121", TEXT(TRIM(S714),"00000")="89122", TEXT(TRIM(S714),"00000")="89142", TEXT(TRIM(S714),"00000")="89156"), "East Valley",
  OR(TEXT(TRIM(S714),"00000")="89030", TEXT(TRIM(S714),"00000")="89031", TEXT(TRIM(S714),"00000")="89032", TEXT(TRIM(S714),"00000")="89086", TEXT(TRIM(S714),"00000")="89084", TEXT(TRIM(S714),"00000")="89081"), "North LV",
  OR(TEXT(TRIM(S714),"00000")="89109", TEXT(TRIM(S714),"00000")="89103", TEXT(TRIM(S714),"00000")="89119", TEXT(TRIM(S714),"00000")="89123", TEXT(TRIM(S714),"00000")="89169", TEXT(TRIM(S714),"00000")="89118"), "South/Strip",
  OR(TEXT(TRIM(S714),"00000")="89074", TEXT(TRIM(S714),"00000")="89014", TEXT(TRIM(S714),"00000")="89015", TEXT(TRIM(S714),"00000")="89011", TEXT(TRIM(S714),"00000")="89012"), "Suburban SE",
  OR(TEXT(TRIM(S714),"00000")="89117", TEXT(TRIM(S714),"00000")="89128", TEXT(TRIM(S714),"00000")="89135", TEXT(TRIM(S714),"00000")="89144", TEXT(TRIM(S714),"00000")="89145", TEXT(TRIM(S714),"00000")="89147"), "West Valley",
  TRUE, "Other"
)</f>
        <v>Urban Core</v>
      </c>
      <c r="U714" t="s">
        <v>3298</v>
      </c>
      <c r="V714" t="str">
        <f t="shared" si="47"/>
        <v>Outdoors/Public</v>
      </c>
    </row>
    <row r="715" spans="1:22">
      <c r="A715" t="s">
        <v>268</v>
      </c>
      <c r="B715" t="s">
        <v>269</v>
      </c>
      <c r="C715" s="1">
        <v>45120</v>
      </c>
      <c r="D715" s="4">
        <v>109.94</v>
      </c>
      <c r="E715">
        <v>64</v>
      </c>
      <c r="F715" t="str">
        <f t="shared" si="44"/>
        <v>60's</v>
      </c>
      <c r="G715" t="str" cm="1">
        <f t="array" ref="G715">_xlfn.IFS(
  F715="10's", "Child (5–12)",
  OR(F715="20's", F715="30's"), "Young Adult (20–39)",
  OR(F715="40's", F715="50's"), "Adult (40–59)",
  OR(F715="60's", F715="70's", F715="80's", F715="90's"), "Senior (60+)",
  TRUE, "Unknown"
)</f>
        <v>Senior (60+)</v>
      </c>
      <c r="H715" t="s">
        <v>841</v>
      </c>
      <c r="I715" t="s">
        <v>172</v>
      </c>
      <c r="J715" t="str">
        <f t="shared" si="45"/>
        <v>Methamphetamine-related</v>
      </c>
      <c r="K715" t="s">
        <v>54</v>
      </c>
      <c r="L715" t="s">
        <v>250</v>
      </c>
      <c r="M715" t="s">
        <v>4528</v>
      </c>
      <c r="N715" t="s">
        <v>5122</v>
      </c>
      <c r="O715" t="str" cm="1">
        <f t="array" ref="O715">_xlfn.IFS(
  TEXT(TRIM(N715),"00000")="NULL", "Missing/Unknown",
  OR(TEXT(TRIM(N715),"00000")="89101", TEXT(TRIM(N715),"00000")="89104", TEXT(TRIM(N715),"00000")="89106", TEXT(TRIM(N715),"00000")="89102", TEXT(TRIM(N715),"00000")="89107", TEXT(TRIM(N715),"00000")="89108"), "Urban Core",
  OR(TEXT(TRIM(N715),"00000")="89110", TEXT(TRIM(N715),"00000")="89115", TEXT(TRIM(N715),"00000")="89121", TEXT(TRIM(N715),"00000")="89122", TEXT(TRIM(N715),"00000")="89142", TEXT(TRIM(N715),"00000")="89156"), "East Valley",
  OR(TEXT(TRIM(N715),"00000")="89030", TEXT(TRIM(N715),"00000")="89031", TEXT(TRIM(N715),"00000")="89032", TEXT(TRIM(N715),"00000")="89086", TEXT(TRIM(N715),"00000")="89084", TEXT(TRIM(N715),"00000")="89081"), "North LV",
  OR(TEXT(TRIM(N715),"00000")="89109", TEXT(TRIM(N715),"00000")="89103", TEXT(TRIM(N715),"00000")="89119", TEXT(TRIM(N715),"00000")="89123", TEXT(TRIM(N715),"00000")="89169", TEXT(TRIM(N715),"00000")="89118"), "South/Strip",
  OR(TEXT(TRIM(N715),"00000")="89074", TEXT(TRIM(N715),"00000")="89014", TEXT(TRIM(N715),"00000")="89015", TEXT(TRIM(N715),"00000")="89011", TEXT(TRIM(N715),"00000")="89012"), "Suburban SE",
  OR(TEXT(TRIM(N715),"00000")="89117", TEXT(TRIM(N715),"00000")="89128", TEXT(TRIM(N715),"00000")="89135", TEXT(TRIM(N715),"00000")="89144", TEXT(TRIM(N715),"00000")="89145", TEXT(TRIM(N715),"00000")="89147"), "West Valley",
  TRUE, "Other"
)</f>
        <v>East Valley</v>
      </c>
      <c r="P715" t="s">
        <v>271</v>
      </c>
      <c r="Q715" t="str">
        <f t="shared" si="46"/>
        <v>Home/Residence</v>
      </c>
      <c r="R715" t="s">
        <v>4713</v>
      </c>
      <c r="S715" t="s">
        <v>5125</v>
      </c>
      <c r="T715" t="str" cm="1">
        <f t="array" ref="T715">_xlfn.IFS(
  TEXT(TRIM(S715),"00000")="NULL", "Missing/Unknown",
  OR(TEXT(TRIM(S715),"00000")="89101", TEXT(TRIM(S715),"00000")="89104", TEXT(TRIM(S715),"00000")="89106", TEXT(TRIM(S715),"00000")="89102", TEXT(TRIM(S715),"00000")="89107", TEXT(TRIM(S715),"00000")="89108"), "Urban Core",
  OR(TEXT(TRIM(S715),"00000")="89110", TEXT(TRIM(S715),"00000")="89115", TEXT(TRIM(S715),"00000")="89121", TEXT(TRIM(S715),"00000")="89122", TEXT(TRIM(S715),"00000")="89142", TEXT(TRIM(S715),"00000")="89156"), "East Valley",
  OR(TEXT(TRIM(S715),"00000")="89030", TEXT(TRIM(S715),"00000")="89031", TEXT(TRIM(S715),"00000")="89032", TEXT(TRIM(S715),"00000")="89086", TEXT(TRIM(S715),"00000")="89084", TEXT(TRIM(S715),"00000")="89081"), "North LV",
  OR(TEXT(TRIM(S715),"00000")="89109", TEXT(TRIM(S715),"00000")="89103", TEXT(TRIM(S715),"00000")="89119", TEXT(TRIM(S715),"00000")="89123", TEXT(TRIM(S715),"00000")="89169", TEXT(TRIM(S715),"00000")="89118"), "South/Strip",
  OR(TEXT(TRIM(S715),"00000")="89074", TEXT(TRIM(S715),"00000")="89014", TEXT(TRIM(S715),"00000")="89015", TEXT(TRIM(S715),"00000")="89011", TEXT(TRIM(S715),"00000")="89012"), "Suburban SE",
  OR(TEXT(TRIM(S715),"00000")="89117", TEXT(TRIM(S715),"00000")="89128", TEXT(TRIM(S715),"00000")="89135", TEXT(TRIM(S715),"00000")="89144", TEXT(TRIM(S715),"00000")="89145", TEXT(TRIM(S715),"00000")="89147"), "West Valley",
  TRUE, "Other"
)</f>
        <v>South/Strip</v>
      </c>
      <c r="U715" t="s">
        <v>4301</v>
      </c>
      <c r="V715" t="str">
        <f t="shared" si="47"/>
        <v>Medical Facility</v>
      </c>
    </row>
    <row r="716" spans="1:22">
      <c r="A716" t="s">
        <v>241</v>
      </c>
      <c r="B716" t="s">
        <v>242</v>
      </c>
      <c r="C716" s="1">
        <v>45120</v>
      </c>
      <c r="D716" s="4">
        <v>109.94</v>
      </c>
      <c r="E716">
        <v>75</v>
      </c>
      <c r="F716" t="str">
        <f t="shared" si="44"/>
        <v>70's</v>
      </c>
      <c r="G716" t="str" cm="1">
        <f t="array" ref="G716">_xlfn.IFS(
  F716="10's", "Child (5–12)",
  OR(F716="20's", F716="30's"), "Young Adult (20–39)",
  OR(F716="40's", F716="50's"), "Adult (40–59)",
  OR(F716="60's", F716="70's", F716="80's", F716="90's"), "Senior (60+)",
  TRUE, "Unknown"
)</f>
        <v>Senior (60+)</v>
      </c>
      <c r="H716" t="s">
        <v>841</v>
      </c>
      <c r="I716" t="s">
        <v>54</v>
      </c>
      <c r="J716" t="str">
        <f t="shared" si="45"/>
        <v>Environmental Heat</v>
      </c>
      <c r="K716" t="s">
        <v>63</v>
      </c>
      <c r="L716" t="s">
        <v>1071</v>
      </c>
      <c r="M716" t="s">
        <v>4414</v>
      </c>
      <c r="N716" t="s">
        <v>5122</v>
      </c>
      <c r="O716" t="str" cm="1">
        <f t="array" ref="O716">_xlfn.IFS(
  TEXT(TRIM(N716),"00000")="NULL", "Missing/Unknown",
  OR(TEXT(TRIM(N716),"00000")="89101", TEXT(TRIM(N716),"00000")="89104", TEXT(TRIM(N716),"00000")="89106", TEXT(TRIM(N716),"00000")="89102", TEXT(TRIM(N716),"00000")="89107", TEXT(TRIM(N716),"00000")="89108"), "Urban Core",
  OR(TEXT(TRIM(N716),"00000")="89110", TEXT(TRIM(N716),"00000")="89115", TEXT(TRIM(N716),"00000")="89121", TEXT(TRIM(N716),"00000")="89122", TEXT(TRIM(N716),"00000")="89142", TEXT(TRIM(N716),"00000")="89156"), "East Valley",
  OR(TEXT(TRIM(N716),"00000")="89030", TEXT(TRIM(N716),"00000")="89031", TEXT(TRIM(N716),"00000")="89032", TEXT(TRIM(N716),"00000")="89086", TEXT(TRIM(N716),"00000")="89084", TEXT(TRIM(N716),"00000")="89081"), "North LV",
  OR(TEXT(TRIM(N716),"00000")="89109", TEXT(TRIM(N716),"00000")="89103", TEXT(TRIM(N716),"00000")="89119", TEXT(TRIM(N716),"00000")="89123", TEXT(TRIM(N716),"00000")="89169", TEXT(TRIM(N716),"00000")="89118"), "South/Strip",
  OR(TEXT(TRIM(N716),"00000")="89074", TEXT(TRIM(N716),"00000")="89014", TEXT(TRIM(N716),"00000")="89015", TEXT(TRIM(N716),"00000")="89011", TEXT(TRIM(N716),"00000")="89012"), "Suburban SE",
  OR(TEXT(TRIM(N716),"00000")="89117", TEXT(TRIM(N716),"00000")="89128", TEXT(TRIM(N716),"00000")="89135", TEXT(TRIM(N716),"00000")="89144", TEXT(TRIM(N716),"00000")="89145", TEXT(TRIM(N716),"00000")="89147"), "West Valley",
  TRUE, "Other"
)</f>
        <v>East Valley</v>
      </c>
      <c r="P716" t="s">
        <v>38</v>
      </c>
      <c r="Q716" t="str">
        <f t="shared" si="46"/>
        <v>Home/Residence</v>
      </c>
      <c r="R716" t="s">
        <v>4414</v>
      </c>
      <c r="S716" t="s">
        <v>5122</v>
      </c>
      <c r="T716" t="str" cm="1">
        <f t="array" ref="T716">_xlfn.IFS(
  TEXT(TRIM(S716),"00000")="NULL", "Missing/Unknown",
  OR(TEXT(TRIM(S716),"00000")="89101", TEXT(TRIM(S716),"00000")="89104", TEXT(TRIM(S716),"00000")="89106", TEXT(TRIM(S716),"00000")="89102", TEXT(TRIM(S716),"00000")="89107", TEXT(TRIM(S716),"00000")="89108"), "Urban Core",
  OR(TEXT(TRIM(S716),"00000")="89110", TEXT(TRIM(S716),"00000")="89115", TEXT(TRIM(S716),"00000")="89121", TEXT(TRIM(S716),"00000")="89122", TEXT(TRIM(S716),"00000")="89142", TEXT(TRIM(S716),"00000")="89156"), "East Valley",
  OR(TEXT(TRIM(S716),"00000")="89030", TEXT(TRIM(S716),"00000")="89031", TEXT(TRIM(S716),"00000")="89032", TEXT(TRIM(S716),"00000")="89086", TEXT(TRIM(S716),"00000")="89084", TEXT(TRIM(S716),"00000")="89081"), "North LV",
  OR(TEXT(TRIM(S716),"00000")="89109", TEXT(TRIM(S716),"00000")="89103", TEXT(TRIM(S716),"00000")="89119", TEXT(TRIM(S716),"00000")="89123", TEXT(TRIM(S716),"00000")="89169", TEXT(TRIM(S716),"00000")="89118"), "South/Strip",
  OR(TEXT(TRIM(S716),"00000")="89074", TEXT(TRIM(S716),"00000")="89014", TEXT(TRIM(S716),"00000")="89015", TEXT(TRIM(S716),"00000")="89011", TEXT(TRIM(S716),"00000")="89012"), "Suburban SE",
  OR(TEXT(TRIM(S716),"00000")="89117", TEXT(TRIM(S716),"00000")="89128", TEXT(TRIM(S716),"00000")="89135", TEXT(TRIM(S716),"00000")="89144", TEXT(TRIM(S716),"00000")="89145", TEXT(TRIM(S716),"00000")="89147"), "West Valley",
  TRUE, "Other"
)</f>
        <v>East Valley</v>
      </c>
      <c r="U716" t="s">
        <v>38</v>
      </c>
      <c r="V716" t="str">
        <f t="shared" si="47"/>
        <v>Home/Residence</v>
      </c>
    </row>
    <row r="717" spans="1:22">
      <c r="A717" t="s">
        <v>265</v>
      </c>
      <c r="B717" t="s">
        <v>266</v>
      </c>
      <c r="C717" s="1">
        <v>45120</v>
      </c>
      <c r="D717" s="4">
        <v>109.94</v>
      </c>
      <c r="E717">
        <v>71</v>
      </c>
      <c r="F717" t="str">
        <f t="shared" si="44"/>
        <v>70's</v>
      </c>
      <c r="G717" t="str" cm="1">
        <f t="array" ref="G717">_xlfn.IFS(
  F717="10's", "Child (5–12)",
  OR(F717="20's", F717="30's"), "Young Adult (20–39)",
  OR(F717="40's", F717="50's"), "Adult (40–59)",
  OR(F717="60's", F717="70's", F717="80's", F717="90's"), "Senior (60+)",
  TRUE, "Unknown"
)</f>
        <v>Senior (60+)</v>
      </c>
      <c r="H717" t="s">
        <v>841</v>
      </c>
      <c r="I717" t="s">
        <v>54</v>
      </c>
      <c r="J717" t="str">
        <f t="shared" si="45"/>
        <v>Environmental Heat</v>
      </c>
      <c r="K717" t="s">
        <v>63</v>
      </c>
      <c r="L717" t="s">
        <v>1071</v>
      </c>
      <c r="M717" t="s">
        <v>4415</v>
      </c>
      <c r="N717" t="s">
        <v>5155</v>
      </c>
      <c r="O717" t="str" cm="1">
        <f t="array" ref="O717">_xlfn.IFS(
  TEXT(TRIM(N717),"00000")="NULL", "Missing/Unknown",
  OR(TEXT(TRIM(N717),"00000")="89101", TEXT(TRIM(N717),"00000")="89104", TEXT(TRIM(N717),"00000")="89106", TEXT(TRIM(N717),"00000")="89102", TEXT(TRIM(N717),"00000")="89107", TEXT(TRIM(N717),"00000")="89108"), "Urban Core",
  OR(TEXT(TRIM(N717),"00000")="89110", TEXT(TRIM(N717),"00000")="89115", TEXT(TRIM(N717),"00000")="89121", TEXT(TRIM(N717),"00000")="89122", TEXT(TRIM(N717),"00000")="89142", TEXT(TRIM(N717),"00000")="89156"), "East Valley",
  OR(TEXT(TRIM(N717),"00000")="89030", TEXT(TRIM(N717),"00000")="89031", TEXT(TRIM(N717),"00000")="89032", TEXT(TRIM(N717),"00000")="89086", TEXT(TRIM(N717),"00000")="89084", TEXT(TRIM(N717),"00000")="89081"), "North LV",
  OR(TEXT(TRIM(N717),"00000")="89109", TEXT(TRIM(N717),"00000")="89103", TEXT(TRIM(N717),"00000")="89119", TEXT(TRIM(N717),"00000")="89123", TEXT(TRIM(N717),"00000")="89169", TEXT(TRIM(N717),"00000")="89118"), "South/Strip",
  OR(TEXT(TRIM(N717),"00000")="89074", TEXT(TRIM(N717),"00000")="89014", TEXT(TRIM(N717),"00000")="89015", TEXT(TRIM(N717),"00000")="89011", TEXT(TRIM(N717),"00000")="89012"), "Suburban SE",
  OR(TEXT(TRIM(N717),"00000")="89117", TEXT(TRIM(N717),"00000")="89128", TEXT(TRIM(N717),"00000")="89135", TEXT(TRIM(N717),"00000")="89144", TEXT(TRIM(N717),"00000")="89145", TEXT(TRIM(N717),"00000")="89147"), "West Valley",
  TRUE, "Other"
)</f>
        <v>Other</v>
      </c>
      <c r="P717" t="s">
        <v>38</v>
      </c>
      <c r="Q717" t="str">
        <f t="shared" si="46"/>
        <v>Home/Residence</v>
      </c>
      <c r="R717" t="s">
        <v>4415</v>
      </c>
      <c r="S717" t="s">
        <v>5155</v>
      </c>
      <c r="T717" t="str" cm="1">
        <f t="array" ref="T717">_xlfn.IFS(
  TEXT(TRIM(S717),"00000")="NULL", "Missing/Unknown",
  OR(TEXT(TRIM(S717),"00000")="89101", TEXT(TRIM(S717),"00000")="89104", TEXT(TRIM(S717),"00000")="89106", TEXT(TRIM(S717),"00000")="89102", TEXT(TRIM(S717),"00000")="89107", TEXT(TRIM(S717),"00000")="89108"), "Urban Core",
  OR(TEXT(TRIM(S717),"00000")="89110", TEXT(TRIM(S717),"00000")="89115", TEXT(TRIM(S717),"00000")="89121", TEXT(TRIM(S717),"00000")="89122", TEXT(TRIM(S717),"00000")="89142", TEXT(TRIM(S717),"00000")="89156"), "East Valley",
  OR(TEXT(TRIM(S717),"00000")="89030", TEXT(TRIM(S717),"00000")="89031", TEXT(TRIM(S717),"00000")="89032", TEXT(TRIM(S717),"00000")="89086", TEXT(TRIM(S717),"00000")="89084", TEXT(TRIM(S717),"00000")="89081"), "North LV",
  OR(TEXT(TRIM(S717),"00000")="89109", TEXT(TRIM(S717),"00000")="89103", TEXT(TRIM(S717),"00000")="89119", TEXT(TRIM(S717),"00000")="89123", TEXT(TRIM(S717),"00000")="89169", TEXT(TRIM(S717),"00000")="89118"), "South/Strip",
  OR(TEXT(TRIM(S717),"00000")="89074", TEXT(TRIM(S717),"00000")="89014", TEXT(TRIM(S717),"00000")="89015", TEXT(TRIM(S717),"00000")="89011", TEXT(TRIM(S717),"00000")="89012"), "Suburban SE",
  OR(TEXT(TRIM(S717),"00000")="89117", TEXT(TRIM(S717),"00000")="89128", TEXT(TRIM(S717),"00000")="89135", TEXT(TRIM(S717),"00000")="89144", TEXT(TRIM(S717),"00000")="89145", TEXT(TRIM(S717),"00000")="89147"), "West Valley",
  TRUE, "Other"
)</f>
        <v>Other</v>
      </c>
      <c r="U717" t="s">
        <v>38</v>
      </c>
      <c r="V717" t="str">
        <f t="shared" si="47"/>
        <v>Home/Residence</v>
      </c>
    </row>
    <row r="718" spans="1:22">
      <c r="A718" t="s">
        <v>244</v>
      </c>
      <c r="B718" t="s">
        <v>245</v>
      </c>
      <c r="C718" s="1">
        <v>45120</v>
      </c>
      <c r="D718" s="4">
        <v>109.94</v>
      </c>
      <c r="E718">
        <v>40</v>
      </c>
      <c r="F718" t="str">
        <f t="shared" si="44"/>
        <v>40's</v>
      </c>
      <c r="G718" t="str" cm="1">
        <f t="array" ref="G718">_xlfn.IFS(
  F718="10's", "Child (5–12)",
  OR(F718="20's", F718="30's"), "Young Adult (20–39)",
  OR(F718="40's", F718="50's"), "Adult (40–59)",
  OR(F718="60's", F718="70's", F718="80's", F718="90's"), "Senior (60+)",
  TRUE, "Unknown"
)</f>
        <v>Adult (40–59)</v>
      </c>
      <c r="H718" t="s">
        <v>841</v>
      </c>
      <c r="I718" t="s">
        <v>4016</v>
      </c>
      <c r="J718" t="str">
        <f t="shared" si="45"/>
        <v>Methamphetamine-related</v>
      </c>
      <c r="K718" t="s">
        <v>54</v>
      </c>
      <c r="L718" t="s">
        <v>250</v>
      </c>
      <c r="M718" t="s">
        <v>4769</v>
      </c>
      <c r="N718" t="s">
        <v>5123</v>
      </c>
      <c r="O718" t="str" cm="1">
        <f t="array" ref="O718">_xlfn.IFS(
  TEXT(TRIM(N718),"00000")="NULL", "Missing/Unknown",
  OR(TEXT(TRIM(N718),"00000")="89101", TEXT(TRIM(N718),"00000")="89104", TEXT(TRIM(N718),"00000")="89106", TEXT(TRIM(N718),"00000")="89102", TEXT(TRIM(N718),"00000")="89107", TEXT(TRIM(N718),"00000")="89108"), "Urban Core",
  OR(TEXT(TRIM(N718),"00000")="89110", TEXT(TRIM(N718),"00000")="89115", TEXT(TRIM(N718),"00000")="89121", TEXT(TRIM(N718),"00000")="89122", TEXT(TRIM(N718),"00000")="89142", TEXT(TRIM(N718),"00000")="89156"), "East Valley",
  OR(TEXT(TRIM(N718),"00000")="89030", TEXT(TRIM(N718),"00000")="89031", TEXT(TRIM(N718),"00000")="89032", TEXT(TRIM(N718),"00000")="89086", TEXT(TRIM(N718),"00000")="89084", TEXT(TRIM(N718),"00000")="89081"), "North LV",
  OR(TEXT(TRIM(N718),"00000")="89109", TEXT(TRIM(N718),"00000")="89103", TEXT(TRIM(N718),"00000")="89119", TEXT(TRIM(N718),"00000")="89123", TEXT(TRIM(N718),"00000")="89169", TEXT(TRIM(N718),"00000")="89118"), "South/Strip",
  OR(TEXT(TRIM(N718),"00000")="89074", TEXT(TRIM(N718),"00000")="89014", TEXT(TRIM(N718),"00000")="89015", TEXT(TRIM(N718),"00000")="89011", TEXT(TRIM(N718),"00000")="89012"), "Suburban SE",
  OR(TEXT(TRIM(N718),"00000")="89117", TEXT(TRIM(N718),"00000")="89128", TEXT(TRIM(N718),"00000")="89135", TEXT(TRIM(N718),"00000")="89144", TEXT(TRIM(N718),"00000")="89145", TEXT(TRIM(N718),"00000")="89147"), "West Valley",
  TRUE, "Other"
)</f>
        <v>South/Strip</v>
      </c>
      <c r="P718" t="s">
        <v>3298</v>
      </c>
      <c r="Q718" t="str">
        <f t="shared" si="46"/>
        <v>Outdoors/Public</v>
      </c>
      <c r="R718" t="s">
        <v>4769</v>
      </c>
      <c r="S718" t="s">
        <v>5123</v>
      </c>
      <c r="T718" t="str" cm="1">
        <f t="array" ref="T718">_xlfn.IFS(
  TEXT(TRIM(S718),"00000")="NULL", "Missing/Unknown",
  OR(TEXT(TRIM(S718),"00000")="89101", TEXT(TRIM(S718),"00000")="89104", TEXT(TRIM(S718),"00000")="89106", TEXT(TRIM(S718),"00000")="89102", TEXT(TRIM(S718),"00000")="89107", TEXT(TRIM(S718),"00000")="89108"), "Urban Core",
  OR(TEXT(TRIM(S718),"00000")="89110", TEXT(TRIM(S718),"00000")="89115", TEXT(TRIM(S718),"00000")="89121", TEXT(TRIM(S718),"00000")="89122", TEXT(TRIM(S718),"00000")="89142", TEXT(TRIM(S718),"00000")="89156"), "East Valley",
  OR(TEXT(TRIM(S718),"00000")="89030", TEXT(TRIM(S718),"00000")="89031", TEXT(TRIM(S718),"00000")="89032", TEXT(TRIM(S718),"00000")="89086", TEXT(TRIM(S718),"00000")="89084", TEXT(TRIM(S718),"00000")="89081"), "North LV",
  OR(TEXT(TRIM(S718),"00000")="89109", TEXT(TRIM(S718),"00000")="89103", TEXT(TRIM(S718),"00000")="89119", TEXT(TRIM(S718),"00000")="89123", TEXT(TRIM(S718),"00000")="89169", TEXT(TRIM(S718),"00000")="89118"), "South/Strip",
  OR(TEXT(TRIM(S718),"00000")="89074", TEXT(TRIM(S718),"00000")="89014", TEXT(TRIM(S718),"00000")="89015", TEXT(TRIM(S718),"00000")="89011", TEXT(TRIM(S718),"00000")="89012"), "Suburban SE",
  OR(TEXT(TRIM(S718),"00000")="89117", TEXT(TRIM(S718),"00000")="89128", TEXT(TRIM(S718),"00000")="89135", TEXT(TRIM(S718),"00000")="89144", TEXT(TRIM(S718),"00000")="89145", TEXT(TRIM(S718),"00000")="89147"), "West Valley",
  TRUE, "Other"
)</f>
        <v>South/Strip</v>
      </c>
      <c r="U718" t="s">
        <v>3298</v>
      </c>
      <c r="V718" t="str">
        <f t="shared" si="47"/>
        <v>Outdoors/Public</v>
      </c>
    </row>
    <row r="719" spans="1:22">
      <c r="A719" t="s">
        <v>251</v>
      </c>
      <c r="B719" t="s">
        <v>252</v>
      </c>
      <c r="C719" s="1">
        <v>45120</v>
      </c>
      <c r="D719" s="4">
        <v>109.94</v>
      </c>
      <c r="E719">
        <v>52</v>
      </c>
      <c r="F719" t="str">
        <f t="shared" si="44"/>
        <v>50's</v>
      </c>
      <c r="G719" t="str" cm="1">
        <f t="array" ref="G719">_xlfn.IFS(
  F719="10's", "Child (5–12)",
  OR(F719="20's", F719="30's"), "Young Adult (20–39)",
  OR(F719="40's", F719="50's"), "Adult (40–59)",
  OR(F719="60's", F719="70's", F719="80's", F719="90's"), "Senior (60+)",
  TRUE, "Unknown"
)</f>
        <v>Adult (40–59)</v>
      </c>
      <c r="H719" t="s">
        <v>841</v>
      </c>
      <c r="I719" t="s">
        <v>199</v>
      </c>
      <c r="J719" t="str">
        <f t="shared" si="45"/>
        <v>Ethanol-related</v>
      </c>
      <c r="K719" t="s">
        <v>54</v>
      </c>
      <c r="L719" t="s">
        <v>1071</v>
      </c>
      <c r="M719" t="s">
        <v>4413</v>
      </c>
      <c r="N719" t="s">
        <v>5118</v>
      </c>
      <c r="O719" t="str" cm="1">
        <f t="array" ref="O719">_xlfn.IFS(
  TEXT(TRIM(N719),"00000")="NULL", "Missing/Unknown",
  OR(TEXT(TRIM(N719),"00000")="89101", TEXT(TRIM(N719),"00000")="89104", TEXT(TRIM(N719),"00000")="89106", TEXT(TRIM(N719),"00000")="89102", TEXT(TRIM(N719),"00000")="89107", TEXT(TRIM(N719),"00000")="89108"), "Urban Core",
  OR(TEXT(TRIM(N719),"00000")="89110", TEXT(TRIM(N719),"00000")="89115", TEXT(TRIM(N719),"00000")="89121", TEXT(TRIM(N719),"00000")="89122", TEXT(TRIM(N719),"00000")="89142", TEXT(TRIM(N719),"00000")="89156"), "East Valley",
  OR(TEXT(TRIM(N719),"00000")="89030", TEXT(TRIM(N719),"00000")="89031", TEXT(TRIM(N719),"00000")="89032", TEXT(TRIM(N719),"00000")="89086", TEXT(TRIM(N719),"00000")="89084", TEXT(TRIM(N719),"00000")="89081"), "North LV",
  OR(TEXT(TRIM(N719),"00000")="89109", TEXT(TRIM(N719),"00000")="89103", TEXT(TRIM(N719),"00000")="89119", TEXT(TRIM(N719),"00000")="89123", TEXT(TRIM(N719),"00000")="89169", TEXT(TRIM(N719),"00000")="89118"), "South/Strip",
  OR(TEXT(TRIM(N719),"00000")="89074", TEXT(TRIM(N719),"00000")="89014", TEXT(TRIM(N719),"00000")="89015", TEXT(TRIM(N719),"00000")="89011", TEXT(TRIM(N719),"00000")="89012"), "Suburban SE",
  OR(TEXT(TRIM(N719),"00000")="89117", TEXT(TRIM(N719),"00000")="89128", TEXT(TRIM(N719),"00000")="89135", TEXT(TRIM(N719),"00000")="89144", TEXT(TRIM(N719),"00000")="89145", TEXT(TRIM(N719),"00000")="89147"), "West Valley",
  TRUE, "Other"
)</f>
        <v>South/Strip</v>
      </c>
      <c r="P719" t="s">
        <v>38</v>
      </c>
      <c r="Q719" t="str">
        <f t="shared" si="46"/>
        <v>Home/Residence</v>
      </c>
      <c r="R719" t="s">
        <v>4413</v>
      </c>
      <c r="S719" t="s">
        <v>5118</v>
      </c>
      <c r="T719" t="str" cm="1">
        <f t="array" ref="T719">_xlfn.IFS(
  TEXT(TRIM(S719),"00000")="NULL", "Missing/Unknown",
  OR(TEXT(TRIM(S719),"00000")="89101", TEXT(TRIM(S719),"00000")="89104", TEXT(TRIM(S719),"00000")="89106", TEXT(TRIM(S719),"00000")="89102", TEXT(TRIM(S719),"00000")="89107", TEXT(TRIM(S719),"00000")="89108"), "Urban Core",
  OR(TEXT(TRIM(S719),"00000")="89110", TEXT(TRIM(S719),"00000")="89115", TEXT(TRIM(S719),"00000")="89121", TEXT(TRIM(S719),"00000")="89122", TEXT(TRIM(S719),"00000")="89142", TEXT(TRIM(S719),"00000")="89156"), "East Valley",
  OR(TEXT(TRIM(S719),"00000")="89030", TEXT(TRIM(S719),"00000")="89031", TEXT(TRIM(S719),"00000")="89032", TEXT(TRIM(S719),"00000")="89086", TEXT(TRIM(S719),"00000")="89084", TEXT(TRIM(S719),"00000")="89081"), "North LV",
  OR(TEXT(TRIM(S719),"00000")="89109", TEXT(TRIM(S719),"00000")="89103", TEXT(TRIM(S719),"00000")="89119", TEXT(TRIM(S719),"00000")="89123", TEXT(TRIM(S719),"00000")="89169", TEXT(TRIM(S719),"00000")="89118"), "South/Strip",
  OR(TEXT(TRIM(S719),"00000")="89074", TEXT(TRIM(S719),"00000")="89014", TEXT(TRIM(S719),"00000")="89015", TEXT(TRIM(S719),"00000")="89011", TEXT(TRIM(S719),"00000")="89012"), "Suburban SE",
  OR(TEXT(TRIM(S719),"00000")="89117", TEXT(TRIM(S719),"00000")="89128", TEXT(TRIM(S719),"00000")="89135", TEXT(TRIM(S719),"00000")="89144", TEXT(TRIM(S719),"00000")="89145", TEXT(TRIM(S719),"00000")="89147"), "West Valley",
  TRUE, "Other"
)</f>
        <v>South/Strip</v>
      </c>
      <c r="U719" t="s">
        <v>38</v>
      </c>
      <c r="V719" t="str">
        <f t="shared" si="47"/>
        <v>Home/Residence</v>
      </c>
    </row>
    <row r="720" spans="1:22">
      <c r="A720" t="s">
        <v>257</v>
      </c>
      <c r="B720" t="s">
        <v>258</v>
      </c>
      <c r="C720" s="1">
        <v>45120</v>
      </c>
      <c r="D720" s="4">
        <v>109.94</v>
      </c>
      <c r="E720">
        <v>73</v>
      </c>
      <c r="F720" t="str">
        <f t="shared" si="44"/>
        <v>70's</v>
      </c>
      <c r="G720" t="str" cm="1">
        <f t="array" ref="G720">_xlfn.IFS(
  F720="10's", "Child (5–12)",
  OR(F720="20's", F720="30's"), "Young Adult (20–39)",
  OR(F720="40's", F720="50's"), "Adult (40–59)",
  OR(F720="60's", F720="70's", F720="80's", F720="90's"), "Senior (60+)",
  TRUE, "Unknown"
)</f>
        <v>Senior (60+)</v>
      </c>
      <c r="H720" t="s">
        <v>841</v>
      </c>
      <c r="I720" t="s">
        <v>63</v>
      </c>
      <c r="J720" t="str">
        <f t="shared" si="45"/>
        <v>Cardiovascular Disease</v>
      </c>
      <c r="K720" t="s">
        <v>54</v>
      </c>
      <c r="L720" t="s">
        <v>250</v>
      </c>
      <c r="M720" t="s">
        <v>4319</v>
      </c>
      <c r="N720" t="s">
        <v>5101</v>
      </c>
      <c r="O720" t="str" cm="1">
        <f t="array" ref="O720">_xlfn.IFS(
  TEXT(TRIM(N720),"00000")="NULL", "Missing/Unknown",
  OR(TEXT(TRIM(N720),"00000")="89101", TEXT(TRIM(N720),"00000")="89104", TEXT(TRIM(N720),"00000")="89106", TEXT(TRIM(N720),"00000")="89102", TEXT(TRIM(N720),"00000")="89107", TEXT(TRIM(N720),"00000")="89108"), "Urban Core",
  OR(TEXT(TRIM(N720),"00000")="89110", TEXT(TRIM(N720),"00000")="89115", TEXT(TRIM(N720),"00000")="89121", TEXT(TRIM(N720),"00000")="89122", TEXT(TRIM(N720),"00000")="89142", TEXT(TRIM(N720),"00000")="89156"), "East Valley",
  OR(TEXT(TRIM(N720),"00000")="89030", TEXT(TRIM(N720),"00000")="89031", TEXT(TRIM(N720),"00000")="89032", TEXT(TRIM(N720),"00000")="89086", TEXT(TRIM(N720),"00000")="89084", TEXT(TRIM(N720),"00000")="89081"), "North LV",
  OR(TEXT(TRIM(N720),"00000")="89109", TEXT(TRIM(N720),"00000")="89103", TEXT(TRIM(N720),"00000")="89119", TEXT(TRIM(N720),"00000")="89123", TEXT(TRIM(N720),"00000")="89169", TEXT(TRIM(N720),"00000")="89118"), "South/Strip",
  OR(TEXT(TRIM(N720),"00000")="89074", TEXT(TRIM(N720),"00000")="89014", TEXT(TRIM(N720),"00000")="89015", TEXT(TRIM(N720),"00000")="89011", TEXT(TRIM(N720),"00000")="89012"), "Suburban SE",
  OR(TEXT(TRIM(N720),"00000")="89117", TEXT(TRIM(N720),"00000")="89128", TEXT(TRIM(N720),"00000")="89135", TEXT(TRIM(N720),"00000")="89144", TEXT(TRIM(N720),"00000")="89145", TEXT(TRIM(N720),"00000")="89147"), "West Valley",
  TRUE, "Other"
)</f>
        <v>Urban Core</v>
      </c>
      <c r="P720" t="s">
        <v>132</v>
      </c>
      <c r="Q720" t="str">
        <f t="shared" si="46"/>
        <v>Outdoors/Public</v>
      </c>
      <c r="R720" t="s">
        <v>4319</v>
      </c>
      <c r="S720" t="s">
        <v>5101</v>
      </c>
      <c r="T720" t="str" cm="1">
        <f t="array" ref="T720">_xlfn.IFS(
  TEXT(TRIM(S720),"00000")="NULL", "Missing/Unknown",
  OR(TEXT(TRIM(S720),"00000")="89101", TEXT(TRIM(S720),"00000")="89104", TEXT(TRIM(S720),"00000")="89106", TEXT(TRIM(S720),"00000")="89102", TEXT(TRIM(S720),"00000")="89107", TEXT(TRIM(S720),"00000")="89108"), "Urban Core",
  OR(TEXT(TRIM(S720),"00000")="89110", TEXT(TRIM(S720),"00000")="89115", TEXT(TRIM(S720),"00000")="89121", TEXT(TRIM(S720),"00000")="89122", TEXT(TRIM(S720),"00000")="89142", TEXT(TRIM(S720),"00000")="89156"), "East Valley",
  OR(TEXT(TRIM(S720),"00000")="89030", TEXT(TRIM(S720),"00000")="89031", TEXT(TRIM(S720),"00000")="89032", TEXT(TRIM(S720),"00000")="89086", TEXT(TRIM(S720),"00000")="89084", TEXT(TRIM(S720),"00000")="89081"), "North LV",
  OR(TEXT(TRIM(S720),"00000")="89109", TEXT(TRIM(S720),"00000")="89103", TEXT(TRIM(S720),"00000")="89119", TEXT(TRIM(S720),"00000")="89123", TEXT(TRIM(S720),"00000")="89169", TEXT(TRIM(S720),"00000")="89118"), "South/Strip",
  OR(TEXT(TRIM(S720),"00000")="89074", TEXT(TRIM(S720),"00000")="89014", TEXT(TRIM(S720),"00000")="89015", TEXT(TRIM(S720),"00000")="89011", TEXT(TRIM(S720),"00000")="89012"), "Suburban SE",
  OR(TEXT(TRIM(S720),"00000")="89117", TEXT(TRIM(S720),"00000")="89128", TEXT(TRIM(S720),"00000")="89135", TEXT(TRIM(S720),"00000")="89144", TEXT(TRIM(S720),"00000")="89145", TEXT(TRIM(S720),"00000")="89147"), "West Valley",
  TRUE, "Other"
)</f>
        <v>Urban Core</v>
      </c>
      <c r="U720" t="s">
        <v>132</v>
      </c>
      <c r="V720" t="str">
        <f t="shared" si="47"/>
        <v>Outdoors/Public</v>
      </c>
    </row>
    <row r="721" spans="1:22">
      <c r="A721" t="s">
        <v>247</v>
      </c>
      <c r="B721" t="s">
        <v>248</v>
      </c>
      <c r="C721" s="1">
        <v>45120</v>
      </c>
      <c r="D721" s="4">
        <v>109.94</v>
      </c>
      <c r="E721">
        <v>46</v>
      </c>
      <c r="F721" t="str">
        <f t="shared" si="44"/>
        <v>40's</v>
      </c>
      <c r="G721" t="str" cm="1">
        <f t="array" ref="G721">_xlfn.IFS(
  F721="10's", "Child (5–12)",
  OR(F721="20's", F721="30's"), "Young Adult (20–39)",
  OR(F721="40's", F721="50's"), "Adult (40–59)",
  OR(F721="60's", F721="70's", F721="80's", F721="90's"), "Senior (60+)",
  TRUE, "Unknown"
)</f>
        <v>Adult (40–59)</v>
      </c>
      <c r="H721" t="s">
        <v>778</v>
      </c>
      <c r="I721" t="s">
        <v>4091</v>
      </c>
      <c r="J721" t="str">
        <f t="shared" si="45"/>
        <v>Methamphetamine-related</v>
      </c>
      <c r="K721" t="s">
        <v>54</v>
      </c>
      <c r="L721" t="s">
        <v>250</v>
      </c>
      <c r="N721" t="s">
        <v>5095</v>
      </c>
      <c r="O721" t="str" cm="1">
        <f t="array" ref="O721">_xlfn.IFS(
  TEXT(TRIM(N721),"00000")="NULL", "Missing/Unknown",
  OR(TEXT(TRIM(N721),"00000")="89101", TEXT(TRIM(N721),"00000")="89104", TEXT(TRIM(N721),"00000")="89106", TEXT(TRIM(N721),"00000")="89102", TEXT(TRIM(N721),"00000")="89107", TEXT(TRIM(N721),"00000")="89108"), "Urban Core",
  OR(TEXT(TRIM(N721),"00000")="89110", TEXT(TRIM(N721),"00000")="89115", TEXT(TRIM(N721),"00000")="89121", TEXT(TRIM(N721),"00000")="89122", TEXT(TRIM(N721),"00000")="89142", TEXT(TRIM(N721),"00000")="89156"), "East Valley",
  OR(TEXT(TRIM(N721),"00000")="89030", TEXT(TRIM(N721),"00000")="89031", TEXT(TRIM(N721),"00000")="89032", TEXT(TRIM(N721),"00000")="89086", TEXT(TRIM(N721),"00000")="89084", TEXT(TRIM(N721),"00000")="89081"), "North LV",
  OR(TEXT(TRIM(N721),"00000")="89109", TEXT(TRIM(N721),"00000")="89103", TEXT(TRIM(N721),"00000")="89119", TEXT(TRIM(N721),"00000")="89123", TEXT(TRIM(N721),"00000")="89169", TEXT(TRIM(N721),"00000")="89118"), "South/Strip",
  OR(TEXT(TRIM(N721),"00000")="89074", TEXT(TRIM(N721),"00000")="89014", TEXT(TRIM(N721),"00000")="89015", TEXT(TRIM(N721),"00000")="89011", TEXT(TRIM(N721),"00000")="89012"), "Suburban SE",
  OR(TEXT(TRIM(N721),"00000")="89117", TEXT(TRIM(N721),"00000")="89128", TEXT(TRIM(N721),"00000")="89135", TEXT(TRIM(N721),"00000")="89144", TEXT(TRIM(N721),"00000")="89145", TEXT(TRIM(N721),"00000")="89147"), "West Valley",
  TRUE, "Other"
)</f>
        <v>Missing/Unknown</v>
      </c>
      <c r="P721" t="s">
        <v>3298</v>
      </c>
      <c r="Q721" t="str">
        <f t="shared" si="46"/>
        <v>Outdoors/Public</v>
      </c>
      <c r="R721" t="s">
        <v>5054</v>
      </c>
      <c r="S721" t="s">
        <v>5097</v>
      </c>
      <c r="T721" t="str" cm="1">
        <f t="array" ref="T721">_xlfn.IFS(
  TEXT(TRIM(S721),"00000")="NULL", "Missing/Unknown",
  OR(TEXT(TRIM(S721),"00000")="89101", TEXT(TRIM(S721),"00000")="89104", TEXT(TRIM(S721),"00000")="89106", TEXT(TRIM(S721),"00000")="89102", TEXT(TRIM(S721),"00000")="89107", TEXT(TRIM(S721),"00000")="89108"), "Urban Core",
  OR(TEXT(TRIM(S721),"00000")="89110", TEXT(TRIM(S721),"00000")="89115", TEXT(TRIM(S721),"00000")="89121", TEXT(TRIM(S721),"00000")="89122", TEXT(TRIM(S721),"00000")="89142", TEXT(TRIM(S721),"00000")="89156"), "East Valley",
  OR(TEXT(TRIM(S721),"00000")="89030", TEXT(TRIM(S721),"00000")="89031", TEXT(TRIM(S721),"00000")="89032", TEXT(TRIM(S721),"00000")="89086", TEXT(TRIM(S721),"00000")="89084", TEXT(TRIM(S721),"00000")="89081"), "North LV",
  OR(TEXT(TRIM(S721),"00000")="89109", TEXT(TRIM(S721),"00000")="89103", TEXT(TRIM(S721),"00000")="89119", TEXT(TRIM(S721),"00000")="89123", TEXT(TRIM(S721),"00000")="89169", TEXT(TRIM(S721),"00000")="89118"), "South/Strip",
  OR(TEXT(TRIM(S721),"00000")="89074", TEXT(TRIM(S721),"00000")="89014", TEXT(TRIM(S721),"00000")="89015", TEXT(TRIM(S721),"00000")="89011", TEXT(TRIM(S721),"00000")="89012"), "Suburban SE",
  OR(TEXT(TRIM(S721),"00000")="89117", TEXT(TRIM(S721),"00000")="89128", TEXT(TRIM(S721),"00000")="89135", TEXT(TRIM(S721),"00000")="89144", TEXT(TRIM(S721),"00000")="89145", TEXT(TRIM(S721),"00000")="89147"), "West Valley",
  TRUE, "Other"
)</f>
        <v>Urban Core</v>
      </c>
      <c r="U721" t="s">
        <v>4301</v>
      </c>
      <c r="V721" t="str">
        <f t="shared" si="47"/>
        <v>Medical Facility</v>
      </c>
    </row>
    <row r="722" spans="1:22">
      <c r="A722" t="s">
        <v>272</v>
      </c>
      <c r="B722" t="s">
        <v>273</v>
      </c>
      <c r="C722" s="1">
        <v>45120</v>
      </c>
      <c r="D722" s="4">
        <v>109.94</v>
      </c>
      <c r="E722">
        <v>75</v>
      </c>
      <c r="F722" t="str">
        <f t="shared" si="44"/>
        <v>70's</v>
      </c>
      <c r="G722" t="str" cm="1">
        <f t="array" ref="G722">_xlfn.IFS(
  F722="10's", "Child (5–12)",
  OR(F722="20's", F722="30's"), "Young Adult (20–39)",
  OR(F722="40's", F722="50's"), "Adult (40–59)",
  OR(F722="60's", F722="70's", F722="80's", F722="90's"), "Senior (60+)",
  TRUE, "Unknown"
)</f>
        <v>Senior (60+)</v>
      </c>
      <c r="H722" t="s">
        <v>841</v>
      </c>
      <c r="I722" t="s">
        <v>54</v>
      </c>
      <c r="J722" t="str">
        <f t="shared" si="45"/>
        <v>Environmental Heat</v>
      </c>
      <c r="K722" t="s">
        <v>274</v>
      </c>
      <c r="L722" t="s">
        <v>1071</v>
      </c>
      <c r="M722" t="s">
        <v>4416</v>
      </c>
      <c r="N722" t="s">
        <v>5142</v>
      </c>
      <c r="O722" t="str" cm="1">
        <f t="array" ref="O722">_xlfn.IFS(
  TEXT(TRIM(N722),"00000")="NULL", "Missing/Unknown",
  OR(TEXT(TRIM(N722),"00000")="89101", TEXT(TRIM(N722),"00000")="89104", TEXT(TRIM(N722),"00000")="89106", TEXT(TRIM(N722),"00000")="89102", TEXT(TRIM(N722),"00000")="89107", TEXT(TRIM(N722),"00000")="89108"), "Urban Core",
  OR(TEXT(TRIM(N722),"00000")="89110", TEXT(TRIM(N722),"00000")="89115", TEXT(TRIM(N722),"00000")="89121", TEXT(TRIM(N722),"00000")="89122", TEXT(TRIM(N722),"00000")="89142", TEXT(TRIM(N722),"00000")="89156"), "East Valley",
  OR(TEXT(TRIM(N722),"00000")="89030", TEXT(TRIM(N722),"00000")="89031", TEXT(TRIM(N722),"00000")="89032", TEXT(TRIM(N722),"00000")="89086", TEXT(TRIM(N722),"00000")="89084", TEXT(TRIM(N722),"00000")="89081"), "North LV",
  OR(TEXT(TRIM(N722),"00000")="89109", TEXT(TRIM(N722),"00000")="89103", TEXT(TRIM(N722),"00000")="89119", TEXT(TRIM(N722),"00000")="89123", TEXT(TRIM(N722),"00000")="89169", TEXT(TRIM(N722),"00000")="89118"), "South/Strip",
  OR(TEXT(TRIM(N722),"00000")="89074", TEXT(TRIM(N722),"00000")="89014", TEXT(TRIM(N722),"00000")="89015", TEXT(TRIM(N722),"00000")="89011", TEXT(TRIM(N722),"00000")="89012"), "Suburban SE",
  OR(TEXT(TRIM(N722),"00000")="89117", TEXT(TRIM(N722),"00000")="89128", TEXT(TRIM(N722),"00000")="89135", TEXT(TRIM(N722),"00000")="89144", TEXT(TRIM(N722),"00000")="89145", TEXT(TRIM(N722),"00000")="89147"), "West Valley",
  TRUE, "Other"
)</f>
        <v>Suburban SE</v>
      </c>
      <c r="P722" t="s">
        <v>38</v>
      </c>
      <c r="Q722" t="str">
        <f t="shared" si="46"/>
        <v>Home/Residence</v>
      </c>
      <c r="R722" t="s">
        <v>4416</v>
      </c>
      <c r="S722" t="s">
        <v>5142</v>
      </c>
      <c r="T722" t="str" cm="1">
        <f t="array" ref="T722">_xlfn.IFS(
  TEXT(TRIM(S722),"00000")="NULL", "Missing/Unknown",
  OR(TEXT(TRIM(S722),"00000")="89101", TEXT(TRIM(S722),"00000")="89104", TEXT(TRIM(S722),"00000")="89106", TEXT(TRIM(S722),"00000")="89102", TEXT(TRIM(S722),"00000")="89107", TEXT(TRIM(S722),"00000")="89108"), "Urban Core",
  OR(TEXT(TRIM(S722),"00000")="89110", TEXT(TRIM(S722),"00000")="89115", TEXT(TRIM(S722),"00000")="89121", TEXT(TRIM(S722),"00000")="89122", TEXT(TRIM(S722),"00000")="89142", TEXT(TRIM(S722),"00000")="89156"), "East Valley",
  OR(TEXT(TRIM(S722),"00000")="89030", TEXT(TRIM(S722),"00000")="89031", TEXT(TRIM(S722),"00000")="89032", TEXT(TRIM(S722),"00000")="89086", TEXT(TRIM(S722),"00000")="89084", TEXT(TRIM(S722),"00000")="89081"), "North LV",
  OR(TEXT(TRIM(S722),"00000")="89109", TEXT(TRIM(S722),"00000")="89103", TEXT(TRIM(S722),"00000")="89119", TEXT(TRIM(S722),"00000")="89123", TEXT(TRIM(S722),"00000")="89169", TEXT(TRIM(S722),"00000")="89118"), "South/Strip",
  OR(TEXT(TRIM(S722),"00000")="89074", TEXT(TRIM(S722),"00000")="89014", TEXT(TRIM(S722),"00000")="89015", TEXT(TRIM(S722),"00000")="89011", TEXT(TRIM(S722),"00000")="89012"), "Suburban SE",
  OR(TEXT(TRIM(S722),"00000")="89117", TEXT(TRIM(S722),"00000")="89128", TEXT(TRIM(S722),"00000")="89135", TEXT(TRIM(S722),"00000")="89144", TEXT(TRIM(S722),"00000")="89145", TEXT(TRIM(S722),"00000")="89147"), "West Valley",
  TRUE, "Other"
)</f>
        <v>Suburban SE</v>
      </c>
      <c r="U722" t="s">
        <v>38</v>
      </c>
      <c r="V722" t="str">
        <f t="shared" si="47"/>
        <v>Home/Residence</v>
      </c>
    </row>
    <row r="723" spans="1:22">
      <c r="A723" t="s">
        <v>229</v>
      </c>
      <c r="B723" t="s">
        <v>230</v>
      </c>
      <c r="C723" s="1">
        <v>45119</v>
      </c>
      <c r="D723" s="4">
        <v>107.96</v>
      </c>
      <c r="E723">
        <v>77</v>
      </c>
      <c r="F723" t="str">
        <f t="shared" si="44"/>
        <v>70's</v>
      </c>
      <c r="G723" t="str" cm="1">
        <f t="array" ref="G723">_xlfn.IFS(
  F723="10's", "Child (5–12)",
  OR(F723="20's", F723="30's"), "Young Adult (20–39)",
  OR(F723="40's", F723="50's"), "Adult (40–59)",
  OR(F723="60's", F723="70's", F723="80's", F723="90's"), "Senior (60+)",
  TRUE, "Unknown"
)</f>
        <v>Senior (60+)</v>
      </c>
      <c r="H723" t="s">
        <v>778</v>
      </c>
      <c r="I723" t="s">
        <v>73</v>
      </c>
      <c r="J723" t="str">
        <f t="shared" si="45"/>
        <v>Cardiovascular Disease</v>
      </c>
      <c r="K723" t="s">
        <v>4229</v>
      </c>
      <c r="L723" t="s">
        <v>1071</v>
      </c>
      <c r="M723" t="s">
        <v>4417</v>
      </c>
      <c r="N723" t="s">
        <v>5099</v>
      </c>
      <c r="O723" t="str" cm="1">
        <f t="array" ref="O723">_xlfn.IFS(
  TEXT(TRIM(N723),"00000")="NULL", "Missing/Unknown",
  OR(TEXT(TRIM(N723),"00000")="89101", TEXT(TRIM(N723),"00000")="89104", TEXT(TRIM(N723),"00000")="89106", TEXT(TRIM(N723),"00000")="89102", TEXT(TRIM(N723),"00000")="89107", TEXT(TRIM(N723),"00000")="89108"), "Urban Core",
  OR(TEXT(TRIM(N723),"00000")="89110", TEXT(TRIM(N723),"00000")="89115", TEXT(TRIM(N723),"00000")="89121", TEXT(TRIM(N723),"00000")="89122", TEXT(TRIM(N723),"00000")="89142", TEXT(TRIM(N723),"00000")="89156"), "East Valley",
  OR(TEXT(TRIM(N723),"00000")="89030", TEXT(TRIM(N723),"00000")="89031", TEXT(TRIM(N723),"00000")="89032", TEXT(TRIM(N723),"00000")="89086", TEXT(TRIM(N723),"00000")="89084", TEXT(TRIM(N723),"00000")="89081"), "North LV",
  OR(TEXT(TRIM(N723),"00000")="89109", TEXT(TRIM(N723),"00000")="89103", TEXT(TRIM(N723),"00000")="89119", TEXT(TRIM(N723),"00000")="89123", TEXT(TRIM(N723),"00000")="89169", TEXT(TRIM(N723),"00000")="89118"), "South/Strip",
  OR(TEXT(TRIM(N723),"00000")="89074", TEXT(TRIM(N723),"00000")="89014", TEXT(TRIM(N723),"00000")="89015", TEXT(TRIM(N723),"00000")="89011", TEXT(TRIM(N723),"00000")="89012"), "Suburban SE",
  OR(TEXT(TRIM(N723),"00000")="89117", TEXT(TRIM(N723),"00000")="89128", TEXT(TRIM(N723),"00000")="89135", TEXT(TRIM(N723),"00000")="89144", TEXT(TRIM(N723),"00000")="89145", TEXT(TRIM(N723),"00000")="89147"), "West Valley",
  TRUE, "Other"
)</f>
        <v>Urban Core</v>
      </c>
      <c r="P723" t="s">
        <v>38</v>
      </c>
      <c r="Q723" t="str">
        <f t="shared" si="46"/>
        <v>Home/Residence</v>
      </c>
      <c r="R723" t="s">
        <v>4417</v>
      </c>
      <c r="S723" t="s">
        <v>5099</v>
      </c>
      <c r="T723" t="str" cm="1">
        <f t="array" ref="T723">_xlfn.IFS(
  TEXT(TRIM(S723),"00000")="NULL", "Missing/Unknown",
  OR(TEXT(TRIM(S723),"00000")="89101", TEXT(TRIM(S723),"00000")="89104", TEXT(TRIM(S723),"00000")="89106", TEXT(TRIM(S723),"00000")="89102", TEXT(TRIM(S723),"00000")="89107", TEXT(TRIM(S723),"00000")="89108"), "Urban Core",
  OR(TEXT(TRIM(S723),"00000")="89110", TEXT(TRIM(S723),"00000")="89115", TEXT(TRIM(S723),"00000")="89121", TEXT(TRIM(S723),"00000")="89122", TEXT(TRIM(S723),"00000")="89142", TEXT(TRIM(S723),"00000")="89156"), "East Valley",
  OR(TEXT(TRIM(S723),"00000")="89030", TEXT(TRIM(S723),"00000")="89031", TEXT(TRIM(S723),"00000")="89032", TEXT(TRIM(S723),"00000")="89086", TEXT(TRIM(S723),"00000")="89084", TEXT(TRIM(S723),"00000")="89081"), "North LV",
  OR(TEXT(TRIM(S723),"00000")="89109", TEXT(TRIM(S723),"00000")="89103", TEXT(TRIM(S723),"00000")="89119", TEXT(TRIM(S723),"00000")="89123", TEXT(TRIM(S723),"00000")="89169", TEXT(TRIM(S723),"00000")="89118"), "South/Strip",
  OR(TEXT(TRIM(S723),"00000")="89074", TEXT(TRIM(S723),"00000")="89014", TEXT(TRIM(S723),"00000")="89015", TEXT(TRIM(S723),"00000")="89011", TEXT(TRIM(S723),"00000")="89012"), "Suburban SE",
  OR(TEXT(TRIM(S723),"00000")="89117", TEXT(TRIM(S723),"00000")="89128", TEXT(TRIM(S723),"00000")="89135", TEXT(TRIM(S723),"00000")="89144", TEXT(TRIM(S723),"00000")="89145", TEXT(TRIM(S723),"00000")="89147"), "West Valley",
  TRUE, "Other"
)</f>
        <v>Urban Core</v>
      </c>
      <c r="U723" t="s">
        <v>38</v>
      </c>
      <c r="V723" t="str">
        <f t="shared" si="47"/>
        <v>Home/Residence</v>
      </c>
    </row>
    <row r="724" spans="1:22">
      <c r="A724" t="s">
        <v>234</v>
      </c>
      <c r="B724" t="s">
        <v>235</v>
      </c>
      <c r="C724" s="1">
        <v>45119</v>
      </c>
      <c r="D724" s="4">
        <v>107.96</v>
      </c>
      <c r="E724">
        <v>37</v>
      </c>
      <c r="F724" t="str">
        <f t="shared" si="44"/>
        <v>30's</v>
      </c>
      <c r="G724" t="str" cm="1">
        <f t="array" ref="G724">_xlfn.IFS(
  F724="10's", "Child (5–12)",
  OR(F724="20's", F724="30's"), "Young Adult (20–39)",
  OR(F724="40's", F724="50's"), "Adult (40–59)",
  OR(F724="60's", F724="70's", F724="80's", F724="90's"), "Senior (60+)",
  TRUE, "Unknown"
)</f>
        <v>Young Adult (20–39)</v>
      </c>
      <c r="H724" t="s">
        <v>778</v>
      </c>
      <c r="I724" t="s">
        <v>54</v>
      </c>
      <c r="J724" t="str">
        <f t="shared" si="45"/>
        <v>Environmental Heat</v>
      </c>
      <c r="K724" t="s">
        <v>4230</v>
      </c>
      <c r="L724" t="s">
        <v>250</v>
      </c>
      <c r="M724" t="s">
        <v>4542</v>
      </c>
      <c r="N724" t="s">
        <v>5098</v>
      </c>
      <c r="O724" t="str" cm="1">
        <f t="array" ref="O724">_xlfn.IFS(
  TEXT(TRIM(N724),"00000")="NULL", "Missing/Unknown",
  OR(TEXT(TRIM(N724),"00000")="89101", TEXT(TRIM(N724),"00000")="89104", TEXT(TRIM(N724),"00000")="89106", TEXT(TRIM(N724),"00000")="89102", TEXT(TRIM(N724),"00000")="89107", TEXT(TRIM(N724),"00000")="89108"), "Urban Core",
  OR(TEXT(TRIM(N724),"00000")="89110", TEXT(TRIM(N724),"00000")="89115", TEXT(TRIM(N724),"00000")="89121", TEXT(TRIM(N724),"00000")="89122", TEXT(TRIM(N724),"00000")="89142", TEXT(TRIM(N724),"00000")="89156"), "East Valley",
  OR(TEXT(TRIM(N724),"00000")="89030", TEXT(TRIM(N724),"00000")="89031", TEXT(TRIM(N724),"00000")="89032", TEXT(TRIM(N724),"00000")="89086", TEXT(TRIM(N724),"00000")="89084", TEXT(TRIM(N724),"00000")="89081"), "North LV",
  OR(TEXT(TRIM(N724),"00000")="89109", TEXT(TRIM(N724),"00000")="89103", TEXT(TRIM(N724),"00000")="89119", TEXT(TRIM(N724),"00000")="89123", TEXT(TRIM(N724),"00000")="89169", TEXT(TRIM(N724),"00000")="89118"), "South/Strip",
  OR(TEXT(TRIM(N724),"00000")="89074", TEXT(TRIM(N724),"00000")="89014", TEXT(TRIM(N724),"00000")="89015", TEXT(TRIM(N724),"00000")="89011", TEXT(TRIM(N724),"00000")="89012"), "Suburban SE",
  OR(TEXT(TRIM(N724),"00000")="89117", TEXT(TRIM(N724),"00000")="89128", TEXT(TRIM(N724),"00000")="89135", TEXT(TRIM(N724),"00000")="89144", TEXT(TRIM(N724),"00000")="89145", TEXT(TRIM(N724),"00000")="89147"), "West Valley",
  TRUE, "Other"
)</f>
        <v>Urban Core</v>
      </c>
      <c r="P724" t="s">
        <v>3298</v>
      </c>
      <c r="Q724" t="str">
        <f t="shared" si="46"/>
        <v>Outdoors/Public</v>
      </c>
      <c r="R724" t="s">
        <v>4713</v>
      </c>
      <c r="S724" t="s">
        <v>5125</v>
      </c>
      <c r="T724" t="str" cm="1">
        <f t="array" ref="T724">_xlfn.IFS(
  TEXT(TRIM(S724),"00000")="NULL", "Missing/Unknown",
  OR(TEXT(TRIM(S724),"00000")="89101", TEXT(TRIM(S724),"00000")="89104", TEXT(TRIM(S724),"00000")="89106", TEXT(TRIM(S724),"00000")="89102", TEXT(TRIM(S724),"00000")="89107", TEXT(TRIM(S724),"00000")="89108"), "Urban Core",
  OR(TEXT(TRIM(S724),"00000")="89110", TEXT(TRIM(S724),"00000")="89115", TEXT(TRIM(S724),"00000")="89121", TEXT(TRIM(S724),"00000")="89122", TEXT(TRIM(S724),"00000")="89142", TEXT(TRIM(S724),"00000")="89156"), "East Valley",
  OR(TEXT(TRIM(S724),"00000")="89030", TEXT(TRIM(S724),"00000")="89031", TEXT(TRIM(S724),"00000")="89032", TEXT(TRIM(S724),"00000")="89086", TEXT(TRIM(S724),"00000")="89084", TEXT(TRIM(S724),"00000")="89081"), "North LV",
  OR(TEXT(TRIM(S724),"00000")="89109", TEXT(TRIM(S724),"00000")="89103", TEXT(TRIM(S724),"00000")="89119", TEXT(TRIM(S724),"00000")="89123", TEXT(TRIM(S724),"00000")="89169", TEXT(TRIM(S724),"00000")="89118"), "South/Strip",
  OR(TEXT(TRIM(S724),"00000")="89074", TEXT(TRIM(S724),"00000")="89014", TEXT(TRIM(S724),"00000")="89015", TEXT(TRIM(S724),"00000")="89011", TEXT(TRIM(S724),"00000")="89012"), "Suburban SE",
  OR(TEXT(TRIM(S724),"00000")="89117", TEXT(TRIM(S724),"00000")="89128", TEXT(TRIM(S724),"00000")="89135", TEXT(TRIM(S724),"00000")="89144", TEXT(TRIM(S724),"00000")="89145", TEXT(TRIM(S724),"00000")="89147"), "West Valley",
  TRUE, "Other"
)</f>
        <v>South/Strip</v>
      </c>
      <c r="U724" t="s">
        <v>4301</v>
      </c>
      <c r="V724" t="str">
        <f t="shared" si="47"/>
        <v>Medical Facility</v>
      </c>
    </row>
    <row r="725" spans="1:22">
      <c r="A725" t="s">
        <v>238</v>
      </c>
      <c r="B725" t="s">
        <v>239</v>
      </c>
      <c r="C725" s="1">
        <v>45119</v>
      </c>
      <c r="D725" s="4">
        <v>107.96</v>
      </c>
      <c r="E725">
        <v>77</v>
      </c>
      <c r="F725" t="str">
        <f t="shared" si="44"/>
        <v>70's</v>
      </c>
      <c r="G725" t="str" cm="1">
        <f t="array" ref="G725">_xlfn.IFS(
  F725="10's", "Child (5–12)",
  OR(F725="20's", F725="30's"), "Young Adult (20–39)",
  OR(F725="40's", F725="50's"), "Adult (40–59)",
  OR(F725="60's", F725="70's", F725="80's", F725="90's"), "Senior (60+)",
  TRUE, "Unknown"
)</f>
        <v>Senior (60+)</v>
      </c>
      <c r="H725" t="s">
        <v>841</v>
      </c>
      <c r="I725" t="s">
        <v>4012</v>
      </c>
      <c r="J725" t="str">
        <f t="shared" si="45"/>
        <v>Cardiovascular Disease</v>
      </c>
      <c r="K725" t="s">
        <v>54</v>
      </c>
      <c r="L725" t="s">
        <v>1071</v>
      </c>
      <c r="M725" t="s">
        <v>4418</v>
      </c>
      <c r="N725" t="s">
        <v>5142</v>
      </c>
      <c r="O725" t="str" cm="1">
        <f t="array" ref="O725">_xlfn.IFS(
  TEXT(TRIM(N725),"00000")="NULL", "Missing/Unknown",
  OR(TEXT(TRIM(N725),"00000")="89101", TEXT(TRIM(N725),"00000")="89104", TEXT(TRIM(N725),"00000")="89106", TEXT(TRIM(N725),"00000")="89102", TEXT(TRIM(N725),"00000")="89107", TEXT(TRIM(N725),"00000")="89108"), "Urban Core",
  OR(TEXT(TRIM(N725),"00000")="89110", TEXT(TRIM(N725),"00000")="89115", TEXT(TRIM(N725),"00000")="89121", TEXT(TRIM(N725),"00000")="89122", TEXT(TRIM(N725),"00000")="89142", TEXT(TRIM(N725),"00000")="89156"), "East Valley",
  OR(TEXT(TRIM(N725),"00000")="89030", TEXT(TRIM(N725),"00000")="89031", TEXT(TRIM(N725),"00000")="89032", TEXT(TRIM(N725),"00000")="89086", TEXT(TRIM(N725),"00000")="89084", TEXT(TRIM(N725),"00000")="89081"), "North LV",
  OR(TEXT(TRIM(N725),"00000")="89109", TEXT(TRIM(N725),"00000")="89103", TEXT(TRIM(N725),"00000")="89119", TEXT(TRIM(N725),"00000")="89123", TEXT(TRIM(N725),"00000")="89169", TEXT(TRIM(N725),"00000")="89118"), "South/Strip",
  OR(TEXT(TRIM(N725),"00000")="89074", TEXT(TRIM(N725),"00000")="89014", TEXT(TRIM(N725),"00000")="89015", TEXT(TRIM(N725),"00000")="89011", TEXT(TRIM(N725),"00000")="89012"), "Suburban SE",
  OR(TEXT(TRIM(N725),"00000")="89117", TEXT(TRIM(N725),"00000")="89128", TEXT(TRIM(N725),"00000")="89135", TEXT(TRIM(N725),"00000")="89144", TEXT(TRIM(N725),"00000")="89145", TEXT(TRIM(N725),"00000")="89147"), "West Valley",
  TRUE, "Other"
)</f>
        <v>Suburban SE</v>
      </c>
      <c r="P725" t="s">
        <v>38</v>
      </c>
      <c r="Q725" t="str">
        <f t="shared" si="46"/>
        <v>Home/Residence</v>
      </c>
      <c r="R725" t="s">
        <v>4418</v>
      </c>
      <c r="S725" t="s">
        <v>5142</v>
      </c>
      <c r="T725" t="str" cm="1">
        <f t="array" ref="T725">_xlfn.IFS(
  TEXT(TRIM(S725),"00000")="NULL", "Missing/Unknown",
  OR(TEXT(TRIM(S725),"00000")="89101", TEXT(TRIM(S725),"00000")="89104", TEXT(TRIM(S725),"00000")="89106", TEXT(TRIM(S725),"00000")="89102", TEXT(TRIM(S725),"00000")="89107", TEXT(TRIM(S725),"00000")="89108"), "Urban Core",
  OR(TEXT(TRIM(S725),"00000")="89110", TEXT(TRIM(S725),"00000")="89115", TEXT(TRIM(S725),"00000")="89121", TEXT(TRIM(S725),"00000")="89122", TEXT(TRIM(S725),"00000")="89142", TEXT(TRIM(S725),"00000")="89156"), "East Valley",
  OR(TEXT(TRIM(S725),"00000")="89030", TEXT(TRIM(S725),"00000")="89031", TEXT(TRIM(S725),"00000")="89032", TEXT(TRIM(S725),"00000")="89086", TEXT(TRIM(S725),"00000")="89084", TEXT(TRIM(S725),"00000")="89081"), "North LV",
  OR(TEXT(TRIM(S725),"00000")="89109", TEXT(TRIM(S725),"00000")="89103", TEXT(TRIM(S725),"00000")="89119", TEXT(TRIM(S725),"00000")="89123", TEXT(TRIM(S725),"00000")="89169", TEXT(TRIM(S725),"00000")="89118"), "South/Strip",
  OR(TEXT(TRIM(S725),"00000")="89074", TEXT(TRIM(S725),"00000")="89014", TEXT(TRIM(S725),"00000")="89015", TEXT(TRIM(S725),"00000")="89011", TEXT(TRIM(S725),"00000")="89012"), "Suburban SE",
  OR(TEXT(TRIM(S725),"00000")="89117", TEXT(TRIM(S725),"00000")="89128", TEXT(TRIM(S725),"00000")="89135", TEXT(TRIM(S725),"00000")="89144", TEXT(TRIM(S725),"00000")="89145", TEXT(TRIM(S725),"00000")="89147"), "West Valley",
  TRUE, "Other"
)</f>
        <v>Suburban SE</v>
      </c>
      <c r="U725" t="s">
        <v>38</v>
      </c>
      <c r="V725" t="str">
        <f t="shared" si="47"/>
        <v>Home/Residence</v>
      </c>
    </row>
    <row r="726" spans="1:22">
      <c r="A726" t="s">
        <v>217</v>
      </c>
      <c r="B726" t="s">
        <v>218</v>
      </c>
      <c r="C726" s="1">
        <v>45117</v>
      </c>
      <c r="D726" s="4">
        <v>105.98</v>
      </c>
      <c r="E726">
        <v>64</v>
      </c>
      <c r="F726" t="str">
        <f t="shared" si="44"/>
        <v>60's</v>
      </c>
      <c r="G726" t="str" cm="1">
        <f t="array" ref="G726">_xlfn.IFS(
  F726="10's", "Child (5–12)",
  OR(F726="20's", F726="30's"), "Young Adult (20–39)",
  OR(F726="40's", F726="50's"), "Adult (40–59)",
  OR(F726="60's", F726="70's", F726="80's", F726="90's"), "Senior (60+)",
  TRUE, "Unknown"
)</f>
        <v>Senior (60+)</v>
      </c>
      <c r="H726" t="s">
        <v>778</v>
      </c>
      <c r="I726" t="s">
        <v>4009</v>
      </c>
      <c r="J726" t="str">
        <f t="shared" si="45"/>
        <v>Environmental Heat</v>
      </c>
      <c r="K726" t="s">
        <v>54</v>
      </c>
      <c r="L726" t="s">
        <v>1071</v>
      </c>
      <c r="M726" t="s">
        <v>4532</v>
      </c>
      <c r="N726" t="s">
        <v>5100</v>
      </c>
      <c r="O726" t="str" cm="1">
        <f t="array" ref="O726">_xlfn.IFS(
  TEXT(TRIM(N726),"00000")="NULL", "Missing/Unknown",
  OR(TEXT(TRIM(N726),"00000")="89101", TEXT(TRIM(N726),"00000")="89104", TEXT(TRIM(N726),"00000")="89106", TEXT(TRIM(N726),"00000")="89102", TEXT(TRIM(N726),"00000")="89107", TEXT(TRIM(N726),"00000")="89108"), "Urban Core",
  OR(TEXT(TRIM(N726),"00000")="89110", TEXT(TRIM(N726),"00000")="89115", TEXT(TRIM(N726),"00000")="89121", TEXT(TRIM(N726),"00000")="89122", TEXT(TRIM(N726),"00000")="89142", TEXT(TRIM(N726),"00000")="89156"), "East Valley",
  OR(TEXT(TRIM(N726),"00000")="89030", TEXT(TRIM(N726),"00000")="89031", TEXT(TRIM(N726),"00000")="89032", TEXT(TRIM(N726),"00000")="89086", TEXT(TRIM(N726),"00000")="89084", TEXT(TRIM(N726),"00000")="89081"), "North LV",
  OR(TEXT(TRIM(N726),"00000")="89109", TEXT(TRIM(N726),"00000")="89103", TEXT(TRIM(N726),"00000")="89119", TEXT(TRIM(N726),"00000")="89123", TEXT(TRIM(N726),"00000")="89169", TEXT(TRIM(N726),"00000")="89118"), "South/Strip",
  OR(TEXT(TRIM(N726),"00000")="89074", TEXT(TRIM(N726),"00000")="89014", TEXT(TRIM(N726),"00000")="89015", TEXT(TRIM(N726),"00000")="89011", TEXT(TRIM(N726),"00000")="89012"), "Suburban SE",
  OR(TEXT(TRIM(N726),"00000")="89117", TEXT(TRIM(N726),"00000")="89128", TEXT(TRIM(N726),"00000")="89135", TEXT(TRIM(N726),"00000")="89144", TEXT(TRIM(N726),"00000")="89145", TEXT(TRIM(N726),"00000")="89147"), "West Valley",
  TRUE, "Other"
)</f>
        <v>North LV</v>
      </c>
      <c r="P726" t="s">
        <v>3298</v>
      </c>
      <c r="Q726" t="str">
        <f t="shared" si="46"/>
        <v>Outdoors/Public</v>
      </c>
      <c r="R726" t="s">
        <v>4341</v>
      </c>
      <c r="S726" t="s">
        <v>5100</v>
      </c>
      <c r="T726" t="str" cm="1">
        <f t="array" ref="T726">_xlfn.IFS(
  TEXT(TRIM(S726),"00000")="NULL", "Missing/Unknown",
  OR(TEXT(TRIM(S726),"00000")="89101", TEXT(TRIM(S726),"00000")="89104", TEXT(TRIM(S726),"00000")="89106", TEXT(TRIM(S726),"00000")="89102", TEXT(TRIM(S726),"00000")="89107", TEXT(TRIM(S726),"00000")="89108"), "Urban Core",
  OR(TEXT(TRIM(S726),"00000")="89110", TEXT(TRIM(S726),"00000")="89115", TEXT(TRIM(S726),"00000")="89121", TEXT(TRIM(S726),"00000")="89122", TEXT(TRIM(S726),"00000")="89142", TEXT(TRIM(S726),"00000")="89156"), "East Valley",
  OR(TEXT(TRIM(S726),"00000")="89030", TEXT(TRIM(S726),"00000")="89031", TEXT(TRIM(S726),"00000")="89032", TEXT(TRIM(S726),"00000")="89086", TEXT(TRIM(S726),"00000")="89084", TEXT(TRIM(S726),"00000")="89081"), "North LV",
  OR(TEXT(TRIM(S726),"00000")="89109", TEXT(TRIM(S726),"00000")="89103", TEXT(TRIM(S726),"00000")="89119", TEXT(TRIM(S726),"00000")="89123", TEXT(TRIM(S726),"00000")="89169", TEXT(TRIM(S726),"00000")="89118"), "South/Strip",
  OR(TEXT(TRIM(S726),"00000")="89074", TEXT(TRIM(S726),"00000")="89014", TEXT(TRIM(S726),"00000")="89015", TEXT(TRIM(S726),"00000")="89011", TEXT(TRIM(S726),"00000")="89012"), "Suburban SE",
  OR(TEXT(TRIM(S726),"00000")="89117", TEXT(TRIM(S726),"00000")="89128", TEXT(TRIM(S726),"00000")="89135", TEXT(TRIM(S726),"00000")="89144", TEXT(TRIM(S726),"00000")="89145", TEXT(TRIM(S726),"00000")="89147"), "West Valley",
  TRUE, "Other"
)</f>
        <v>North LV</v>
      </c>
      <c r="U726" t="s">
        <v>4301</v>
      </c>
      <c r="V726" t="str">
        <f t="shared" si="47"/>
        <v>Medical Facility</v>
      </c>
    </row>
    <row r="727" spans="1:22">
      <c r="A727" t="s">
        <v>212</v>
      </c>
      <c r="B727" t="s">
        <v>213</v>
      </c>
      <c r="C727" s="1">
        <v>45117</v>
      </c>
      <c r="D727" s="4">
        <v>105.98</v>
      </c>
      <c r="E727">
        <v>53</v>
      </c>
      <c r="F727" t="str">
        <f t="shared" si="44"/>
        <v>50's</v>
      </c>
      <c r="G727" t="str" cm="1">
        <f t="array" ref="G727">_xlfn.IFS(
  F727="10's", "Child (5–12)",
  OR(F727="20's", F727="30's"), "Young Adult (20–39)",
  OR(F727="40's", F727="50's"), "Adult (40–59)",
  OR(F727="60's", F727="70's", F727="80's", F727="90's"), "Senior (60+)",
  TRUE, "Unknown"
)</f>
        <v>Adult (40–59)</v>
      </c>
      <c r="H727" t="s">
        <v>841</v>
      </c>
      <c r="I727" t="s">
        <v>4092</v>
      </c>
      <c r="J727" t="str">
        <f t="shared" si="45"/>
        <v>Environmental Heat</v>
      </c>
      <c r="K727" t="s">
        <v>4231</v>
      </c>
      <c r="L727" t="s">
        <v>2693</v>
      </c>
      <c r="M727" t="s">
        <v>4770</v>
      </c>
      <c r="N727" t="s">
        <v>5123</v>
      </c>
      <c r="O727" t="str" cm="1">
        <f t="array" ref="O727">_xlfn.IFS(
  TEXT(TRIM(N727),"00000")="NULL", "Missing/Unknown",
  OR(TEXT(TRIM(N727),"00000")="89101", TEXT(TRIM(N727),"00000")="89104", TEXT(TRIM(N727),"00000")="89106", TEXT(TRIM(N727),"00000")="89102", TEXT(TRIM(N727),"00000")="89107", TEXT(TRIM(N727),"00000")="89108"), "Urban Core",
  OR(TEXT(TRIM(N727),"00000")="89110", TEXT(TRIM(N727),"00000")="89115", TEXT(TRIM(N727),"00000")="89121", TEXT(TRIM(N727),"00000")="89122", TEXT(TRIM(N727),"00000")="89142", TEXT(TRIM(N727),"00000")="89156"), "East Valley",
  OR(TEXT(TRIM(N727),"00000")="89030", TEXT(TRIM(N727),"00000")="89031", TEXT(TRIM(N727),"00000")="89032", TEXT(TRIM(N727),"00000")="89086", TEXT(TRIM(N727),"00000")="89084", TEXT(TRIM(N727),"00000")="89081"), "North LV",
  OR(TEXT(TRIM(N727),"00000")="89109", TEXT(TRIM(N727),"00000")="89103", TEXT(TRIM(N727),"00000")="89119", TEXT(TRIM(N727),"00000")="89123", TEXT(TRIM(N727),"00000")="89169", TEXT(TRIM(N727),"00000")="89118"), "South/Strip",
  OR(TEXT(TRIM(N727),"00000")="89074", TEXT(TRIM(N727),"00000")="89014", TEXT(TRIM(N727),"00000")="89015", TEXT(TRIM(N727),"00000")="89011", TEXT(TRIM(N727),"00000")="89012"), "Suburban SE",
  OR(TEXT(TRIM(N727),"00000")="89117", TEXT(TRIM(N727),"00000")="89128", TEXT(TRIM(N727),"00000")="89135", TEXT(TRIM(N727),"00000")="89144", TEXT(TRIM(N727),"00000")="89145", TEXT(TRIM(N727),"00000")="89147"), "West Valley",
  TRUE, "Other"
)</f>
        <v>South/Strip</v>
      </c>
      <c r="P727" t="s">
        <v>3298</v>
      </c>
      <c r="Q727" t="str">
        <f t="shared" si="46"/>
        <v>Outdoors/Public</v>
      </c>
      <c r="R727" t="s">
        <v>4770</v>
      </c>
      <c r="S727" t="s">
        <v>5123</v>
      </c>
      <c r="T727" t="str" cm="1">
        <f t="array" ref="T727">_xlfn.IFS(
  TEXT(TRIM(S727),"00000")="NULL", "Missing/Unknown",
  OR(TEXT(TRIM(S727),"00000")="89101", TEXT(TRIM(S727),"00000")="89104", TEXT(TRIM(S727),"00000")="89106", TEXT(TRIM(S727),"00000")="89102", TEXT(TRIM(S727),"00000")="89107", TEXT(TRIM(S727),"00000")="89108"), "Urban Core",
  OR(TEXT(TRIM(S727),"00000")="89110", TEXT(TRIM(S727),"00000")="89115", TEXT(TRIM(S727),"00000")="89121", TEXT(TRIM(S727),"00000")="89122", TEXT(TRIM(S727),"00000")="89142", TEXT(TRIM(S727),"00000")="89156"), "East Valley",
  OR(TEXT(TRIM(S727),"00000")="89030", TEXT(TRIM(S727),"00000")="89031", TEXT(TRIM(S727),"00000")="89032", TEXT(TRIM(S727),"00000")="89086", TEXT(TRIM(S727),"00000")="89084", TEXT(TRIM(S727),"00000")="89081"), "North LV",
  OR(TEXT(TRIM(S727),"00000")="89109", TEXT(TRIM(S727),"00000")="89103", TEXT(TRIM(S727),"00000")="89119", TEXT(TRIM(S727),"00000")="89123", TEXT(TRIM(S727),"00000")="89169", TEXT(TRIM(S727),"00000")="89118"), "South/Strip",
  OR(TEXT(TRIM(S727),"00000")="89074", TEXT(TRIM(S727),"00000")="89014", TEXT(TRIM(S727),"00000")="89015", TEXT(TRIM(S727),"00000")="89011", TEXT(TRIM(S727),"00000")="89012"), "Suburban SE",
  OR(TEXT(TRIM(S727),"00000")="89117", TEXT(TRIM(S727),"00000")="89128", TEXT(TRIM(S727),"00000")="89135", TEXT(TRIM(S727),"00000")="89144", TEXT(TRIM(S727),"00000")="89145", TEXT(TRIM(S727),"00000")="89147"), "West Valley",
  TRUE, "Other"
)</f>
        <v>South/Strip</v>
      </c>
      <c r="U727" t="s">
        <v>3298</v>
      </c>
      <c r="V727" t="str">
        <f t="shared" si="47"/>
        <v>Outdoors/Public</v>
      </c>
    </row>
    <row r="728" spans="1:22">
      <c r="A728" t="s">
        <v>221</v>
      </c>
      <c r="B728" t="s">
        <v>222</v>
      </c>
      <c r="C728" s="1">
        <v>45117</v>
      </c>
      <c r="D728" s="4">
        <v>105.98</v>
      </c>
      <c r="E728">
        <v>32</v>
      </c>
      <c r="F728" t="str">
        <f t="shared" si="44"/>
        <v>30's</v>
      </c>
      <c r="G728" t="str" cm="1">
        <f t="array" ref="G728">_xlfn.IFS(
  F728="10's", "Child (5–12)",
  OR(F728="20's", F728="30's"), "Young Adult (20–39)",
  OR(F728="40's", F728="50's"), "Adult (40–59)",
  OR(F728="60's", F728="70's", F728="80's", F728="90's"), "Senior (60+)",
  TRUE, "Unknown"
)</f>
        <v>Young Adult (20–39)</v>
      </c>
      <c r="H728" t="s">
        <v>841</v>
      </c>
      <c r="I728" t="s">
        <v>54</v>
      </c>
      <c r="J728" t="str">
        <f t="shared" si="45"/>
        <v>Environmental Heat</v>
      </c>
      <c r="K728" t="s">
        <v>4016</v>
      </c>
      <c r="L728" t="s">
        <v>250</v>
      </c>
      <c r="M728" t="s">
        <v>4772</v>
      </c>
      <c r="N728" t="s">
        <v>5107</v>
      </c>
      <c r="O728" t="str" cm="1">
        <f t="array" ref="O728">_xlfn.IFS(
  TEXT(TRIM(N728),"00000")="NULL", "Missing/Unknown",
  OR(TEXT(TRIM(N728),"00000")="89101", TEXT(TRIM(N728),"00000")="89104", TEXT(TRIM(N728),"00000")="89106", TEXT(TRIM(N728),"00000")="89102", TEXT(TRIM(N728),"00000")="89107", TEXT(TRIM(N728),"00000")="89108"), "Urban Core",
  OR(TEXT(TRIM(N728),"00000")="89110", TEXT(TRIM(N728),"00000")="89115", TEXT(TRIM(N728),"00000")="89121", TEXT(TRIM(N728),"00000")="89122", TEXT(TRIM(N728),"00000")="89142", TEXT(TRIM(N728),"00000")="89156"), "East Valley",
  OR(TEXT(TRIM(N728),"00000")="89030", TEXT(TRIM(N728),"00000")="89031", TEXT(TRIM(N728),"00000")="89032", TEXT(TRIM(N728),"00000")="89086", TEXT(TRIM(N728),"00000")="89084", TEXT(TRIM(N728),"00000")="89081"), "North LV",
  OR(TEXT(TRIM(N728),"00000")="89109", TEXT(TRIM(N728),"00000")="89103", TEXT(TRIM(N728),"00000")="89119", TEXT(TRIM(N728),"00000")="89123", TEXT(TRIM(N728),"00000")="89169", TEXT(TRIM(N728),"00000")="89118"), "South/Strip",
  OR(TEXT(TRIM(N728),"00000")="89074", TEXT(TRIM(N728),"00000")="89014", TEXT(TRIM(N728),"00000")="89015", TEXT(TRIM(N728),"00000")="89011", TEXT(TRIM(N728),"00000")="89012"), "Suburban SE",
  OR(TEXT(TRIM(N728),"00000")="89117", TEXT(TRIM(N728),"00000")="89128", TEXT(TRIM(N728),"00000")="89135", TEXT(TRIM(N728),"00000")="89144", TEXT(TRIM(N728),"00000")="89145", TEXT(TRIM(N728),"00000")="89147"), "West Valley",
  TRUE, "Other"
)</f>
        <v>South/Strip</v>
      </c>
      <c r="P728" t="s">
        <v>3298</v>
      </c>
      <c r="Q728" t="str">
        <f t="shared" si="46"/>
        <v>Outdoors/Public</v>
      </c>
      <c r="R728" t="s">
        <v>4772</v>
      </c>
      <c r="S728" t="s">
        <v>5107</v>
      </c>
      <c r="T728" t="str" cm="1">
        <f t="array" ref="T728">_xlfn.IFS(
  TEXT(TRIM(S728),"00000")="NULL", "Missing/Unknown",
  OR(TEXT(TRIM(S728),"00000")="89101", TEXT(TRIM(S728),"00000")="89104", TEXT(TRIM(S728),"00000")="89106", TEXT(TRIM(S728),"00000")="89102", TEXT(TRIM(S728),"00000")="89107", TEXT(TRIM(S728),"00000")="89108"), "Urban Core",
  OR(TEXT(TRIM(S728),"00000")="89110", TEXT(TRIM(S728),"00000")="89115", TEXT(TRIM(S728),"00000")="89121", TEXT(TRIM(S728),"00000")="89122", TEXT(TRIM(S728),"00000")="89142", TEXT(TRIM(S728),"00000")="89156"), "East Valley",
  OR(TEXT(TRIM(S728),"00000")="89030", TEXT(TRIM(S728),"00000")="89031", TEXT(TRIM(S728),"00000")="89032", TEXT(TRIM(S728),"00000")="89086", TEXT(TRIM(S728),"00000")="89084", TEXT(TRIM(S728),"00000")="89081"), "North LV",
  OR(TEXT(TRIM(S728),"00000")="89109", TEXT(TRIM(S728),"00000")="89103", TEXT(TRIM(S728),"00000")="89119", TEXT(TRIM(S728),"00000")="89123", TEXT(TRIM(S728),"00000")="89169", TEXT(TRIM(S728),"00000")="89118"), "South/Strip",
  OR(TEXT(TRIM(S728),"00000")="89074", TEXT(TRIM(S728),"00000")="89014", TEXT(TRIM(S728),"00000")="89015", TEXT(TRIM(S728),"00000")="89011", TEXT(TRIM(S728),"00000")="89012"), "Suburban SE",
  OR(TEXT(TRIM(S728),"00000")="89117", TEXT(TRIM(S728),"00000")="89128", TEXT(TRIM(S728),"00000")="89135", TEXT(TRIM(S728),"00000")="89144", TEXT(TRIM(S728),"00000")="89145", TEXT(TRIM(S728),"00000")="89147"), "West Valley",
  TRUE, "Other"
)</f>
        <v>South/Strip</v>
      </c>
      <c r="U728" t="s">
        <v>3298</v>
      </c>
      <c r="V728" t="str">
        <f t="shared" si="47"/>
        <v>Outdoors/Public</v>
      </c>
    </row>
    <row r="729" spans="1:22">
      <c r="A729" t="s">
        <v>197</v>
      </c>
      <c r="B729" t="s">
        <v>198</v>
      </c>
      <c r="C729" s="1">
        <v>45116</v>
      </c>
      <c r="D729" s="4">
        <v>105.98</v>
      </c>
      <c r="E729">
        <v>60</v>
      </c>
      <c r="F729" t="str">
        <f t="shared" si="44"/>
        <v>60's</v>
      </c>
      <c r="G729" t="str" cm="1">
        <f t="array" ref="G729">_xlfn.IFS(
  F729="10's", "Child (5–12)",
  OR(F729="20's", F729="30's"), "Young Adult (20–39)",
  OR(F729="40's", F729="50's"), "Adult (40–59)",
  OR(F729="60's", F729="70's", F729="80's", F729="90's"), "Senior (60+)",
  TRUE, "Unknown"
)</f>
        <v>Senior (60+)</v>
      </c>
      <c r="H729" t="s">
        <v>841</v>
      </c>
      <c r="I729" t="s">
        <v>54</v>
      </c>
      <c r="J729" t="str">
        <f t="shared" si="45"/>
        <v>Environmental Heat</v>
      </c>
      <c r="K729" t="s">
        <v>199</v>
      </c>
      <c r="L729" t="s">
        <v>1071</v>
      </c>
      <c r="M729" t="s">
        <v>4641</v>
      </c>
      <c r="N729" t="s">
        <v>5100</v>
      </c>
      <c r="O729" t="str" cm="1">
        <f t="array" ref="O729">_xlfn.IFS(
  TEXT(TRIM(N729),"00000")="NULL", "Missing/Unknown",
  OR(TEXT(TRIM(N729),"00000")="89101", TEXT(TRIM(N729),"00000")="89104", TEXT(TRIM(N729),"00000")="89106", TEXT(TRIM(N729),"00000")="89102", TEXT(TRIM(N729),"00000")="89107", TEXT(TRIM(N729),"00000")="89108"), "Urban Core",
  OR(TEXT(TRIM(N729),"00000")="89110", TEXT(TRIM(N729),"00000")="89115", TEXT(TRIM(N729),"00000")="89121", TEXT(TRIM(N729),"00000")="89122", TEXT(TRIM(N729),"00000")="89142", TEXT(TRIM(N729),"00000")="89156"), "East Valley",
  OR(TEXT(TRIM(N729),"00000")="89030", TEXT(TRIM(N729),"00000")="89031", TEXT(TRIM(N729),"00000")="89032", TEXT(TRIM(N729),"00000")="89086", TEXT(TRIM(N729),"00000")="89084", TEXT(TRIM(N729),"00000")="89081"), "North LV",
  OR(TEXT(TRIM(N729),"00000")="89109", TEXT(TRIM(N729),"00000")="89103", TEXT(TRIM(N729),"00000")="89119", TEXT(TRIM(N729),"00000")="89123", TEXT(TRIM(N729),"00000")="89169", TEXT(TRIM(N729),"00000")="89118"), "South/Strip",
  OR(TEXT(TRIM(N729),"00000")="89074", TEXT(TRIM(N729),"00000")="89014", TEXT(TRIM(N729),"00000")="89015", TEXT(TRIM(N729),"00000")="89011", TEXT(TRIM(N729),"00000")="89012"), "Suburban SE",
  OR(TEXT(TRIM(N729),"00000")="89117", TEXT(TRIM(N729),"00000")="89128", TEXT(TRIM(N729),"00000")="89135", TEXT(TRIM(N729),"00000")="89144", TEXT(TRIM(N729),"00000")="89145", TEXT(TRIM(N729),"00000")="89147"), "West Valley",
  TRUE, "Other"
)</f>
        <v>North LV</v>
      </c>
      <c r="P729" t="s">
        <v>3298</v>
      </c>
      <c r="Q729" t="str">
        <f t="shared" si="46"/>
        <v>Outdoors/Public</v>
      </c>
      <c r="R729" t="s">
        <v>4641</v>
      </c>
      <c r="S729" t="s">
        <v>5100</v>
      </c>
      <c r="T729" t="str" cm="1">
        <f t="array" ref="T729">_xlfn.IFS(
  TEXT(TRIM(S729),"00000")="NULL", "Missing/Unknown",
  OR(TEXT(TRIM(S729),"00000")="89101", TEXT(TRIM(S729),"00000")="89104", TEXT(TRIM(S729),"00000")="89106", TEXT(TRIM(S729),"00000")="89102", TEXT(TRIM(S729),"00000")="89107", TEXT(TRIM(S729),"00000")="89108"), "Urban Core",
  OR(TEXT(TRIM(S729),"00000")="89110", TEXT(TRIM(S729),"00000")="89115", TEXT(TRIM(S729),"00000")="89121", TEXT(TRIM(S729),"00000")="89122", TEXT(TRIM(S729),"00000")="89142", TEXT(TRIM(S729),"00000")="89156"), "East Valley",
  OR(TEXT(TRIM(S729),"00000")="89030", TEXT(TRIM(S729),"00000")="89031", TEXT(TRIM(S729),"00000")="89032", TEXT(TRIM(S729),"00000")="89086", TEXT(TRIM(S729),"00000")="89084", TEXT(TRIM(S729),"00000")="89081"), "North LV",
  OR(TEXT(TRIM(S729),"00000")="89109", TEXT(TRIM(S729),"00000")="89103", TEXT(TRIM(S729),"00000")="89119", TEXT(TRIM(S729),"00000")="89123", TEXT(TRIM(S729),"00000")="89169", TEXT(TRIM(S729),"00000")="89118"), "South/Strip",
  OR(TEXT(TRIM(S729),"00000")="89074", TEXT(TRIM(S729),"00000")="89014", TEXT(TRIM(S729),"00000")="89015", TEXT(TRIM(S729),"00000")="89011", TEXT(TRIM(S729),"00000")="89012"), "Suburban SE",
  OR(TEXT(TRIM(S729),"00000")="89117", TEXT(TRIM(S729),"00000")="89128", TEXT(TRIM(S729),"00000")="89135", TEXT(TRIM(S729),"00000")="89144", TEXT(TRIM(S729),"00000")="89145", TEXT(TRIM(S729),"00000")="89147"), "West Valley",
  TRUE, "Other"
)</f>
        <v>North LV</v>
      </c>
      <c r="U729" t="s">
        <v>3298</v>
      </c>
      <c r="V729" t="str">
        <f t="shared" si="47"/>
        <v>Outdoors/Public</v>
      </c>
    </row>
    <row r="730" spans="1:22">
      <c r="A730" t="s">
        <v>209</v>
      </c>
      <c r="B730" t="s">
        <v>210</v>
      </c>
      <c r="C730" s="1">
        <v>45116</v>
      </c>
      <c r="D730" s="4">
        <v>105.98</v>
      </c>
      <c r="E730">
        <v>38</v>
      </c>
      <c r="F730" t="str">
        <f t="shared" si="44"/>
        <v>30's</v>
      </c>
      <c r="G730" t="str" cm="1">
        <f t="array" ref="G730">_xlfn.IFS(
  F730="10's", "Child (5–12)",
  OR(F730="20's", F730="30's"), "Young Adult (20–39)",
  OR(F730="40's", F730="50's"), "Adult (40–59)",
  OR(F730="60's", F730="70's", F730="80's", F730="90's"), "Senior (60+)",
  TRUE, "Unknown"
)</f>
        <v>Young Adult (20–39)</v>
      </c>
      <c r="H730" t="s">
        <v>27</v>
      </c>
      <c r="I730" t="s">
        <v>54</v>
      </c>
      <c r="J730" t="str">
        <f t="shared" si="45"/>
        <v>Environmental Heat</v>
      </c>
      <c r="K730" t="s">
        <v>63</v>
      </c>
      <c r="L730" t="s">
        <v>1071</v>
      </c>
      <c r="M730" t="s">
        <v>4771</v>
      </c>
      <c r="N730" t="s">
        <v>5125</v>
      </c>
      <c r="O730" t="str" cm="1">
        <f t="array" ref="O730">_xlfn.IFS(
  TEXT(TRIM(N730),"00000")="NULL", "Missing/Unknown",
  OR(TEXT(TRIM(N730),"00000")="89101", TEXT(TRIM(N730),"00000")="89104", TEXT(TRIM(N730),"00000")="89106", TEXT(TRIM(N730),"00000")="89102", TEXT(TRIM(N730),"00000")="89107", TEXT(TRIM(N730),"00000")="89108"), "Urban Core",
  OR(TEXT(TRIM(N730),"00000")="89110", TEXT(TRIM(N730),"00000")="89115", TEXT(TRIM(N730),"00000")="89121", TEXT(TRIM(N730),"00000")="89122", TEXT(TRIM(N730),"00000")="89142", TEXT(TRIM(N730),"00000")="89156"), "East Valley",
  OR(TEXT(TRIM(N730),"00000")="89030", TEXT(TRIM(N730),"00000")="89031", TEXT(TRIM(N730),"00000")="89032", TEXT(TRIM(N730),"00000")="89086", TEXT(TRIM(N730),"00000")="89084", TEXT(TRIM(N730),"00000")="89081"), "North LV",
  OR(TEXT(TRIM(N730),"00000")="89109", TEXT(TRIM(N730),"00000")="89103", TEXT(TRIM(N730),"00000")="89119", TEXT(TRIM(N730),"00000")="89123", TEXT(TRIM(N730),"00000")="89169", TEXT(TRIM(N730),"00000")="89118"), "South/Strip",
  OR(TEXT(TRIM(N730),"00000")="89074", TEXT(TRIM(N730),"00000")="89014", TEXT(TRIM(N730),"00000")="89015", TEXT(TRIM(N730),"00000")="89011", TEXT(TRIM(N730),"00000")="89012"), "Suburban SE",
  OR(TEXT(TRIM(N730),"00000")="89117", TEXT(TRIM(N730),"00000")="89128", TEXT(TRIM(N730),"00000")="89135", TEXT(TRIM(N730),"00000")="89144", TEXT(TRIM(N730),"00000")="89145", TEXT(TRIM(N730),"00000")="89147"), "West Valley",
  TRUE, "Other"
)</f>
        <v>South/Strip</v>
      </c>
      <c r="P730" t="s">
        <v>3298</v>
      </c>
      <c r="Q730" t="str">
        <f t="shared" si="46"/>
        <v>Outdoors/Public</v>
      </c>
      <c r="R730" t="s">
        <v>4771</v>
      </c>
      <c r="S730" t="s">
        <v>5125</v>
      </c>
      <c r="T730" t="str" cm="1">
        <f t="array" ref="T730">_xlfn.IFS(
  TEXT(TRIM(S730),"00000")="NULL", "Missing/Unknown",
  OR(TEXT(TRIM(S730),"00000")="89101", TEXT(TRIM(S730),"00000")="89104", TEXT(TRIM(S730),"00000")="89106", TEXT(TRIM(S730),"00000")="89102", TEXT(TRIM(S730),"00000")="89107", TEXT(TRIM(S730),"00000")="89108"), "Urban Core",
  OR(TEXT(TRIM(S730),"00000")="89110", TEXT(TRIM(S730),"00000")="89115", TEXT(TRIM(S730),"00000")="89121", TEXT(TRIM(S730),"00000")="89122", TEXT(TRIM(S730),"00000")="89142", TEXT(TRIM(S730),"00000")="89156"), "East Valley",
  OR(TEXT(TRIM(S730),"00000")="89030", TEXT(TRIM(S730),"00000")="89031", TEXT(TRIM(S730),"00000")="89032", TEXT(TRIM(S730),"00000")="89086", TEXT(TRIM(S730),"00000")="89084", TEXT(TRIM(S730),"00000")="89081"), "North LV",
  OR(TEXT(TRIM(S730),"00000")="89109", TEXT(TRIM(S730),"00000")="89103", TEXT(TRIM(S730),"00000")="89119", TEXT(TRIM(S730),"00000")="89123", TEXT(TRIM(S730),"00000")="89169", TEXT(TRIM(S730),"00000")="89118"), "South/Strip",
  OR(TEXT(TRIM(S730),"00000")="89074", TEXT(TRIM(S730),"00000")="89014", TEXT(TRIM(S730),"00000")="89015", TEXT(TRIM(S730),"00000")="89011", TEXT(TRIM(S730),"00000")="89012"), "Suburban SE",
  OR(TEXT(TRIM(S730),"00000")="89117", TEXT(TRIM(S730),"00000")="89128", TEXT(TRIM(S730),"00000")="89135", TEXT(TRIM(S730),"00000")="89144", TEXT(TRIM(S730),"00000")="89145", TEXT(TRIM(S730),"00000")="89147"), "West Valley",
  TRUE, "Other"
)</f>
        <v>South/Strip</v>
      </c>
      <c r="U730" t="s">
        <v>3298</v>
      </c>
      <c r="V730" t="str">
        <f t="shared" si="47"/>
        <v>Outdoors/Public</v>
      </c>
    </row>
    <row r="731" spans="1:22">
      <c r="A731" t="s">
        <v>201</v>
      </c>
      <c r="B731" t="s">
        <v>202</v>
      </c>
      <c r="C731" s="1">
        <v>45116</v>
      </c>
      <c r="D731" s="4">
        <v>105.98</v>
      </c>
      <c r="E731">
        <v>44</v>
      </c>
      <c r="F731" t="str">
        <f t="shared" si="44"/>
        <v>40's</v>
      </c>
      <c r="G731" t="str" cm="1">
        <f t="array" ref="G731">_xlfn.IFS(
  F731="10's", "Child (5–12)",
  OR(F731="20's", F731="30's"), "Young Adult (20–39)",
  OR(F731="40's", F731="50's"), "Adult (40–59)",
  OR(F731="60's", F731="70's", F731="80's", F731="90's"), "Senior (60+)",
  TRUE, "Unknown"
)</f>
        <v>Adult (40–59)</v>
      </c>
      <c r="H731" t="s">
        <v>27</v>
      </c>
      <c r="I731" t="s">
        <v>54</v>
      </c>
      <c r="J731" t="str">
        <f t="shared" si="45"/>
        <v>Environmental Heat</v>
      </c>
      <c r="K731" t="s">
        <v>98</v>
      </c>
      <c r="L731" t="s">
        <v>250</v>
      </c>
      <c r="M731" t="s">
        <v>4773</v>
      </c>
      <c r="N731" t="s">
        <v>5142</v>
      </c>
      <c r="O731" t="str" cm="1">
        <f t="array" ref="O731">_xlfn.IFS(
  TEXT(TRIM(N731),"00000")="NULL", "Missing/Unknown",
  OR(TEXT(TRIM(N731),"00000")="89101", TEXT(TRIM(N731),"00000")="89104", TEXT(TRIM(N731),"00000")="89106", TEXT(TRIM(N731),"00000")="89102", TEXT(TRIM(N731),"00000")="89107", TEXT(TRIM(N731),"00000")="89108"), "Urban Core",
  OR(TEXT(TRIM(N731),"00000")="89110", TEXT(TRIM(N731),"00000")="89115", TEXT(TRIM(N731),"00000")="89121", TEXT(TRIM(N731),"00000")="89122", TEXT(TRIM(N731),"00000")="89142", TEXT(TRIM(N731),"00000")="89156"), "East Valley",
  OR(TEXT(TRIM(N731),"00000")="89030", TEXT(TRIM(N731),"00000")="89031", TEXT(TRIM(N731),"00000")="89032", TEXT(TRIM(N731),"00000")="89086", TEXT(TRIM(N731),"00000")="89084", TEXT(TRIM(N731),"00000")="89081"), "North LV",
  OR(TEXT(TRIM(N731),"00000")="89109", TEXT(TRIM(N731),"00000")="89103", TEXT(TRIM(N731),"00000")="89119", TEXT(TRIM(N731),"00000")="89123", TEXT(TRIM(N731),"00000")="89169", TEXT(TRIM(N731),"00000")="89118"), "South/Strip",
  OR(TEXT(TRIM(N731),"00000")="89074", TEXT(TRIM(N731),"00000")="89014", TEXT(TRIM(N731),"00000")="89015", TEXT(TRIM(N731),"00000")="89011", TEXT(TRIM(N731),"00000")="89012"), "Suburban SE",
  OR(TEXT(TRIM(N731),"00000")="89117", TEXT(TRIM(N731),"00000")="89128", TEXT(TRIM(N731),"00000")="89135", TEXT(TRIM(N731),"00000")="89144", TEXT(TRIM(N731),"00000")="89145", TEXT(TRIM(N731),"00000")="89147"), "West Valley",
  TRUE, "Other"
)</f>
        <v>Suburban SE</v>
      </c>
      <c r="P731" t="s">
        <v>3298</v>
      </c>
      <c r="Q731" t="str">
        <f t="shared" si="46"/>
        <v>Outdoors/Public</v>
      </c>
      <c r="R731" t="s">
        <v>4773</v>
      </c>
      <c r="S731" t="s">
        <v>5142</v>
      </c>
      <c r="T731" t="str" cm="1">
        <f t="array" ref="T731">_xlfn.IFS(
  TEXT(TRIM(S731),"00000")="NULL", "Missing/Unknown",
  OR(TEXT(TRIM(S731),"00000")="89101", TEXT(TRIM(S731),"00000")="89104", TEXT(TRIM(S731),"00000")="89106", TEXT(TRIM(S731),"00000")="89102", TEXT(TRIM(S731),"00000")="89107", TEXT(TRIM(S731),"00000")="89108"), "Urban Core",
  OR(TEXT(TRIM(S731),"00000")="89110", TEXT(TRIM(S731),"00000")="89115", TEXT(TRIM(S731),"00000")="89121", TEXT(TRIM(S731),"00000")="89122", TEXT(TRIM(S731),"00000")="89142", TEXT(TRIM(S731),"00000")="89156"), "East Valley",
  OR(TEXT(TRIM(S731),"00000")="89030", TEXT(TRIM(S731),"00000")="89031", TEXT(TRIM(S731),"00000")="89032", TEXT(TRIM(S731),"00000")="89086", TEXT(TRIM(S731),"00000")="89084", TEXT(TRIM(S731),"00000")="89081"), "North LV",
  OR(TEXT(TRIM(S731),"00000")="89109", TEXT(TRIM(S731),"00000")="89103", TEXT(TRIM(S731),"00000")="89119", TEXT(TRIM(S731),"00000")="89123", TEXT(TRIM(S731),"00000")="89169", TEXT(TRIM(S731),"00000")="89118"), "South/Strip",
  OR(TEXT(TRIM(S731),"00000")="89074", TEXT(TRIM(S731),"00000")="89014", TEXT(TRIM(S731),"00000")="89015", TEXT(TRIM(S731),"00000")="89011", TEXT(TRIM(S731),"00000")="89012"), "Suburban SE",
  OR(TEXT(TRIM(S731),"00000")="89117", TEXT(TRIM(S731),"00000")="89128", TEXT(TRIM(S731),"00000")="89135", TEXT(TRIM(S731),"00000")="89144", TEXT(TRIM(S731),"00000")="89145", TEXT(TRIM(S731),"00000")="89147"), "West Valley",
  TRUE, "Other"
)</f>
        <v>Suburban SE</v>
      </c>
      <c r="U731" t="s">
        <v>3298</v>
      </c>
      <c r="V731" t="str">
        <f t="shared" si="47"/>
        <v>Outdoors/Public</v>
      </c>
    </row>
    <row r="732" spans="1:22">
      <c r="A732" t="s">
        <v>204</v>
      </c>
      <c r="B732" t="s">
        <v>205</v>
      </c>
      <c r="C732" s="1">
        <v>45116</v>
      </c>
      <c r="D732" s="4">
        <v>105.98</v>
      </c>
      <c r="E732">
        <v>52</v>
      </c>
      <c r="F732" t="str">
        <f t="shared" si="44"/>
        <v>50's</v>
      </c>
      <c r="G732" t="str" cm="1">
        <f t="array" ref="G732">_xlfn.IFS(
  F732="10's", "Child (5–12)",
  OR(F732="20's", F732="30's"), "Young Adult (20–39)",
  OR(F732="40's", F732="50's"), "Adult (40–59)",
  OR(F732="60's", F732="70's", F732="80's", F732="90's"), "Senior (60+)",
  TRUE, "Unknown"
)</f>
        <v>Adult (40–59)</v>
      </c>
      <c r="H732" t="s">
        <v>778</v>
      </c>
      <c r="I732" t="s">
        <v>54</v>
      </c>
      <c r="J732" t="str">
        <f t="shared" si="45"/>
        <v>Environmental Heat</v>
      </c>
      <c r="K732" t="s">
        <v>4232</v>
      </c>
      <c r="L732" t="s">
        <v>250</v>
      </c>
      <c r="M732" t="s">
        <v>4337</v>
      </c>
      <c r="N732" t="s">
        <v>5097</v>
      </c>
      <c r="O732" t="str" cm="1">
        <f t="array" ref="O732">_xlfn.IFS(
  TEXT(TRIM(N732),"00000")="NULL", "Missing/Unknown",
  OR(TEXT(TRIM(N732),"00000")="89101", TEXT(TRIM(N732),"00000")="89104", TEXT(TRIM(N732),"00000")="89106", TEXT(TRIM(N732),"00000")="89102", TEXT(TRIM(N732),"00000")="89107", TEXT(TRIM(N732),"00000")="89108"), "Urban Core",
  OR(TEXT(TRIM(N732),"00000")="89110", TEXT(TRIM(N732),"00000")="89115", TEXT(TRIM(N732),"00000")="89121", TEXT(TRIM(N732),"00000")="89122", TEXT(TRIM(N732),"00000")="89142", TEXT(TRIM(N732),"00000")="89156"), "East Valley",
  OR(TEXT(TRIM(N732),"00000")="89030", TEXT(TRIM(N732),"00000")="89031", TEXT(TRIM(N732),"00000")="89032", TEXT(TRIM(N732),"00000")="89086", TEXT(TRIM(N732),"00000")="89084", TEXT(TRIM(N732),"00000")="89081"), "North LV",
  OR(TEXT(TRIM(N732),"00000")="89109", TEXT(TRIM(N732),"00000")="89103", TEXT(TRIM(N732),"00000")="89119", TEXT(TRIM(N732),"00000")="89123", TEXT(TRIM(N732),"00000")="89169", TEXT(TRIM(N732),"00000")="89118"), "South/Strip",
  OR(TEXT(TRIM(N732),"00000")="89074", TEXT(TRIM(N732),"00000")="89014", TEXT(TRIM(N732),"00000")="89015", TEXT(TRIM(N732),"00000")="89011", TEXT(TRIM(N732),"00000")="89012"), "Suburban SE",
  OR(TEXT(TRIM(N732),"00000")="89117", TEXT(TRIM(N732),"00000")="89128", TEXT(TRIM(N732),"00000")="89135", TEXT(TRIM(N732),"00000")="89144", TEXT(TRIM(N732),"00000")="89145", TEXT(TRIM(N732),"00000")="89147"), "West Valley",
  TRUE, "Other"
)</f>
        <v>Urban Core</v>
      </c>
      <c r="P732" t="s">
        <v>208</v>
      </c>
      <c r="Q732" t="str">
        <f t="shared" si="46"/>
        <v>Outdoors/Public</v>
      </c>
      <c r="R732" t="s">
        <v>4337</v>
      </c>
      <c r="S732" t="s">
        <v>5097</v>
      </c>
      <c r="T732" t="str" cm="1">
        <f t="array" ref="T732">_xlfn.IFS(
  TEXT(TRIM(S732),"00000")="NULL", "Missing/Unknown",
  OR(TEXT(TRIM(S732),"00000")="89101", TEXT(TRIM(S732),"00000")="89104", TEXT(TRIM(S732),"00000")="89106", TEXT(TRIM(S732),"00000")="89102", TEXT(TRIM(S732),"00000")="89107", TEXT(TRIM(S732),"00000")="89108"), "Urban Core",
  OR(TEXT(TRIM(S732),"00000")="89110", TEXT(TRIM(S732),"00000")="89115", TEXT(TRIM(S732),"00000")="89121", TEXT(TRIM(S732),"00000")="89122", TEXT(TRIM(S732),"00000")="89142", TEXT(TRIM(S732),"00000")="89156"), "East Valley",
  OR(TEXT(TRIM(S732),"00000")="89030", TEXT(TRIM(S732),"00000")="89031", TEXT(TRIM(S732),"00000")="89032", TEXT(TRIM(S732),"00000")="89086", TEXT(TRIM(S732),"00000")="89084", TEXT(TRIM(S732),"00000")="89081"), "North LV",
  OR(TEXT(TRIM(S732),"00000")="89109", TEXT(TRIM(S732),"00000")="89103", TEXT(TRIM(S732),"00000")="89119", TEXT(TRIM(S732),"00000")="89123", TEXT(TRIM(S732),"00000")="89169", TEXT(TRIM(S732),"00000")="89118"), "South/Strip",
  OR(TEXT(TRIM(S732),"00000")="89074", TEXT(TRIM(S732),"00000")="89014", TEXT(TRIM(S732),"00000")="89015", TEXT(TRIM(S732),"00000")="89011", TEXT(TRIM(S732),"00000")="89012"), "Suburban SE",
  OR(TEXT(TRIM(S732),"00000")="89117", TEXT(TRIM(S732),"00000")="89128", TEXT(TRIM(S732),"00000")="89135", TEXT(TRIM(S732),"00000")="89144", TEXT(TRIM(S732),"00000")="89145", TEXT(TRIM(S732),"00000")="89147"), "West Valley",
  TRUE, "Other"
)</f>
        <v>Urban Core</v>
      </c>
      <c r="U732" t="s">
        <v>208</v>
      </c>
      <c r="V732" t="str">
        <f t="shared" si="47"/>
        <v>Outdoors/Public</v>
      </c>
    </row>
    <row r="733" spans="1:22">
      <c r="A733" t="s">
        <v>194</v>
      </c>
      <c r="B733" t="s">
        <v>195</v>
      </c>
      <c r="C733" s="1">
        <v>45115</v>
      </c>
      <c r="D733" s="4">
        <v>105.08</v>
      </c>
      <c r="E733">
        <v>42</v>
      </c>
      <c r="F733" t="str">
        <f t="shared" si="44"/>
        <v>40's</v>
      </c>
      <c r="G733" t="str" cm="1">
        <f t="array" ref="G733">_xlfn.IFS(
  F733="10's", "Child (5–12)",
  OR(F733="20's", F733="30's"), "Young Adult (20–39)",
  OR(F733="40's", F733="50's"), "Adult (40–59)",
  OR(F733="60's", F733="70's", F733="80's", F733="90's"), "Senior (60+)",
  TRUE, "Unknown"
)</f>
        <v>Adult (40–59)</v>
      </c>
      <c r="H733" t="s">
        <v>778</v>
      </c>
      <c r="I733" t="s">
        <v>54</v>
      </c>
      <c r="J733" t="str">
        <f t="shared" si="45"/>
        <v>Environmental Heat</v>
      </c>
      <c r="K733" t="s">
        <v>4233</v>
      </c>
      <c r="L733" t="s">
        <v>250</v>
      </c>
      <c r="N733" t="s">
        <v>5095</v>
      </c>
      <c r="O733" t="str" cm="1">
        <f t="array" ref="O733">_xlfn.IFS(
  TEXT(TRIM(N733),"00000")="NULL", "Missing/Unknown",
  OR(TEXT(TRIM(N733),"00000")="89101", TEXT(TRIM(N733),"00000")="89104", TEXT(TRIM(N733),"00000")="89106", TEXT(TRIM(N733),"00000")="89102", TEXT(TRIM(N733),"00000")="89107", TEXT(TRIM(N733),"00000")="89108"), "Urban Core",
  OR(TEXT(TRIM(N733),"00000")="89110", TEXT(TRIM(N733),"00000")="89115", TEXT(TRIM(N733),"00000")="89121", TEXT(TRIM(N733),"00000")="89122", TEXT(TRIM(N733),"00000")="89142", TEXT(TRIM(N733),"00000")="89156"), "East Valley",
  OR(TEXT(TRIM(N733),"00000")="89030", TEXT(TRIM(N733),"00000")="89031", TEXT(TRIM(N733),"00000")="89032", TEXT(TRIM(N733),"00000")="89086", TEXT(TRIM(N733),"00000")="89084", TEXT(TRIM(N733),"00000")="89081"), "North LV",
  OR(TEXT(TRIM(N733),"00000")="89109", TEXT(TRIM(N733),"00000")="89103", TEXT(TRIM(N733),"00000")="89119", TEXT(TRIM(N733),"00000")="89123", TEXT(TRIM(N733),"00000")="89169", TEXT(TRIM(N733),"00000")="89118"), "South/Strip",
  OR(TEXT(TRIM(N733),"00000")="89074", TEXT(TRIM(N733),"00000")="89014", TEXT(TRIM(N733),"00000")="89015", TEXT(TRIM(N733),"00000")="89011", TEXT(TRIM(N733),"00000")="89012"), "Suburban SE",
  OR(TEXT(TRIM(N733),"00000")="89117", TEXT(TRIM(N733),"00000")="89128", TEXT(TRIM(N733),"00000")="89135", TEXT(TRIM(N733),"00000")="89144", TEXT(TRIM(N733),"00000")="89145", TEXT(TRIM(N733),"00000")="89147"), "West Valley",
  TRUE, "Other"
)</f>
        <v>Missing/Unknown</v>
      </c>
      <c r="P733" t="s">
        <v>3298</v>
      </c>
      <c r="Q733" t="str">
        <f t="shared" si="46"/>
        <v>Outdoors/Public</v>
      </c>
      <c r="S733" t="s">
        <v>5095</v>
      </c>
      <c r="T733" t="str" cm="1">
        <f t="array" ref="T733">_xlfn.IFS(
  TEXT(TRIM(S733),"00000")="NULL", "Missing/Unknown",
  OR(TEXT(TRIM(S733),"00000")="89101", TEXT(TRIM(S733),"00000")="89104", TEXT(TRIM(S733),"00000")="89106", TEXT(TRIM(S733),"00000")="89102", TEXT(TRIM(S733),"00000")="89107", TEXT(TRIM(S733),"00000")="89108"), "Urban Core",
  OR(TEXT(TRIM(S733),"00000")="89110", TEXT(TRIM(S733),"00000")="89115", TEXT(TRIM(S733),"00000")="89121", TEXT(TRIM(S733),"00000")="89122", TEXT(TRIM(S733),"00000")="89142", TEXT(TRIM(S733),"00000")="89156"), "East Valley",
  OR(TEXT(TRIM(S733),"00000")="89030", TEXT(TRIM(S733),"00000")="89031", TEXT(TRIM(S733),"00000")="89032", TEXT(TRIM(S733),"00000")="89086", TEXT(TRIM(S733),"00000")="89084", TEXT(TRIM(S733),"00000")="89081"), "North LV",
  OR(TEXT(TRIM(S733),"00000")="89109", TEXT(TRIM(S733),"00000")="89103", TEXT(TRIM(S733),"00000")="89119", TEXT(TRIM(S733),"00000")="89123", TEXT(TRIM(S733),"00000")="89169", TEXT(TRIM(S733),"00000")="89118"), "South/Strip",
  OR(TEXT(TRIM(S733),"00000")="89074", TEXT(TRIM(S733),"00000")="89014", TEXT(TRIM(S733),"00000")="89015", TEXT(TRIM(S733),"00000")="89011", TEXT(TRIM(S733),"00000")="89012"), "Suburban SE",
  OR(TEXT(TRIM(S733),"00000")="89117", TEXT(TRIM(S733),"00000")="89128", TEXT(TRIM(S733),"00000")="89135", TEXT(TRIM(S733),"00000")="89144", TEXT(TRIM(S733),"00000")="89145", TEXT(TRIM(S733),"00000")="89147"), "West Valley",
  TRUE, "Other"
)</f>
        <v>Missing/Unknown</v>
      </c>
      <c r="U733" t="s">
        <v>3298</v>
      </c>
      <c r="V733" t="str">
        <f t="shared" si="47"/>
        <v>Outdoors/Public</v>
      </c>
    </row>
    <row r="734" spans="1:22">
      <c r="A734" t="s">
        <v>190</v>
      </c>
      <c r="B734" t="s">
        <v>191</v>
      </c>
      <c r="C734" s="1">
        <v>45114</v>
      </c>
      <c r="D734" s="4">
        <v>102.92</v>
      </c>
      <c r="E734">
        <v>49</v>
      </c>
      <c r="F734" t="str">
        <f t="shared" si="44"/>
        <v>40's</v>
      </c>
      <c r="G734" t="str" cm="1">
        <f t="array" ref="G734">_xlfn.IFS(
  F734="10's", "Child (5–12)",
  OR(F734="20's", F734="30's"), "Young Adult (20–39)",
  OR(F734="40's", F734="50's"), "Adult (40–59)",
  OR(F734="60's", F734="70's", F734="80's", F734="90's"), "Senior (60+)",
  TRUE, "Unknown"
)</f>
        <v>Adult (40–59)</v>
      </c>
      <c r="H734" t="s">
        <v>27</v>
      </c>
      <c r="I734" t="s">
        <v>4093</v>
      </c>
      <c r="J734" t="str">
        <f t="shared" si="45"/>
        <v>Ethanol-related</v>
      </c>
      <c r="K734" t="s">
        <v>54</v>
      </c>
      <c r="L734" t="s">
        <v>250</v>
      </c>
      <c r="M734" t="s">
        <v>4523</v>
      </c>
      <c r="N734" t="s">
        <v>5125</v>
      </c>
      <c r="O734" t="str" cm="1">
        <f t="array" ref="O734">_xlfn.IFS(
  TEXT(TRIM(N734),"00000")="NULL", "Missing/Unknown",
  OR(TEXT(TRIM(N734),"00000")="89101", TEXT(TRIM(N734),"00000")="89104", TEXT(TRIM(N734),"00000")="89106", TEXT(TRIM(N734),"00000")="89102", TEXT(TRIM(N734),"00000")="89107", TEXT(TRIM(N734),"00000")="89108"), "Urban Core",
  OR(TEXT(TRIM(N734),"00000")="89110", TEXT(TRIM(N734),"00000")="89115", TEXT(TRIM(N734),"00000")="89121", TEXT(TRIM(N734),"00000")="89122", TEXT(TRIM(N734),"00000")="89142", TEXT(TRIM(N734),"00000")="89156"), "East Valley",
  OR(TEXT(TRIM(N734),"00000")="89030", TEXT(TRIM(N734),"00000")="89031", TEXT(TRIM(N734),"00000")="89032", TEXT(TRIM(N734),"00000")="89086", TEXT(TRIM(N734),"00000")="89084", TEXT(TRIM(N734),"00000")="89081"), "North LV",
  OR(TEXT(TRIM(N734),"00000")="89109", TEXT(TRIM(N734),"00000")="89103", TEXT(TRIM(N734),"00000")="89119", TEXT(TRIM(N734),"00000")="89123", TEXT(TRIM(N734),"00000")="89169", TEXT(TRIM(N734),"00000")="89118"), "South/Strip",
  OR(TEXT(TRIM(N734),"00000")="89074", TEXT(TRIM(N734),"00000")="89014", TEXT(TRIM(N734),"00000")="89015", TEXT(TRIM(N734),"00000")="89011", TEXT(TRIM(N734),"00000")="89012"), "Suburban SE",
  OR(TEXT(TRIM(N734),"00000")="89117", TEXT(TRIM(N734),"00000")="89128", TEXT(TRIM(N734),"00000")="89135", TEXT(TRIM(N734),"00000")="89144", TEXT(TRIM(N734),"00000")="89145", TEXT(TRIM(N734),"00000")="89147"), "West Valley",
  TRUE, "Other"
)</f>
        <v>South/Strip</v>
      </c>
      <c r="P734" t="s">
        <v>38</v>
      </c>
      <c r="Q734" t="str">
        <f t="shared" si="46"/>
        <v>Home/Residence</v>
      </c>
      <c r="R734" t="s">
        <v>4713</v>
      </c>
      <c r="S734" t="s">
        <v>5125</v>
      </c>
      <c r="T734" t="str" cm="1">
        <f t="array" ref="T734">_xlfn.IFS(
  TEXT(TRIM(S734),"00000")="NULL", "Missing/Unknown",
  OR(TEXT(TRIM(S734),"00000")="89101", TEXT(TRIM(S734),"00000")="89104", TEXT(TRIM(S734),"00000")="89106", TEXT(TRIM(S734),"00000")="89102", TEXT(TRIM(S734),"00000")="89107", TEXT(TRIM(S734),"00000")="89108"), "Urban Core",
  OR(TEXT(TRIM(S734),"00000")="89110", TEXT(TRIM(S734),"00000")="89115", TEXT(TRIM(S734),"00000")="89121", TEXT(TRIM(S734),"00000")="89122", TEXT(TRIM(S734),"00000")="89142", TEXT(TRIM(S734),"00000")="89156"), "East Valley",
  OR(TEXT(TRIM(S734),"00000")="89030", TEXT(TRIM(S734),"00000")="89031", TEXT(TRIM(S734),"00000")="89032", TEXT(TRIM(S734),"00000")="89086", TEXT(TRIM(S734),"00000")="89084", TEXT(TRIM(S734),"00000")="89081"), "North LV",
  OR(TEXT(TRIM(S734),"00000")="89109", TEXT(TRIM(S734),"00000")="89103", TEXT(TRIM(S734),"00000")="89119", TEXT(TRIM(S734),"00000")="89123", TEXT(TRIM(S734),"00000")="89169", TEXT(TRIM(S734),"00000")="89118"), "South/Strip",
  OR(TEXT(TRIM(S734),"00000")="89074", TEXT(TRIM(S734),"00000")="89014", TEXT(TRIM(S734),"00000")="89015", TEXT(TRIM(S734),"00000")="89011", TEXT(TRIM(S734),"00000")="89012"), "Suburban SE",
  OR(TEXT(TRIM(S734),"00000")="89117", TEXT(TRIM(S734),"00000")="89128", TEXT(TRIM(S734),"00000")="89135", TEXT(TRIM(S734),"00000")="89144", TEXT(TRIM(S734),"00000")="89145", TEXT(TRIM(S734),"00000")="89147"), "West Valley",
  TRUE, "Other"
)</f>
        <v>South/Strip</v>
      </c>
      <c r="U734" t="s">
        <v>4301</v>
      </c>
      <c r="V734" t="str">
        <f t="shared" si="47"/>
        <v>Medical Facility</v>
      </c>
    </row>
    <row r="735" spans="1:22">
      <c r="A735" t="s">
        <v>187</v>
      </c>
      <c r="B735" t="s">
        <v>188</v>
      </c>
      <c r="C735" s="1">
        <v>45114</v>
      </c>
      <c r="D735" s="4">
        <v>102.92</v>
      </c>
      <c r="E735">
        <v>34</v>
      </c>
      <c r="F735" t="str">
        <f t="shared" si="44"/>
        <v>30's</v>
      </c>
      <c r="G735" t="str" cm="1">
        <f t="array" ref="G735">_xlfn.IFS(
  F735="10's", "Child (5–12)",
  OR(F735="20's", F735="30's"), "Young Adult (20–39)",
  OR(F735="40's", F735="50's"), "Adult (40–59)",
  OR(F735="60's", F735="70's", F735="80's", F735="90's"), "Senior (60+)",
  TRUE, "Unknown"
)</f>
        <v>Young Adult (20–39)</v>
      </c>
      <c r="H735" t="s">
        <v>841</v>
      </c>
      <c r="I735" t="s">
        <v>172</v>
      </c>
      <c r="J735" t="str">
        <f t="shared" si="45"/>
        <v>Methamphetamine-related</v>
      </c>
      <c r="K735" t="s">
        <v>54</v>
      </c>
      <c r="L735" t="s">
        <v>250</v>
      </c>
      <c r="M735" t="s">
        <v>4326</v>
      </c>
      <c r="N735" t="s">
        <v>5098</v>
      </c>
      <c r="O735" t="str" cm="1">
        <f t="array" ref="O735">_xlfn.IFS(
  TEXT(TRIM(N735),"00000")="NULL", "Missing/Unknown",
  OR(TEXT(TRIM(N735),"00000")="89101", TEXT(TRIM(N735),"00000")="89104", TEXT(TRIM(N735),"00000")="89106", TEXT(TRIM(N735),"00000")="89102", TEXT(TRIM(N735),"00000")="89107", TEXT(TRIM(N735),"00000")="89108"), "Urban Core",
  OR(TEXT(TRIM(N735),"00000")="89110", TEXT(TRIM(N735),"00000")="89115", TEXT(TRIM(N735),"00000")="89121", TEXT(TRIM(N735),"00000")="89122", TEXT(TRIM(N735),"00000")="89142", TEXT(TRIM(N735),"00000")="89156"), "East Valley",
  OR(TEXT(TRIM(N735),"00000")="89030", TEXT(TRIM(N735),"00000")="89031", TEXT(TRIM(N735),"00000")="89032", TEXT(TRIM(N735),"00000")="89086", TEXT(TRIM(N735),"00000")="89084", TEXT(TRIM(N735),"00000")="89081"), "North LV",
  OR(TEXT(TRIM(N735),"00000")="89109", TEXT(TRIM(N735),"00000")="89103", TEXT(TRIM(N735),"00000")="89119", TEXT(TRIM(N735),"00000")="89123", TEXT(TRIM(N735),"00000")="89169", TEXT(TRIM(N735),"00000")="89118"), "South/Strip",
  OR(TEXT(TRIM(N735),"00000")="89074", TEXT(TRIM(N735),"00000")="89014", TEXT(TRIM(N735),"00000")="89015", TEXT(TRIM(N735),"00000")="89011", TEXT(TRIM(N735),"00000")="89012"), "Suburban SE",
  OR(TEXT(TRIM(N735),"00000")="89117", TEXT(TRIM(N735),"00000")="89128", TEXT(TRIM(N735),"00000")="89135", TEXT(TRIM(N735),"00000")="89144", TEXT(TRIM(N735),"00000")="89145", TEXT(TRIM(N735),"00000")="89147"), "West Valley",
  TRUE, "Other"
)</f>
        <v>Urban Core</v>
      </c>
      <c r="P735" t="s">
        <v>3298</v>
      </c>
      <c r="Q735" t="str">
        <f t="shared" si="46"/>
        <v>Outdoors/Public</v>
      </c>
      <c r="R735" t="s">
        <v>4713</v>
      </c>
      <c r="S735" t="s">
        <v>5125</v>
      </c>
      <c r="T735" t="str" cm="1">
        <f t="array" ref="T735">_xlfn.IFS(
  TEXT(TRIM(S735),"00000")="NULL", "Missing/Unknown",
  OR(TEXT(TRIM(S735),"00000")="89101", TEXT(TRIM(S735),"00000")="89104", TEXT(TRIM(S735),"00000")="89106", TEXT(TRIM(S735),"00000")="89102", TEXT(TRIM(S735),"00000")="89107", TEXT(TRIM(S735),"00000")="89108"), "Urban Core",
  OR(TEXT(TRIM(S735),"00000")="89110", TEXT(TRIM(S735),"00000")="89115", TEXT(TRIM(S735),"00000")="89121", TEXT(TRIM(S735),"00000")="89122", TEXT(TRIM(S735),"00000")="89142", TEXT(TRIM(S735),"00000")="89156"), "East Valley",
  OR(TEXT(TRIM(S735),"00000")="89030", TEXT(TRIM(S735),"00000")="89031", TEXT(TRIM(S735),"00000")="89032", TEXT(TRIM(S735),"00000")="89086", TEXT(TRIM(S735),"00000")="89084", TEXT(TRIM(S735),"00000")="89081"), "North LV",
  OR(TEXT(TRIM(S735),"00000")="89109", TEXT(TRIM(S735),"00000")="89103", TEXT(TRIM(S735),"00000")="89119", TEXT(TRIM(S735),"00000")="89123", TEXT(TRIM(S735),"00000")="89169", TEXT(TRIM(S735),"00000")="89118"), "South/Strip",
  OR(TEXT(TRIM(S735),"00000")="89074", TEXT(TRIM(S735),"00000")="89014", TEXT(TRIM(S735),"00000")="89015", TEXT(TRIM(S735),"00000")="89011", TEXT(TRIM(S735),"00000")="89012"), "Suburban SE",
  OR(TEXT(TRIM(S735),"00000")="89117", TEXT(TRIM(S735),"00000")="89128", TEXT(TRIM(S735),"00000")="89135", TEXT(TRIM(S735),"00000")="89144", TEXT(TRIM(S735),"00000")="89145", TEXT(TRIM(S735),"00000")="89147"), "West Valley",
  TRUE, "Other"
)</f>
        <v>South/Strip</v>
      </c>
      <c r="U735" t="s">
        <v>4301</v>
      </c>
      <c r="V735" t="str">
        <f t="shared" si="47"/>
        <v>Medical Facility</v>
      </c>
    </row>
    <row r="736" spans="1:22">
      <c r="A736" t="s">
        <v>183</v>
      </c>
      <c r="B736" t="s">
        <v>184</v>
      </c>
      <c r="C736" s="1">
        <v>45112</v>
      </c>
      <c r="D736" s="4">
        <v>105.98</v>
      </c>
      <c r="E736">
        <v>83</v>
      </c>
      <c r="F736" t="str">
        <f t="shared" si="44"/>
        <v>80's</v>
      </c>
      <c r="G736" t="str" cm="1">
        <f t="array" ref="G736">_xlfn.IFS(
  F736="10's", "Child (5–12)",
  OR(F736="20's", F736="30's"), "Young Adult (20–39)",
  OR(F736="40's", F736="50's"), "Adult (40–59)",
  OR(F736="60's", F736="70's", F736="80's", F736="90's"), "Senior (60+)",
  TRUE, "Unknown"
)</f>
        <v>Senior (60+)</v>
      </c>
      <c r="H736" t="s">
        <v>841</v>
      </c>
      <c r="I736" t="s">
        <v>63</v>
      </c>
      <c r="J736" t="str">
        <f t="shared" si="45"/>
        <v>Cardiovascular Disease</v>
      </c>
      <c r="K736" t="s">
        <v>185</v>
      </c>
      <c r="L736" t="s">
        <v>1071</v>
      </c>
      <c r="M736" t="s">
        <v>4419</v>
      </c>
      <c r="N736" t="s">
        <v>5116</v>
      </c>
      <c r="O736" t="str" cm="1">
        <f t="array" ref="O736">_xlfn.IFS(
  TEXT(TRIM(N736),"00000")="NULL", "Missing/Unknown",
  OR(TEXT(TRIM(N736),"00000")="89101", TEXT(TRIM(N736),"00000")="89104", TEXT(TRIM(N736),"00000")="89106", TEXT(TRIM(N736),"00000")="89102", TEXT(TRIM(N736),"00000")="89107", TEXT(TRIM(N736),"00000")="89108"), "Urban Core",
  OR(TEXT(TRIM(N736),"00000")="89110", TEXT(TRIM(N736),"00000")="89115", TEXT(TRIM(N736),"00000")="89121", TEXT(TRIM(N736),"00000")="89122", TEXT(TRIM(N736),"00000")="89142", TEXT(TRIM(N736),"00000")="89156"), "East Valley",
  OR(TEXT(TRIM(N736),"00000")="89030", TEXT(TRIM(N736),"00000")="89031", TEXT(TRIM(N736),"00000")="89032", TEXT(TRIM(N736),"00000")="89086", TEXT(TRIM(N736),"00000")="89084", TEXT(TRIM(N736),"00000")="89081"), "North LV",
  OR(TEXT(TRIM(N736),"00000")="89109", TEXT(TRIM(N736),"00000")="89103", TEXT(TRIM(N736),"00000")="89119", TEXT(TRIM(N736),"00000")="89123", TEXT(TRIM(N736),"00000")="89169", TEXT(TRIM(N736),"00000")="89118"), "South/Strip",
  OR(TEXT(TRIM(N736),"00000")="89074", TEXT(TRIM(N736),"00000")="89014", TEXT(TRIM(N736),"00000")="89015", TEXT(TRIM(N736),"00000")="89011", TEXT(TRIM(N736),"00000")="89012"), "Suburban SE",
  OR(TEXT(TRIM(N736),"00000")="89117", TEXT(TRIM(N736),"00000")="89128", TEXT(TRIM(N736),"00000")="89135", TEXT(TRIM(N736),"00000")="89144", TEXT(TRIM(N736),"00000")="89145", TEXT(TRIM(N736),"00000")="89147"), "West Valley",
  TRUE, "Other"
)</f>
        <v>West Valley</v>
      </c>
      <c r="P736" t="s">
        <v>38</v>
      </c>
      <c r="Q736" t="str">
        <f t="shared" si="46"/>
        <v>Home/Residence</v>
      </c>
      <c r="R736" t="s">
        <v>4419</v>
      </c>
      <c r="S736" t="s">
        <v>5116</v>
      </c>
      <c r="T736" t="str" cm="1">
        <f t="array" ref="T736">_xlfn.IFS(
  TEXT(TRIM(S736),"00000")="NULL", "Missing/Unknown",
  OR(TEXT(TRIM(S736),"00000")="89101", TEXT(TRIM(S736),"00000")="89104", TEXT(TRIM(S736),"00000")="89106", TEXT(TRIM(S736),"00000")="89102", TEXT(TRIM(S736),"00000")="89107", TEXT(TRIM(S736),"00000")="89108"), "Urban Core",
  OR(TEXT(TRIM(S736),"00000")="89110", TEXT(TRIM(S736),"00000")="89115", TEXT(TRIM(S736),"00000")="89121", TEXT(TRIM(S736),"00000")="89122", TEXT(TRIM(S736),"00000")="89142", TEXT(TRIM(S736),"00000")="89156"), "East Valley",
  OR(TEXT(TRIM(S736),"00000")="89030", TEXT(TRIM(S736),"00000")="89031", TEXT(TRIM(S736),"00000")="89032", TEXT(TRIM(S736),"00000")="89086", TEXT(TRIM(S736),"00000")="89084", TEXT(TRIM(S736),"00000")="89081"), "North LV",
  OR(TEXT(TRIM(S736),"00000")="89109", TEXT(TRIM(S736),"00000")="89103", TEXT(TRIM(S736),"00000")="89119", TEXT(TRIM(S736),"00000")="89123", TEXT(TRIM(S736),"00000")="89169", TEXT(TRIM(S736),"00000")="89118"), "South/Strip",
  OR(TEXT(TRIM(S736),"00000")="89074", TEXT(TRIM(S736),"00000")="89014", TEXT(TRIM(S736),"00000")="89015", TEXT(TRIM(S736),"00000")="89011", TEXT(TRIM(S736),"00000")="89012"), "Suburban SE",
  OR(TEXT(TRIM(S736),"00000")="89117", TEXT(TRIM(S736),"00000")="89128", TEXT(TRIM(S736),"00000")="89135", TEXT(TRIM(S736),"00000")="89144", TEXT(TRIM(S736),"00000")="89145", TEXT(TRIM(S736),"00000")="89147"), "West Valley",
  TRUE, "Other"
)</f>
        <v>West Valley</v>
      </c>
      <c r="U736" t="s">
        <v>38</v>
      </c>
      <c r="V736" t="str">
        <f t="shared" si="47"/>
        <v>Home/Residence</v>
      </c>
    </row>
    <row r="737" spans="1:22">
      <c r="A737" t="s">
        <v>179</v>
      </c>
      <c r="B737" t="s">
        <v>180</v>
      </c>
      <c r="C737" s="1">
        <v>45112</v>
      </c>
      <c r="D737" s="4">
        <v>105.98</v>
      </c>
      <c r="E737">
        <v>71</v>
      </c>
      <c r="F737" t="str">
        <f t="shared" si="44"/>
        <v>70's</v>
      </c>
      <c r="G737" t="str" cm="1">
        <f t="array" ref="G737">_xlfn.IFS(
  F737="10's", "Child (5–12)",
  OR(F737="20's", F737="30's"), "Young Adult (20–39)",
  OR(F737="40's", F737="50's"), "Adult (40–59)",
  OR(F737="60's", F737="70's", F737="80's", F737="90's"), "Senior (60+)",
  TRUE, "Unknown"
)</f>
        <v>Senior (60+)</v>
      </c>
      <c r="H737" t="s">
        <v>841</v>
      </c>
      <c r="I737" t="s">
        <v>54</v>
      </c>
      <c r="J737" t="str">
        <f t="shared" si="45"/>
        <v>Environmental Heat</v>
      </c>
      <c r="K737" t="s">
        <v>181</v>
      </c>
      <c r="L737" t="s">
        <v>250</v>
      </c>
      <c r="M737" t="s">
        <v>4317</v>
      </c>
      <c r="N737" t="s">
        <v>5100</v>
      </c>
      <c r="O737" t="str" cm="1">
        <f t="array" ref="O737">_xlfn.IFS(
  TEXT(TRIM(N737),"00000")="NULL", "Missing/Unknown",
  OR(TEXT(TRIM(N737),"00000")="89101", TEXT(TRIM(N737),"00000")="89104", TEXT(TRIM(N737),"00000")="89106", TEXT(TRIM(N737),"00000")="89102", TEXT(TRIM(N737),"00000")="89107", TEXT(TRIM(N737),"00000")="89108"), "Urban Core",
  OR(TEXT(TRIM(N737),"00000")="89110", TEXT(TRIM(N737),"00000")="89115", TEXT(TRIM(N737),"00000")="89121", TEXT(TRIM(N737),"00000")="89122", TEXT(TRIM(N737),"00000")="89142", TEXT(TRIM(N737),"00000")="89156"), "East Valley",
  OR(TEXT(TRIM(N737),"00000")="89030", TEXT(TRIM(N737),"00000")="89031", TEXT(TRIM(N737),"00000")="89032", TEXT(TRIM(N737),"00000")="89086", TEXT(TRIM(N737),"00000")="89084", TEXT(TRIM(N737),"00000")="89081"), "North LV",
  OR(TEXT(TRIM(N737),"00000")="89109", TEXT(TRIM(N737),"00000")="89103", TEXT(TRIM(N737),"00000")="89119", TEXT(TRIM(N737),"00000")="89123", TEXT(TRIM(N737),"00000")="89169", TEXT(TRIM(N737),"00000")="89118"), "South/Strip",
  OR(TEXT(TRIM(N737),"00000")="89074", TEXT(TRIM(N737),"00000")="89014", TEXT(TRIM(N737),"00000")="89015", TEXT(TRIM(N737),"00000")="89011", TEXT(TRIM(N737),"00000")="89012"), "Suburban SE",
  OR(TEXT(TRIM(N737),"00000")="89117", TEXT(TRIM(N737),"00000")="89128", TEXT(TRIM(N737),"00000")="89135", TEXT(TRIM(N737),"00000")="89144", TEXT(TRIM(N737),"00000")="89145", TEXT(TRIM(N737),"00000")="89147"), "West Valley",
  TRUE, "Other"
)</f>
        <v>North LV</v>
      </c>
      <c r="P737" t="s">
        <v>3298</v>
      </c>
      <c r="Q737" t="str">
        <f t="shared" si="46"/>
        <v>Outdoors/Public</v>
      </c>
      <c r="R737" t="s">
        <v>4317</v>
      </c>
      <c r="S737" t="s">
        <v>5100</v>
      </c>
      <c r="T737" t="str" cm="1">
        <f t="array" ref="T737">_xlfn.IFS(
  TEXT(TRIM(S737),"00000")="NULL", "Missing/Unknown",
  OR(TEXT(TRIM(S737),"00000")="89101", TEXT(TRIM(S737),"00000")="89104", TEXT(TRIM(S737),"00000")="89106", TEXT(TRIM(S737),"00000")="89102", TEXT(TRIM(S737),"00000")="89107", TEXT(TRIM(S737),"00000")="89108"), "Urban Core",
  OR(TEXT(TRIM(S737),"00000")="89110", TEXT(TRIM(S737),"00000")="89115", TEXT(TRIM(S737),"00000")="89121", TEXT(TRIM(S737),"00000")="89122", TEXT(TRIM(S737),"00000")="89142", TEXT(TRIM(S737),"00000")="89156"), "East Valley",
  OR(TEXT(TRIM(S737),"00000")="89030", TEXT(TRIM(S737),"00000")="89031", TEXT(TRIM(S737),"00000")="89032", TEXT(TRIM(S737),"00000")="89086", TEXT(TRIM(S737),"00000")="89084", TEXT(TRIM(S737),"00000")="89081"), "North LV",
  OR(TEXT(TRIM(S737),"00000")="89109", TEXT(TRIM(S737),"00000")="89103", TEXT(TRIM(S737),"00000")="89119", TEXT(TRIM(S737),"00000")="89123", TEXT(TRIM(S737),"00000")="89169", TEXT(TRIM(S737),"00000")="89118"), "South/Strip",
  OR(TEXT(TRIM(S737),"00000")="89074", TEXT(TRIM(S737),"00000")="89014", TEXT(TRIM(S737),"00000")="89015", TEXT(TRIM(S737),"00000")="89011", TEXT(TRIM(S737),"00000")="89012"), "Suburban SE",
  OR(TEXT(TRIM(S737),"00000")="89117", TEXT(TRIM(S737),"00000")="89128", TEXT(TRIM(S737),"00000")="89135", TEXT(TRIM(S737),"00000")="89144", TEXT(TRIM(S737),"00000")="89145", TEXT(TRIM(S737),"00000")="89147"), "West Valley",
  TRUE, "Other"
)</f>
        <v>North LV</v>
      </c>
      <c r="U737" t="s">
        <v>3298</v>
      </c>
      <c r="V737" t="str">
        <f t="shared" si="47"/>
        <v>Outdoors/Public</v>
      </c>
    </row>
    <row r="738" spans="1:22">
      <c r="A738" t="s">
        <v>161</v>
      </c>
      <c r="B738" t="s">
        <v>162</v>
      </c>
      <c r="C738" s="1">
        <v>45111</v>
      </c>
      <c r="D738" s="4">
        <v>104</v>
      </c>
      <c r="E738">
        <v>43</v>
      </c>
      <c r="F738" t="str">
        <f t="shared" si="44"/>
        <v>40's</v>
      </c>
      <c r="G738" t="str" cm="1">
        <f t="array" ref="G738">_xlfn.IFS(
  F738="10's", "Child (5–12)",
  OR(F738="20's", F738="30's"), "Young Adult (20–39)",
  OR(F738="40's", F738="50's"), "Adult (40–59)",
  OR(F738="60's", F738="70's", F738="80's", F738="90's"), "Senior (60+)",
  TRUE, "Unknown"
)</f>
        <v>Adult (40–59)</v>
      </c>
      <c r="H738" t="s">
        <v>27</v>
      </c>
      <c r="I738" t="s">
        <v>163</v>
      </c>
      <c r="J738" t="str">
        <f t="shared" si="45"/>
        <v>Environmental Heat</v>
      </c>
      <c r="K738" t="s">
        <v>172</v>
      </c>
      <c r="L738" t="s">
        <v>1071</v>
      </c>
      <c r="N738" t="s">
        <v>5095</v>
      </c>
      <c r="O738" t="str" cm="1">
        <f t="array" ref="O738">_xlfn.IFS(
  TEXT(TRIM(N738),"00000")="NULL", "Missing/Unknown",
  OR(TEXT(TRIM(N738),"00000")="89101", TEXT(TRIM(N738),"00000")="89104", TEXT(TRIM(N738),"00000")="89106", TEXT(TRIM(N738),"00000")="89102", TEXT(TRIM(N738),"00000")="89107", TEXT(TRIM(N738),"00000")="89108"), "Urban Core",
  OR(TEXT(TRIM(N738),"00000")="89110", TEXT(TRIM(N738),"00000")="89115", TEXT(TRIM(N738),"00000")="89121", TEXT(TRIM(N738),"00000")="89122", TEXT(TRIM(N738),"00000")="89142", TEXT(TRIM(N738),"00000")="89156"), "East Valley",
  OR(TEXT(TRIM(N738),"00000")="89030", TEXT(TRIM(N738),"00000")="89031", TEXT(TRIM(N738),"00000")="89032", TEXT(TRIM(N738),"00000")="89086", TEXT(TRIM(N738),"00000")="89084", TEXT(TRIM(N738),"00000")="89081"), "North LV",
  OR(TEXT(TRIM(N738),"00000")="89109", TEXT(TRIM(N738),"00000")="89103", TEXT(TRIM(N738),"00000")="89119", TEXT(TRIM(N738),"00000")="89123", TEXT(TRIM(N738),"00000")="89169", TEXT(TRIM(N738),"00000")="89118"), "South/Strip",
  OR(TEXT(TRIM(N738),"00000")="89074", TEXT(TRIM(N738),"00000")="89014", TEXT(TRIM(N738),"00000")="89015", TEXT(TRIM(N738),"00000")="89011", TEXT(TRIM(N738),"00000")="89012"), "Suburban SE",
  OR(TEXT(TRIM(N738),"00000")="89117", TEXT(TRIM(N738),"00000")="89128", TEXT(TRIM(N738),"00000")="89135", TEXT(TRIM(N738),"00000")="89144", TEXT(TRIM(N738),"00000")="89145", TEXT(TRIM(N738),"00000")="89147"), "West Valley",
  TRUE, "Other"
)</f>
        <v>Missing/Unknown</v>
      </c>
      <c r="P738" t="s">
        <v>38</v>
      </c>
      <c r="Q738" t="str">
        <f t="shared" si="46"/>
        <v>Home/Residence</v>
      </c>
      <c r="R738" t="s">
        <v>4341</v>
      </c>
      <c r="S738" t="s">
        <v>5100</v>
      </c>
      <c r="T738" t="str" cm="1">
        <f t="array" ref="T738">_xlfn.IFS(
  TEXT(TRIM(S738),"00000")="NULL", "Missing/Unknown",
  OR(TEXT(TRIM(S738),"00000")="89101", TEXT(TRIM(S738),"00000")="89104", TEXT(TRIM(S738),"00000")="89106", TEXT(TRIM(S738),"00000")="89102", TEXT(TRIM(S738),"00000")="89107", TEXT(TRIM(S738),"00000")="89108"), "Urban Core",
  OR(TEXT(TRIM(S738),"00000")="89110", TEXT(TRIM(S738),"00000")="89115", TEXT(TRIM(S738),"00000")="89121", TEXT(TRIM(S738),"00000")="89122", TEXT(TRIM(S738),"00000")="89142", TEXT(TRIM(S738),"00000")="89156"), "East Valley",
  OR(TEXT(TRIM(S738),"00000")="89030", TEXT(TRIM(S738),"00000")="89031", TEXT(TRIM(S738),"00000")="89032", TEXT(TRIM(S738),"00000")="89086", TEXT(TRIM(S738),"00000")="89084", TEXT(TRIM(S738),"00000")="89081"), "North LV",
  OR(TEXT(TRIM(S738),"00000")="89109", TEXT(TRIM(S738),"00000")="89103", TEXT(TRIM(S738),"00000")="89119", TEXT(TRIM(S738),"00000")="89123", TEXT(TRIM(S738),"00000")="89169", TEXT(TRIM(S738),"00000")="89118"), "South/Strip",
  OR(TEXT(TRIM(S738),"00000")="89074", TEXT(TRIM(S738),"00000")="89014", TEXT(TRIM(S738),"00000")="89015", TEXT(TRIM(S738),"00000")="89011", TEXT(TRIM(S738),"00000")="89012"), "Suburban SE",
  OR(TEXT(TRIM(S738),"00000")="89117", TEXT(TRIM(S738),"00000")="89128", TEXT(TRIM(S738),"00000")="89135", TEXT(TRIM(S738),"00000")="89144", TEXT(TRIM(S738),"00000")="89145", TEXT(TRIM(S738),"00000")="89147"), "West Valley",
  TRUE, "Other"
)</f>
        <v>North LV</v>
      </c>
      <c r="U738" t="s">
        <v>4301</v>
      </c>
      <c r="V738" t="str">
        <f t="shared" si="47"/>
        <v>Medical Facility</v>
      </c>
    </row>
    <row r="739" spans="1:22">
      <c r="A739" t="s">
        <v>157</v>
      </c>
      <c r="B739" t="s">
        <v>158</v>
      </c>
      <c r="C739" s="1">
        <v>45111</v>
      </c>
      <c r="D739" s="4">
        <v>104</v>
      </c>
      <c r="E739">
        <v>80</v>
      </c>
      <c r="F739" t="str">
        <f t="shared" si="44"/>
        <v>80's</v>
      </c>
      <c r="G739" t="str" cm="1">
        <f t="array" ref="G739">_xlfn.IFS(
  F739="10's", "Child (5–12)",
  OR(F739="20's", F739="30's"), "Young Adult (20–39)",
  OR(F739="40's", F739="50's"), "Adult (40–59)",
  OR(F739="60's", F739="70's", F739="80's", F739="90's"), "Senior (60+)",
  TRUE, "Unknown"
)</f>
        <v>Senior (60+)</v>
      </c>
      <c r="H739" t="s">
        <v>841</v>
      </c>
      <c r="I739" t="s">
        <v>68</v>
      </c>
      <c r="J739" t="str">
        <f t="shared" si="45"/>
        <v>Cardiovascular Disease</v>
      </c>
      <c r="K739" t="s">
        <v>159</v>
      </c>
      <c r="L739" t="s">
        <v>1071</v>
      </c>
      <c r="M739" t="s">
        <v>4420</v>
      </c>
      <c r="N739" t="s">
        <v>5122</v>
      </c>
      <c r="O739" t="str" cm="1">
        <f t="array" ref="O739">_xlfn.IFS(
  TEXT(TRIM(N739),"00000")="NULL", "Missing/Unknown",
  OR(TEXT(TRIM(N739),"00000")="89101", TEXT(TRIM(N739),"00000")="89104", TEXT(TRIM(N739),"00000")="89106", TEXT(TRIM(N739),"00000")="89102", TEXT(TRIM(N739),"00000")="89107", TEXT(TRIM(N739),"00000")="89108"), "Urban Core",
  OR(TEXT(TRIM(N739),"00000")="89110", TEXT(TRIM(N739),"00000")="89115", TEXT(TRIM(N739),"00000")="89121", TEXT(TRIM(N739),"00000")="89122", TEXT(TRIM(N739),"00000")="89142", TEXT(TRIM(N739),"00000")="89156"), "East Valley",
  OR(TEXT(TRIM(N739),"00000")="89030", TEXT(TRIM(N739),"00000")="89031", TEXT(TRIM(N739),"00000")="89032", TEXT(TRIM(N739),"00000")="89086", TEXT(TRIM(N739),"00000")="89084", TEXT(TRIM(N739),"00000")="89081"), "North LV",
  OR(TEXT(TRIM(N739),"00000")="89109", TEXT(TRIM(N739),"00000")="89103", TEXT(TRIM(N739),"00000")="89119", TEXT(TRIM(N739),"00000")="89123", TEXT(TRIM(N739),"00000")="89169", TEXT(TRIM(N739),"00000")="89118"), "South/Strip",
  OR(TEXT(TRIM(N739),"00000")="89074", TEXT(TRIM(N739),"00000")="89014", TEXT(TRIM(N739),"00000")="89015", TEXT(TRIM(N739),"00000")="89011", TEXT(TRIM(N739),"00000")="89012"), "Suburban SE",
  OR(TEXT(TRIM(N739),"00000")="89117", TEXT(TRIM(N739),"00000")="89128", TEXT(TRIM(N739),"00000")="89135", TEXT(TRIM(N739),"00000")="89144", TEXT(TRIM(N739),"00000")="89145", TEXT(TRIM(N739),"00000")="89147"), "West Valley",
  TRUE, "Other"
)</f>
        <v>East Valley</v>
      </c>
      <c r="P739" t="s">
        <v>38</v>
      </c>
      <c r="Q739" t="str">
        <f t="shared" si="46"/>
        <v>Home/Residence</v>
      </c>
      <c r="R739" t="s">
        <v>4420</v>
      </c>
      <c r="S739" t="s">
        <v>5122</v>
      </c>
      <c r="T739" t="str" cm="1">
        <f t="array" ref="T739">_xlfn.IFS(
  TEXT(TRIM(S739),"00000")="NULL", "Missing/Unknown",
  OR(TEXT(TRIM(S739),"00000")="89101", TEXT(TRIM(S739),"00000")="89104", TEXT(TRIM(S739),"00000")="89106", TEXT(TRIM(S739),"00000")="89102", TEXT(TRIM(S739),"00000")="89107", TEXT(TRIM(S739),"00000")="89108"), "Urban Core",
  OR(TEXT(TRIM(S739),"00000")="89110", TEXT(TRIM(S739),"00000")="89115", TEXT(TRIM(S739),"00000")="89121", TEXT(TRIM(S739),"00000")="89122", TEXT(TRIM(S739),"00000")="89142", TEXT(TRIM(S739),"00000")="89156"), "East Valley",
  OR(TEXT(TRIM(S739),"00000")="89030", TEXT(TRIM(S739),"00000")="89031", TEXT(TRIM(S739),"00000")="89032", TEXT(TRIM(S739),"00000")="89086", TEXT(TRIM(S739),"00000")="89084", TEXT(TRIM(S739),"00000")="89081"), "North LV",
  OR(TEXT(TRIM(S739),"00000")="89109", TEXT(TRIM(S739),"00000")="89103", TEXT(TRIM(S739),"00000")="89119", TEXT(TRIM(S739),"00000")="89123", TEXT(TRIM(S739),"00000")="89169", TEXT(TRIM(S739),"00000")="89118"), "South/Strip",
  OR(TEXT(TRIM(S739),"00000")="89074", TEXT(TRIM(S739),"00000")="89014", TEXT(TRIM(S739),"00000")="89015", TEXT(TRIM(S739),"00000")="89011", TEXT(TRIM(S739),"00000")="89012"), "Suburban SE",
  OR(TEXT(TRIM(S739),"00000")="89117", TEXT(TRIM(S739),"00000")="89128", TEXT(TRIM(S739),"00000")="89135", TEXT(TRIM(S739),"00000")="89144", TEXT(TRIM(S739),"00000")="89145", TEXT(TRIM(S739),"00000")="89147"), "West Valley",
  TRUE, "Other"
)</f>
        <v>East Valley</v>
      </c>
      <c r="U739" t="s">
        <v>38</v>
      </c>
      <c r="V739" t="str">
        <f t="shared" si="47"/>
        <v>Home/Residence</v>
      </c>
    </row>
    <row r="740" spans="1:22">
      <c r="A740" t="s">
        <v>164</v>
      </c>
      <c r="B740" t="s">
        <v>165</v>
      </c>
      <c r="C740" s="1">
        <v>45111</v>
      </c>
      <c r="D740" s="4">
        <v>104</v>
      </c>
      <c r="E740">
        <v>72</v>
      </c>
      <c r="F740" t="str">
        <f t="shared" si="44"/>
        <v>70's</v>
      </c>
      <c r="G740" t="str" cm="1">
        <f t="array" ref="G740">_xlfn.IFS(
  F740="10's", "Child (5–12)",
  OR(F740="20's", F740="30's"), "Young Adult (20–39)",
  OR(F740="40's", F740="50's"), "Adult (40–59)",
  OR(F740="60's", F740="70's", F740="80's", F740="90's"), "Senior (60+)",
  TRUE, "Unknown"
)</f>
        <v>Senior (60+)</v>
      </c>
      <c r="H740" t="s">
        <v>778</v>
      </c>
      <c r="I740" t="s">
        <v>54</v>
      </c>
      <c r="J740" t="str">
        <f t="shared" si="45"/>
        <v>Environmental Heat</v>
      </c>
      <c r="K740" t="s">
        <v>166</v>
      </c>
      <c r="L740" t="s">
        <v>250</v>
      </c>
      <c r="M740" t="s">
        <v>4775</v>
      </c>
      <c r="N740" t="s">
        <v>5119</v>
      </c>
      <c r="O740" t="str" cm="1">
        <f t="array" ref="O740">_xlfn.IFS(
  TEXT(TRIM(N740),"00000")="NULL", "Missing/Unknown",
  OR(TEXT(TRIM(N740),"00000")="89101", TEXT(TRIM(N740),"00000")="89104", TEXT(TRIM(N740),"00000")="89106", TEXT(TRIM(N740),"00000")="89102", TEXT(TRIM(N740),"00000")="89107", TEXT(TRIM(N740),"00000")="89108"), "Urban Core",
  OR(TEXT(TRIM(N740),"00000")="89110", TEXT(TRIM(N740),"00000")="89115", TEXT(TRIM(N740),"00000")="89121", TEXT(TRIM(N740),"00000")="89122", TEXT(TRIM(N740),"00000")="89142", TEXT(TRIM(N740),"00000")="89156"), "East Valley",
  OR(TEXT(TRIM(N740),"00000")="89030", TEXT(TRIM(N740),"00000")="89031", TEXT(TRIM(N740),"00000")="89032", TEXT(TRIM(N740),"00000")="89086", TEXT(TRIM(N740),"00000")="89084", TEXT(TRIM(N740),"00000")="89081"), "North LV",
  OR(TEXT(TRIM(N740),"00000")="89109", TEXT(TRIM(N740),"00000")="89103", TEXT(TRIM(N740),"00000")="89119", TEXT(TRIM(N740),"00000")="89123", TEXT(TRIM(N740),"00000")="89169", TEXT(TRIM(N740),"00000")="89118"), "South/Strip",
  OR(TEXT(TRIM(N740),"00000")="89074", TEXT(TRIM(N740),"00000")="89014", TEXT(TRIM(N740),"00000")="89015", TEXT(TRIM(N740),"00000")="89011", TEXT(TRIM(N740),"00000")="89012"), "Suburban SE",
  OR(TEXT(TRIM(N740),"00000")="89117", TEXT(TRIM(N740),"00000")="89128", TEXT(TRIM(N740),"00000")="89135", TEXT(TRIM(N740),"00000")="89144", TEXT(TRIM(N740),"00000")="89145", TEXT(TRIM(N740),"00000")="89147"), "West Valley",
  TRUE, "Other"
)</f>
        <v>Urban Core</v>
      </c>
      <c r="P740" t="s">
        <v>3298</v>
      </c>
      <c r="Q740" t="str">
        <f t="shared" si="46"/>
        <v>Outdoors/Public</v>
      </c>
      <c r="R740" t="s">
        <v>4775</v>
      </c>
      <c r="S740" t="s">
        <v>5119</v>
      </c>
      <c r="T740" t="str" cm="1">
        <f t="array" ref="T740">_xlfn.IFS(
  TEXT(TRIM(S740),"00000")="NULL", "Missing/Unknown",
  OR(TEXT(TRIM(S740),"00000")="89101", TEXT(TRIM(S740),"00000")="89104", TEXT(TRIM(S740),"00000")="89106", TEXT(TRIM(S740),"00000")="89102", TEXT(TRIM(S740),"00000")="89107", TEXT(TRIM(S740),"00000")="89108"), "Urban Core",
  OR(TEXT(TRIM(S740),"00000")="89110", TEXT(TRIM(S740),"00000")="89115", TEXT(TRIM(S740),"00000")="89121", TEXT(TRIM(S740),"00000")="89122", TEXT(TRIM(S740),"00000")="89142", TEXT(TRIM(S740),"00000")="89156"), "East Valley",
  OR(TEXT(TRIM(S740),"00000")="89030", TEXT(TRIM(S740),"00000")="89031", TEXT(TRIM(S740),"00000")="89032", TEXT(TRIM(S740),"00000")="89086", TEXT(TRIM(S740),"00000")="89084", TEXT(TRIM(S740),"00000")="89081"), "North LV",
  OR(TEXT(TRIM(S740),"00000")="89109", TEXT(TRIM(S740),"00000")="89103", TEXT(TRIM(S740),"00000")="89119", TEXT(TRIM(S740),"00000")="89123", TEXT(TRIM(S740),"00000")="89169", TEXT(TRIM(S740),"00000")="89118"), "South/Strip",
  OR(TEXT(TRIM(S740),"00000")="89074", TEXT(TRIM(S740),"00000")="89014", TEXT(TRIM(S740),"00000")="89015", TEXT(TRIM(S740),"00000")="89011", TEXT(TRIM(S740),"00000")="89012"), "Suburban SE",
  OR(TEXT(TRIM(S740),"00000")="89117", TEXT(TRIM(S740),"00000")="89128", TEXT(TRIM(S740),"00000")="89135", TEXT(TRIM(S740),"00000")="89144", TEXT(TRIM(S740),"00000")="89145", TEXT(TRIM(S740),"00000")="89147"), "West Valley",
  TRUE, "Other"
)</f>
        <v>Urban Core</v>
      </c>
      <c r="U740" t="s">
        <v>3298</v>
      </c>
      <c r="V740" t="str">
        <f t="shared" si="47"/>
        <v>Outdoors/Public</v>
      </c>
    </row>
    <row r="741" spans="1:22">
      <c r="A741" t="s">
        <v>170</v>
      </c>
      <c r="B741" t="s">
        <v>171</v>
      </c>
      <c r="C741" s="1">
        <v>45111</v>
      </c>
      <c r="D741" s="4">
        <v>104</v>
      </c>
      <c r="E741">
        <v>71</v>
      </c>
      <c r="F741" t="str">
        <f t="shared" si="44"/>
        <v>70's</v>
      </c>
      <c r="G741" t="str" cm="1">
        <f t="array" ref="G741">_xlfn.IFS(
  F741="10's", "Child (5–12)",
  OR(F741="20's", F741="30's"), "Young Adult (20–39)",
  OR(F741="40's", F741="50's"), "Adult (40–59)",
  OR(F741="60's", F741="70's", F741="80's", F741="90's"), "Senior (60+)",
  TRUE, "Unknown"
)</f>
        <v>Senior (60+)</v>
      </c>
      <c r="H741" t="s">
        <v>841</v>
      </c>
      <c r="I741" t="s">
        <v>172</v>
      </c>
      <c r="J741" t="str">
        <f t="shared" si="45"/>
        <v>Methamphetamine-related</v>
      </c>
      <c r="K741" t="s">
        <v>173</v>
      </c>
      <c r="L741" t="s">
        <v>250</v>
      </c>
      <c r="M741" t="s">
        <v>4776</v>
      </c>
      <c r="N741" t="s">
        <v>5134</v>
      </c>
      <c r="O741" t="str" cm="1">
        <f t="array" ref="O741">_xlfn.IFS(
  TEXT(TRIM(N741),"00000")="NULL", "Missing/Unknown",
  OR(TEXT(TRIM(N741),"00000")="89101", TEXT(TRIM(N741),"00000")="89104", TEXT(TRIM(N741),"00000")="89106", TEXT(TRIM(N741),"00000")="89102", TEXT(TRIM(N741),"00000")="89107", TEXT(TRIM(N741),"00000")="89108"), "Urban Core",
  OR(TEXT(TRIM(N741),"00000")="89110", TEXT(TRIM(N741),"00000")="89115", TEXT(TRIM(N741),"00000")="89121", TEXT(TRIM(N741),"00000")="89122", TEXT(TRIM(N741),"00000")="89142", TEXT(TRIM(N741),"00000")="89156"), "East Valley",
  OR(TEXT(TRIM(N741),"00000")="89030", TEXT(TRIM(N741),"00000")="89031", TEXT(TRIM(N741),"00000")="89032", TEXT(TRIM(N741),"00000")="89086", TEXT(TRIM(N741),"00000")="89084", TEXT(TRIM(N741),"00000")="89081"), "North LV",
  OR(TEXT(TRIM(N741),"00000")="89109", TEXT(TRIM(N741),"00000")="89103", TEXT(TRIM(N741),"00000")="89119", TEXT(TRIM(N741),"00000")="89123", TEXT(TRIM(N741),"00000")="89169", TEXT(TRIM(N741),"00000")="89118"), "South/Strip",
  OR(TEXT(TRIM(N741),"00000")="89074", TEXT(TRIM(N741),"00000")="89014", TEXT(TRIM(N741),"00000")="89015", TEXT(TRIM(N741),"00000")="89011", TEXT(TRIM(N741),"00000")="89012"), "Suburban SE",
  OR(TEXT(TRIM(N741),"00000")="89117", TEXT(TRIM(N741),"00000")="89128", TEXT(TRIM(N741),"00000")="89135", TEXT(TRIM(N741),"00000")="89144", TEXT(TRIM(N741),"00000")="89145", TEXT(TRIM(N741),"00000")="89147"), "West Valley",
  TRUE, "Other"
)</f>
        <v>Other</v>
      </c>
      <c r="P741" t="s">
        <v>3298</v>
      </c>
      <c r="Q741" t="str">
        <f t="shared" si="46"/>
        <v>Outdoors/Public</v>
      </c>
      <c r="R741" t="s">
        <v>4776</v>
      </c>
      <c r="S741" t="s">
        <v>5134</v>
      </c>
      <c r="T741" t="str" cm="1">
        <f t="array" ref="T741">_xlfn.IFS(
  TEXT(TRIM(S741),"00000")="NULL", "Missing/Unknown",
  OR(TEXT(TRIM(S741),"00000")="89101", TEXT(TRIM(S741),"00000")="89104", TEXT(TRIM(S741),"00000")="89106", TEXT(TRIM(S741),"00000")="89102", TEXT(TRIM(S741),"00000")="89107", TEXT(TRIM(S741),"00000")="89108"), "Urban Core",
  OR(TEXT(TRIM(S741),"00000")="89110", TEXT(TRIM(S741),"00000")="89115", TEXT(TRIM(S741),"00000")="89121", TEXT(TRIM(S741),"00000")="89122", TEXT(TRIM(S741),"00000")="89142", TEXT(TRIM(S741),"00000")="89156"), "East Valley",
  OR(TEXT(TRIM(S741),"00000")="89030", TEXT(TRIM(S741),"00000")="89031", TEXT(TRIM(S741),"00000")="89032", TEXT(TRIM(S741),"00000")="89086", TEXT(TRIM(S741),"00000")="89084", TEXT(TRIM(S741),"00000")="89081"), "North LV",
  OR(TEXT(TRIM(S741),"00000")="89109", TEXT(TRIM(S741),"00000")="89103", TEXT(TRIM(S741),"00000")="89119", TEXT(TRIM(S741),"00000")="89123", TEXT(TRIM(S741),"00000")="89169", TEXT(TRIM(S741),"00000")="89118"), "South/Strip",
  OR(TEXT(TRIM(S741),"00000")="89074", TEXT(TRIM(S741),"00000")="89014", TEXT(TRIM(S741),"00000")="89015", TEXT(TRIM(S741),"00000")="89011", TEXT(TRIM(S741),"00000")="89012"), "Suburban SE",
  OR(TEXT(TRIM(S741),"00000")="89117", TEXT(TRIM(S741),"00000")="89128", TEXT(TRIM(S741),"00000")="89135", TEXT(TRIM(S741),"00000")="89144", TEXT(TRIM(S741),"00000")="89145", TEXT(TRIM(S741),"00000")="89147"), "West Valley",
  TRUE, "Other"
)</f>
        <v>Other</v>
      </c>
      <c r="U741" t="s">
        <v>3298</v>
      </c>
      <c r="V741" t="str">
        <f t="shared" si="47"/>
        <v>Outdoors/Public</v>
      </c>
    </row>
    <row r="742" spans="1:22">
      <c r="A742" t="s">
        <v>175</v>
      </c>
      <c r="B742" t="s">
        <v>176</v>
      </c>
      <c r="C742" s="1">
        <v>45111</v>
      </c>
      <c r="D742" s="4">
        <v>104</v>
      </c>
      <c r="E742">
        <v>32</v>
      </c>
      <c r="F742" t="str">
        <f t="shared" si="44"/>
        <v>30's</v>
      </c>
      <c r="G742" t="str" cm="1">
        <f t="array" ref="G742">_xlfn.IFS(
  F742="10's", "Child (5–12)",
  OR(F742="20's", F742="30's"), "Young Adult (20–39)",
  OR(F742="40's", F742="50's"), "Adult (40–59)",
  OR(F742="60's", F742="70's", F742="80's", F742="90's"), "Senior (60+)",
  TRUE, "Unknown"
)</f>
        <v>Young Adult (20–39)</v>
      </c>
      <c r="H742" t="s">
        <v>778</v>
      </c>
      <c r="I742" t="s">
        <v>54</v>
      </c>
      <c r="J742" t="str">
        <f t="shared" si="45"/>
        <v>Environmental Heat</v>
      </c>
      <c r="K742" t="s">
        <v>379</v>
      </c>
      <c r="L742" t="s">
        <v>250</v>
      </c>
      <c r="M742" t="s">
        <v>4777</v>
      </c>
      <c r="N742" t="s">
        <v>5123</v>
      </c>
      <c r="O742" t="str" cm="1">
        <f t="array" ref="O742">_xlfn.IFS(
  TEXT(TRIM(N742),"00000")="NULL", "Missing/Unknown",
  OR(TEXT(TRIM(N742),"00000")="89101", TEXT(TRIM(N742),"00000")="89104", TEXT(TRIM(N742),"00000")="89106", TEXT(TRIM(N742),"00000")="89102", TEXT(TRIM(N742),"00000")="89107", TEXT(TRIM(N742),"00000")="89108"), "Urban Core",
  OR(TEXT(TRIM(N742),"00000")="89110", TEXT(TRIM(N742),"00000")="89115", TEXT(TRIM(N742),"00000")="89121", TEXT(TRIM(N742),"00000")="89122", TEXT(TRIM(N742),"00000")="89142", TEXT(TRIM(N742),"00000")="89156"), "East Valley",
  OR(TEXT(TRIM(N742),"00000")="89030", TEXT(TRIM(N742),"00000")="89031", TEXT(TRIM(N742),"00000")="89032", TEXT(TRIM(N742),"00000")="89086", TEXT(TRIM(N742),"00000")="89084", TEXT(TRIM(N742),"00000")="89081"), "North LV",
  OR(TEXT(TRIM(N742),"00000")="89109", TEXT(TRIM(N742),"00000")="89103", TEXT(TRIM(N742),"00000")="89119", TEXT(TRIM(N742),"00000")="89123", TEXT(TRIM(N742),"00000")="89169", TEXT(TRIM(N742),"00000")="89118"), "South/Strip",
  OR(TEXT(TRIM(N742),"00000")="89074", TEXT(TRIM(N742),"00000")="89014", TEXT(TRIM(N742),"00000")="89015", TEXT(TRIM(N742),"00000")="89011", TEXT(TRIM(N742),"00000")="89012"), "Suburban SE",
  OR(TEXT(TRIM(N742),"00000")="89117", TEXT(TRIM(N742),"00000")="89128", TEXT(TRIM(N742),"00000")="89135", TEXT(TRIM(N742),"00000")="89144", TEXT(TRIM(N742),"00000")="89145", TEXT(TRIM(N742),"00000")="89147"), "West Valley",
  TRUE, "Other"
)</f>
        <v>South/Strip</v>
      </c>
      <c r="P742" t="s">
        <v>3298</v>
      </c>
      <c r="Q742" t="str">
        <f t="shared" si="46"/>
        <v>Outdoors/Public</v>
      </c>
      <c r="R742" t="s">
        <v>4777</v>
      </c>
      <c r="S742" t="s">
        <v>5123</v>
      </c>
      <c r="T742" t="str" cm="1">
        <f t="array" ref="T742">_xlfn.IFS(
  TEXT(TRIM(S742),"00000")="NULL", "Missing/Unknown",
  OR(TEXT(TRIM(S742),"00000")="89101", TEXT(TRIM(S742),"00000")="89104", TEXT(TRIM(S742),"00000")="89106", TEXT(TRIM(S742),"00000")="89102", TEXT(TRIM(S742),"00000")="89107", TEXT(TRIM(S742),"00000")="89108"), "Urban Core",
  OR(TEXT(TRIM(S742),"00000")="89110", TEXT(TRIM(S742),"00000")="89115", TEXT(TRIM(S742),"00000")="89121", TEXT(TRIM(S742),"00000")="89122", TEXT(TRIM(S742),"00000")="89142", TEXT(TRIM(S742),"00000")="89156"), "East Valley",
  OR(TEXT(TRIM(S742),"00000")="89030", TEXT(TRIM(S742),"00000")="89031", TEXT(TRIM(S742),"00000")="89032", TEXT(TRIM(S742),"00000")="89086", TEXT(TRIM(S742),"00000")="89084", TEXT(TRIM(S742),"00000")="89081"), "North LV",
  OR(TEXT(TRIM(S742),"00000")="89109", TEXT(TRIM(S742),"00000")="89103", TEXT(TRIM(S742),"00000")="89119", TEXT(TRIM(S742),"00000")="89123", TEXT(TRIM(S742),"00000")="89169", TEXT(TRIM(S742),"00000")="89118"), "South/Strip",
  OR(TEXT(TRIM(S742),"00000")="89074", TEXT(TRIM(S742),"00000")="89014", TEXT(TRIM(S742),"00000")="89015", TEXT(TRIM(S742),"00000")="89011", TEXT(TRIM(S742),"00000")="89012"), "Suburban SE",
  OR(TEXT(TRIM(S742),"00000")="89117", TEXT(TRIM(S742),"00000")="89128", TEXT(TRIM(S742),"00000")="89135", TEXT(TRIM(S742),"00000")="89144", TEXT(TRIM(S742),"00000")="89145", TEXT(TRIM(S742),"00000")="89147"), "West Valley",
  TRUE, "Other"
)</f>
        <v>South/Strip</v>
      </c>
      <c r="U742" t="s">
        <v>3298</v>
      </c>
      <c r="V742" t="str">
        <f t="shared" si="47"/>
        <v>Outdoors/Public</v>
      </c>
    </row>
    <row r="743" spans="1:22">
      <c r="A743" t="s">
        <v>168</v>
      </c>
      <c r="B743" t="s">
        <v>169</v>
      </c>
      <c r="C743" s="1">
        <v>45111</v>
      </c>
      <c r="D743" s="4">
        <v>104</v>
      </c>
      <c r="E743">
        <v>38</v>
      </c>
      <c r="F743" t="str">
        <f t="shared" si="44"/>
        <v>30's</v>
      </c>
      <c r="G743" t="str" cm="1">
        <f t="array" ref="G743">_xlfn.IFS(
  F743="10's", "Child (5–12)",
  OR(F743="20's", F743="30's"), "Young Adult (20–39)",
  OR(F743="40's", F743="50's"), "Adult (40–59)",
  OR(F743="60's", F743="70's", F743="80's", F743="90's"), "Senior (60+)",
  TRUE, "Unknown"
)</f>
        <v>Young Adult (20–39)</v>
      </c>
      <c r="H743" t="s">
        <v>841</v>
      </c>
      <c r="I743" t="s">
        <v>4040</v>
      </c>
      <c r="J743" t="str">
        <f t="shared" si="45"/>
        <v>Methamphetamine-related</v>
      </c>
      <c r="K743" t="s">
        <v>54</v>
      </c>
      <c r="L743" t="s">
        <v>250</v>
      </c>
      <c r="N743" t="s">
        <v>5095</v>
      </c>
      <c r="O743" t="str" cm="1">
        <f t="array" ref="O743">_xlfn.IFS(
  TEXT(TRIM(N743),"00000")="NULL", "Missing/Unknown",
  OR(TEXT(TRIM(N743),"00000")="89101", TEXT(TRIM(N743),"00000")="89104", TEXT(TRIM(N743),"00000")="89106", TEXT(TRIM(N743),"00000")="89102", TEXT(TRIM(N743),"00000")="89107", TEXT(TRIM(N743),"00000")="89108"), "Urban Core",
  OR(TEXT(TRIM(N743),"00000")="89110", TEXT(TRIM(N743),"00000")="89115", TEXT(TRIM(N743),"00000")="89121", TEXT(TRIM(N743),"00000")="89122", TEXT(TRIM(N743),"00000")="89142", TEXT(TRIM(N743),"00000")="89156"), "East Valley",
  OR(TEXT(TRIM(N743),"00000")="89030", TEXT(TRIM(N743),"00000")="89031", TEXT(TRIM(N743),"00000")="89032", TEXT(TRIM(N743),"00000")="89086", TEXT(TRIM(N743),"00000")="89084", TEXT(TRIM(N743),"00000")="89081"), "North LV",
  OR(TEXT(TRIM(N743),"00000")="89109", TEXT(TRIM(N743),"00000")="89103", TEXT(TRIM(N743),"00000")="89119", TEXT(TRIM(N743),"00000")="89123", TEXT(TRIM(N743),"00000")="89169", TEXT(TRIM(N743),"00000")="89118"), "South/Strip",
  OR(TEXT(TRIM(N743),"00000")="89074", TEXT(TRIM(N743),"00000")="89014", TEXT(TRIM(N743),"00000")="89015", TEXT(TRIM(N743),"00000")="89011", TEXT(TRIM(N743),"00000")="89012"), "Suburban SE",
  OR(TEXT(TRIM(N743),"00000")="89117", TEXT(TRIM(N743),"00000")="89128", TEXT(TRIM(N743),"00000")="89135", TEXT(TRIM(N743),"00000")="89144", TEXT(TRIM(N743),"00000")="89145", TEXT(TRIM(N743),"00000")="89147"), "West Valley",
  TRUE, "Other"
)</f>
        <v>Missing/Unknown</v>
      </c>
      <c r="P743" t="s">
        <v>3298</v>
      </c>
      <c r="Q743" t="str">
        <f t="shared" si="46"/>
        <v>Outdoors/Public</v>
      </c>
      <c r="S743" t="s">
        <v>5095</v>
      </c>
      <c r="T743" t="str" cm="1">
        <f t="array" ref="T743">_xlfn.IFS(
  TEXT(TRIM(S743),"00000")="NULL", "Missing/Unknown",
  OR(TEXT(TRIM(S743),"00000")="89101", TEXT(TRIM(S743),"00000")="89104", TEXT(TRIM(S743),"00000")="89106", TEXT(TRIM(S743),"00000")="89102", TEXT(TRIM(S743),"00000")="89107", TEXT(TRIM(S743),"00000")="89108"), "Urban Core",
  OR(TEXT(TRIM(S743),"00000")="89110", TEXT(TRIM(S743),"00000")="89115", TEXT(TRIM(S743),"00000")="89121", TEXT(TRIM(S743),"00000")="89122", TEXT(TRIM(S743),"00000")="89142", TEXT(TRIM(S743),"00000")="89156"), "East Valley",
  OR(TEXT(TRIM(S743),"00000")="89030", TEXT(TRIM(S743),"00000")="89031", TEXT(TRIM(S743),"00000")="89032", TEXT(TRIM(S743),"00000")="89086", TEXT(TRIM(S743),"00000")="89084", TEXT(TRIM(S743),"00000")="89081"), "North LV",
  OR(TEXT(TRIM(S743),"00000")="89109", TEXT(TRIM(S743),"00000")="89103", TEXT(TRIM(S743),"00000")="89119", TEXT(TRIM(S743),"00000")="89123", TEXT(TRIM(S743),"00000")="89169", TEXT(TRIM(S743),"00000")="89118"), "South/Strip",
  OR(TEXT(TRIM(S743),"00000")="89074", TEXT(TRIM(S743),"00000")="89014", TEXT(TRIM(S743),"00000")="89015", TEXT(TRIM(S743),"00000")="89011", TEXT(TRIM(S743),"00000")="89012"), "Suburban SE",
  OR(TEXT(TRIM(S743),"00000")="89117", TEXT(TRIM(S743),"00000")="89128", TEXT(TRIM(S743),"00000")="89135", TEXT(TRIM(S743),"00000")="89144", TEXT(TRIM(S743),"00000")="89145", TEXT(TRIM(S743),"00000")="89147"), "West Valley",
  TRUE, "Other"
)</f>
        <v>Missing/Unknown</v>
      </c>
      <c r="U743" t="s">
        <v>3298</v>
      </c>
      <c r="V743" t="str">
        <f t="shared" si="47"/>
        <v>Outdoors/Public</v>
      </c>
    </row>
    <row r="744" spans="1:22">
      <c r="A744" t="s">
        <v>141</v>
      </c>
      <c r="B744" t="s">
        <v>142</v>
      </c>
      <c r="C744" s="1">
        <v>45110</v>
      </c>
      <c r="D744" s="4">
        <v>113</v>
      </c>
      <c r="E744">
        <v>77</v>
      </c>
      <c r="F744" t="str">
        <f t="shared" si="44"/>
        <v>70's</v>
      </c>
      <c r="G744" t="str" cm="1">
        <f t="array" ref="G744">_xlfn.IFS(
  F744="10's", "Child (5–12)",
  OR(F744="20's", F744="30's"), "Young Adult (20–39)",
  OR(F744="40's", F744="50's"), "Adult (40–59)",
  OR(F744="60's", F744="70's", F744="80's", F744="90's"), "Senior (60+)",
  TRUE, "Unknown"
)</f>
        <v>Senior (60+)</v>
      </c>
      <c r="H744" t="s">
        <v>841</v>
      </c>
      <c r="I744" t="s">
        <v>63</v>
      </c>
      <c r="J744" t="str">
        <f t="shared" si="45"/>
        <v>Cardiovascular Disease</v>
      </c>
      <c r="K744" t="s">
        <v>54</v>
      </c>
      <c r="L744" t="s">
        <v>1071</v>
      </c>
      <c r="M744" t="s">
        <v>4642</v>
      </c>
      <c r="N744" t="s">
        <v>5108</v>
      </c>
      <c r="O744" t="str" cm="1">
        <f t="array" ref="O744">_xlfn.IFS(
  TEXT(TRIM(N744),"00000")="NULL", "Missing/Unknown",
  OR(TEXT(TRIM(N744),"00000")="89101", TEXT(TRIM(N744),"00000")="89104", TEXT(TRIM(N744),"00000")="89106", TEXT(TRIM(N744),"00000")="89102", TEXT(TRIM(N744),"00000")="89107", TEXT(TRIM(N744),"00000")="89108"), "Urban Core",
  OR(TEXT(TRIM(N744),"00000")="89110", TEXT(TRIM(N744),"00000")="89115", TEXT(TRIM(N744),"00000")="89121", TEXT(TRIM(N744),"00000")="89122", TEXT(TRIM(N744),"00000")="89142", TEXT(TRIM(N744),"00000")="89156"), "East Valley",
  OR(TEXT(TRIM(N744),"00000")="89030", TEXT(TRIM(N744),"00000")="89031", TEXT(TRIM(N744),"00000")="89032", TEXT(TRIM(N744),"00000")="89086", TEXT(TRIM(N744),"00000")="89084", TEXT(TRIM(N744),"00000")="89081"), "North LV",
  OR(TEXT(TRIM(N744),"00000")="89109", TEXT(TRIM(N744),"00000")="89103", TEXT(TRIM(N744),"00000")="89119", TEXT(TRIM(N744),"00000")="89123", TEXT(TRIM(N744),"00000")="89169", TEXT(TRIM(N744),"00000")="89118"), "South/Strip",
  OR(TEXT(TRIM(N744),"00000")="89074", TEXT(TRIM(N744),"00000")="89014", TEXT(TRIM(N744),"00000")="89015", TEXT(TRIM(N744),"00000")="89011", TEXT(TRIM(N744),"00000")="89012"), "Suburban SE",
  OR(TEXT(TRIM(N744),"00000")="89117", TEXT(TRIM(N744),"00000")="89128", TEXT(TRIM(N744),"00000")="89135", TEXT(TRIM(N744),"00000")="89144", TEXT(TRIM(N744),"00000")="89145", TEXT(TRIM(N744),"00000")="89147"), "West Valley",
  TRUE, "Other"
)</f>
        <v>East Valley</v>
      </c>
      <c r="P744" t="s">
        <v>3298</v>
      </c>
      <c r="Q744" t="str">
        <f t="shared" si="46"/>
        <v>Outdoors/Public</v>
      </c>
      <c r="R744" t="s">
        <v>4642</v>
      </c>
      <c r="S744" t="s">
        <v>5108</v>
      </c>
      <c r="T744" t="str" cm="1">
        <f t="array" ref="T744">_xlfn.IFS(
  TEXT(TRIM(S744),"00000")="NULL", "Missing/Unknown",
  OR(TEXT(TRIM(S744),"00000")="89101", TEXT(TRIM(S744),"00000")="89104", TEXT(TRIM(S744),"00000")="89106", TEXT(TRIM(S744),"00000")="89102", TEXT(TRIM(S744),"00000")="89107", TEXT(TRIM(S744),"00000")="89108"), "Urban Core",
  OR(TEXT(TRIM(S744),"00000")="89110", TEXT(TRIM(S744),"00000")="89115", TEXT(TRIM(S744),"00000")="89121", TEXT(TRIM(S744),"00000")="89122", TEXT(TRIM(S744),"00000")="89142", TEXT(TRIM(S744),"00000")="89156"), "East Valley",
  OR(TEXT(TRIM(S744),"00000")="89030", TEXT(TRIM(S744),"00000")="89031", TEXT(TRIM(S744),"00000")="89032", TEXT(TRIM(S744),"00000")="89086", TEXT(TRIM(S744),"00000")="89084", TEXT(TRIM(S744),"00000")="89081"), "North LV",
  OR(TEXT(TRIM(S744),"00000")="89109", TEXT(TRIM(S744),"00000")="89103", TEXT(TRIM(S744),"00000")="89119", TEXT(TRIM(S744),"00000")="89123", TEXT(TRIM(S744),"00000")="89169", TEXT(TRIM(S744),"00000")="89118"), "South/Strip",
  OR(TEXT(TRIM(S744),"00000")="89074", TEXT(TRIM(S744),"00000")="89014", TEXT(TRIM(S744),"00000")="89015", TEXT(TRIM(S744),"00000")="89011", TEXT(TRIM(S744),"00000")="89012"), "Suburban SE",
  OR(TEXT(TRIM(S744),"00000")="89117", TEXT(TRIM(S744),"00000")="89128", TEXT(TRIM(S744),"00000")="89135", TEXT(TRIM(S744),"00000")="89144", TEXT(TRIM(S744),"00000")="89145", TEXT(TRIM(S744),"00000")="89147"), "West Valley",
  TRUE, "Other"
)</f>
        <v>East Valley</v>
      </c>
      <c r="U744" t="s">
        <v>3298</v>
      </c>
      <c r="V744" t="str">
        <f t="shared" si="47"/>
        <v>Outdoors/Public</v>
      </c>
    </row>
    <row r="745" spans="1:22">
      <c r="A745" t="s">
        <v>144</v>
      </c>
      <c r="B745" t="s">
        <v>145</v>
      </c>
      <c r="C745" s="1">
        <v>45110</v>
      </c>
      <c r="D745" s="4">
        <v>113</v>
      </c>
      <c r="E745">
        <v>40</v>
      </c>
      <c r="F745" t="str">
        <f t="shared" si="44"/>
        <v>40's</v>
      </c>
      <c r="G745" t="str" cm="1">
        <f t="array" ref="G745">_xlfn.IFS(
  F745="10's", "Child (5–12)",
  OR(F745="20's", F745="30's"), "Young Adult (20–39)",
  OR(F745="40's", F745="50's"), "Adult (40–59)",
  OR(F745="60's", F745="70's", F745="80's", F745="90's"), "Senior (60+)",
  TRUE, "Unknown"
)</f>
        <v>Adult (40–59)</v>
      </c>
      <c r="H745" t="s">
        <v>778</v>
      </c>
      <c r="I745" t="s">
        <v>54</v>
      </c>
      <c r="J745" t="str">
        <f t="shared" si="45"/>
        <v>Environmental Heat</v>
      </c>
      <c r="K745" t="s">
        <v>63</v>
      </c>
      <c r="L745" t="s">
        <v>250</v>
      </c>
      <c r="M745" t="s">
        <v>4774</v>
      </c>
      <c r="N745" t="s">
        <v>5108</v>
      </c>
      <c r="O745" t="str" cm="1">
        <f t="array" ref="O745">_xlfn.IFS(
  TEXT(TRIM(N745),"00000")="NULL", "Missing/Unknown",
  OR(TEXT(TRIM(N745),"00000")="89101", TEXT(TRIM(N745),"00000")="89104", TEXT(TRIM(N745),"00000")="89106", TEXT(TRIM(N745),"00000")="89102", TEXT(TRIM(N745),"00000")="89107", TEXT(TRIM(N745),"00000")="89108"), "Urban Core",
  OR(TEXT(TRIM(N745),"00000")="89110", TEXT(TRIM(N745),"00000")="89115", TEXT(TRIM(N745),"00000")="89121", TEXT(TRIM(N745),"00000")="89122", TEXT(TRIM(N745),"00000")="89142", TEXT(TRIM(N745),"00000")="89156"), "East Valley",
  OR(TEXT(TRIM(N745),"00000")="89030", TEXT(TRIM(N745),"00000")="89031", TEXT(TRIM(N745),"00000")="89032", TEXT(TRIM(N745),"00000")="89086", TEXT(TRIM(N745),"00000")="89084", TEXT(TRIM(N745),"00000")="89081"), "North LV",
  OR(TEXT(TRIM(N745),"00000")="89109", TEXT(TRIM(N745),"00000")="89103", TEXT(TRIM(N745),"00000")="89119", TEXT(TRIM(N745),"00000")="89123", TEXT(TRIM(N745),"00000")="89169", TEXT(TRIM(N745),"00000")="89118"), "South/Strip",
  OR(TEXT(TRIM(N745),"00000")="89074", TEXT(TRIM(N745),"00000")="89014", TEXT(TRIM(N745),"00000")="89015", TEXT(TRIM(N745),"00000")="89011", TEXT(TRIM(N745),"00000")="89012"), "Suburban SE",
  OR(TEXT(TRIM(N745),"00000")="89117", TEXT(TRIM(N745),"00000")="89128", TEXT(TRIM(N745),"00000")="89135", TEXT(TRIM(N745),"00000")="89144", TEXT(TRIM(N745),"00000")="89145", TEXT(TRIM(N745),"00000")="89147"), "West Valley",
  TRUE, "Other"
)</f>
        <v>East Valley</v>
      </c>
      <c r="P745" t="s">
        <v>3298</v>
      </c>
      <c r="Q745" t="str">
        <f t="shared" si="46"/>
        <v>Outdoors/Public</v>
      </c>
      <c r="R745" t="s">
        <v>4774</v>
      </c>
      <c r="S745" t="s">
        <v>5108</v>
      </c>
      <c r="T745" t="str" cm="1">
        <f t="array" ref="T745">_xlfn.IFS(
  TEXT(TRIM(S745),"00000")="NULL", "Missing/Unknown",
  OR(TEXT(TRIM(S745),"00000")="89101", TEXT(TRIM(S745),"00000")="89104", TEXT(TRIM(S745),"00000")="89106", TEXT(TRIM(S745),"00000")="89102", TEXT(TRIM(S745),"00000")="89107", TEXT(TRIM(S745),"00000")="89108"), "Urban Core",
  OR(TEXT(TRIM(S745),"00000")="89110", TEXT(TRIM(S745),"00000")="89115", TEXT(TRIM(S745),"00000")="89121", TEXT(TRIM(S745),"00000")="89122", TEXT(TRIM(S745),"00000")="89142", TEXT(TRIM(S745),"00000")="89156"), "East Valley",
  OR(TEXT(TRIM(S745),"00000")="89030", TEXT(TRIM(S745),"00000")="89031", TEXT(TRIM(S745),"00000")="89032", TEXT(TRIM(S745),"00000")="89086", TEXT(TRIM(S745),"00000")="89084", TEXT(TRIM(S745),"00000")="89081"), "North LV",
  OR(TEXT(TRIM(S745),"00000")="89109", TEXT(TRIM(S745),"00000")="89103", TEXT(TRIM(S745),"00000")="89119", TEXT(TRIM(S745),"00000")="89123", TEXT(TRIM(S745),"00000")="89169", TEXT(TRIM(S745),"00000")="89118"), "South/Strip",
  OR(TEXT(TRIM(S745),"00000")="89074", TEXT(TRIM(S745),"00000")="89014", TEXT(TRIM(S745),"00000")="89015", TEXT(TRIM(S745),"00000")="89011", TEXT(TRIM(S745),"00000")="89012"), "Suburban SE",
  OR(TEXT(TRIM(S745),"00000")="89117", TEXT(TRIM(S745),"00000")="89128", TEXT(TRIM(S745),"00000")="89135", TEXT(TRIM(S745),"00000")="89144", TEXT(TRIM(S745),"00000")="89145", TEXT(TRIM(S745),"00000")="89147"), "West Valley",
  TRUE, "Other"
)</f>
        <v>East Valley</v>
      </c>
      <c r="U745" t="s">
        <v>3298</v>
      </c>
      <c r="V745" t="str">
        <f t="shared" si="47"/>
        <v>Outdoors/Public</v>
      </c>
    </row>
    <row r="746" spans="1:22">
      <c r="A746" t="s">
        <v>154</v>
      </c>
      <c r="B746" t="s">
        <v>155</v>
      </c>
      <c r="C746" s="1">
        <v>45110</v>
      </c>
      <c r="D746" s="4">
        <v>113</v>
      </c>
      <c r="E746">
        <v>66</v>
      </c>
      <c r="F746" t="str">
        <f t="shared" si="44"/>
        <v>60's</v>
      </c>
      <c r="G746" t="str" cm="1">
        <f t="array" ref="G746">_xlfn.IFS(
  F746="10's", "Child (5–12)",
  OR(F746="20's", F746="30's"), "Young Adult (20–39)",
  OR(F746="40's", F746="50's"), "Adult (40–59)",
  OR(F746="60's", F746="70's", F746="80's", F746="90's"), "Senior (60+)",
  TRUE, "Unknown"
)</f>
        <v>Senior (60+)</v>
      </c>
      <c r="H746" t="s">
        <v>841</v>
      </c>
      <c r="I746" t="s">
        <v>28</v>
      </c>
      <c r="J746" t="str">
        <f t="shared" si="45"/>
        <v>Cardiovascular Disease</v>
      </c>
      <c r="K746" t="s">
        <v>54</v>
      </c>
      <c r="L746" t="s">
        <v>1071</v>
      </c>
      <c r="M746" t="s">
        <v>4714</v>
      </c>
      <c r="N746" t="s">
        <v>5108</v>
      </c>
      <c r="O746" t="str" cm="1">
        <f t="array" ref="O746">_xlfn.IFS(
  TEXT(TRIM(N746),"00000")="NULL", "Missing/Unknown",
  OR(TEXT(TRIM(N746),"00000")="89101", TEXT(TRIM(N746),"00000")="89104", TEXT(TRIM(N746),"00000")="89106", TEXT(TRIM(N746),"00000")="89102", TEXT(TRIM(N746),"00000")="89107", TEXT(TRIM(N746),"00000")="89108"), "Urban Core",
  OR(TEXT(TRIM(N746),"00000")="89110", TEXT(TRIM(N746),"00000")="89115", TEXT(TRIM(N746),"00000")="89121", TEXT(TRIM(N746),"00000")="89122", TEXT(TRIM(N746),"00000")="89142", TEXT(TRIM(N746),"00000")="89156"), "East Valley",
  OR(TEXT(TRIM(N746),"00000")="89030", TEXT(TRIM(N746),"00000")="89031", TEXT(TRIM(N746),"00000")="89032", TEXT(TRIM(N746),"00000")="89086", TEXT(TRIM(N746),"00000")="89084", TEXT(TRIM(N746),"00000")="89081"), "North LV",
  OR(TEXT(TRIM(N746),"00000")="89109", TEXT(TRIM(N746),"00000")="89103", TEXT(TRIM(N746),"00000")="89119", TEXT(TRIM(N746),"00000")="89123", TEXT(TRIM(N746),"00000")="89169", TEXT(TRIM(N746),"00000")="89118"), "South/Strip",
  OR(TEXT(TRIM(N746),"00000")="89074", TEXT(TRIM(N746),"00000")="89014", TEXT(TRIM(N746),"00000")="89015", TEXT(TRIM(N746),"00000")="89011", TEXT(TRIM(N746),"00000")="89012"), "Suburban SE",
  OR(TEXT(TRIM(N746),"00000")="89117", TEXT(TRIM(N746),"00000")="89128", TEXT(TRIM(N746),"00000")="89135", TEXT(TRIM(N746),"00000")="89144", TEXT(TRIM(N746),"00000")="89145", TEXT(TRIM(N746),"00000")="89147"), "West Valley",
  TRUE, "Other"
)</f>
        <v>East Valley</v>
      </c>
      <c r="P746" t="s">
        <v>38</v>
      </c>
      <c r="Q746" t="str">
        <f t="shared" si="46"/>
        <v>Home/Residence</v>
      </c>
      <c r="R746" t="s">
        <v>4714</v>
      </c>
      <c r="S746" t="s">
        <v>5108</v>
      </c>
      <c r="T746" t="str" cm="1">
        <f t="array" ref="T746">_xlfn.IFS(
  TEXT(TRIM(S746),"00000")="NULL", "Missing/Unknown",
  OR(TEXT(TRIM(S746),"00000")="89101", TEXT(TRIM(S746),"00000")="89104", TEXT(TRIM(S746),"00000")="89106", TEXT(TRIM(S746),"00000")="89102", TEXT(TRIM(S746),"00000")="89107", TEXT(TRIM(S746),"00000")="89108"), "Urban Core",
  OR(TEXT(TRIM(S746),"00000")="89110", TEXT(TRIM(S746),"00000")="89115", TEXT(TRIM(S746),"00000")="89121", TEXT(TRIM(S746),"00000")="89122", TEXT(TRIM(S746),"00000")="89142", TEXT(TRIM(S746),"00000")="89156"), "East Valley",
  OR(TEXT(TRIM(S746),"00000")="89030", TEXT(TRIM(S746),"00000")="89031", TEXT(TRIM(S746),"00000")="89032", TEXT(TRIM(S746),"00000")="89086", TEXT(TRIM(S746),"00000")="89084", TEXT(TRIM(S746),"00000")="89081"), "North LV",
  OR(TEXT(TRIM(S746),"00000")="89109", TEXT(TRIM(S746),"00000")="89103", TEXT(TRIM(S746),"00000")="89119", TEXT(TRIM(S746),"00000")="89123", TEXT(TRIM(S746),"00000")="89169", TEXT(TRIM(S746),"00000")="89118"), "South/Strip",
  OR(TEXT(TRIM(S746),"00000")="89074", TEXT(TRIM(S746),"00000")="89014", TEXT(TRIM(S746),"00000")="89015", TEXT(TRIM(S746),"00000")="89011", TEXT(TRIM(S746),"00000")="89012"), "Suburban SE",
  OR(TEXT(TRIM(S746),"00000")="89117", TEXT(TRIM(S746),"00000")="89128", TEXT(TRIM(S746),"00000")="89135", TEXT(TRIM(S746),"00000")="89144", TEXT(TRIM(S746),"00000")="89145", TEXT(TRIM(S746),"00000")="89147"), "West Valley",
  TRUE, "Other"
)</f>
        <v>East Valley</v>
      </c>
      <c r="U746" t="s">
        <v>3298</v>
      </c>
      <c r="V746" t="str">
        <f t="shared" si="47"/>
        <v>Outdoors/Public</v>
      </c>
    </row>
    <row r="747" spans="1:22">
      <c r="A747" t="s">
        <v>151</v>
      </c>
      <c r="B747" t="s">
        <v>152</v>
      </c>
      <c r="C747" s="1">
        <v>45110</v>
      </c>
      <c r="D747" s="4">
        <v>113</v>
      </c>
      <c r="E747">
        <v>50</v>
      </c>
      <c r="F747" t="str">
        <f t="shared" si="44"/>
        <v>50's</v>
      </c>
      <c r="G747" t="str" cm="1">
        <f t="array" ref="G747">_xlfn.IFS(
  F747="10's", "Child (5–12)",
  OR(F747="20's", F747="30's"), "Young Adult (20–39)",
  OR(F747="40's", F747="50's"), "Adult (40–59)",
  OR(F747="60's", F747="70's", F747="80's", F747="90's"), "Senior (60+)",
  TRUE, "Unknown"
)</f>
        <v>Adult (40–59)</v>
      </c>
      <c r="H747" t="s">
        <v>841</v>
      </c>
      <c r="I747" t="s">
        <v>135</v>
      </c>
      <c r="J747" t="str">
        <f t="shared" si="45"/>
        <v>Methamphetamine-related</v>
      </c>
      <c r="K747" t="s">
        <v>54</v>
      </c>
      <c r="L747" t="s">
        <v>250</v>
      </c>
      <c r="M747" t="s">
        <v>4778</v>
      </c>
      <c r="N747" t="s">
        <v>5101</v>
      </c>
      <c r="O747" t="str" cm="1">
        <f t="array" ref="O747">_xlfn.IFS(
  TEXT(TRIM(N747),"00000")="NULL", "Missing/Unknown",
  OR(TEXT(TRIM(N747),"00000")="89101", TEXT(TRIM(N747),"00000")="89104", TEXT(TRIM(N747),"00000")="89106", TEXT(TRIM(N747),"00000")="89102", TEXT(TRIM(N747),"00000")="89107", TEXT(TRIM(N747),"00000")="89108"), "Urban Core",
  OR(TEXT(TRIM(N747),"00000")="89110", TEXT(TRIM(N747),"00000")="89115", TEXT(TRIM(N747),"00000")="89121", TEXT(TRIM(N747),"00000")="89122", TEXT(TRIM(N747),"00000")="89142", TEXT(TRIM(N747),"00000")="89156"), "East Valley",
  OR(TEXT(TRIM(N747),"00000")="89030", TEXT(TRIM(N747),"00000")="89031", TEXT(TRIM(N747),"00000")="89032", TEXT(TRIM(N747),"00000")="89086", TEXT(TRIM(N747),"00000")="89084", TEXT(TRIM(N747),"00000")="89081"), "North LV",
  OR(TEXT(TRIM(N747),"00000")="89109", TEXT(TRIM(N747),"00000")="89103", TEXT(TRIM(N747),"00000")="89119", TEXT(TRIM(N747),"00000")="89123", TEXT(TRIM(N747),"00000")="89169", TEXT(TRIM(N747),"00000")="89118"), "South/Strip",
  OR(TEXT(TRIM(N747),"00000")="89074", TEXT(TRIM(N747),"00000")="89014", TEXT(TRIM(N747),"00000")="89015", TEXT(TRIM(N747),"00000")="89011", TEXT(TRIM(N747),"00000")="89012"), "Suburban SE",
  OR(TEXT(TRIM(N747),"00000")="89117", TEXT(TRIM(N747),"00000")="89128", TEXT(TRIM(N747),"00000")="89135", TEXT(TRIM(N747),"00000")="89144", TEXT(TRIM(N747),"00000")="89145", TEXT(TRIM(N747),"00000")="89147"), "West Valley",
  TRUE, "Other"
)</f>
        <v>Urban Core</v>
      </c>
      <c r="P747" t="s">
        <v>3298</v>
      </c>
      <c r="Q747" t="str">
        <f t="shared" si="46"/>
        <v>Outdoors/Public</v>
      </c>
      <c r="R747" t="s">
        <v>4778</v>
      </c>
      <c r="S747" t="s">
        <v>5101</v>
      </c>
      <c r="T747" t="str" cm="1">
        <f t="array" ref="T747">_xlfn.IFS(
  TEXT(TRIM(S747),"00000")="NULL", "Missing/Unknown",
  OR(TEXT(TRIM(S747),"00000")="89101", TEXT(TRIM(S747),"00000")="89104", TEXT(TRIM(S747),"00000")="89106", TEXT(TRIM(S747),"00000")="89102", TEXT(TRIM(S747),"00000")="89107", TEXT(TRIM(S747),"00000")="89108"), "Urban Core",
  OR(TEXT(TRIM(S747),"00000")="89110", TEXT(TRIM(S747),"00000")="89115", TEXT(TRIM(S747),"00000")="89121", TEXT(TRIM(S747),"00000")="89122", TEXT(TRIM(S747),"00000")="89142", TEXT(TRIM(S747),"00000")="89156"), "East Valley",
  OR(TEXT(TRIM(S747),"00000")="89030", TEXT(TRIM(S747),"00000")="89031", TEXT(TRIM(S747),"00000")="89032", TEXT(TRIM(S747),"00000")="89086", TEXT(TRIM(S747),"00000")="89084", TEXT(TRIM(S747),"00000")="89081"), "North LV",
  OR(TEXT(TRIM(S747),"00000")="89109", TEXT(TRIM(S747),"00000")="89103", TEXT(TRIM(S747),"00000")="89119", TEXT(TRIM(S747),"00000")="89123", TEXT(TRIM(S747),"00000")="89169", TEXT(TRIM(S747),"00000")="89118"), "South/Strip",
  OR(TEXT(TRIM(S747),"00000")="89074", TEXT(TRIM(S747),"00000")="89014", TEXT(TRIM(S747),"00000")="89015", TEXT(TRIM(S747),"00000")="89011", TEXT(TRIM(S747),"00000")="89012"), "Suburban SE",
  OR(TEXT(TRIM(S747),"00000")="89117", TEXT(TRIM(S747),"00000")="89128", TEXT(TRIM(S747),"00000")="89135", TEXT(TRIM(S747),"00000")="89144", TEXT(TRIM(S747),"00000")="89145", TEXT(TRIM(S747),"00000")="89147"), "West Valley",
  TRUE, "Other"
)</f>
        <v>Urban Core</v>
      </c>
      <c r="U747" t="s">
        <v>3298</v>
      </c>
      <c r="V747" t="str">
        <f t="shared" si="47"/>
        <v>Outdoors/Public</v>
      </c>
    </row>
    <row r="748" spans="1:22">
      <c r="A748" t="s">
        <v>137</v>
      </c>
      <c r="B748" t="s">
        <v>138</v>
      </c>
      <c r="C748" s="1">
        <v>45110</v>
      </c>
      <c r="D748" s="4">
        <v>113</v>
      </c>
      <c r="E748">
        <v>90</v>
      </c>
      <c r="F748" t="str">
        <f t="shared" si="44"/>
        <v>90's</v>
      </c>
      <c r="G748" t="str" cm="1">
        <f t="array" ref="G748">_xlfn.IFS(
  F748="10's", "Child (5–12)",
  OR(F748="20's", F748="30's"), "Young Adult (20–39)",
  OR(F748="40's", F748="50's"), "Adult (40–59)",
  OR(F748="60's", F748="70's", F748="80's", F748="90's"), "Senior (60+)",
  TRUE, "Unknown"
)</f>
        <v>Senior (60+)</v>
      </c>
      <c r="H748" t="s">
        <v>841</v>
      </c>
      <c r="I748" t="s">
        <v>54</v>
      </c>
      <c r="J748" t="str">
        <f t="shared" si="45"/>
        <v>Environmental Heat</v>
      </c>
      <c r="K748" t="s">
        <v>4234</v>
      </c>
      <c r="L748" t="s">
        <v>1071</v>
      </c>
      <c r="M748" t="s">
        <v>4980</v>
      </c>
      <c r="N748" t="s">
        <v>5105</v>
      </c>
      <c r="O748" t="str" cm="1">
        <f t="array" ref="O748">_xlfn.IFS(
  TEXT(TRIM(N748),"00000")="NULL", "Missing/Unknown",
  OR(TEXT(TRIM(N748),"00000")="89101", TEXT(TRIM(N748),"00000")="89104", TEXT(TRIM(N748),"00000")="89106", TEXT(TRIM(N748),"00000")="89102", TEXT(TRIM(N748),"00000")="89107", TEXT(TRIM(N748),"00000")="89108"), "Urban Core",
  OR(TEXT(TRIM(N748),"00000")="89110", TEXT(TRIM(N748),"00000")="89115", TEXT(TRIM(N748),"00000")="89121", TEXT(TRIM(N748),"00000")="89122", TEXT(TRIM(N748),"00000")="89142", TEXT(TRIM(N748),"00000")="89156"), "East Valley",
  OR(TEXT(TRIM(N748),"00000")="89030", TEXT(TRIM(N748),"00000")="89031", TEXT(TRIM(N748),"00000")="89032", TEXT(TRIM(N748),"00000")="89086", TEXT(TRIM(N748),"00000")="89084", TEXT(TRIM(N748),"00000")="89081"), "North LV",
  OR(TEXT(TRIM(N748),"00000")="89109", TEXT(TRIM(N748),"00000")="89103", TEXT(TRIM(N748),"00000")="89119", TEXT(TRIM(N748),"00000")="89123", TEXT(TRIM(N748),"00000")="89169", TEXT(TRIM(N748),"00000")="89118"), "South/Strip",
  OR(TEXT(TRIM(N748),"00000")="89074", TEXT(TRIM(N748),"00000")="89014", TEXT(TRIM(N748),"00000")="89015", TEXT(TRIM(N748),"00000")="89011", TEXT(TRIM(N748),"00000")="89012"), "Suburban SE",
  OR(TEXT(TRIM(N748),"00000")="89117", TEXT(TRIM(N748),"00000")="89128", TEXT(TRIM(N748),"00000")="89135", TEXT(TRIM(N748),"00000")="89144", TEXT(TRIM(N748),"00000")="89145", TEXT(TRIM(N748),"00000")="89147"), "West Valley",
  TRUE, "Other"
)</f>
        <v>East Valley</v>
      </c>
      <c r="P748" t="s">
        <v>65</v>
      </c>
      <c r="Q748" t="str">
        <f t="shared" si="46"/>
        <v>Vehicle-related</v>
      </c>
      <c r="R748" t="s">
        <v>4980</v>
      </c>
      <c r="S748" t="s">
        <v>5105</v>
      </c>
      <c r="T748" t="str" cm="1">
        <f t="array" ref="T748">_xlfn.IFS(
  TEXT(TRIM(S748),"00000")="NULL", "Missing/Unknown",
  OR(TEXT(TRIM(S748),"00000")="89101", TEXT(TRIM(S748),"00000")="89104", TEXT(TRIM(S748),"00000")="89106", TEXT(TRIM(S748),"00000")="89102", TEXT(TRIM(S748),"00000")="89107", TEXT(TRIM(S748),"00000")="89108"), "Urban Core",
  OR(TEXT(TRIM(S748),"00000")="89110", TEXT(TRIM(S748),"00000")="89115", TEXT(TRIM(S748),"00000")="89121", TEXT(TRIM(S748),"00000")="89122", TEXT(TRIM(S748),"00000")="89142", TEXT(TRIM(S748),"00000")="89156"), "East Valley",
  OR(TEXT(TRIM(S748),"00000")="89030", TEXT(TRIM(S748),"00000")="89031", TEXT(TRIM(S748),"00000")="89032", TEXT(TRIM(S748),"00000")="89086", TEXT(TRIM(S748),"00000")="89084", TEXT(TRIM(S748),"00000")="89081"), "North LV",
  OR(TEXT(TRIM(S748),"00000")="89109", TEXT(TRIM(S748),"00000")="89103", TEXT(TRIM(S748),"00000")="89119", TEXT(TRIM(S748),"00000")="89123", TEXT(TRIM(S748),"00000")="89169", TEXT(TRIM(S748),"00000")="89118"), "South/Strip",
  OR(TEXT(TRIM(S748),"00000")="89074", TEXT(TRIM(S748),"00000")="89014", TEXT(TRIM(S748),"00000")="89015", TEXT(TRIM(S748),"00000")="89011", TEXT(TRIM(S748),"00000")="89012"), "Suburban SE",
  OR(TEXT(TRIM(S748),"00000")="89117", TEXT(TRIM(S748),"00000")="89128", TEXT(TRIM(S748),"00000")="89135", TEXT(TRIM(S748),"00000")="89144", TEXT(TRIM(S748),"00000")="89145", TEXT(TRIM(S748),"00000")="89147"), "West Valley",
  TRUE, "Other"
)</f>
        <v>East Valley</v>
      </c>
      <c r="U748" t="s">
        <v>65</v>
      </c>
      <c r="V748" t="str">
        <f t="shared" si="47"/>
        <v>Vehicle-related</v>
      </c>
    </row>
    <row r="749" spans="1:22">
      <c r="A749" t="s">
        <v>147</v>
      </c>
      <c r="B749" t="s">
        <v>148</v>
      </c>
      <c r="C749" s="1">
        <v>45110</v>
      </c>
      <c r="D749" s="4">
        <v>113</v>
      </c>
      <c r="E749">
        <v>53</v>
      </c>
      <c r="F749" t="str">
        <f t="shared" si="44"/>
        <v>50's</v>
      </c>
      <c r="G749" t="str" cm="1">
        <f t="array" ref="G749">_xlfn.IFS(
  F749="10's", "Child (5–12)",
  OR(F749="20's", F749="30's"), "Young Adult (20–39)",
  OR(F749="40's", F749="50's"), "Adult (40–59)",
  OR(F749="60's", F749="70's", F749="80's", F749="90's"), "Senior (60+)",
  TRUE, "Unknown"
)</f>
        <v>Adult (40–59)</v>
      </c>
      <c r="H749" t="s">
        <v>841</v>
      </c>
      <c r="I749" t="s">
        <v>54</v>
      </c>
      <c r="J749" t="str">
        <f t="shared" si="45"/>
        <v>Environmental Heat</v>
      </c>
      <c r="K749" t="s">
        <v>63</v>
      </c>
      <c r="L749" t="s">
        <v>1071</v>
      </c>
      <c r="M749" t="s">
        <v>4543</v>
      </c>
      <c r="N749" t="s">
        <v>5143</v>
      </c>
      <c r="O749" t="str" cm="1">
        <f t="array" ref="O749">_xlfn.IFS(
  TEXT(TRIM(N749),"00000")="NULL", "Missing/Unknown",
  OR(TEXT(TRIM(N749),"00000")="89101", TEXT(TRIM(N749),"00000")="89104", TEXT(TRIM(N749),"00000")="89106", TEXT(TRIM(N749),"00000")="89102", TEXT(TRIM(N749),"00000")="89107", TEXT(TRIM(N749),"00000")="89108"), "Urban Core",
  OR(TEXT(TRIM(N749),"00000")="89110", TEXT(TRIM(N749),"00000")="89115", TEXT(TRIM(N749),"00000")="89121", TEXT(TRIM(N749),"00000")="89122", TEXT(TRIM(N749),"00000")="89142", TEXT(TRIM(N749),"00000")="89156"), "East Valley",
  OR(TEXT(TRIM(N749),"00000")="89030", TEXT(TRIM(N749),"00000")="89031", TEXT(TRIM(N749),"00000")="89032", TEXT(TRIM(N749),"00000")="89086", TEXT(TRIM(N749),"00000")="89084", TEXT(TRIM(N749),"00000")="89081"), "North LV",
  OR(TEXT(TRIM(N749),"00000")="89109", TEXT(TRIM(N749),"00000")="89103", TEXT(TRIM(N749),"00000")="89119", TEXT(TRIM(N749),"00000")="89123", TEXT(TRIM(N749),"00000")="89169", TEXT(TRIM(N749),"00000")="89118"), "South/Strip",
  OR(TEXT(TRIM(N749),"00000")="89074", TEXT(TRIM(N749),"00000")="89014", TEXT(TRIM(N749),"00000")="89015", TEXT(TRIM(N749),"00000")="89011", TEXT(TRIM(N749),"00000")="89012"), "Suburban SE",
  OR(TEXT(TRIM(N749),"00000")="89117", TEXT(TRIM(N749),"00000")="89128", TEXT(TRIM(N749),"00000")="89135", TEXT(TRIM(N749),"00000")="89144", TEXT(TRIM(N749),"00000")="89145", TEXT(TRIM(N749),"00000")="89147"), "West Valley",
  TRUE, "Other"
)</f>
        <v>West Valley</v>
      </c>
      <c r="P749" t="s">
        <v>3298</v>
      </c>
      <c r="Q749" t="str">
        <f t="shared" si="46"/>
        <v>Outdoors/Public</v>
      </c>
      <c r="R749" t="s">
        <v>4794</v>
      </c>
      <c r="S749" t="s">
        <v>5163</v>
      </c>
      <c r="T749" t="str" cm="1">
        <f t="array" ref="T749">_xlfn.IFS(
  TEXT(TRIM(S749),"00000")="NULL", "Missing/Unknown",
  OR(TEXT(TRIM(S749),"00000")="89101", TEXT(TRIM(S749),"00000")="89104", TEXT(TRIM(S749),"00000")="89106", TEXT(TRIM(S749),"00000")="89102", TEXT(TRIM(S749),"00000")="89107", TEXT(TRIM(S749),"00000")="89108"), "Urban Core",
  OR(TEXT(TRIM(S749),"00000")="89110", TEXT(TRIM(S749),"00000")="89115", TEXT(TRIM(S749),"00000")="89121", TEXT(TRIM(S749),"00000")="89122", TEXT(TRIM(S749),"00000")="89142", TEXT(TRIM(S749),"00000")="89156"), "East Valley",
  OR(TEXT(TRIM(S749),"00000")="89030", TEXT(TRIM(S749),"00000")="89031", TEXT(TRIM(S749),"00000")="89032", TEXT(TRIM(S749),"00000")="89086", TEXT(TRIM(S749),"00000")="89084", TEXT(TRIM(S749),"00000")="89081"), "North LV",
  OR(TEXT(TRIM(S749),"00000")="89109", TEXT(TRIM(S749),"00000")="89103", TEXT(TRIM(S749),"00000")="89119", TEXT(TRIM(S749),"00000")="89123", TEXT(TRIM(S749),"00000")="89169", TEXT(TRIM(S749),"00000")="89118"), "South/Strip",
  OR(TEXT(TRIM(S749),"00000")="89074", TEXT(TRIM(S749),"00000")="89014", TEXT(TRIM(S749),"00000")="89015", TEXT(TRIM(S749),"00000")="89011", TEXT(TRIM(S749),"00000")="89012"), "Suburban SE",
  OR(TEXT(TRIM(S749),"00000")="89117", TEXT(TRIM(S749),"00000")="89128", TEXT(TRIM(S749),"00000")="89135", TEXT(TRIM(S749),"00000")="89144", TEXT(TRIM(S749),"00000")="89145", TEXT(TRIM(S749),"00000")="89147"), "West Valley",
  TRUE, "Other"
)</f>
        <v>Other</v>
      </c>
      <c r="U749" t="s">
        <v>4301</v>
      </c>
      <c r="V749" t="str">
        <f t="shared" si="47"/>
        <v>Medical Facility</v>
      </c>
    </row>
    <row r="750" spans="1:22">
      <c r="A750" t="s">
        <v>128</v>
      </c>
      <c r="B750" t="s">
        <v>129</v>
      </c>
      <c r="C750" s="1">
        <v>45109</v>
      </c>
      <c r="D750" s="4">
        <v>111.02</v>
      </c>
      <c r="E750">
        <v>35</v>
      </c>
      <c r="F750" t="str">
        <f t="shared" si="44"/>
        <v>30's</v>
      </c>
      <c r="G750" t="str" cm="1">
        <f t="array" ref="G750">_xlfn.IFS(
  F750="10's", "Child (5–12)",
  OR(F750="20's", F750="30's"), "Young Adult (20–39)",
  OR(F750="40's", F750="50's"), "Adult (40–59)",
  OR(F750="60's", F750="70's", F750="80's", F750="90's"), "Senior (60+)",
  TRUE, "Unknown"
)</f>
        <v>Young Adult (20–39)</v>
      </c>
      <c r="H750" t="s">
        <v>778</v>
      </c>
      <c r="I750" t="s">
        <v>4094</v>
      </c>
      <c r="J750" t="str">
        <f t="shared" si="45"/>
        <v>Methamphetamine-related</v>
      </c>
      <c r="K750" t="s">
        <v>54</v>
      </c>
      <c r="L750" t="s">
        <v>250</v>
      </c>
      <c r="M750" t="s">
        <v>4320</v>
      </c>
      <c r="N750" t="s">
        <v>5098</v>
      </c>
      <c r="O750" t="str" cm="1">
        <f t="array" ref="O750">_xlfn.IFS(
  TEXT(TRIM(N750),"00000")="NULL", "Missing/Unknown",
  OR(TEXT(TRIM(N750),"00000")="89101", TEXT(TRIM(N750),"00000")="89104", TEXT(TRIM(N750),"00000")="89106", TEXT(TRIM(N750),"00000")="89102", TEXT(TRIM(N750),"00000")="89107", TEXT(TRIM(N750),"00000")="89108"), "Urban Core",
  OR(TEXT(TRIM(N750),"00000")="89110", TEXT(TRIM(N750),"00000")="89115", TEXT(TRIM(N750),"00000")="89121", TEXT(TRIM(N750),"00000")="89122", TEXT(TRIM(N750),"00000")="89142", TEXT(TRIM(N750),"00000")="89156"), "East Valley",
  OR(TEXT(TRIM(N750),"00000")="89030", TEXT(TRIM(N750),"00000")="89031", TEXT(TRIM(N750),"00000")="89032", TEXT(TRIM(N750),"00000")="89086", TEXT(TRIM(N750),"00000")="89084", TEXT(TRIM(N750),"00000")="89081"), "North LV",
  OR(TEXT(TRIM(N750),"00000")="89109", TEXT(TRIM(N750),"00000")="89103", TEXT(TRIM(N750),"00000")="89119", TEXT(TRIM(N750),"00000")="89123", TEXT(TRIM(N750),"00000")="89169", TEXT(TRIM(N750),"00000")="89118"), "South/Strip",
  OR(TEXT(TRIM(N750),"00000")="89074", TEXT(TRIM(N750),"00000")="89014", TEXT(TRIM(N750),"00000")="89015", TEXT(TRIM(N750),"00000")="89011", TEXT(TRIM(N750),"00000")="89012"), "Suburban SE",
  OR(TEXT(TRIM(N750),"00000")="89117", TEXT(TRIM(N750),"00000")="89128", TEXT(TRIM(N750),"00000")="89135", TEXT(TRIM(N750),"00000")="89144", TEXT(TRIM(N750),"00000")="89145", TEXT(TRIM(N750),"00000")="89147"), "West Valley",
  TRUE, "Other"
)</f>
        <v>Urban Core</v>
      </c>
      <c r="P750" t="s">
        <v>132</v>
      </c>
      <c r="Q750" t="str">
        <f t="shared" si="46"/>
        <v>Outdoors/Public</v>
      </c>
      <c r="R750" t="s">
        <v>4320</v>
      </c>
      <c r="S750" t="s">
        <v>5098</v>
      </c>
      <c r="T750" t="str" cm="1">
        <f t="array" ref="T750">_xlfn.IFS(
  TEXT(TRIM(S750),"00000")="NULL", "Missing/Unknown",
  OR(TEXT(TRIM(S750),"00000")="89101", TEXT(TRIM(S750),"00000")="89104", TEXT(TRIM(S750),"00000")="89106", TEXT(TRIM(S750),"00000")="89102", TEXT(TRIM(S750),"00000")="89107", TEXT(TRIM(S750),"00000")="89108"), "Urban Core",
  OR(TEXT(TRIM(S750),"00000")="89110", TEXT(TRIM(S750),"00000")="89115", TEXT(TRIM(S750),"00000")="89121", TEXT(TRIM(S750),"00000")="89122", TEXT(TRIM(S750),"00000")="89142", TEXT(TRIM(S750),"00000")="89156"), "East Valley",
  OR(TEXT(TRIM(S750),"00000")="89030", TEXT(TRIM(S750),"00000")="89031", TEXT(TRIM(S750),"00000")="89032", TEXT(TRIM(S750),"00000")="89086", TEXT(TRIM(S750),"00000")="89084", TEXT(TRIM(S750),"00000")="89081"), "North LV",
  OR(TEXT(TRIM(S750),"00000")="89109", TEXT(TRIM(S750),"00000")="89103", TEXT(TRIM(S750),"00000")="89119", TEXT(TRIM(S750),"00000")="89123", TEXT(TRIM(S750),"00000")="89169", TEXT(TRIM(S750),"00000")="89118"), "South/Strip",
  OR(TEXT(TRIM(S750),"00000")="89074", TEXT(TRIM(S750),"00000")="89014", TEXT(TRIM(S750),"00000")="89015", TEXT(TRIM(S750),"00000")="89011", TEXT(TRIM(S750),"00000")="89012"), "Suburban SE",
  OR(TEXT(TRIM(S750),"00000")="89117", TEXT(TRIM(S750),"00000")="89128", TEXT(TRIM(S750),"00000")="89135", TEXT(TRIM(S750),"00000")="89144", TEXT(TRIM(S750),"00000")="89145", TEXT(TRIM(S750),"00000")="89147"), "West Valley",
  TRUE, "Other"
)</f>
        <v>Urban Core</v>
      </c>
      <c r="U750" t="s">
        <v>132</v>
      </c>
      <c r="V750" t="str">
        <f t="shared" si="47"/>
        <v>Outdoors/Public</v>
      </c>
    </row>
    <row r="751" spans="1:22">
      <c r="A751" t="s">
        <v>133</v>
      </c>
      <c r="B751" t="s">
        <v>134</v>
      </c>
      <c r="C751" s="1">
        <v>45109</v>
      </c>
      <c r="D751" s="4">
        <v>111.02</v>
      </c>
      <c r="E751">
        <v>46</v>
      </c>
      <c r="F751" t="str">
        <f t="shared" si="44"/>
        <v>40's</v>
      </c>
      <c r="G751" t="str" cm="1">
        <f t="array" ref="G751">_xlfn.IFS(
  F751="10's", "Child (5–12)",
  OR(F751="20's", F751="30's"), "Young Adult (20–39)",
  OR(F751="40's", F751="50's"), "Adult (40–59)",
  OR(F751="60's", F751="70's", F751="80's", F751="90's"), "Senior (60+)",
  TRUE, "Unknown"
)</f>
        <v>Adult (40–59)</v>
      </c>
      <c r="H751" t="s">
        <v>841</v>
      </c>
      <c r="I751" t="s">
        <v>135</v>
      </c>
      <c r="J751" t="str">
        <f t="shared" si="45"/>
        <v>Methamphetamine-related</v>
      </c>
      <c r="K751" t="s">
        <v>54</v>
      </c>
      <c r="L751" t="s">
        <v>1071</v>
      </c>
      <c r="M751" t="s">
        <v>4422</v>
      </c>
      <c r="N751" t="s">
        <v>5117</v>
      </c>
      <c r="O751" t="str" cm="1">
        <f t="array" ref="O751">_xlfn.IFS(
  TEXT(TRIM(N751),"00000")="NULL", "Missing/Unknown",
  OR(TEXT(TRIM(N751),"00000")="89101", TEXT(TRIM(N751),"00000")="89104", TEXT(TRIM(N751),"00000")="89106", TEXT(TRIM(N751),"00000")="89102", TEXT(TRIM(N751),"00000")="89107", TEXT(TRIM(N751),"00000")="89108"), "Urban Core",
  OR(TEXT(TRIM(N751),"00000")="89110", TEXT(TRIM(N751),"00000")="89115", TEXT(TRIM(N751),"00000")="89121", TEXT(TRIM(N751),"00000")="89122", TEXT(TRIM(N751),"00000")="89142", TEXT(TRIM(N751),"00000")="89156"), "East Valley",
  OR(TEXT(TRIM(N751),"00000")="89030", TEXT(TRIM(N751),"00000")="89031", TEXT(TRIM(N751),"00000")="89032", TEXT(TRIM(N751),"00000")="89086", TEXT(TRIM(N751),"00000")="89084", TEXT(TRIM(N751),"00000")="89081"), "North LV",
  OR(TEXT(TRIM(N751),"00000")="89109", TEXT(TRIM(N751),"00000")="89103", TEXT(TRIM(N751),"00000")="89119", TEXT(TRIM(N751),"00000")="89123", TEXT(TRIM(N751),"00000")="89169", TEXT(TRIM(N751),"00000")="89118"), "South/Strip",
  OR(TEXT(TRIM(N751),"00000")="89074", TEXT(TRIM(N751),"00000")="89014", TEXT(TRIM(N751),"00000")="89015", TEXT(TRIM(N751),"00000")="89011", TEXT(TRIM(N751),"00000")="89012"), "Suburban SE",
  OR(TEXT(TRIM(N751),"00000")="89117", TEXT(TRIM(N751),"00000")="89128", TEXT(TRIM(N751),"00000")="89135", TEXT(TRIM(N751),"00000")="89144", TEXT(TRIM(N751),"00000")="89145", TEXT(TRIM(N751),"00000")="89147"), "West Valley",
  TRUE, "Other"
)</f>
        <v>North LV</v>
      </c>
      <c r="P751" t="s">
        <v>38</v>
      </c>
      <c r="Q751" t="str">
        <f t="shared" si="46"/>
        <v>Home/Residence</v>
      </c>
      <c r="R751" t="s">
        <v>4422</v>
      </c>
      <c r="S751" t="s">
        <v>5117</v>
      </c>
      <c r="T751" t="str" cm="1">
        <f t="array" ref="T751">_xlfn.IFS(
  TEXT(TRIM(S751),"00000")="NULL", "Missing/Unknown",
  OR(TEXT(TRIM(S751),"00000")="89101", TEXT(TRIM(S751),"00000")="89104", TEXT(TRIM(S751),"00000")="89106", TEXT(TRIM(S751),"00000")="89102", TEXT(TRIM(S751),"00000")="89107", TEXT(TRIM(S751),"00000")="89108"), "Urban Core",
  OR(TEXT(TRIM(S751),"00000")="89110", TEXT(TRIM(S751),"00000")="89115", TEXT(TRIM(S751),"00000")="89121", TEXT(TRIM(S751),"00000")="89122", TEXT(TRIM(S751),"00000")="89142", TEXT(TRIM(S751),"00000")="89156"), "East Valley",
  OR(TEXT(TRIM(S751),"00000")="89030", TEXT(TRIM(S751),"00000")="89031", TEXT(TRIM(S751),"00000")="89032", TEXT(TRIM(S751),"00000")="89086", TEXT(TRIM(S751),"00000")="89084", TEXT(TRIM(S751),"00000")="89081"), "North LV",
  OR(TEXT(TRIM(S751),"00000")="89109", TEXT(TRIM(S751),"00000")="89103", TEXT(TRIM(S751),"00000")="89119", TEXT(TRIM(S751),"00000")="89123", TEXT(TRIM(S751),"00000")="89169", TEXT(TRIM(S751),"00000")="89118"), "South/Strip",
  OR(TEXT(TRIM(S751),"00000")="89074", TEXT(TRIM(S751),"00000")="89014", TEXT(TRIM(S751),"00000")="89015", TEXT(TRIM(S751),"00000")="89011", TEXT(TRIM(S751),"00000")="89012"), "Suburban SE",
  OR(TEXT(TRIM(S751),"00000")="89117", TEXT(TRIM(S751),"00000")="89128", TEXT(TRIM(S751),"00000")="89135", TEXT(TRIM(S751),"00000")="89144", TEXT(TRIM(S751),"00000")="89145", TEXT(TRIM(S751),"00000")="89147"), "West Valley",
  TRUE, "Other"
)</f>
        <v>North LV</v>
      </c>
      <c r="U751" t="s">
        <v>38</v>
      </c>
      <c r="V751" t="str">
        <f t="shared" si="47"/>
        <v>Home/Residence</v>
      </c>
    </row>
    <row r="752" spans="1:22">
      <c r="A752" t="s">
        <v>117</v>
      </c>
      <c r="B752" t="s">
        <v>118</v>
      </c>
      <c r="C752" s="1">
        <v>45108</v>
      </c>
      <c r="D752" s="4">
        <v>107.96</v>
      </c>
      <c r="E752">
        <v>74</v>
      </c>
      <c r="F752" t="str">
        <f t="shared" si="44"/>
        <v>70's</v>
      </c>
      <c r="G752" t="str" cm="1">
        <f t="array" ref="G752">_xlfn.IFS(
  F752="10's", "Child (5–12)",
  OR(F752="20's", F752="30's"), "Young Adult (20–39)",
  OR(F752="40's", F752="50's"), "Adult (40–59)",
  OR(F752="60's", F752="70's", F752="80's", F752="90's"), "Senior (60+)",
  TRUE, "Unknown"
)</f>
        <v>Senior (60+)</v>
      </c>
      <c r="H752" t="s">
        <v>841</v>
      </c>
      <c r="I752" t="s">
        <v>63</v>
      </c>
      <c r="J752" t="str">
        <f t="shared" si="45"/>
        <v>Cardiovascular Disease</v>
      </c>
      <c r="K752" t="s">
        <v>54</v>
      </c>
      <c r="L752" t="s">
        <v>4294</v>
      </c>
      <c r="M752" t="s">
        <v>4725</v>
      </c>
      <c r="N752" t="s">
        <v>5121</v>
      </c>
      <c r="O752" t="str" cm="1">
        <f t="array" ref="O752">_xlfn.IFS(
  TEXT(TRIM(N752),"00000")="NULL", "Missing/Unknown",
  OR(TEXT(TRIM(N752),"00000")="89101", TEXT(TRIM(N752),"00000")="89104", TEXT(TRIM(N752),"00000")="89106", TEXT(TRIM(N752),"00000")="89102", TEXT(TRIM(N752),"00000")="89107", TEXT(TRIM(N752),"00000")="89108"), "Urban Core",
  OR(TEXT(TRIM(N752),"00000")="89110", TEXT(TRIM(N752),"00000")="89115", TEXT(TRIM(N752),"00000")="89121", TEXT(TRIM(N752),"00000")="89122", TEXT(TRIM(N752),"00000")="89142", TEXT(TRIM(N752),"00000")="89156"), "East Valley",
  OR(TEXT(TRIM(N752),"00000")="89030", TEXT(TRIM(N752),"00000")="89031", TEXT(TRIM(N752),"00000")="89032", TEXT(TRIM(N752),"00000")="89086", TEXT(TRIM(N752),"00000")="89084", TEXT(TRIM(N752),"00000")="89081"), "North LV",
  OR(TEXT(TRIM(N752),"00000")="89109", TEXT(TRIM(N752),"00000")="89103", TEXT(TRIM(N752),"00000")="89119", TEXT(TRIM(N752),"00000")="89123", TEXT(TRIM(N752),"00000")="89169", TEXT(TRIM(N752),"00000")="89118"), "South/Strip",
  OR(TEXT(TRIM(N752),"00000")="89074", TEXT(TRIM(N752),"00000")="89014", TEXT(TRIM(N752),"00000")="89015", TEXT(TRIM(N752),"00000")="89011", TEXT(TRIM(N752),"00000")="89012"), "Suburban SE",
  OR(TEXT(TRIM(N752),"00000")="89117", TEXT(TRIM(N752),"00000")="89128", TEXT(TRIM(N752),"00000")="89135", TEXT(TRIM(N752),"00000")="89144", TEXT(TRIM(N752),"00000")="89145", TEXT(TRIM(N752),"00000")="89147"), "West Valley",
  TRUE, "Other"
)</f>
        <v>East Valley</v>
      </c>
      <c r="P752" t="s">
        <v>65</v>
      </c>
      <c r="Q752" t="str">
        <f t="shared" si="46"/>
        <v>Vehicle-related</v>
      </c>
      <c r="R752" t="s">
        <v>4725</v>
      </c>
      <c r="S752" t="s">
        <v>5121</v>
      </c>
      <c r="T752" t="str" cm="1">
        <f t="array" ref="T752">_xlfn.IFS(
  TEXT(TRIM(S752),"00000")="NULL", "Missing/Unknown",
  OR(TEXT(TRIM(S752),"00000")="89101", TEXT(TRIM(S752),"00000")="89104", TEXT(TRIM(S752),"00000")="89106", TEXT(TRIM(S752),"00000")="89102", TEXT(TRIM(S752),"00000")="89107", TEXT(TRIM(S752),"00000")="89108"), "Urban Core",
  OR(TEXT(TRIM(S752),"00000")="89110", TEXT(TRIM(S752),"00000")="89115", TEXT(TRIM(S752),"00000")="89121", TEXT(TRIM(S752),"00000")="89122", TEXT(TRIM(S752),"00000")="89142", TEXT(TRIM(S752),"00000")="89156"), "East Valley",
  OR(TEXT(TRIM(S752),"00000")="89030", TEXT(TRIM(S752),"00000")="89031", TEXT(TRIM(S752),"00000")="89032", TEXT(TRIM(S752),"00000")="89086", TEXT(TRIM(S752),"00000")="89084", TEXT(TRIM(S752),"00000")="89081"), "North LV",
  OR(TEXT(TRIM(S752),"00000")="89109", TEXT(TRIM(S752),"00000")="89103", TEXT(TRIM(S752),"00000")="89119", TEXT(TRIM(S752),"00000")="89123", TEXT(TRIM(S752),"00000")="89169", TEXT(TRIM(S752),"00000")="89118"), "South/Strip",
  OR(TEXT(TRIM(S752),"00000")="89074", TEXT(TRIM(S752),"00000")="89014", TEXT(TRIM(S752),"00000")="89015", TEXT(TRIM(S752),"00000")="89011", TEXT(TRIM(S752),"00000")="89012"), "Suburban SE",
  OR(TEXT(TRIM(S752),"00000")="89117", TEXT(TRIM(S752),"00000")="89128", TEXT(TRIM(S752),"00000")="89135", TEXT(TRIM(S752),"00000")="89144", TEXT(TRIM(S752),"00000")="89145", TEXT(TRIM(S752),"00000")="89147"), "West Valley",
  TRUE, "Other"
)</f>
        <v>East Valley</v>
      </c>
      <c r="U752" t="s">
        <v>65</v>
      </c>
      <c r="V752" t="str">
        <f t="shared" si="47"/>
        <v>Vehicle-related</v>
      </c>
    </row>
    <row r="753" spans="1:22">
      <c r="A753" t="s">
        <v>123</v>
      </c>
      <c r="B753" t="s">
        <v>124</v>
      </c>
      <c r="C753" s="1">
        <v>45108</v>
      </c>
      <c r="D753" s="4">
        <v>107.96</v>
      </c>
      <c r="E753">
        <v>40</v>
      </c>
      <c r="F753" t="str">
        <f t="shared" si="44"/>
        <v>40's</v>
      </c>
      <c r="G753" t="str" cm="1">
        <f t="array" ref="G753">_xlfn.IFS(
  F753="10's", "Child (5–12)",
  OR(F753="20's", F753="30's"), "Young Adult (20–39)",
  OR(F753="40's", F753="50's"), "Adult (40–59)",
  OR(F753="60's", F753="70's", F753="80's", F753="90's"), "Senior (60+)",
  TRUE, "Unknown"
)</f>
        <v>Adult (40–59)</v>
      </c>
      <c r="H753" t="s">
        <v>778</v>
      </c>
      <c r="I753" t="s">
        <v>4124</v>
      </c>
      <c r="J753" t="str">
        <f t="shared" si="45"/>
        <v>Environmental Heat</v>
      </c>
      <c r="K753" t="s">
        <v>98</v>
      </c>
      <c r="L753" t="s">
        <v>250</v>
      </c>
      <c r="M753" t="s">
        <v>4583</v>
      </c>
      <c r="N753" t="s">
        <v>5097</v>
      </c>
      <c r="O753" t="str" cm="1">
        <f t="array" ref="O753">_xlfn.IFS(
  TEXT(TRIM(N753),"00000")="NULL", "Missing/Unknown",
  OR(TEXT(TRIM(N753),"00000")="89101", TEXT(TRIM(N753),"00000")="89104", TEXT(TRIM(N753),"00000")="89106", TEXT(TRIM(N753),"00000")="89102", TEXT(TRIM(N753),"00000")="89107", TEXT(TRIM(N753),"00000")="89108"), "Urban Core",
  OR(TEXT(TRIM(N753),"00000")="89110", TEXT(TRIM(N753),"00000")="89115", TEXT(TRIM(N753),"00000")="89121", TEXT(TRIM(N753),"00000")="89122", TEXT(TRIM(N753),"00000")="89142", TEXT(TRIM(N753),"00000")="89156"), "East Valley",
  OR(TEXT(TRIM(N753),"00000")="89030", TEXT(TRIM(N753),"00000")="89031", TEXT(TRIM(N753),"00000")="89032", TEXT(TRIM(N753),"00000")="89086", TEXT(TRIM(N753),"00000")="89084", TEXT(TRIM(N753),"00000")="89081"), "North LV",
  OR(TEXT(TRIM(N753),"00000")="89109", TEXT(TRIM(N753),"00000")="89103", TEXT(TRIM(N753),"00000")="89119", TEXT(TRIM(N753),"00000")="89123", TEXT(TRIM(N753),"00000")="89169", TEXT(TRIM(N753),"00000")="89118"), "South/Strip",
  OR(TEXT(TRIM(N753),"00000")="89074", TEXT(TRIM(N753),"00000")="89014", TEXT(TRIM(N753),"00000")="89015", TEXT(TRIM(N753),"00000")="89011", TEXT(TRIM(N753),"00000")="89012"), "Suburban SE",
  OR(TEXT(TRIM(N753),"00000")="89117", TEXT(TRIM(N753),"00000")="89128", TEXT(TRIM(N753),"00000")="89135", TEXT(TRIM(N753),"00000")="89144", TEXT(TRIM(N753),"00000")="89145", TEXT(TRIM(N753),"00000")="89147"), "West Valley",
  TRUE, "Other"
)</f>
        <v>Urban Core</v>
      </c>
      <c r="P753" t="s">
        <v>3298</v>
      </c>
      <c r="Q753" t="str">
        <f t="shared" si="46"/>
        <v>Outdoors/Public</v>
      </c>
      <c r="R753" t="s">
        <v>5054</v>
      </c>
      <c r="S753" t="s">
        <v>5097</v>
      </c>
      <c r="T753" t="str" cm="1">
        <f t="array" ref="T753">_xlfn.IFS(
  TEXT(TRIM(S753),"00000")="NULL", "Missing/Unknown",
  OR(TEXT(TRIM(S753),"00000")="89101", TEXT(TRIM(S753),"00000")="89104", TEXT(TRIM(S753),"00000")="89106", TEXT(TRIM(S753),"00000")="89102", TEXT(TRIM(S753),"00000")="89107", TEXT(TRIM(S753),"00000")="89108"), "Urban Core",
  OR(TEXT(TRIM(S753),"00000")="89110", TEXT(TRIM(S753),"00000")="89115", TEXT(TRIM(S753),"00000")="89121", TEXT(TRIM(S753),"00000")="89122", TEXT(TRIM(S753),"00000")="89142", TEXT(TRIM(S753),"00000")="89156"), "East Valley",
  OR(TEXT(TRIM(S753),"00000")="89030", TEXT(TRIM(S753),"00000")="89031", TEXT(TRIM(S753),"00000")="89032", TEXT(TRIM(S753),"00000")="89086", TEXT(TRIM(S753),"00000")="89084", TEXT(TRIM(S753),"00000")="89081"), "North LV",
  OR(TEXT(TRIM(S753),"00000")="89109", TEXT(TRIM(S753),"00000")="89103", TEXT(TRIM(S753),"00000")="89119", TEXT(TRIM(S753),"00000")="89123", TEXT(TRIM(S753),"00000")="89169", TEXT(TRIM(S753),"00000")="89118"), "South/Strip",
  OR(TEXT(TRIM(S753),"00000")="89074", TEXT(TRIM(S753),"00000")="89014", TEXT(TRIM(S753),"00000")="89015", TEXT(TRIM(S753),"00000")="89011", TEXT(TRIM(S753),"00000")="89012"), "Suburban SE",
  OR(TEXT(TRIM(S753),"00000")="89117", TEXT(TRIM(S753),"00000")="89128", TEXT(TRIM(S753),"00000")="89135", TEXT(TRIM(S753),"00000")="89144", TEXT(TRIM(S753),"00000")="89145", TEXT(TRIM(S753),"00000")="89147"), "West Valley",
  TRUE, "Other"
)</f>
        <v>Urban Core</v>
      </c>
      <c r="U753" t="s">
        <v>4305</v>
      </c>
      <c r="V753" t="str">
        <f t="shared" si="47"/>
        <v>Medical Facility</v>
      </c>
    </row>
    <row r="754" spans="1:22">
      <c r="A754" t="s">
        <v>225</v>
      </c>
      <c r="B754" t="s">
        <v>226</v>
      </c>
      <c r="C754" s="1">
        <v>45107</v>
      </c>
      <c r="D754" s="4">
        <v>102.92</v>
      </c>
      <c r="E754">
        <v>65</v>
      </c>
      <c r="F754" t="str">
        <f t="shared" si="44"/>
        <v>60's</v>
      </c>
      <c r="G754" t="str" cm="1">
        <f t="array" ref="G754">_xlfn.IFS(
  F754="10's", "Child (5–12)",
  OR(F754="20's", F754="30's"), "Young Adult (20–39)",
  OR(F754="40's", F754="50's"), "Adult (40–59)",
  OR(F754="60's", F754="70's", F754="80's", F754="90's"), "Senior (60+)",
  TRUE, "Unknown"
)</f>
        <v>Senior (60+)</v>
      </c>
      <c r="H754" t="s">
        <v>841</v>
      </c>
      <c r="I754" t="s">
        <v>163</v>
      </c>
      <c r="J754" t="str">
        <f t="shared" si="45"/>
        <v>Environmental Heat</v>
      </c>
      <c r="K754" t="s">
        <v>4012</v>
      </c>
      <c r="L754" t="s">
        <v>1071</v>
      </c>
      <c r="N754" t="s">
        <v>5095</v>
      </c>
      <c r="O754" t="str" cm="1">
        <f t="array" ref="O754">_xlfn.IFS(
  TEXT(TRIM(N754),"00000")="NULL", "Missing/Unknown",
  OR(TEXT(TRIM(N754),"00000")="89101", TEXT(TRIM(N754),"00000")="89104", TEXT(TRIM(N754),"00000")="89106", TEXT(TRIM(N754),"00000")="89102", TEXT(TRIM(N754),"00000")="89107", TEXT(TRIM(N754),"00000")="89108"), "Urban Core",
  OR(TEXT(TRIM(N754),"00000")="89110", TEXT(TRIM(N754),"00000")="89115", TEXT(TRIM(N754),"00000")="89121", TEXT(TRIM(N754),"00000")="89122", TEXT(TRIM(N754),"00000")="89142", TEXT(TRIM(N754),"00000")="89156"), "East Valley",
  OR(TEXT(TRIM(N754),"00000")="89030", TEXT(TRIM(N754),"00000")="89031", TEXT(TRIM(N754),"00000")="89032", TEXT(TRIM(N754),"00000")="89086", TEXT(TRIM(N754),"00000")="89084", TEXT(TRIM(N754),"00000")="89081"), "North LV",
  OR(TEXT(TRIM(N754),"00000")="89109", TEXT(TRIM(N754),"00000")="89103", TEXT(TRIM(N754),"00000")="89119", TEXT(TRIM(N754),"00000")="89123", TEXT(TRIM(N754),"00000")="89169", TEXT(TRIM(N754),"00000")="89118"), "South/Strip",
  OR(TEXT(TRIM(N754),"00000")="89074", TEXT(TRIM(N754),"00000")="89014", TEXT(TRIM(N754),"00000")="89015", TEXT(TRIM(N754),"00000")="89011", TEXT(TRIM(N754),"00000")="89012"), "Suburban SE",
  OR(TEXT(TRIM(N754),"00000")="89117", TEXT(TRIM(N754),"00000")="89128", TEXT(TRIM(N754),"00000")="89135", TEXT(TRIM(N754),"00000")="89144", TEXT(TRIM(N754),"00000")="89145", TEXT(TRIM(N754),"00000")="89147"), "West Valley",
  TRUE, "Other"
)</f>
        <v>Missing/Unknown</v>
      </c>
      <c r="P754" t="s">
        <v>38</v>
      </c>
      <c r="Q754" t="str">
        <f t="shared" si="46"/>
        <v>Home/Residence</v>
      </c>
      <c r="R754" t="s">
        <v>5065</v>
      </c>
      <c r="S754" t="s">
        <v>5144</v>
      </c>
      <c r="T754" t="str" cm="1">
        <f t="array" ref="T754">_xlfn.IFS(
  TEXT(TRIM(S754),"00000")="NULL", "Missing/Unknown",
  OR(TEXT(TRIM(S754),"00000")="89101", TEXT(TRIM(S754),"00000")="89104", TEXT(TRIM(S754),"00000")="89106", TEXT(TRIM(S754),"00000")="89102", TEXT(TRIM(S754),"00000")="89107", TEXT(TRIM(S754),"00000")="89108"), "Urban Core",
  OR(TEXT(TRIM(S754),"00000")="89110", TEXT(TRIM(S754),"00000")="89115", TEXT(TRIM(S754),"00000")="89121", TEXT(TRIM(S754),"00000")="89122", TEXT(TRIM(S754),"00000")="89142", TEXT(TRIM(S754),"00000")="89156"), "East Valley",
  OR(TEXT(TRIM(S754),"00000")="89030", TEXT(TRIM(S754),"00000")="89031", TEXT(TRIM(S754),"00000")="89032", TEXT(TRIM(S754),"00000")="89086", TEXT(TRIM(S754),"00000")="89084", TEXT(TRIM(S754),"00000")="89081"), "North LV",
  OR(TEXT(TRIM(S754),"00000")="89109", TEXT(TRIM(S754),"00000")="89103", TEXT(TRIM(S754),"00000")="89119", TEXT(TRIM(S754),"00000")="89123", TEXT(TRIM(S754),"00000")="89169", TEXT(TRIM(S754),"00000")="89118"), "South/Strip",
  OR(TEXT(TRIM(S754),"00000")="89074", TEXT(TRIM(S754),"00000")="89014", TEXT(TRIM(S754),"00000")="89015", TEXT(TRIM(S754),"00000")="89011", TEXT(TRIM(S754),"00000")="89012"), "Suburban SE",
  OR(TEXT(TRIM(S754),"00000")="89117", TEXT(TRIM(S754),"00000")="89128", TEXT(TRIM(S754),"00000")="89135", TEXT(TRIM(S754),"00000")="89144", TEXT(TRIM(S754),"00000")="89145", TEXT(TRIM(S754),"00000")="89147"), "West Valley",
  TRUE, "Other"
)</f>
        <v>Other</v>
      </c>
      <c r="U754" t="s">
        <v>228</v>
      </c>
      <c r="V754" t="str">
        <f t="shared" si="47"/>
        <v>Medical Facility</v>
      </c>
    </row>
    <row r="755" spans="1:22">
      <c r="A755" t="s">
        <v>110</v>
      </c>
      <c r="B755" t="s">
        <v>111</v>
      </c>
      <c r="C755" s="1">
        <v>45106</v>
      </c>
      <c r="D755" s="4">
        <v>98.960000000000008</v>
      </c>
      <c r="E755">
        <v>52</v>
      </c>
      <c r="F755" t="str">
        <f t="shared" si="44"/>
        <v>50's</v>
      </c>
      <c r="G755" t="str" cm="1">
        <f t="array" ref="G755">_xlfn.IFS(
  F755="10's", "Child (5–12)",
  OR(F755="20's", F755="30's"), "Young Adult (20–39)",
  OR(F755="40's", F755="50's"), "Adult (40–59)",
  OR(F755="60's", F755="70's", F755="80's", F755="90's"), "Senior (60+)",
  TRUE, "Unknown"
)</f>
        <v>Adult (40–59)</v>
      </c>
      <c r="H755" t="s">
        <v>4309</v>
      </c>
      <c r="I755" t="s">
        <v>1582</v>
      </c>
      <c r="J755" t="str">
        <f t="shared" si="45"/>
        <v>Cardiovascular Disease</v>
      </c>
      <c r="K755" t="s">
        <v>35</v>
      </c>
      <c r="L755" t="s">
        <v>1071</v>
      </c>
      <c r="M755" t="s">
        <v>4524</v>
      </c>
      <c r="N755" t="s">
        <v>5109</v>
      </c>
      <c r="O755" t="str" cm="1">
        <f t="array" ref="O755">_xlfn.IFS(
  TEXT(TRIM(N755),"00000")="NULL", "Missing/Unknown",
  OR(TEXT(TRIM(N755),"00000")="89101", TEXT(TRIM(N755),"00000")="89104", TEXT(TRIM(N755),"00000")="89106", TEXT(TRIM(N755),"00000")="89102", TEXT(TRIM(N755),"00000")="89107", TEXT(TRIM(N755),"00000")="89108"), "Urban Core",
  OR(TEXT(TRIM(N755),"00000")="89110", TEXT(TRIM(N755),"00000")="89115", TEXT(TRIM(N755),"00000")="89121", TEXT(TRIM(N755),"00000")="89122", TEXT(TRIM(N755),"00000")="89142", TEXT(TRIM(N755),"00000")="89156"), "East Valley",
  OR(TEXT(TRIM(N755),"00000")="89030", TEXT(TRIM(N755),"00000")="89031", TEXT(TRIM(N755),"00000")="89032", TEXT(TRIM(N755),"00000")="89086", TEXT(TRIM(N755),"00000")="89084", TEXT(TRIM(N755),"00000")="89081"), "North LV",
  OR(TEXT(TRIM(N755),"00000")="89109", TEXT(TRIM(N755),"00000")="89103", TEXT(TRIM(N755),"00000")="89119", TEXT(TRIM(N755),"00000")="89123", TEXT(TRIM(N755),"00000")="89169", TEXT(TRIM(N755),"00000")="89118"), "South/Strip",
  OR(TEXT(TRIM(N755),"00000")="89074", TEXT(TRIM(N755),"00000")="89014", TEXT(TRIM(N755),"00000")="89015", TEXT(TRIM(N755),"00000")="89011", TEXT(TRIM(N755),"00000")="89012"), "Suburban SE",
  OR(TEXT(TRIM(N755),"00000")="89117", TEXT(TRIM(N755),"00000")="89128", TEXT(TRIM(N755),"00000")="89135", TEXT(TRIM(N755),"00000")="89144", TEXT(TRIM(N755),"00000")="89145", TEXT(TRIM(N755),"00000")="89147"), "West Valley",
  TRUE, "Other"
)</f>
        <v>South/Strip</v>
      </c>
      <c r="P755" t="s">
        <v>38</v>
      </c>
      <c r="Q755" t="str">
        <f t="shared" si="46"/>
        <v>Home/Residence</v>
      </c>
      <c r="R755" t="s">
        <v>5066</v>
      </c>
      <c r="S755" t="s">
        <v>5144</v>
      </c>
      <c r="T755" t="str" cm="1">
        <f t="array" ref="T755">_xlfn.IFS(
  TEXT(TRIM(S755),"00000")="NULL", "Missing/Unknown",
  OR(TEXT(TRIM(S755),"00000")="89101", TEXT(TRIM(S755),"00000")="89104", TEXT(TRIM(S755),"00000")="89106", TEXT(TRIM(S755),"00000")="89102", TEXT(TRIM(S755),"00000")="89107", TEXT(TRIM(S755),"00000")="89108"), "Urban Core",
  OR(TEXT(TRIM(S755),"00000")="89110", TEXT(TRIM(S755),"00000")="89115", TEXT(TRIM(S755),"00000")="89121", TEXT(TRIM(S755),"00000")="89122", TEXT(TRIM(S755),"00000")="89142", TEXT(TRIM(S755),"00000")="89156"), "East Valley",
  OR(TEXT(TRIM(S755),"00000")="89030", TEXT(TRIM(S755),"00000")="89031", TEXT(TRIM(S755),"00000")="89032", TEXT(TRIM(S755),"00000")="89086", TEXT(TRIM(S755),"00000")="89084", TEXT(TRIM(S755),"00000")="89081"), "North LV",
  OR(TEXT(TRIM(S755),"00000")="89109", TEXT(TRIM(S755),"00000")="89103", TEXT(TRIM(S755),"00000")="89119", TEXT(TRIM(S755),"00000")="89123", TEXT(TRIM(S755),"00000")="89169", TEXT(TRIM(S755),"00000")="89118"), "South/Strip",
  OR(TEXT(TRIM(S755),"00000")="89074", TEXT(TRIM(S755),"00000")="89014", TEXT(TRIM(S755),"00000")="89015", TEXT(TRIM(S755),"00000")="89011", TEXT(TRIM(S755),"00000")="89012"), "Suburban SE",
  OR(TEXT(TRIM(S755),"00000")="89117", TEXT(TRIM(S755),"00000")="89128", TEXT(TRIM(S755),"00000")="89135", TEXT(TRIM(S755),"00000")="89144", TEXT(TRIM(S755),"00000")="89145", TEXT(TRIM(S755),"00000")="89147"), "West Valley",
  TRUE, "Other"
)</f>
        <v>Other</v>
      </c>
      <c r="U755" t="s">
        <v>4301</v>
      </c>
      <c r="V755" t="str">
        <f t="shared" si="47"/>
        <v>Medical Facility</v>
      </c>
    </row>
    <row r="756" spans="1:22">
      <c r="A756" t="s">
        <v>104</v>
      </c>
      <c r="B756" t="s">
        <v>105</v>
      </c>
      <c r="C756" s="1">
        <v>45106</v>
      </c>
      <c r="D756" s="4">
        <v>98.960000000000008</v>
      </c>
      <c r="E756">
        <v>53</v>
      </c>
      <c r="F756" t="str">
        <f t="shared" si="44"/>
        <v>50's</v>
      </c>
      <c r="G756" t="str" cm="1">
        <f t="array" ref="G756">_xlfn.IFS(
  F756="10's", "Child (5–12)",
  OR(F756="20's", F756="30's"), "Young Adult (20–39)",
  OR(F756="40's", F756="50's"), "Adult (40–59)",
  OR(F756="60's", F756="70's", F756="80's", F756="90's"), "Senior (60+)",
  TRUE, "Unknown"
)</f>
        <v>Adult (40–59)</v>
      </c>
      <c r="H756" t="s">
        <v>4310</v>
      </c>
      <c r="I756" t="s">
        <v>4024</v>
      </c>
      <c r="J756" t="str">
        <f t="shared" si="45"/>
        <v>Other / Unknown</v>
      </c>
      <c r="K756" t="s">
        <v>54</v>
      </c>
      <c r="L756" t="s">
        <v>1071</v>
      </c>
      <c r="M756" t="s">
        <v>4503</v>
      </c>
      <c r="N756" t="s">
        <v>5156</v>
      </c>
      <c r="O756" t="str" cm="1">
        <f t="array" ref="O756">_xlfn.IFS(
  TEXT(TRIM(N756),"00000")="NULL", "Missing/Unknown",
  OR(TEXT(TRIM(N756),"00000")="89101", TEXT(TRIM(N756),"00000")="89104", TEXT(TRIM(N756),"00000")="89106", TEXT(TRIM(N756),"00000")="89102", TEXT(TRIM(N756),"00000")="89107", TEXT(TRIM(N756),"00000")="89108"), "Urban Core",
  OR(TEXT(TRIM(N756),"00000")="89110", TEXT(TRIM(N756),"00000")="89115", TEXT(TRIM(N756),"00000")="89121", TEXT(TRIM(N756),"00000")="89122", TEXT(TRIM(N756),"00000")="89142", TEXT(TRIM(N756),"00000")="89156"), "East Valley",
  OR(TEXT(TRIM(N756),"00000")="89030", TEXT(TRIM(N756),"00000")="89031", TEXT(TRIM(N756),"00000")="89032", TEXT(TRIM(N756),"00000")="89086", TEXT(TRIM(N756),"00000")="89084", TEXT(TRIM(N756),"00000")="89081"), "North LV",
  OR(TEXT(TRIM(N756),"00000")="89109", TEXT(TRIM(N756),"00000")="89103", TEXT(TRIM(N756),"00000")="89119", TEXT(TRIM(N756),"00000")="89123", TEXT(TRIM(N756),"00000")="89169", TEXT(TRIM(N756),"00000")="89118"), "South/Strip",
  OR(TEXT(TRIM(N756),"00000")="89074", TEXT(TRIM(N756),"00000")="89014", TEXT(TRIM(N756),"00000")="89015", TEXT(TRIM(N756),"00000")="89011", TEXT(TRIM(N756),"00000")="89012"), "Suburban SE",
  OR(TEXT(TRIM(N756),"00000")="89117", TEXT(TRIM(N756),"00000")="89128", TEXT(TRIM(N756),"00000")="89135", TEXT(TRIM(N756),"00000")="89144", TEXT(TRIM(N756),"00000")="89145", TEXT(TRIM(N756),"00000")="89147"), "West Valley",
  TRUE, "Other"
)</f>
        <v>Other</v>
      </c>
      <c r="P756" t="s">
        <v>65</v>
      </c>
      <c r="Q756" t="str">
        <f t="shared" si="46"/>
        <v>Vehicle-related</v>
      </c>
      <c r="R756" t="s">
        <v>5057</v>
      </c>
      <c r="S756" t="s">
        <v>5116</v>
      </c>
      <c r="T756" t="str" cm="1">
        <f t="array" ref="T756">_xlfn.IFS(
  TEXT(TRIM(S756),"00000")="NULL", "Missing/Unknown",
  OR(TEXT(TRIM(S756),"00000")="89101", TEXT(TRIM(S756),"00000")="89104", TEXT(TRIM(S756),"00000")="89106", TEXT(TRIM(S756),"00000")="89102", TEXT(TRIM(S756),"00000")="89107", TEXT(TRIM(S756),"00000")="89108"), "Urban Core",
  OR(TEXT(TRIM(S756),"00000")="89110", TEXT(TRIM(S756),"00000")="89115", TEXT(TRIM(S756),"00000")="89121", TEXT(TRIM(S756),"00000")="89122", TEXT(TRIM(S756),"00000")="89142", TEXT(TRIM(S756),"00000")="89156"), "East Valley",
  OR(TEXT(TRIM(S756),"00000")="89030", TEXT(TRIM(S756),"00000")="89031", TEXT(TRIM(S756),"00000")="89032", TEXT(TRIM(S756),"00000")="89086", TEXT(TRIM(S756),"00000")="89084", TEXT(TRIM(S756),"00000")="89081"), "North LV",
  OR(TEXT(TRIM(S756),"00000")="89109", TEXT(TRIM(S756),"00000")="89103", TEXT(TRIM(S756),"00000")="89119", TEXT(TRIM(S756),"00000")="89123", TEXT(TRIM(S756),"00000")="89169", TEXT(TRIM(S756),"00000")="89118"), "South/Strip",
  OR(TEXT(TRIM(S756),"00000")="89074", TEXT(TRIM(S756),"00000")="89014", TEXT(TRIM(S756),"00000")="89015", TEXT(TRIM(S756),"00000")="89011", TEXT(TRIM(S756),"00000")="89012"), "Suburban SE",
  OR(TEXT(TRIM(S756),"00000")="89117", TEXT(TRIM(S756),"00000")="89128", TEXT(TRIM(S756),"00000")="89135", TEXT(TRIM(S756),"00000")="89144", TEXT(TRIM(S756),"00000")="89145", TEXT(TRIM(S756),"00000")="89147"), "West Valley",
  TRUE, "Other"
)</f>
        <v>West Valley</v>
      </c>
      <c r="U756" t="s">
        <v>109</v>
      </c>
      <c r="V756" t="str">
        <f t="shared" si="47"/>
        <v>Other / Unknown</v>
      </c>
    </row>
    <row r="757" spans="1:22">
      <c r="A757" t="s">
        <v>100</v>
      </c>
      <c r="B757" t="s">
        <v>101</v>
      </c>
      <c r="C757" s="1">
        <v>45099</v>
      </c>
      <c r="D757" s="4">
        <v>95</v>
      </c>
      <c r="E757">
        <v>70</v>
      </c>
      <c r="F757" t="str">
        <f t="shared" si="44"/>
        <v>70's</v>
      </c>
      <c r="G757" t="str" cm="1">
        <f t="array" ref="G757">_xlfn.IFS(
  F757="10's", "Child (5–12)",
  OR(F757="20's", F757="30's"), "Young Adult (20–39)",
  OR(F757="40's", F757="50's"), "Adult (40–59)",
  OR(F757="60's", F757="70's", F757="80's", F757="90's"), "Senior (60+)",
  TRUE, "Unknown"
)</f>
        <v>Senior (60+)</v>
      </c>
      <c r="H757" t="s">
        <v>841</v>
      </c>
      <c r="I757" t="s">
        <v>4095</v>
      </c>
      <c r="J757" t="str">
        <f t="shared" si="45"/>
        <v>Other / Unknown</v>
      </c>
      <c r="K757" t="s">
        <v>54</v>
      </c>
      <c r="L757" t="s">
        <v>1071</v>
      </c>
      <c r="M757" t="s">
        <v>4423</v>
      </c>
      <c r="N757" t="s">
        <v>5106</v>
      </c>
      <c r="O757" t="str" cm="1">
        <f t="array" ref="O757">_xlfn.IFS(
  TEXT(TRIM(N757),"00000")="NULL", "Missing/Unknown",
  OR(TEXT(TRIM(N757),"00000")="89101", TEXT(TRIM(N757),"00000")="89104", TEXT(TRIM(N757),"00000")="89106", TEXT(TRIM(N757),"00000")="89102", TEXT(TRIM(N757),"00000")="89107", TEXT(TRIM(N757),"00000")="89108"), "Urban Core",
  OR(TEXT(TRIM(N757),"00000")="89110", TEXT(TRIM(N757),"00000")="89115", TEXT(TRIM(N757),"00000")="89121", TEXT(TRIM(N757),"00000")="89122", TEXT(TRIM(N757),"00000")="89142", TEXT(TRIM(N757),"00000")="89156"), "East Valley",
  OR(TEXT(TRIM(N757),"00000")="89030", TEXT(TRIM(N757),"00000")="89031", TEXT(TRIM(N757),"00000")="89032", TEXT(TRIM(N757),"00000")="89086", TEXT(TRIM(N757),"00000")="89084", TEXT(TRIM(N757),"00000")="89081"), "North LV",
  OR(TEXT(TRIM(N757),"00000")="89109", TEXT(TRIM(N757),"00000")="89103", TEXT(TRIM(N757),"00000")="89119", TEXT(TRIM(N757),"00000")="89123", TEXT(TRIM(N757),"00000")="89169", TEXT(TRIM(N757),"00000")="89118"), "South/Strip",
  OR(TEXT(TRIM(N757),"00000")="89074", TEXT(TRIM(N757),"00000")="89014", TEXT(TRIM(N757),"00000")="89015", TEXT(TRIM(N757),"00000")="89011", TEXT(TRIM(N757),"00000")="89012"), "Suburban SE",
  OR(TEXT(TRIM(N757),"00000")="89117", TEXT(TRIM(N757),"00000")="89128", TEXT(TRIM(N757),"00000")="89135", TEXT(TRIM(N757),"00000")="89144", TEXT(TRIM(N757),"00000")="89145", TEXT(TRIM(N757),"00000")="89147"), "West Valley",
  TRUE, "Other"
)</f>
        <v>East Valley</v>
      </c>
      <c r="P757" t="s">
        <v>38</v>
      </c>
      <c r="Q757" t="str">
        <f t="shared" si="46"/>
        <v>Home/Residence</v>
      </c>
      <c r="R757" t="s">
        <v>4423</v>
      </c>
      <c r="S757" t="s">
        <v>5106</v>
      </c>
      <c r="T757" t="str" cm="1">
        <f t="array" ref="T757">_xlfn.IFS(
  TEXT(TRIM(S757),"00000")="NULL", "Missing/Unknown",
  OR(TEXT(TRIM(S757),"00000")="89101", TEXT(TRIM(S757),"00000")="89104", TEXT(TRIM(S757),"00000")="89106", TEXT(TRIM(S757),"00000")="89102", TEXT(TRIM(S757),"00000")="89107", TEXT(TRIM(S757),"00000")="89108"), "Urban Core",
  OR(TEXT(TRIM(S757),"00000")="89110", TEXT(TRIM(S757),"00000")="89115", TEXT(TRIM(S757),"00000")="89121", TEXT(TRIM(S757),"00000")="89122", TEXT(TRIM(S757),"00000")="89142", TEXT(TRIM(S757),"00000")="89156"), "East Valley",
  OR(TEXT(TRIM(S757),"00000")="89030", TEXT(TRIM(S757),"00000")="89031", TEXT(TRIM(S757),"00000")="89032", TEXT(TRIM(S757),"00000")="89086", TEXT(TRIM(S757),"00000")="89084", TEXT(TRIM(S757),"00000")="89081"), "North LV",
  OR(TEXT(TRIM(S757),"00000")="89109", TEXT(TRIM(S757),"00000")="89103", TEXT(TRIM(S757),"00000")="89119", TEXT(TRIM(S757),"00000")="89123", TEXT(TRIM(S757),"00000")="89169", TEXT(TRIM(S757),"00000")="89118"), "South/Strip",
  OR(TEXT(TRIM(S757),"00000")="89074", TEXT(TRIM(S757),"00000")="89014", TEXT(TRIM(S757),"00000")="89015", TEXT(TRIM(S757),"00000")="89011", TEXT(TRIM(S757),"00000")="89012"), "Suburban SE",
  OR(TEXT(TRIM(S757),"00000")="89117", TEXT(TRIM(S757),"00000")="89128", TEXT(TRIM(S757),"00000")="89135", TEXT(TRIM(S757),"00000")="89144", TEXT(TRIM(S757),"00000")="89145", TEXT(TRIM(S757),"00000")="89147"), "West Valley",
  TRUE, "Other"
)</f>
        <v>East Valley</v>
      </c>
      <c r="U757" t="s">
        <v>38</v>
      </c>
      <c r="V757" t="str">
        <f t="shared" si="47"/>
        <v>Home/Residence</v>
      </c>
    </row>
    <row r="758" spans="1:22">
      <c r="A758" t="s">
        <v>95</v>
      </c>
      <c r="B758" t="s">
        <v>96</v>
      </c>
      <c r="C758" s="1">
        <v>45098</v>
      </c>
      <c r="D758" s="4">
        <v>96.080000000000013</v>
      </c>
      <c r="E758">
        <v>30</v>
      </c>
      <c r="F758" t="str">
        <f t="shared" si="44"/>
        <v>30's</v>
      </c>
      <c r="G758" t="str" cm="1">
        <f t="array" ref="G758">_xlfn.IFS(
  F758="10's", "Child (5–12)",
  OR(F758="20's", F758="30's"), "Young Adult (20–39)",
  OR(F758="40's", F758="50's"), "Adult (40–59)",
  OR(F758="60's", F758="70's", F758="80's", F758="90's"), "Senior (60+)",
  TRUE, "Unknown"
)</f>
        <v>Young Adult (20–39)</v>
      </c>
      <c r="H758" t="s">
        <v>27</v>
      </c>
      <c r="I758" t="s">
        <v>97</v>
      </c>
      <c r="J758" t="str">
        <f t="shared" si="45"/>
        <v>Environmental Heat</v>
      </c>
      <c r="K758" t="s">
        <v>98</v>
      </c>
      <c r="L758" t="s">
        <v>250</v>
      </c>
      <c r="N758" t="s">
        <v>5095</v>
      </c>
      <c r="O758" t="str" cm="1">
        <f t="array" ref="O758">_xlfn.IFS(
  TEXT(TRIM(N758),"00000")="NULL", "Missing/Unknown",
  OR(TEXT(TRIM(N758),"00000")="89101", TEXT(TRIM(N758),"00000")="89104", TEXT(TRIM(N758),"00000")="89106", TEXT(TRIM(N758),"00000")="89102", TEXT(TRIM(N758),"00000")="89107", TEXT(TRIM(N758),"00000")="89108"), "Urban Core",
  OR(TEXT(TRIM(N758),"00000")="89110", TEXT(TRIM(N758),"00000")="89115", TEXT(TRIM(N758),"00000")="89121", TEXT(TRIM(N758),"00000")="89122", TEXT(TRIM(N758),"00000")="89142", TEXT(TRIM(N758),"00000")="89156"), "East Valley",
  OR(TEXT(TRIM(N758),"00000")="89030", TEXT(TRIM(N758),"00000")="89031", TEXT(TRIM(N758),"00000")="89032", TEXT(TRIM(N758),"00000")="89086", TEXT(TRIM(N758),"00000")="89084", TEXT(TRIM(N758),"00000")="89081"), "North LV",
  OR(TEXT(TRIM(N758),"00000")="89109", TEXT(TRIM(N758),"00000")="89103", TEXT(TRIM(N758),"00000")="89119", TEXT(TRIM(N758),"00000")="89123", TEXT(TRIM(N758),"00000")="89169", TEXT(TRIM(N758),"00000")="89118"), "South/Strip",
  OR(TEXT(TRIM(N758),"00000")="89074", TEXT(TRIM(N758),"00000")="89014", TEXT(TRIM(N758),"00000")="89015", TEXT(TRIM(N758),"00000")="89011", TEXT(TRIM(N758),"00000")="89012"), "Suburban SE",
  OR(TEXT(TRIM(N758),"00000")="89117", TEXT(TRIM(N758),"00000")="89128", TEXT(TRIM(N758),"00000")="89135", TEXT(TRIM(N758),"00000")="89144", TEXT(TRIM(N758),"00000")="89145", TEXT(TRIM(N758),"00000")="89147"), "West Valley",
  TRUE, "Other"
)</f>
        <v>Missing/Unknown</v>
      </c>
      <c r="P758" t="s">
        <v>24</v>
      </c>
      <c r="Q758" t="str">
        <f t="shared" si="46"/>
        <v>Outdoors/Public</v>
      </c>
      <c r="R758" t="s">
        <v>4713</v>
      </c>
      <c r="S758" t="s">
        <v>5125</v>
      </c>
      <c r="T758" t="str" cm="1">
        <f t="array" ref="T758">_xlfn.IFS(
  TEXT(TRIM(S758),"00000")="NULL", "Missing/Unknown",
  OR(TEXT(TRIM(S758),"00000")="89101", TEXT(TRIM(S758),"00000")="89104", TEXT(TRIM(S758),"00000")="89106", TEXT(TRIM(S758),"00000")="89102", TEXT(TRIM(S758),"00000")="89107", TEXT(TRIM(S758),"00000")="89108"), "Urban Core",
  OR(TEXT(TRIM(S758),"00000")="89110", TEXT(TRIM(S758),"00000")="89115", TEXT(TRIM(S758),"00000")="89121", TEXT(TRIM(S758),"00000")="89122", TEXT(TRIM(S758),"00000")="89142", TEXT(TRIM(S758),"00000")="89156"), "East Valley",
  OR(TEXT(TRIM(S758),"00000")="89030", TEXT(TRIM(S758),"00000")="89031", TEXT(TRIM(S758),"00000")="89032", TEXT(TRIM(S758),"00000")="89086", TEXT(TRIM(S758),"00000")="89084", TEXT(TRIM(S758),"00000")="89081"), "North LV",
  OR(TEXT(TRIM(S758),"00000")="89109", TEXT(TRIM(S758),"00000")="89103", TEXT(TRIM(S758),"00000")="89119", TEXT(TRIM(S758),"00000")="89123", TEXT(TRIM(S758),"00000")="89169", TEXT(TRIM(S758),"00000")="89118"), "South/Strip",
  OR(TEXT(TRIM(S758),"00000")="89074", TEXT(TRIM(S758),"00000")="89014", TEXT(TRIM(S758),"00000")="89015", TEXT(TRIM(S758),"00000")="89011", TEXT(TRIM(S758),"00000")="89012"), "Suburban SE",
  OR(TEXT(TRIM(S758),"00000")="89117", TEXT(TRIM(S758),"00000")="89128", TEXT(TRIM(S758),"00000")="89135", TEXT(TRIM(S758),"00000")="89144", TEXT(TRIM(S758),"00000")="89145", TEXT(TRIM(S758),"00000")="89147"), "West Valley",
  TRUE, "Other"
)</f>
        <v>South/Strip</v>
      </c>
      <c r="U758" t="s">
        <v>4301</v>
      </c>
      <c r="V758" t="str">
        <f t="shared" si="47"/>
        <v>Medical Facility</v>
      </c>
    </row>
    <row r="759" spans="1:22">
      <c r="A759" t="s">
        <v>90</v>
      </c>
      <c r="B759" t="s">
        <v>91</v>
      </c>
      <c r="C759" s="1">
        <v>45094</v>
      </c>
      <c r="D759" s="4">
        <v>98.06</v>
      </c>
      <c r="E759">
        <v>49</v>
      </c>
      <c r="F759" t="str">
        <f t="shared" si="44"/>
        <v>40's</v>
      </c>
      <c r="G759" t="str" cm="1">
        <f t="array" ref="G759">_xlfn.IFS(
  F759="10's", "Child (5–12)",
  OR(F759="20's", F759="30's"), "Young Adult (20–39)",
  OR(F759="40's", F759="50's"), "Adult (40–59)",
  OR(F759="60's", F759="70's", F759="80's", F759="90's"), "Senior (60+)",
  TRUE, "Unknown"
)</f>
        <v>Adult (40–59)</v>
      </c>
      <c r="H759" t="s">
        <v>841</v>
      </c>
      <c r="I759" t="s">
        <v>4096</v>
      </c>
      <c r="J759" t="str">
        <f t="shared" si="45"/>
        <v>Environmental Heat</v>
      </c>
      <c r="K759" t="s">
        <v>93</v>
      </c>
      <c r="L759" t="s">
        <v>250</v>
      </c>
      <c r="M759" t="s">
        <v>4779</v>
      </c>
      <c r="N759" t="s">
        <v>5098</v>
      </c>
      <c r="O759" t="str" cm="1">
        <f t="array" ref="O759">_xlfn.IFS(
  TEXT(TRIM(N759),"00000")="NULL", "Missing/Unknown",
  OR(TEXT(TRIM(N759),"00000")="89101", TEXT(TRIM(N759),"00000")="89104", TEXT(TRIM(N759),"00000")="89106", TEXT(TRIM(N759),"00000")="89102", TEXT(TRIM(N759),"00000")="89107", TEXT(TRIM(N759),"00000")="89108"), "Urban Core",
  OR(TEXT(TRIM(N759),"00000")="89110", TEXT(TRIM(N759),"00000")="89115", TEXT(TRIM(N759),"00000")="89121", TEXT(TRIM(N759),"00000")="89122", TEXT(TRIM(N759),"00000")="89142", TEXT(TRIM(N759),"00000")="89156"), "East Valley",
  OR(TEXT(TRIM(N759),"00000")="89030", TEXT(TRIM(N759),"00000")="89031", TEXT(TRIM(N759),"00000")="89032", TEXT(TRIM(N759),"00000")="89086", TEXT(TRIM(N759),"00000")="89084", TEXT(TRIM(N759),"00000")="89081"), "North LV",
  OR(TEXT(TRIM(N759),"00000")="89109", TEXT(TRIM(N759),"00000")="89103", TEXT(TRIM(N759),"00000")="89119", TEXT(TRIM(N759),"00000")="89123", TEXT(TRIM(N759),"00000")="89169", TEXT(TRIM(N759),"00000")="89118"), "South/Strip",
  OR(TEXT(TRIM(N759),"00000")="89074", TEXT(TRIM(N759),"00000")="89014", TEXT(TRIM(N759),"00000")="89015", TEXT(TRIM(N759),"00000")="89011", TEXT(TRIM(N759),"00000")="89012"), "Suburban SE",
  OR(TEXT(TRIM(N759),"00000")="89117", TEXT(TRIM(N759),"00000")="89128", TEXT(TRIM(N759),"00000")="89135", TEXT(TRIM(N759),"00000")="89144", TEXT(TRIM(N759),"00000")="89145", TEXT(TRIM(N759),"00000")="89147"), "West Valley",
  TRUE, "Other"
)</f>
        <v>Urban Core</v>
      </c>
      <c r="P759" t="s">
        <v>3298</v>
      </c>
      <c r="Q759" t="str">
        <f t="shared" si="46"/>
        <v>Outdoors/Public</v>
      </c>
      <c r="R759" t="s">
        <v>4779</v>
      </c>
      <c r="S759" t="s">
        <v>5098</v>
      </c>
      <c r="T759" t="str" cm="1">
        <f t="array" ref="T759">_xlfn.IFS(
  TEXT(TRIM(S759),"00000")="NULL", "Missing/Unknown",
  OR(TEXT(TRIM(S759),"00000")="89101", TEXT(TRIM(S759),"00000")="89104", TEXT(TRIM(S759),"00000")="89106", TEXT(TRIM(S759),"00000")="89102", TEXT(TRIM(S759),"00000")="89107", TEXT(TRIM(S759),"00000")="89108"), "Urban Core",
  OR(TEXT(TRIM(S759),"00000")="89110", TEXT(TRIM(S759),"00000")="89115", TEXT(TRIM(S759),"00000")="89121", TEXT(TRIM(S759),"00000")="89122", TEXT(TRIM(S759),"00000")="89142", TEXT(TRIM(S759),"00000")="89156"), "East Valley",
  OR(TEXT(TRIM(S759),"00000")="89030", TEXT(TRIM(S759),"00000")="89031", TEXT(TRIM(S759),"00000")="89032", TEXT(TRIM(S759),"00000")="89086", TEXT(TRIM(S759),"00000")="89084", TEXT(TRIM(S759),"00000")="89081"), "North LV",
  OR(TEXT(TRIM(S759),"00000")="89109", TEXT(TRIM(S759),"00000")="89103", TEXT(TRIM(S759),"00000")="89119", TEXT(TRIM(S759),"00000")="89123", TEXT(TRIM(S759),"00000")="89169", TEXT(TRIM(S759),"00000")="89118"), "South/Strip",
  OR(TEXT(TRIM(S759),"00000")="89074", TEXT(TRIM(S759),"00000")="89014", TEXT(TRIM(S759),"00000")="89015", TEXT(TRIM(S759),"00000")="89011", TEXT(TRIM(S759),"00000")="89012"), "Suburban SE",
  OR(TEXT(TRIM(S759),"00000")="89117", TEXT(TRIM(S759),"00000")="89128", TEXT(TRIM(S759),"00000")="89135", TEXT(TRIM(S759),"00000")="89144", TEXT(TRIM(S759),"00000")="89145", TEXT(TRIM(S759),"00000")="89147"), "West Valley",
  TRUE, "Other"
)</f>
        <v>Urban Core</v>
      </c>
      <c r="U759" t="s">
        <v>3298</v>
      </c>
      <c r="V759" t="str">
        <f t="shared" si="47"/>
        <v>Outdoors/Public</v>
      </c>
    </row>
    <row r="760" spans="1:22">
      <c r="A760" t="s">
        <v>85</v>
      </c>
      <c r="B760" t="s">
        <v>86</v>
      </c>
      <c r="C760" s="1">
        <v>45091</v>
      </c>
      <c r="D760" s="4">
        <v>93.02</v>
      </c>
      <c r="E760">
        <v>58</v>
      </c>
      <c r="F760" t="str">
        <f t="shared" si="44"/>
        <v>50's</v>
      </c>
      <c r="G760" t="str" cm="1">
        <f t="array" ref="G760">_xlfn.IFS(
  F760="10's", "Child (5–12)",
  OR(F760="20's", F760="30's"), "Young Adult (20–39)",
  OR(F760="40's", F760="50's"), "Adult (40–59)",
  OR(F760="60's", F760="70's", F760="80's", F760="90's"), "Senior (60+)",
  TRUE, "Unknown"
)</f>
        <v>Adult (40–59)</v>
      </c>
      <c r="H760" t="s">
        <v>841</v>
      </c>
      <c r="I760" t="s">
        <v>87</v>
      </c>
      <c r="J760" t="str">
        <f t="shared" si="45"/>
        <v>Methamphetamine-related</v>
      </c>
      <c r="K760" t="s">
        <v>54</v>
      </c>
      <c r="L760" t="s">
        <v>250</v>
      </c>
      <c r="M760" t="s">
        <v>4544</v>
      </c>
      <c r="N760" t="s">
        <v>5142</v>
      </c>
      <c r="O760" t="str" cm="1">
        <f t="array" ref="O760">_xlfn.IFS(
  TEXT(TRIM(N760),"00000")="NULL", "Missing/Unknown",
  OR(TEXT(TRIM(N760),"00000")="89101", TEXT(TRIM(N760),"00000")="89104", TEXT(TRIM(N760),"00000")="89106", TEXT(TRIM(N760),"00000")="89102", TEXT(TRIM(N760),"00000")="89107", TEXT(TRIM(N760),"00000")="89108"), "Urban Core",
  OR(TEXT(TRIM(N760),"00000")="89110", TEXT(TRIM(N760),"00000")="89115", TEXT(TRIM(N760),"00000")="89121", TEXT(TRIM(N760),"00000")="89122", TEXT(TRIM(N760),"00000")="89142", TEXT(TRIM(N760),"00000")="89156"), "East Valley",
  OR(TEXT(TRIM(N760),"00000")="89030", TEXT(TRIM(N760),"00000")="89031", TEXT(TRIM(N760),"00000")="89032", TEXT(TRIM(N760),"00000")="89086", TEXT(TRIM(N760),"00000")="89084", TEXT(TRIM(N760),"00000")="89081"), "North LV",
  OR(TEXT(TRIM(N760),"00000")="89109", TEXT(TRIM(N760),"00000")="89103", TEXT(TRIM(N760),"00000")="89119", TEXT(TRIM(N760),"00000")="89123", TEXT(TRIM(N760),"00000")="89169", TEXT(TRIM(N760),"00000")="89118"), "South/Strip",
  OR(TEXT(TRIM(N760),"00000")="89074", TEXT(TRIM(N760),"00000")="89014", TEXT(TRIM(N760),"00000")="89015", TEXT(TRIM(N760),"00000")="89011", TEXT(TRIM(N760),"00000")="89012"), "Suburban SE",
  OR(TEXT(TRIM(N760),"00000")="89117", TEXT(TRIM(N760),"00000")="89128", TEXT(TRIM(N760),"00000")="89135", TEXT(TRIM(N760),"00000")="89144", TEXT(TRIM(N760),"00000")="89145", TEXT(TRIM(N760),"00000")="89147"), "West Valley",
  TRUE, "Other"
)</f>
        <v>Suburban SE</v>
      </c>
      <c r="P760" t="s">
        <v>3298</v>
      </c>
      <c r="Q760" t="str">
        <f t="shared" si="46"/>
        <v>Outdoors/Public</v>
      </c>
      <c r="R760" t="s">
        <v>5053</v>
      </c>
      <c r="S760" t="s">
        <v>5110</v>
      </c>
      <c r="T760" t="str" cm="1">
        <f t="array" ref="T760">_xlfn.IFS(
  TEXT(TRIM(S760),"00000")="NULL", "Missing/Unknown",
  OR(TEXT(TRIM(S760),"00000")="89101", TEXT(TRIM(S760),"00000")="89104", TEXT(TRIM(S760),"00000")="89106", TEXT(TRIM(S760),"00000")="89102", TEXT(TRIM(S760),"00000")="89107", TEXT(TRIM(S760),"00000")="89108"), "Urban Core",
  OR(TEXT(TRIM(S760),"00000")="89110", TEXT(TRIM(S760),"00000")="89115", TEXT(TRIM(S760),"00000")="89121", TEXT(TRIM(S760),"00000")="89122", TEXT(TRIM(S760),"00000")="89142", TEXT(TRIM(S760),"00000")="89156"), "East Valley",
  OR(TEXT(TRIM(S760),"00000")="89030", TEXT(TRIM(S760),"00000")="89031", TEXT(TRIM(S760),"00000")="89032", TEXT(TRIM(S760),"00000")="89086", TEXT(TRIM(S760),"00000")="89084", TEXT(TRIM(S760),"00000")="89081"), "North LV",
  OR(TEXT(TRIM(S760),"00000")="89109", TEXT(TRIM(S760),"00000")="89103", TEXT(TRIM(S760),"00000")="89119", TEXT(TRIM(S760),"00000")="89123", TEXT(TRIM(S760),"00000")="89169", TEXT(TRIM(S760),"00000")="89118"), "South/Strip",
  OR(TEXT(TRIM(S760),"00000")="89074", TEXT(TRIM(S760),"00000")="89014", TEXT(TRIM(S760),"00000")="89015", TEXT(TRIM(S760),"00000")="89011", TEXT(TRIM(S760),"00000")="89012"), "Suburban SE",
  OR(TEXT(TRIM(S760),"00000")="89117", TEXT(TRIM(S760),"00000")="89128", TEXT(TRIM(S760),"00000")="89135", TEXT(TRIM(S760),"00000")="89144", TEXT(TRIM(S760),"00000")="89145", TEXT(TRIM(S760),"00000")="89147"), "West Valley",
  TRUE, "Other"
)</f>
        <v>Suburban SE</v>
      </c>
      <c r="U760" t="s">
        <v>4301</v>
      </c>
      <c r="V760" t="str">
        <f t="shared" si="47"/>
        <v>Medical Facility</v>
      </c>
    </row>
    <row r="761" spans="1:22">
      <c r="A761" t="s">
        <v>75</v>
      </c>
      <c r="B761" t="s">
        <v>76</v>
      </c>
      <c r="C761" s="1">
        <v>45087</v>
      </c>
      <c r="D761" s="4">
        <v>93.02</v>
      </c>
      <c r="E761">
        <v>33</v>
      </c>
      <c r="F761" t="str">
        <f t="shared" si="44"/>
        <v>30's</v>
      </c>
      <c r="G761" t="str" cm="1">
        <f t="array" ref="G761">_xlfn.IFS(
  F761="10's", "Child (5–12)",
  OR(F761="20's", F761="30's"), "Young Adult (20–39)",
  OR(F761="40's", F761="50's"), "Adult (40–59)",
  OR(F761="60's", F761="70's", F761="80's", F761="90's"), "Senior (60+)",
  TRUE, "Unknown"
)</f>
        <v>Young Adult (20–39)</v>
      </c>
      <c r="H761" t="s">
        <v>841</v>
      </c>
      <c r="I761" t="s">
        <v>35</v>
      </c>
      <c r="J761" t="str">
        <f t="shared" si="45"/>
        <v>Environmental Heat</v>
      </c>
      <c r="K761" t="s">
        <v>28</v>
      </c>
      <c r="L761" t="s">
        <v>250</v>
      </c>
      <c r="M761" t="s">
        <v>4720</v>
      </c>
      <c r="N761" t="s">
        <v>5100</v>
      </c>
      <c r="O761" t="str" cm="1">
        <f t="array" ref="O761">_xlfn.IFS(
  TEXT(TRIM(N761),"00000")="NULL", "Missing/Unknown",
  OR(TEXT(TRIM(N761),"00000")="89101", TEXT(TRIM(N761),"00000")="89104", TEXT(TRIM(N761),"00000")="89106", TEXT(TRIM(N761),"00000")="89102", TEXT(TRIM(N761),"00000")="89107", TEXT(TRIM(N761),"00000")="89108"), "Urban Core",
  OR(TEXT(TRIM(N761),"00000")="89110", TEXT(TRIM(N761),"00000")="89115", TEXT(TRIM(N761),"00000")="89121", TEXT(TRIM(N761),"00000")="89122", TEXT(TRIM(N761),"00000")="89142", TEXT(TRIM(N761),"00000")="89156"), "East Valley",
  OR(TEXT(TRIM(N761),"00000")="89030", TEXT(TRIM(N761),"00000")="89031", TEXT(TRIM(N761),"00000")="89032", TEXT(TRIM(N761),"00000")="89086", TEXT(TRIM(N761),"00000")="89084", TEXT(TRIM(N761),"00000")="89081"), "North LV",
  OR(TEXT(TRIM(N761),"00000")="89109", TEXT(TRIM(N761),"00000")="89103", TEXT(TRIM(N761),"00000")="89119", TEXT(TRIM(N761),"00000")="89123", TEXT(TRIM(N761),"00000")="89169", TEXT(TRIM(N761),"00000")="89118"), "South/Strip",
  OR(TEXT(TRIM(N761),"00000")="89074", TEXT(TRIM(N761),"00000")="89014", TEXT(TRIM(N761),"00000")="89015", TEXT(TRIM(N761),"00000")="89011", TEXT(TRIM(N761),"00000")="89012"), "Suburban SE",
  OR(TEXT(TRIM(N761),"00000")="89117", TEXT(TRIM(N761),"00000")="89128", TEXT(TRIM(N761),"00000")="89135", TEXT(TRIM(N761),"00000")="89144", TEXT(TRIM(N761),"00000")="89145", TEXT(TRIM(N761),"00000")="89147"), "West Valley",
  TRUE, "Other"
)</f>
        <v>North LV</v>
      </c>
      <c r="P761" t="s">
        <v>3298</v>
      </c>
      <c r="Q761" t="str">
        <f t="shared" si="46"/>
        <v>Outdoors/Public</v>
      </c>
      <c r="R761" t="s">
        <v>4720</v>
      </c>
      <c r="S761" t="s">
        <v>5100</v>
      </c>
      <c r="T761" t="str" cm="1">
        <f t="array" ref="T761">_xlfn.IFS(
  TEXT(TRIM(S761),"00000")="NULL", "Missing/Unknown",
  OR(TEXT(TRIM(S761),"00000")="89101", TEXT(TRIM(S761),"00000")="89104", TEXT(TRIM(S761),"00000")="89106", TEXT(TRIM(S761),"00000")="89102", TEXT(TRIM(S761),"00000")="89107", TEXT(TRIM(S761),"00000")="89108"), "Urban Core",
  OR(TEXT(TRIM(S761),"00000")="89110", TEXT(TRIM(S761),"00000")="89115", TEXT(TRIM(S761),"00000")="89121", TEXT(TRIM(S761),"00000")="89122", TEXT(TRIM(S761),"00000")="89142", TEXT(TRIM(S761),"00000")="89156"), "East Valley",
  OR(TEXT(TRIM(S761),"00000")="89030", TEXT(TRIM(S761),"00000")="89031", TEXT(TRIM(S761),"00000")="89032", TEXT(TRIM(S761),"00000")="89086", TEXT(TRIM(S761),"00000")="89084", TEXT(TRIM(S761),"00000")="89081"), "North LV",
  OR(TEXT(TRIM(S761),"00000")="89109", TEXT(TRIM(S761),"00000")="89103", TEXT(TRIM(S761),"00000")="89119", TEXT(TRIM(S761),"00000")="89123", TEXT(TRIM(S761),"00000")="89169", TEXT(TRIM(S761),"00000")="89118"), "South/Strip",
  OR(TEXT(TRIM(S761),"00000")="89074", TEXT(TRIM(S761),"00000")="89014", TEXT(TRIM(S761),"00000")="89015", TEXT(TRIM(S761),"00000")="89011", TEXT(TRIM(S761),"00000")="89012"), "Suburban SE",
  OR(TEXT(TRIM(S761),"00000")="89117", TEXT(TRIM(S761),"00000")="89128", TEXT(TRIM(S761),"00000")="89135", TEXT(TRIM(S761),"00000")="89144", TEXT(TRIM(S761),"00000")="89145", TEXT(TRIM(S761),"00000")="89147"), "West Valley",
  TRUE, "Other"
)</f>
        <v>North LV</v>
      </c>
      <c r="U761" t="s">
        <v>3298</v>
      </c>
      <c r="V761" t="str">
        <f t="shared" si="47"/>
        <v>Outdoors/Public</v>
      </c>
    </row>
    <row r="762" spans="1:22">
      <c r="A762" t="s">
        <v>78</v>
      </c>
      <c r="B762" t="s">
        <v>79</v>
      </c>
      <c r="C762" s="1">
        <v>45087</v>
      </c>
      <c r="D762" s="4">
        <v>93.02</v>
      </c>
      <c r="E762">
        <v>67</v>
      </c>
      <c r="F762" t="str">
        <f t="shared" si="44"/>
        <v>60's</v>
      </c>
      <c r="G762" t="str" cm="1">
        <f t="array" ref="G762">_xlfn.IFS(
  F762="10's", "Child (5–12)",
  OR(F762="20's", F762="30's"), "Young Adult (20–39)",
  OR(F762="40's", F762="50's"), "Adult (40–59)",
  OR(F762="60's", F762="70's", F762="80's", F762="90's"), "Senior (60+)",
  TRUE, "Unknown"
)</f>
        <v>Senior (60+)</v>
      </c>
      <c r="H762" t="s">
        <v>841</v>
      </c>
      <c r="I762" t="s">
        <v>80</v>
      </c>
      <c r="J762" t="str">
        <f t="shared" si="45"/>
        <v>Cardiovascular Disease</v>
      </c>
      <c r="K762" t="s">
        <v>83</v>
      </c>
      <c r="L762" t="s">
        <v>1071</v>
      </c>
      <c r="N762" t="s">
        <v>5095</v>
      </c>
      <c r="O762" t="str" cm="1">
        <f t="array" ref="O762">_xlfn.IFS(
  TEXT(TRIM(N762),"00000")="NULL", "Missing/Unknown",
  OR(TEXT(TRIM(N762),"00000")="89101", TEXT(TRIM(N762),"00000")="89104", TEXT(TRIM(N762),"00000")="89106", TEXT(TRIM(N762),"00000")="89102", TEXT(TRIM(N762),"00000")="89107", TEXT(TRIM(N762),"00000")="89108"), "Urban Core",
  OR(TEXT(TRIM(N762),"00000")="89110", TEXT(TRIM(N762),"00000")="89115", TEXT(TRIM(N762),"00000")="89121", TEXT(TRIM(N762),"00000")="89122", TEXT(TRIM(N762),"00000")="89142", TEXT(TRIM(N762),"00000")="89156"), "East Valley",
  OR(TEXT(TRIM(N762),"00000")="89030", TEXT(TRIM(N762),"00000")="89031", TEXT(TRIM(N762),"00000")="89032", TEXT(TRIM(N762),"00000")="89086", TEXT(TRIM(N762),"00000")="89084", TEXT(TRIM(N762),"00000")="89081"), "North LV",
  OR(TEXT(TRIM(N762),"00000")="89109", TEXT(TRIM(N762),"00000")="89103", TEXT(TRIM(N762),"00000")="89119", TEXT(TRIM(N762),"00000")="89123", TEXT(TRIM(N762),"00000")="89169", TEXT(TRIM(N762),"00000")="89118"), "South/Strip",
  OR(TEXT(TRIM(N762),"00000")="89074", TEXT(TRIM(N762),"00000")="89014", TEXT(TRIM(N762),"00000")="89015", TEXT(TRIM(N762),"00000")="89011", TEXT(TRIM(N762),"00000")="89012"), "Suburban SE",
  OR(TEXT(TRIM(N762),"00000")="89117", TEXT(TRIM(N762),"00000")="89128", TEXT(TRIM(N762),"00000")="89135", TEXT(TRIM(N762),"00000")="89144", TEXT(TRIM(N762),"00000")="89145", TEXT(TRIM(N762),"00000")="89147"), "West Valley",
  TRUE, "Other"
)</f>
        <v>Missing/Unknown</v>
      </c>
      <c r="P762" t="s">
        <v>3298</v>
      </c>
      <c r="Q762" t="str">
        <f t="shared" si="46"/>
        <v>Outdoors/Public</v>
      </c>
      <c r="R762" t="s">
        <v>5071</v>
      </c>
      <c r="S762" t="s">
        <v>5104</v>
      </c>
      <c r="T762" t="str" cm="1">
        <f t="array" ref="T762">_xlfn.IFS(
  TEXT(TRIM(S762),"00000")="NULL", "Missing/Unknown",
  OR(TEXT(TRIM(S762),"00000")="89101", TEXT(TRIM(S762),"00000")="89104", TEXT(TRIM(S762),"00000")="89106", TEXT(TRIM(S762),"00000")="89102", TEXT(TRIM(S762),"00000")="89107", TEXT(TRIM(S762),"00000")="89108"), "Urban Core",
  OR(TEXT(TRIM(S762),"00000")="89110", TEXT(TRIM(S762),"00000")="89115", TEXT(TRIM(S762),"00000")="89121", TEXT(TRIM(S762),"00000")="89122", TEXT(TRIM(S762),"00000")="89142", TEXT(TRIM(S762),"00000")="89156"), "East Valley",
  OR(TEXT(TRIM(S762),"00000")="89030", TEXT(TRIM(S762),"00000")="89031", TEXT(TRIM(S762),"00000")="89032", TEXT(TRIM(S762),"00000")="89086", TEXT(TRIM(S762),"00000")="89084", TEXT(TRIM(S762),"00000")="89081"), "North LV",
  OR(TEXT(TRIM(S762),"00000")="89109", TEXT(TRIM(S762),"00000")="89103", TEXT(TRIM(S762),"00000")="89119", TEXT(TRIM(S762),"00000")="89123", TEXT(TRIM(S762),"00000")="89169", TEXT(TRIM(S762),"00000")="89118"), "South/Strip",
  OR(TEXT(TRIM(S762),"00000")="89074", TEXT(TRIM(S762),"00000")="89014", TEXT(TRIM(S762),"00000")="89015", TEXT(TRIM(S762),"00000")="89011", TEXT(TRIM(S762),"00000")="89012"), "Suburban SE",
  OR(TEXT(TRIM(S762),"00000")="89117", TEXT(TRIM(S762),"00000")="89128", TEXT(TRIM(S762),"00000")="89135", TEXT(TRIM(S762),"00000")="89144", TEXT(TRIM(S762),"00000")="89145", TEXT(TRIM(S762),"00000")="89147"), "West Valley",
  TRUE, "Other"
)</f>
        <v>West Valley</v>
      </c>
      <c r="U762" t="s">
        <v>3298</v>
      </c>
      <c r="V762" t="str">
        <f t="shared" si="47"/>
        <v>Outdoors/Public</v>
      </c>
    </row>
    <row r="763" spans="1:22">
      <c r="A763" t="s">
        <v>66</v>
      </c>
      <c r="B763" t="s">
        <v>67</v>
      </c>
      <c r="C763" s="1">
        <v>45084</v>
      </c>
      <c r="D763" s="4">
        <v>82.04</v>
      </c>
      <c r="E763">
        <v>82</v>
      </c>
      <c r="F763" t="str">
        <f t="shared" si="44"/>
        <v>80's</v>
      </c>
      <c r="G763" t="str" cm="1">
        <f t="array" ref="G763">_xlfn.IFS(
  F763="10's", "Child (5–12)",
  OR(F763="20's", F763="30's"), "Young Adult (20–39)",
  OR(F763="40's", F763="50's"), "Adult (40–59)",
  OR(F763="60's", F763="70's", F763="80's", F763="90's"), "Senior (60+)",
  TRUE, "Unknown"
)</f>
        <v>Senior (60+)</v>
      </c>
      <c r="H763" t="s">
        <v>27</v>
      </c>
      <c r="I763" t="s">
        <v>68</v>
      </c>
      <c r="J763" t="str">
        <f t="shared" si="45"/>
        <v>Cardiovascular Disease</v>
      </c>
      <c r="K763" t="s">
        <v>54</v>
      </c>
      <c r="L763" t="s">
        <v>1071</v>
      </c>
      <c r="M763" t="s">
        <v>4643</v>
      </c>
      <c r="N763" t="s">
        <v>5122</v>
      </c>
      <c r="O763" t="str" cm="1">
        <f t="array" ref="O763">_xlfn.IFS(
  TEXT(TRIM(N763),"00000")="NULL", "Missing/Unknown",
  OR(TEXT(TRIM(N763),"00000")="89101", TEXT(TRIM(N763),"00000")="89104", TEXT(TRIM(N763),"00000")="89106", TEXT(TRIM(N763),"00000")="89102", TEXT(TRIM(N763),"00000")="89107", TEXT(TRIM(N763),"00000")="89108"), "Urban Core",
  OR(TEXT(TRIM(N763),"00000")="89110", TEXT(TRIM(N763),"00000")="89115", TEXT(TRIM(N763),"00000")="89121", TEXT(TRIM(N763),"00000")="89122", TEXT(TRIM(N763),"00000")="89142", TEXT(TRIM(N763),"00000")="89156"), "East Valley",
  OR(TEXT(TRIM(N763),"00000")="89030", TEXT(TRIM(N763),"00000")="89031", TEXT(TRIM(N763),"00000")="89032", TEXT(TRIM(N763),"00000")="89086", TEXT(TRIM(N763),"00000")="89084", TEXT(TRIM(N763),"00000")="89081"), "North LV",
  OR(TEXT(TRIM(N763),"00000")="89109", TEXT(TRIM(N763),"00000")="89103", TEXT(TRIM(N763),"00000")="89119", TEXT(TRIM(N763),"00000")="89123", TEXT(TRIM(N763),"00000")="89169", TEXT(TRIM(N763),"00000")="89118"), "South/Strip",
  OR(TEXT(TRIM(N763),"00000")="89074", TEXT(TRIM(N763),"00000")="89014", TEXT(TRIM(N763),"00000")="89015", TEXT(TRIM(N763),"00000")="89011", TEXT(TRIM(N763),"00000")="89012"), "Suburban SE",
  OR(TEXT(TRIM(N763),"00000")="89117", TEXT(TRIM(N763),"00000")="89128", TEXT(TRIM(N763),"00000")="89135", TEXT(TRIM(N763),"00000")="89144", TEXT(TRIM(N763),"00000")="89145", TEXT(TRIM(N763),"00000")="89147"), "West Valley",
  TRUE, "Other"
)</f>
        <v>East Valley</v>
      </c>
      <c r="P763" t="s">
        <v>3298</v>
      </c>
      <c r="Q763" t="str">
        <f t="shared" si="46"/>
        <v>Outdoors/Public</v>
      </c>
      <c r="R763" t="s">
        <v>4643</v>
      </c>
      <c r="S763" t="s">
        <v>5122</v>
      </c>
      <c r="T763" t="str" cm="1">
        <f t="array" ref="T763">_xlfn.IFS(
  TEXT(TRIM(S763),"00000")="NULL", "Missing/Unknown",
  OR(TEXT(TRIM(S763),"00000")="89101", TEXT(TRIM(S763),"00000")="89104", TEXT(TRIM(S763),"00000")="89106", TEXT(TRIM(S763),"00000")="89102", TEXT(TRIM(S763),"00000")="89107", TEXT(TRIM(S763),"00000")="89108"), "Urban Core",
  OR(TEXT(TRIM(S763),"00000")="89110", TEXT(TRIM(S763),"00000")="89115", TEXT(TRIM(S763),"00000")="89121", TEXT(TRIM(S763),"00000")="89122", TEXT(TRIM(S763),"00000")="89142", TEXT(TRIM(S763),"00000")="89156"), "East Valley",
  OR(TEXT(TRIM(S763),"00000")="89030", TEXT(TRIM(S763),"00000")="89031", TEXT(TRIM(S763),"00000")="89032", TEXT(TRIM(S763),"00000")="89086", TEXT(TRIM(S763),"00000")="89084", TEXT(TRIM(S763),"00000")="89081"), "North LV",
  OR(TEXT(TRIM(S763),"00000")="89109", TEXT(TRIM(S763),"00000")="89103", TEXT(TRIM(S763),"00000")="89119", TEXT(TRIM(S763),"00000")="89123", TEXT(TRIM(S763),"00000")="89169", TEXT(TRIM(S763),"00000")="89118"), "South/Strip",
  OR(TEXT(TRIM(S763),"00000")="89074", TEXT(TRIM(S763),"00000")="89014", TEXT(TRIM(S763),"00000")="89015", TEXT(TRIM(S763),"00000")="89011", TEXT(TRIM(S763),"00000")="89012"), "Suburban SE",
  OR(TEXT(TRIM(S763),"00000")="89117", TEXT(TRIM(S763),"00000")="89128", TEXT(TRIM(S763),"00000")="89135", TEXT(TRIM(S763),"00000")="89144", TEXT(TRIM(S763),"00000")="89145", TEXT(TRIM(S763),"00000")="89147"), "West Valley",
  TRUE, "Other"
)</f>
        <v>East Valley</v>
      </c>
      <c r="U763" t="s">
        <v>3298</v>
      </c>
      <c r="V763" t="str">
        <f t="shared" si="47"/>
        <v>Outdoors/Public</v>
      </c>
    </row>
    <row r="764" spans="1:22">
      <c r="A764" t="s">
        <v>71</v>
      </c>
      <c r="B764" t="s">
        <v>72</v>
      </c>
      <c r="C764" s="1">
        <v>45084</v>
      </c>
      <c r="D764" s="4">
        <v>82.04</v>
      </c>
      <c r="E764">
        <v>57</v>
      </c>
      <c r="F764" t="str">
        <f t="shared" si="44"/>
        <v>50's</v>
      </c>
      <c r="G764" t="str" cm="1">
        <f t="array" ref="G764">_xlfn.IFS(
  F764="10's", "Child (5–12)",
  OR(F764="20's", F764="30's"), "Young Adult (20–39)",
  OR(F764="40's", F764="50's"), "Adult (40–59)",
  OR(F764="60's", F764="70's", F764="80's", F764="90's"), "Senior (60+)",
  TRUE, "Unknown"
)</f>
        <v>Adult (40–59)</v>
      </c>
      <c r="H764" t="s">
        <v>778</v>
      </c>
      <c r="I764" t="s">
        <v>73</v>
      </c>
      <c r="J764" t="str">
        <f t="shared" si="45"/>
        <v>Cardiovascular Disease</v>
      </c>
      <c r="K764" t="s">
        <v>54</v>
      </c>
      <c r="L764" t="s">
        <v>1071</v>
      </c>
      <c r="M764" t="s">
        <v>4424</v>
      </c>
      <c r="N764" t="s">
        <v>5108</v>
      </c>
      <c r="O764" t="str" cm="1">
        <f t="array" ref="O764">_xlfn.IFS(
  TEXT(TRIM(N764),"00000")="NULL", "Missing/Unknown",
  OR(TEXT(TRIM(N764),"00000")="89101", TEXT(TRIM(N764),"00000")="89104", TEXT(TRIM(N764),"00000")="89106", TEXT(TRIM(N764),"00000")="89102", TEXT(TRIM(N764),"00000")="89107", TEXT(TRIM(N764),"00000")="89108"), "Urban Core",
  OR(TEXT(TRIM(N764),"00000")="89110", TEXT(TRIM(N764),"00000")="89115", TEXT(TRIM(N764),"00000")="89121", TEXT(TRIM(N764),"00000")="89122", TEXT(TRIM(N764),"00000")="89142", TEXT(TRIM(N764),"00000")="89156"), "East Valley",
  OR(TEXT(TRIM(N764),"00000")="89030", TEXT(TRIM(N764),"00000")="89031", TEXT(TRIM(N764),"00000")="89032", TEXT(TRIM(N764),"00000")="89086", TEXT(TRIM(N764),"00000")="89084", TEXT(TRIM(N764),"00000")="89081"), "North LV",
  OR(TEXT(TRIM(N764),"00000")="89109", TEXT(TRIM(N764),"00000")="89103", TEXT(TRIM(N764),"00000")="89119", TEXT(TRIM(N764),"00000")="89123", TEXT(TRIM(N764),"00000")="89169", TEXT(TRIM(N764),"00000")="89118"), "South/Strip",
  OR(TEXT(TRIM(N764),"00000")="89074", TEXT(TRIM(N764),"00000")="89014", TEXT(TRIM(N764),"00000")="89015", TEXT(TRIM(N764),"00000")="89011", TEXT(TRIM(N764),"00000")="89012"), "Suburban SE",
  OR(TEXT(TRIM(N764),"00000")="89117", TEXT(TRIM(N764),"00000")="89128", TEXT(TRIM(N764),"00000")="89135", TEXT(TRIM(N764),"00000")="89144", TEXT(TRIM(N764),"00000")="89145", TEXT(TRIM(N764),"00000")="89147"), "West Valley",
  TRUE, "Other"
)</f>
        <v>East Valley</v>
      </c>
      <c r="P764" t="s">
        <v>38</v>
      </c>
      <c r="Q764" t="str">
        <f t="shared" si="46"/>
        <v>Home/Residence</v>
      </c>
      <c r="R764" t="s">
        <v>4424</v>
      </c>
      <c r="S764" t="s">
        <v>5108</v>
      </c>
      <c r="T764" t="str" cm="1">
        <f t="array" ref="T764">_xlfn.IFS(
  TEXT(TRIM(S764),"00000")="NULL", "Missing/Unknown",
  OR(TEXT(TRIM(S764),"00000")="89101", TEXT(TRIM(S764),"00000")="89104", TEXT(TRIM(S764),"00000")="89106", TEXT(TRIM(S764),"00000")="89102", TEXT(TRIM(S764),"00000")="89107", TEXT(TRIM(S764),"00000")="89108"), "Urban Core",
  OR(TEXT(TRIM(S764),"00000")="89110", TEXT(TRIM(S764),"00000")="89115", TEXT(TRIM(S764),"00000")="89121", TEXT(TRIM(S764),"00000")="89122", TEXT(TRIM(S764),"00000")="89142", TEXT(TRIM(S764),"00000")="89156"), "East Valley",
  OR(TEXT(TRIM(S764),"00000")="89030", TEXT(TRIM(S764),"00000")="89031", TEXT(TRIM(S764),"00000")="89032", TEXT(TRIM(S764),"00000")="89086", TEXT(TRIM(S764),"00000")="89084", TEXT(TRIM(S764),"00000")="89081"), "North LV",
  OR(TEXT(TRIM(S764),"00000")="89109", TEXT(TRIM(S764),"00000")="89103", TEXT(TRIM(S764),"00000")="89119", TEXT(TRIM(S764),"00000")="89123", TEXT(TRIM(S764),"00000")="89169", TEXT(TRIM(S764),"00000")="89118"), "South/Strip",
  OR(TEXT(TRIM(S764),"00000")="89074", TEXT(TRIM(S764),"00000")="89014", TEXT(TRIM(S764),"00000")="89015", TEXT(TRIM(S764),"00000")="89011", TEXT(TRIM(S764),"00000")="89012"), "Suburban SE",
  OR(TEXT(TRIM(S764),"00000")="89117", TEXT(TRIM(S764),"00000")="89128", TEXT(TRIM(S764),"00000")="89135", TEXT(TRIM(S764),"00000")="89144", TEXT(TRIM(S764),"00000")="89145", TEXT(TRIM(S764),"00000")="89147"), "West Valley",
  TRUE, "Other"
)</f>
        <v>East Valley</v>
      </c>
      <c r="U764" t="s">
        <v>38</v>
      </c>
      <c r="V764" t="str">
        <f t="shared" si="47"/>
        <v>Home/Residence</v>
      </c>
    </row>
    <row r="765" spans="1:22">
      <c r="A765" t="s">
        <v>61</v>
      </c>
      <c r="B765" t="s">
        <v>62</v>
      </c>
      <c r="C765" s="1">
        <v>45083</v>
      </c>
      <c r="D765" s="4">
        <v>91.94</v>
      </c>
      <c r="E765">
        <v>59</v>
      </c>
      <c r="F765" t="str">
        <f t="shared" si="44"/>
        <v>50's</v>
      </c>
      <c r="G765" t="str" cm="1">
        <f t="array" ref="G765">_xlfn.IFS(
  F765="10's", "Child (5–12)",
  OR(F765="20's", F765="30's"), "Young Adult (20–39)",
  OR(F765="40's", F765="50's"), "Adult (40–59)",
  OR(F765="60's", F765="70's", F765="80's", F765="90's"), "Senior (60+)",
  TRUE, "Unknown"
)</f>
        <v>Adult (40–59)</v>
      </c>
      <c r="H765" t="s">
        <v>841</v>
      </c>
      <c r="I765" t="s">
        <v>63</v>
      </c>
      <c r="J765" t="str">
        <f t="shared" si="45"/>
        <v>Cardiovascular Disease</v>
      </c>
      <c r="K765" t="s">
        <v>54</v>
      </c>
      <c r="L765" t="s">
        <v>1071</v>
      </c>
      <c r="M765" t="s">
        <v>4981</v>
      </c>
      <c r="N765" t="s">
        <v>5106</v>
      </c>
      <c r="O765" t="str" cm="1">
        <f t="array" ref="O765">_xlfn.IFS(
  TEXT(TRIM(N765),"00000")="NULL", "Missing/Unknown",
  OR(TEXT(TRIM(N765),"00000")="89101", TEXT(TRIM(N765),"00000")="89104", TEXT(TRIM(N765),"00000")="89106", TEXT(TRIM(N765),"00000")="89102", TEXT(TRIM(N765),"00000")="89107", TEXT(TRIM(N765),"00000")="89108"), "Urban Core",
  OR(TEXT(TRIM(N765),"00000")="89110", TEXT(TRIM(N765),"00000")="89115", TEXT(TRIM(N765),"00000")="89121", TEXT(TRIM(N765),"00000")="89122", TEXT(TRIM(N765),"00000")="89142", TEXT(TRIM(N765),"00000")="89156"), "East Valley",
  OR(TEXT(TRIM(N765),"00000")="89030", TEXT(TRIM(N765),"00000")="89031", TEXT(TRIM(N765),"00000")="89032", TEXT(TRIM(N765),"00000")="89086", TEXT(TRIM(N765),"00000")="89084", TEXT(TRIM(N765),"00000")="89081"), "North LV",
  OR(TEXT(TRIM(N765),"00000")="89109", TEXT(TRIM(N765),"00000")="89103", TEXT(TRIM(N765),"00000")="89119", TEXT(TRIM(N765),"00000")="89123", TEXT(TRIM(N765),"00000")="89169", TEXT(TRIM(N765),"00000")="89118"), "South/Strip",
  OR(TEXT(TRIM(N765),"00000")="89074", TEXT(TRIM(N765),"00000")="89014", TEXT(TRIM(N765),"00000")="89015", TEXT(TRIM(N765),"00000")="89011", TEXT(TRIM(N765),"00000")="89012"), "Suburban SE",
  OR(TEXT(TRIM(N765),"00000")="89117", TEXT(TRIM(N765),"00000")="89128", TEXT(TRIM(N765),"00000")="89135", TEXT(TRIM(N765),"00000")="89144", TEXT(TRIM(N765),"00000")="89145", TEXT(TRIM(N765),"00000")="89147"), "West Valley",
  TRUE, "Other"
)</f>
        <v>East Valley</v>
      </c>
      <c r="P765" t="s">
        <v>65</v>
      </c>
      <c r="Q765" t="str">
        <f t="shared" si="46"/>
        <v>Vehicle-related</v>
      </c>
      <c r="R765" t="s">
        <v>4981</v>
      </c>
      <c r="S765" t="s">
        <v>5106</v>
      </c>
      <c r="T765" t="str" cm="1">
        <f t="array" ref="T765">_xlfn.IFS(
  TEXT(TRIM(S765),"00000")="NULL", "Missing/Unknown",
  OR(TEXT(TRIM(S765),"00000")="89101", TEXT(TRIM(S765),"00000")="89104", TEXT(TRIM(S765),"00000")="89106", TEXT(TRIM(S765),"00000")="89102", TEXT(TRIM(S765),"00000")="89107", TEXT(TRIM(S765),"00000")="89108"), "Urban Core",
  OR(TEXT(TRIM(S765),"00000")="89110", TEXT(TRIM(S765),"00000")="89115", TEXT(TRIM(S765),"00000")="89121", TEXT(TRIM(S765),"00000")="89122", TEXT(TRIM(S765),"00000")="89142", TEXT(TRIM(S765),"00000")="89156"), "East Valley",
  OR(TEXT(TRIM(S765),"00000")="89030", TEXT(TRIM(S765),"00000")="89031", TEXT(TRIM(S765),"00000")="89032", TEXT(TRIM(S765),"00000")="89086", TEXT(TRIM(S765),"00000")="89084", TEXT(TRIM(S765),"00000")="89081"), "North LV",
  OR(TEXT(TRIM(S765),"00000")="89109", TEXT(TRIM(S765),"00000")="89103", TEXT(TRIM(S765),"00000")="89119", TEXT(TRIM(S765),"00000")="89123", TEXT(TRIM(S765),"00000")="89169", TEXT(TRIM(S765),"00000")="89118"), "South/Strip",
  OR(TEXT(TRIM(S765),"00000")="89074", TEXT(TRIM(S765),"00000")="89014", TEXT(TRIM(S765),"00000")="89015", TEXT(TRIM(S765),"00000")="89011", TEXT(TRIM(S765),"00000")="89012"), "Suburban SE",
  OR(TEXT(TRIM(S765),"00000")="89117", TEXT(TRIM(S765),"00000")="89128", TEXT(TRIM(S765),"00000")="89135", TEXT(TRIM(S765),"00000")="89144", TEXT(TRIM(S765),"00000")="89145", TEXT(TRIM(S765),"00000")="89147"), "West Valley",
  TRUE, "Other"
)</f>
        <v>East Valley</v>
      </c>
      <c r="U765" t="s">
        <v>65</v>
      </c>
      <c r="V765" t="str">
        <f t="shared" si="47"/>
        <v>Vehicle-related</v>
      </c>
    </row>
    <row r="766" spans="1:22">
      <c r="A766" t="s">
        <v>56</v>
      </c>
      <c r="B766" t="s">
        <v>57</v>
      </c>
      <c r="C766" s="1">
        <v>45070</v>
      </c>
      <c r="D766" s="4">
        <v>93.919999999999987</v>
      </c>
      <c r="E766">
        <v>56</v>
      </c>
      <c r="F766" t="str">
        <f t="shared" si="44"/>
        <v>50's</v>
      </c>
      <c r="G766" t="str" cm="1">
        <f t="array" ref="G766">_xlfn.IFS(
  F766="10's", "Child (5–12)",
  OR(F766="20's", F766="30's"), "Young Adult (20–39)",
  OR(F766="40's", F766="50's"), "Adult (40–59)",
  OR(F766="60's", F766="70's", F766="80's", F766="90's"), "Senior (60+)",
  TRUE, "Unknown"
)</f>
        <v>Adult (40–59)</v>
      </c>
      <c r="H766" t="s">
        <v>841</v>
      </c>
      <c r="I766" t="s">
        <v>58</v>
      </c>
      <c r="J766" t="str">
        <f t="shared" si="45"/>
        <v>Ethanol-related</v>
      </c>
      <c r="K766" t="s">
        <v>4235</v>
      </c>
      <c r="L766" t="s">
        <v>250</v>
      </c>
      <c r="M766" t="s">
        <v>4780</v>
      </c>
      <c r="N766" t="s">
        <v>5109</v>
      </c>
      <c r="O766" t="str" cm="1">
        <f t="array" ref="O766">_xlfn.IFS(
  TEXT(TRIM(N766),"00000")="NULL", "Missing/Unknown",
  OR(TEXT(TRIM(N766),"00000")="89101", TEXT(TRIM(N766),"00000")="89104", TEXT(TRIM(N766),"00000")="89106", TEXT(TRIM(N766),"00000")="89102", TEXT(TRIM(N766),"00000")="89107", TEXT(TRIM(N766),"00000")="89108"), "Urban Core",
  OR(TEXT(TRIM(N766),"00000")="89110", TEXT(TRIM(N766),"00000")="89115", TEXT(TRIM(N766),"00000")="89121", TEXT(TRIM(N766),"00000")="89122", TEXT(TRIM(N766),"00000")="89142", TEXT(TRIM(N766),"00000")="89156"), "East Valley",
  OR(TEXT(TRIM(N766),"00000")="89030", TEXT(TRIM(N766),"00000")="89031", TEXT(TRIM(N766),"00000")="89032", TEXT(TRIM(N766),"00000")="89086", TEXT(TRIM(N766),"00000")="89084", TEXT(TRIM(N766),"00000")="89081"), "North LV",
  OR(TEXT(TRIM(N766),"00000")="89109", TEXT(TRIM(N766),"00000")="89103", TEXT(TRIM(N766),"00000")="89119", TEXT(TRIM(N766),"00000")="89123", TEXT(TRIM(N766),"00000")="89169", TEXT(TRIM(N766),"00000")="89118"), "South/Strip",
  OR(TEXT(TRIM(N766),"00000")="89074", TEXT(TRIM(N766),"00000")="89014", TEXT(TRIM(N766),"00000")="89015", TEXT(TRIM(N766),"00000")="89011", TEXT(TRIM(N766),"00000")="89012"), "Suburban SE",
  OR(TEXT(TRIM(N766),"00000")="89117", TEXT(TRIM(N766),"00000")="89128", TEXT(TRIM(N766),"00000")="89135", TEXT(TRIM(N766),"00000")="89144", TEXT(TRIM(N766),"00000")="89145", TEXT(TRIM(N766),"00000")="89147"), "West Valley",
  TRUE, "Other"
)</f>
        <v>South/Strip</v>
      </c>
      <c r="P766" t="s">
        <v>3298</v>
      </c>
      <c r="Q766" t="str">
        <f t="shared" si="46"/>
        <v>Outdoors/Public</v>
      </c>
      <c r="R766" t="s">
        <v>4780</v>
      </c>
      <c r="S766" t="s">
        <v>5109</v>
      </c>
      <c r="T766" t="str" cm="1">
        <f t="array" ref="T766">_xlfn.IFS(
  TEXT(TRIM(S766),"00000")="NULL", "Missing/Unknown",
  OR(TEXT(TRIM(S766),"00000")="89101", TEXT(TRIM(S766),"00000")="89104", TEXT(TRIM(S766),"00000")="89106", TEXT(TRIM(S766),"00000")="89102", TEXT(TRIM(S766),"00000")="89107", TEXT(TRIM(S766),"00000")="89108"), "Urban Core",
  OR(TEXT(TRIM(S766),"00000")="89110", TEXT(TRIM(S766),"00000")="89115", TEXT(TRIM(S766),"00000")="89121", TEXT(TRIM(S766),"00000")="89122", TEXT(TRIM(S766),"00000")="89142", TEXT(TRIM(S766),"00000")="89156"), "East Valley",
  OR(TEXT(TRIM(S766),"00000")="89030", TEXT(TRIM(S766),"00000")="89031", TEXT(TRIM(S766),"00000")="89032", TEXT(TRIM(S766),"00000")="89086", TEXT(TRIM(S766),"00000")="89084", TEXT(TRIM(S766),"00000")="89081"), "North LV",
  OR(TEXT(TRIM(S766),"00000")="89109", TEXT(TRIM(S766),"00000")="89103", TEXT(TRIM(S766),"00000")="89119", TEXT(TRIM(S766),"00000")="89123", TEXT(TRIM(S766),"00000")="89169", TEXT(TRIM(S766),"00000")="89118"), "South/Strip",
  OR(TEXT(TRIM(S766),"00000")="89074", TEXT(TRIM(S766),"00000")="89014", TEXT(TRIM(S766),"00000")="89015", TEXT(TRIM(S766),"00000")="89011", TEXT(TRIM(S766),"00000")="89012"), "Suburban SE",
  OR(TEXT(TRIM(S766),"00000")="89117", TEXT(TRIM(S766),"00000")="89128", TEXT(TRIM(S766),"00000")="89135", TEXT(TRIM(S766),"00000")="89144", TEXT(TRIM(S766),"00000")="89145", TEXT(TRIM(S766),"00000")="89147"), "West Valley",
  TRUE, "Other"
)</f>
        <v>South/Strip</v>
      </c>
      <c r="U766" t="s">
        <v>3298</v>
      </c>
      <c r="V766" t="str">
        <f t="shared" si="47"/>
        <v>Outdoors/Public</v>
      </c>
    </row>
    <row r="767" spans="1:22">
      <c r="A767" t="s">
        <v>52</v>
      </c>
      <c r="B767" t="s">
        <v>53</v>
      </c>
      <c r="C767" s="1">
        <v>45070</v>
      </c>
      <c r="D767" s="4">
        <v>93.919999999999987</v>
      </c>
      <c r="E767">
        <v>87</v>
      </c>
      <c r="F767" t="str">
        <f t="shared" si="44"/>
        <v>80's</v>
      </c>
      <c r="G767" t="str" cm="1">
        <f t="array" ref="G767">_xlfn.IFS(
  F767="10's", "Child (5–12)",
  OR(F767="20's", F767="30's"), "Young Adult (20–39)",
  OR(F767="40's", F767="50's"), "Adult (40–59)",
  OR(F767="60's", F767="70's", F767="80's", F767="90's"), "Senior (60+)",
  TRUE, "Unknown"
)</f>
        <v>Senior (60+)</v>
      </c>
      <c r="H767" t="s">
        <v>27</v>
      </c>
      <c r="I767" t="s">
        <v>54</v>
      </c>
      <c r="J767" t="str">
        <f t="shared" si="45"/>
        <v>Environmental Heat</v>
      </c>
      <c r="K767" t="s">
        <v>63</v>
      </c>
      <c r="L767" t="s">
        <v>1071</v>
      </c>
      <c r="M767" t="s">
        <v>4421</v>
      </c>
      <c r="N767" t="s">
        <v>5101</v>
      </c>
      <c r="O767" t="str" cm="1">
        <f t="array" ref="O767">_xlfn.IFS(
  TEXT(TRIM(N767),"00000")="NULL", "Missing/Unknown",
  OR(TEXT(TRIM(N767),"00000")="89101", TEXT(TRIM(N767),"00000")="89104", TEXT(TRIM(N767),"00000")="89106", TEXT(TRIM(N767),"00000")="89102", TEXT(TRIM(N767),"00000")="89107", TEXT(TRIM(N767),"00000")="89108"), "Urban Core",
  OR(TEXT(TRIM(N767),"00000")="89110", TEXT(TRIM(N767),"00000")="89115", TEXT(TRIM(N767),"00000")="89121", TEXT(TRIM(N767),"00000")="89122", TEXT(TRIM(N767),"00000")="89142", TEXT(TRIM(N767),"00000")="89156"), "East Valley",
  OR(TEXT(TRIM(N767),"00000")="89030", TEXT(TRIM(N767),"00000")="89031", TEXT(TRIM(N767),"00000")="89032", TEXT(TRIM(N767),"00000")="89086", TEXT(TRIM(N767),"00000")="89084", TEXT(TRIM(N767),"00000")="89081"), "North LV",
  OR(TEXT(TRIM(N767),"00000")="89109", TEXT(TRIM(N767),"00000")="89103", TEXT(TRIM(N767),"00000")="89119", TEXT(TRIM(N767),"00000")="89123", TEXT(TRIM(N767),"00000")="89169", TEXT(TRIM(N767),"00000")="89118"), "South/Strip",
  OR(TEXT(TRIM(N767),"00000")="89074", TEXT(TRIM(N767),"00000")="89014", TEXT(TRIM(N767),"00000")="89015", TEXT(TRIM(N767),"00000")="89011", TEXT(TRIM(N767),"00000")="89012"), "Suburban SE",
  OR(TEXT(TRIM(N767),"00000")="89117", TEXT(TRIM(N767),"00000")="89128", TEXT(TRIM(N767),"00000")="89135", TEXT(TRIM(N767),"00000")="89144", TEXT(TRIM(N767),"00000")="89145", TEXT(TRIM(N767),"00000")="89147"), "West Valley",
  TRUE, "Other"
)</f>
        <v>Urban Core</v>
      </c>
      <c r="P767" t="s">
        <v>38</v>
      </c>
      <c r="Q767" t="str">
        <f t="shared" si="46"/>
        <v>Home/Residence</v>
      </c>
      <c r="R767" t="s">
        <v>4421</v>
      </c>
      <c r="S767" t="s">
        <v>5101</v>
      </c>
      <c r="T767" t="str" cm="1">
        <f t="array" ref="T767">_xlfn.IFS(
  TEXT(TRIM(S767),"00000")="NULL", "Missing/Unknown",
  OR(TEXT(TRIM(S767),"00000")="89101", TEXT(TRIM(S767),"00000")="89104", TEXT(TRIM(S767),"00000")="89106", TEXT(TRIM(S767),"00000")="89102", TEXT(TRIM(S767),"00000")="89107", TEXT(TRIM(S767),"00000")="89108"), "Urban Core",
  OR(TEXT(TRIM(S767),"00000")="89110", TEXT(TRIM(S767),"00000")="89115", TEXT(TRIM(S767),"00000")="89121", TEXT(TRIM(S767),"00000")="89122", TEXT(TRIM(S767),"00000")="89142", TEXT(TRIM(S767),"00000")="89156"), "East Valley",
  OR(TEXT(TRIM(S767),"00000")="89030", TEXT(TRIM(S767),"00000")="89031", TEXT(TRIM(S767),"00000")="89032", TEXT(TRIM(S767),"00000")="89086", TEXT(TRIM(S767),"00000")="89084", TEXT(TRIM(S767),"00000")="89081"), "North LV",
  OR(TEXT(TRIM(S767),"00000")="89109", TEXT(TRIM(S767),"00000")="89103", TEXT(TRIM(S767),"00000")="89119", TEXT(TRIM(S767),"00000")="89123", TEXT(TRIM(S767),"00000")="89169", TEXT(TRIM(S767),"00000")="89118"), "South/Strip",
  OR(TEXT(TRIM(S767),"00000")="89074", TEXT(TRIM(S767),"00000")="89014", TEXT(TRIM(S767),"00000")="89015", TEXT(TRIM(S767),"00000")="89011", TEXT(TRIM(S767),"00000")="89012"), "Suburban SE",
  OR(TEXT(TRIM(S767),"00000")="89117", TEXT(TRIM(S767),"00000")="89128", TEXT(TRIM(S767),"00000")="89135", TEXT(TRIM(S767),"00000")="89144", TEXT(TRIM(S767),"00000")="89145", TEXT(TRIM(S767),"00000")="89147"), "West Valley",
  TRUE, "Other"
)</f>
        <v>Urban Core</v>
      </c>
      <c r="U767" t="s">
        <v>38</v>
      </c>
      <c r="V767" t="str">
        <f t="shared" si="47"/>
        <v>Home/Residence</v>
      </c>
    </row>
    <row r="768" spans="1:22">
      <c r="A768" t="s">
        <v>45</v>
      </c>
      <c r="B768" t="s">
        <v>46</v>
      </c>
      <c r="C768" s="1">
        <v>45068</v>
      </c>
      <c r="D768" s="4">
        <v>96.080000000000013</v>
      </c>
      <c r="E768">
        <v>62</v>
      </c>
      <c r="F768" t="str">
        <f t="shared" si="44"/>
        <v>60's</v>
      </c>
      <c r="G768" t="str" cm="1">
        <f t="array" ref="G768">_xlfn.IFS(
  F768="10's", "Child (5–12)",
  OR(F768="20's", F768="30's"), "Young Adult (20–39)",
  OR(F768="40's", F768="50's"), "Adult (40–59)",
  OR(F768="60's", F768="70's", F768="80's", F768="90's"), "Senior (60+)",
  TRUE, "Unknown"
)</f>
        <v>Senior (60+)</v>
      </c>
      <c r="H768" t="s">
        <v>778</v>
      </c>
      <c r="I768" t="s">
        <v>4011</v>
      </c>
      <c r="J768" t="str">
        <f t="shared" si="45"/>
        <v>Methamphetamine-related</v>
      </c>
      <c r="K768" t="s">
        <v>48</v>
      </c>
      <c r="L768" t="s">
        <v>250</v>
      </c>
      <c r="M768" t="s">
        <v>4580</v>
      </c>
      <c r="N768" t="s">
        <v>5101</v>
      </c>
      <c r="O768" t="str" cm="1">
        <f t="array" ref="O768">_xlfn.IFS(
  TEXT(TRIM(N768),"00000")="NULL", "Missing/Unknown",
  OR(TEXT(TRIM(N768),"00000")="89101", TEXT(TRIM(N768),"00000")="89104", TEXT(TRIM(N768),"00000")="89106", TEXT(TRIM(N768),"00000")="89102", TEXT(TRIM(N768),"00000")="89107", TEXT(TRIM(N768),"00000")="89108"), "Urban Core",
  OR(TEXT(TRIM(N768),"00000")="89110", TEXT(TRIM(N768),"00000")="89115", TEXT(TRIM(N768),"00000")="89121", TEXT(TRIM(N768),"00000")="89122", TEXT(TRIM(N768),"00000")="89142", TEXT(TRIM(N768),"00000")="89156"), "East Valley",
  OR(TEXT(TRIM(N768),"00000")="89030", TEXT(TRIM(N768),"00000")="89031", TEXT(TRIM(N768),"00000")="89032", TEXT(TRIM(N768),"00000")="89086", TEXT(TRIM(N768),"00000")="89084", TEXT(TRIM(N768),"00000")="89081"), "North LV",
  OR(TEXT(TRIM(N768),"00000")="89109", TEXT(TRIM(N768),"00000")="89103", TEXT(TRIM(N768),"00000")="89119", TEXT(TRIM(N768),"00000")="89123", TEXT(TRIM(N768),"00000")="89169", TEXT(TRIM(N768),"00000")="89118"), "South/Strip",
  OR(TEXT(TRIM(N768),"00000")="89074", TEXT(TRIM(N768),"00000")="89014", TEXT(TRIM(N768),"00000")="89015", TEXT(TRIM(N768),"00000")="89011", TEXT(TRIM(N768),"00000")="89012"), "Suburban SE",
  OR(TEXT(TRIM(N768),"00000")="89117", TEXT(TRIM(N768),"00000")="89128", TEXT(TRIM(N768),"00000")="89135", TEXT(TRIM(N768),"00000")="89144", TEXT(TRIM(N768),"00000")="89145", TEXT(TRIM(N768),"00000")="89147"), "West Valley",
  TRUE, "Other"
)</f>
        <v>Urban Core</v>
      </c>
      <c r="P768" t="s">
        <v>3298</v>
      </c>
      <c r="Q768" t="str">
        <f t="shared" si="46"/>
        <v>Outdoors/Public</v>
      </c>
      <c r="R768" t="s">
        <v>5055</v>
      </c>
      <c r="S768" t="s">
        <v>5119</v>
      </c>
      <c r="T768" t="str" cm="1">
        <f t="array" ref="T768">_xlfn.IFS(
  TEXT(TRIM(S768),"00000")="NULL", "Missing/Unknown",
  OR(TEXT(TRIM(S768),"00000")="89101", TEXT(TRIM(S768),"00000")="89104", TEXT(TRIM(S768),"00000")="89106", TEXT(TRIM(S768),"00000")="89102", TEXT(TRIM(S768),"00000")="89107", TEXT(TRIM(S768),"00000")="89108"), "Urban Core",
  OR(TEXT(TRIM(S768),"00000")="89110", TEXT(TRIM(S768),"00000")="89115", TEXT(TRIM(S768),"00000")="89121", TEXT(TRIM(S768),"00000")="89122", TEXT(TRIM(S768),"00000")="89142", TEXT(TRIM(S768),"00000")="89156"), "East Valley",
  OR(TEXT(TRIM(S768),"00000")="89030", TEXT(TRIM(S768),"00000")="89031", TEXT(TRIM(S768),"00000")="89032", TEXT(TRIM(S768),"00000")="89086", TEXT(TRIM(S768),"00000")="89084", TEXT(TRIM(S768),"00000")="89081"), "North LV",
  OR(TEXT(TRIM(S768),"00000")="89109", TEXT(TRIM(S768),"00000")="89103", TEXT(TRIM(S768),"00000")="89119", TEXT(TRIM(S768),"00000")="89123", TEXT(TRIM(S768),"00000")="89169", TEXT(TRIM(S768),"00000")="89118"), "South/Strip",
  OR(TEXT(TRIM(S768),"00000")="89074", TEXT(TRIM(S768),"00000")="89014", TEXT(TRIM(S768),"00000")="89015", TEXT(TRIM(S768),"00000")="89011", TEXT(TRIM(S768),"00000")="89012"), "Suburban SE",
  OR(TEXT(TRIM(S768),"00000")="89117", TEXT(TRIM(S768),"00000")="89128", TEXT(TRIM(S768),"00000")="89135", TEXT(TRIM(S768),"00000")="89144", TEXT(TRIM(S768),"00000")="89145", TEXT(TRIM(S768),"00000")="89147"), "West Valley",
  TRUE, "Other"
)</f>
        <v>Urban Core</v>
      </c>
      <c r="U768" t="s">
        <v>4305</v>
      </c>
      <c r="V768" t="str">
        <f t="shared" si="47"/>
        <v>Medical Facility</v>
      </c>
    </row>
    <row r="769" spans="1:22">
      <c r="A769" t="s">
        <v>39</v>
      </c>
      <c r="B769" t="s">
        <v>40</v>
      </c>
      <c r="C769" s="1">
        <v>45067</v>
      </c>
      <c r="D769" s="4">
        <v>95</v>
      </c>
      <c r="E769">
        <v>50</v>
      </c>
      <c r="F769" t="str">
        <f t="shared" si="44"/>
        <v>50's</v>
      </c>
      <c r="G769" t="str" cm="1">
        <f t="array" ref="G769">_xlfn.IFS(
  F769="10's", "Child (5–12)",
  OR(F769="20's", F769="30's"), "Young Adult (20–39)",
  OR(F769="40's", F769="50's"), "Adult (40–59)",
  OR(F769="60's", F769="70's", F769="80's", F769="90's"), "Senior (60+)",
  TRUE, "Unknown"
)</f>
        <v>Adult (40–59)</v>
      </c>
      <c r="H769" t="s">
        <v>841</v>
      </c>
      <c r="I769" t="s">
        <v>4040</v>
      </c>
      <c r="J769" t="str">
        <f t="shared" si="45"/>
        <v>Methamphetamine-related</v>
      </c>
      <c r="K769" t="s">
        <v>4236</v>
      </c>
      <c r="L769" t="s">
        <v>250</v>
      </c>
      <c r="N769" t="s">
        <v>5095</v>
      </c>
      <c r="O769" t="str" cm="1">
        <f t="array" ref="O769">_xlfn.IFS(
  TEXT(TRIM(N769),"00000")="NULL", "Missing/Unknown",
  OR(TEXT(TRIM(N769),"00000")="89101", TEXT(TRIM(N769),"00000")="89104", TEXT(TRIM(N769),"00000")="89106", TEXT(TRIM(N769),"00000")="89102", TEXT(TRIM(N769),"00000")="89107", TEXT(TRIM(N769),"00000")="89108"), "Urban Core",
  OR(TEXT(TRIM(N769),"00000")="89110", TEXT(TRIM(N769),"00000")="89115", TEXT(TRIM(N769),"00000")="89121", TEXT(TRIM(N769),"00000")="89122", TEXT(TRIM(N769),"00000")="89142", TEXT(TRIM(N769),"00000")="89156"), "East Valley",
  OR(TEXT(TRIM(N769),"00000")="89030", TEXT(TRIM(N769),"00000")="89031", TEXT(TRIM(N769),"00000")="89032", TEXT(TRIM(N769),"00000")="89086", TEXT(TRIM(N769),"00000")="89084", TEXT(TRIM(N769),"00000")="89081"), "North LV",
  OR(TEXT(TRIM(N769),"00000")="89109", TEXT(TRIM(N769),"00000")="89103", TEXT(TRIM(N769),"00000")="89119", TEXT(TRIM(N769),"00000")="89123", TEXT(TRIM(N769),"00000")="89169", TEXT(TRIM(N769),"00000")="89118"), "South/Strip",
  OR(TEXT(TRIM(N769),"00000")="89074", TEXT(TRIM(N769),"00000")="89014", TEXT(TRIM(N769),"00000")="89015", TEXT(TRIM(N769),"00000")="89011", TEXT(TRIM(N769),"00000")="89012"), "Suburban SE",
  OR(TEXT(TRIM(N769),"00000")="89117", TEXT(TRIM(N769),"00000")="89128", TEXT(TRIM(N769),"00000")="89135", TEXT(TRIM(N769),"00000")="89144", TEXT(TRIM(N769),"00000")="89145", TEXT(TRIM(N769),"00000")="89147"), "West Valley",
  TRUE, "Other"
)</f>
        <v>Missing/Unknown</v>
      </c>
      <c r="P769" t="s">
        <v>38</v>
      </c>
      <c r="Q769" t="str">
        <f t="shared" si="46"/>
        <v>Home/Residence</v>
      </c>
      <c r="R769" t="s">
        <v>4341</v>
      </c>
      <c r="S769" t="s">
        <v>5100</v>
      </c>
      <c r="T769" t="str" cm="1">
        <f t="array" ref="T769">_xlfn.IFS(
  TEXT(TRIM(S769),"00000")="NULL", "Missing/Unknown",
  OR(TEXT(TRIM(S769),"00000")="89101", TEXT(TRIM(S769),"00000")="89104", TEXT(TRIM(S769),"00000")="89106", TEXT(TRIM(S769),"00000")="89102", TEXT(TRIM(S769),"00000")="89107", TEXT(TRIM(S769),"00000")="89108"), "Urban Core",
  OR(TEXT(TRIM(S769),"00000")="89110", TEXT(TRIM(S769),"00000")="89115", TEXT(TRIM(S769),"00000")="89121", TEXT(TRIM(S769),"00000")="89122", TEXT(TRIM(S769),"00000")="89142", TEXT(TRIM(S769),"00000")="89156"), "East Valley",
  OR(TEXT(TRIM(S769),"00000")="89030", TEXT(TRIM(S769),"00000")="89031", TEXT(TRIM(S769),"00000")="89032", TEXT(TRIM(S769),"00000")="89086", TEXT(TRIM(S769),"00000")="89084", TEXT(TRIM(S769),"00000")="89081"), "North LV",
  OR(TEXT(TRIM(S769),"00000")="89109", TEXT(TRIM(S769),"00000")="89103", TEXT(TRIM(S769),"00000")="89119", TEXT(TRIM(S769),"00000")="89123", TEXT(TRIM(S769),"00000")="89169", TEXT(TRIM(S769),"00000")="89118"), "South/Strip",
  OR(TEXT(TRIM(S769),"00000")="89074", TEXT(TRIM(S769),"00000")="89014", TEXT(TRIM(S769),"00000")="89015", TEXT(TRIM(S769),"00000")="89011", TEXT(TRIM(S769),"00000")="89012"), "Suburban SE",
  OR(TEXT(TRIM(S769),"00000")="89117", TEXT(TRIM(S769),"00000")="89128", TEXT(TRIM(S769),"00000")="89135", TEXT(TRIM(S769),"00000")="89144", TEXT(TRIM(S769),"00000")="89145", TEXT(TRIM(S769),"00000")="89147"), "West Valley",
  TRUE, "Other"
)</f>
        <v>North LV</v>
      </c>
      <c r="U769" t="s">
        <v>4301</v>
      </c>
      <c r="V769" t="str">
        <f t="shared" si="47"/>
        <v>Medical Facility</v>
      </c>
    </row>
    <row r="770" spans="1:22">
      <c r="A770" t="s">
        <v>31</v>
      </c>
      <c r="B770" t="s">
        <v>32</v>
      </c>
      <c r="C770" s="1">
        <v>45064</v>
      </c>
      <c r="D770" s="4">
        <v>98.06</v>
      </c>
      <c r="E770">
        <v>67</v>
      </c>
      <c r="F770" t="str">
        <f t="shared" ref="F770:F833" si="48">_xlfn.CONCAT(INT(E770/10)*10, "'s")</f>
        <v>60's</v>
      </c>
      <c r="G770" t="str" cm="1">
        <f t="array" ref="G770">_xlfn.IFS(
  F770="10's", "Child (5–12)",
  OR(F770="20's", F770="30's"), "Young Adult (20–39)",
  OR(F770="40's", F770="50's"), "Adult (40–59)",
  OR(F770="60's", F770="70's", F770="80's", F770="90's"), "Senior (60+)",
  TRUE, "Unknown"
)</f>
        <v>Senior (60+)</v>
      </c>
      <c r="H770" t="s">
        <v>841</v>
      </c>
      <c r="I770" t="s">
        <v>34</v>
      </c>
      <c r="J770" t="str">
        <f t="shared" ref="J770:J833" si="49">IF(ISNUMBER(SEARCH("heat", I770)) + ISNUMBER(SEARCH("hyperthermia", I770)) + ISNUMBER(SEARCH("heat stroke", I770)) + ISNUMBER(SEARCH("environmental", I770)), "Environmental Heat",
IF(ISNUMBER(SEARCH("meth", I770)), "Methamphetamine-related",
IF(ISNUMBER(SEARCH("fentanyl", I770)), "Fentanyl-related",
IF(ISNUMBER(SEARCH("cardio", I770)) + ISNUMBER(SEARCH("heart", I770)) + ISNUMBER(SEARCH("atherosclerotic", I770)) + ISNUMBER(SEARCH("hypertensive", I770)) + ISNUMBER(SEARCH("myocardial", I770)) + ISNUMBER(SEARCH("infarction", I770)), "Cardiovascular Disease",
IF(ISNUMBER(SEARCH("ethanol", I770)) + ISNUMBER(SEARCH("alcohol", I770)), "Ethanol-related",
IF(ISNUMBER(SEARCH("dehydration", I770)) + ISNUMBER(SEARCH("hypernatrem", I770)) + ISNUMBER(SEARCH("hyponatrem", I770)), "Dehydration / Electrolyte",
IF(ISNUMBER(SEARCH("intoxication", I770)) + ISNUMBER(SEARCH("toxicity", I770)) + ISNUMBER(SEARCH("overdose", I770)), "Mixed Drug Toxicity",
"Other / Unknown")))))))</f>
        <v>Methamphetamine-related</v>
      </c>
      <c r="K770" t="s">
        <v>35</v>
      </c>
      <c r="L770" t="s">
        <v>1071</v>
      </c>
      <c r="M770" t="s">
        <v>4425</v>
      </c>
      <c r="N770" t="s">
        <v>5128</v>
      </c>
      <c r="O770" t="str" cm="1">
        <f t="array" ref="O770">_xlfn.IFS(
  TEXT(TRIM(N770),"00000")="NULL", "Missing/Unknown",
  OR(TEXT(TRIM(N770),"00000")="89101", TEXT(TRIM(N770),"00000")="89104", TEXT(TRIM(N770),"00000")="89106", TEXT(TRIM(N770),"00000")="89102", TEXT(TRIM(N770),"00000")="89107", TEXT(TRIM(N770),"00000")="89108"), "Urban Core",
  OR(TEXT(TRIM(N770),"00000")="89110", TEXT(TRIM(N770),"00000")="89115", TEXT(TRIM(N770),"00000")="89121", TEXT(TRIM(N770),"00000")="89122", TEXT(TRIM(N770),"00000")="89142", TEXT(TRIM(N770),"00000")="89156"), "East Valley",
  OR(TEXT(TRIM(N770),"00000")="89030", TEXT(TRIM(N770),"00000")="89031", TEXT(TRIM(N770),"00000")="89032", TEXT(TRIM(N770),"00000")="89086", TEXT(TRIM(N770),"00000")="89084", TEXT(TRIM(N770),"00000")="89081"), "North LV",
  OR(TEXT(TRIM(N770),"00000")="89109", TEXT(TRIM(N770),"00000")="89103", TEXT(TRIM(N770),"00000")="89119", TEXT(TRIM(N770),"00000")="89123", TEXT(TRIM(N770),"00000")="89169", TEXT(TRIM(N770),"00000")="89118"), "South/Strip",
  OR(TEXT(TRIM(N770),"00000")="89074", TEXT(TRIM(N770),"00000")="89014", TEXT(TRIM(N770),"00000")="89015", TEXT(TRIM(N770),"00000")="89011", TEXT(TRIM(N770),"00000")="89012"), "Suburban SE",
  OR(TEXT(TRIM(N770),"00000")="89117", TEXT(TRIM(N770),"00000")="89128", TEXT(TRIM(N770),"00000")="89135", TEXT(TRIM(N770),"00000")="89144", TEXT(TRIM(N770),"00000")="89145", TEXT(TRIM(N770),"00000")="89147"), "West Valley",
  TRUE, "Other"
)</f>
        <v>East Valley</v>
      </c>
      <c r="P770" t="s">
        <v>38</v>
      </c>
      <c r="Q770" t="str">
        <f t="shared" ref="Q770:Q833" si="50">IF(OR(ISNUMBER(SEARCH("outdoor", P770)), ISNUMBER(SEARCH("park", P770)), ISNUMBER(SEARCH("road", P770)), ISNUMBER(SEARCH("sidewalk", P770)), ISNUMBER(SEARCH("desert", P770)), ISNUMBER(SEARCH("tunnel", P770)), ISNUMBER(SEARCH("lot", P770)), ISNUMBER(SEARCH("lake", P770)), ISNUMBER(SEARCH("bus", P770)), ISNUMBER(SEARCH("shed", P770)), ISNUMBER(SEARCH("amusement", P770))), "Outdoors/Public",
IF(OR(ISNUMBER(SEARCH("home", P770)), ISNUMBER(SEARCH("residence", P770)), ISNUMBER(SEARCH("rv", P770)), ISNUMBER(SEARCH("tent", P770)), ISNUMBER(SEARCH("bedroom", P770)), ISNUMBER(SEARCH("garage", P770)), ISNUMBER(SEARCH("trailer", P770)), ISNUMBER(SEARCH("backyard", P770))), "Home/Residence",
IF(OR(ISNUMBER(SEARCH("vehicle", P770)), ISNUMBER(SEARCH("car", P770)), ISNUMBER(SEARCH("wash", P770))), "Vehicle-related",
IF(OR(ISNUMBER(SEARCH("business", P770)), ISNUMBER(SEARCH("school", P770)), ISNUMBER(SEARCH("hotel", P770)), ISNUMBER(SEARCH("construction", P770)), ISNUMBER(SEARCH("furniture", P770)), ISNUMBER(SEARCH("public", P770))), "Business/Commercial",
IF(OR(ISNUMBER(SEARCH("hospital", P770)), ISNUMBER(SEARCH("assisted", P770)), ISNUMBER(SEARCH("residential care", P770))), "Medical Facility",
IF(OR(ISNUMBER(SEARCH("shelter", P770)), ISNUMBER(SEARCH("jail", P770))), "Shelter/Temporary Housing",
"Other / Unknown"))))))</f>
        <v>Home/Residence</v>
      </c>
      <c r="R770" t="s">
        <v>4425</v>
      </c>
      <c r="S770" t="s">
        <v>5128</v>
      </c>
      <c r="T770" t="str" cm="1">
        <f t="array" ref="T770">_xlfn.IFS(
  TEXT(TRIM(S770),"00000")="NULL", "Missing/Unknown",
  OR(TEXT(TRIM(S770),"00000")="89101", TEXT(TRIM(S770),"00000")="89104", TEXT(TRIM(S770),"00000")="89106", TEXT(TRIM(S770),"00000")="89102", TEXT(TRIM(S770),"00000")="89107", TEXT(TRIM(S770),"00000")="89108"), "Urban Core",
  OR(TEXT(TRIM(S770),"00000")="89110", TEXT(TRIM(S770),"00000")="89115", TEXT(TRIM(S770),"00000")="89121", TEXT(TRIM(S770),"00000")="89122", TEXT(TRIM(S770),"00000")="89142", TEXT(TRIM(S770),"00000")="89156"), "East Valley",
  OR(TEXT(TRIM(S770),"00000")="89030", TEXT(TRIM(S770),"00000")="89031", TEXT(TRIM(S770),"00000")="89032", TEXT(TRIM(S770),"00000")="89086", TEXT(TRIM(S770),"00000")="89084", TEXT(TRIM(S770),"00000")="89081"), "North LV",
  OR(TEXT(TRIM(S770),"00000")="89109", TEXT(TRIM(S770),"00000")="89103", TEXT(TRIM(S770),"00000")="89119", TEXT(TRIM(S770),"00000")="89123", TEXT(TRIM(S770),"00000")="89169", TEXT(TRIM(S770),"00000")="89118"), "South/Strip",
  OR(TEXT(TRIM(S770),"00000")="89074", TEXT(TRIM(S770),"00000")="89014", TEXT(TRIM(S770),"00000")="89015", TEXT(TRIM(S770),"00000")="89011", TEXT(TRIM(S770),"00000")="89012"), "Suburban SE",
  OR(TEXT(TRIM(S770),"00000")="89117", TEXT(TRIM(S770),"00000")="89128", TEXT(TRIM(S770),"00000")="89135", TEXT(TRIM(S770),"00000")="89144", TEXT(TRIM(S770),"00000")="89145", TEXT(TRIM(S770),"00000")="89147"), "West Valley",
  TRUE, "Other"
)</f>
        <v>East Valley</v>
      </c>
      <c r="U770" t="s">
        <v>38</v>
      </c>
      <c r="V770" t="str">
        <f t="shared" ref="V770:V833" si="51">IF(OR(ISNUMBER(SEARCH("outdoor", U770)), ISNUMBER(SEARCH("park", U770)), ISNUMBER(SEARCH("road", U770)), ISNUMBER(SEARCH("sidewalk", U770)), ISNUMBER(SEARCH("desert", U770)), ISNUMBER(SEARCH("tunnel", U770)), ISNUMBER(SEARCH("lot", U770)), ISNUMBER(SEARCH("lake", U770)), ISNUMBER(SEARCH("bus", U770)), ISNUMBER(SEARCH("shed", U770)), ISNUMBER(SEARCH("amusement", U770))), "Outdoors/Public",
IF(OR(ISNUMBER(SEARCH("home", U770)), ISNUMBER(SEARCH("residence", U770)), ISNUMBER(SEARCH("rv", U770)), ISNUMBER(SEARCH("tent", U770)), ISNUMBER(SEARCH("bedroom", U770)), ISNUMBER(SEARCH("garage", U770)), ISNUMBER(SEARCH("trailer", U770)), ISNUMBER(SEARCH("backyard", U770))), "Home/Residence",
IF(OR(ISNUMBER(SEARCH("vehicle", U770)), ISNUMBER(SEARCH("wash", U770))), "Vehicle-related",
IF(OR(ISNUMBER(SEARCH("business", U770)), ISNUMBER(SEARCH("school", U770)), ISNUMBER(SEARCH("hotel", U770)), ISNUMBER(SEARCH("construction", U770)), ISNUMBER(SEARCH("furniture", U770)), ISNUMBER(SEARCH("public", U770))), "Business/Commercial",
IF(OR(ISNUMBER(SEARCH("hospital", U770)), ISNUMBER(SEARCH("assisted", U770)), ISNUMBER(SEARCH("residential care", U770)), ISNUMBER(SEARCH("emergency room", U770)), ISNUMBER(SEARCH("emergency", U770)), ISNUMBER(SEARCH("intensive care unit", U770)), ISNUMBER(SEARCH("icu", U770))), "Medical Facility",
IF(OR(ISNUMBER(SEARCH("shelter", U770)), ISNUMBER(SEARCH("jail", U770))), "Shelter/Temporary Housing",
"Other / Unknown"))))))</f>
        <v>Home/Residence</v>
      </c>
    </row>
    <row r="771" spans="1:22">
      <c r="A771" t="s">
        <v>16</v>
      </c>
      <c r="B771" t="s">
        <v>17</v>
      </c>
      <c r="C771" s="1">
        <v>45027</v>
      </c>
      <c r="D771" s="4">
        <v>93.02</v>
      </c>
      <c r="E771">
        <v>57</v>
      </c>
      <c r="F771" t="str">
        <f t="shared" si="48"/>
        <v>50's</v>
      </c>
      <c r="G771" t="str" cm="1">
        <f t="array" ref="G771">_xlfn.IFS(
  F771="10's", "Child (5–12)",
  OR(F771="20's", F771="30's"), "Young Adult (20–39)",
  OR(F771="40's", F771="50's"), "Adult (40–59)",
  OR(F771="60's", F771="70's", F771="80's", F771="90's"), "Senior (60+)",
  TRUE, "Unknown"
)</f>
        <v>Adult (40–59)</v>
      </c>
      <c r="H771" t="s">
        <v>778</v>
      </c>
      <c r="I771" t="s">
        <v>4024</v>
      </c>
      <c r="J771" t="str">
        <f t="shared" si="49"/>
        <v>Other / Unknown</v>
      </c>
      <c r="K771" t="s">
        <v>20</v>
      </c>
      <c r="L771" t="s">
        <v>2693</v>
      </c>
      <c r="M771" t="s">
        <v>4880</v>
      </c>
      <c r="N771" t="s">
        <v>5144</v>
      </c>
      <c r="O771" t="str" cm="1">
        <f t="array" ref="O771">_xlfn.IFS(
  TEXT(TRIM(N771),"00000")="NULL", "Missing/Unknown",
  OR(TEXT(TRIM(N771),"00000")="89101", TEXT(TRIM(N771),"00000")="89104", TEXT(TRIM(N771),"00000")="89106", TEXT(TRIM(N771),"00000")="89102", TEXT(TRIM(N771),"00000")="89107", TEXT(TRIM(N771),"00000")="89108"), "Urban Core",
  OR(TEXT(TRIM(N771),"00000")="89110", TEXT(TRIM(N771),"00000")="89115", TEXT(TRIM(N771),"00000")="89121", TEXT(TRIM(N771),"00000")="89122", TEXT(TRIM(N771),"00000")="89142", TEXT(TRIM(N771),"00000")="89156"), "East Valley",
  OR(TEXT(TRIM(N771),"00000")="89030", TEXT(TRIM(N771),"00000")="89031", TEXT(TRIM(N771),"00000")="89032", TEXT(TRIM(N771),"00000")="89086", TEXT(TRIM(N771),"00000")="89084", TEXT(TRIM(N771),"00000")="89081"), "North LV",
  OR(TEXT(TRIM(N771),"00000")="89109", TEXT(TRIM(N771),"00000")="89103", TEXT(TRIM(N771),"00000")="89119", TEXT(TRIM(N771),"00000")="89123", TEXT(TRIM(N771),"00000")="89169", TEXT(TRIM(N771),"00000")="89118"), "South/Strip",
  OR(TEXT(TRIM(N771),"00000")="89074", TEXT(TRIM(N771),"00000")="89014", TEXT(TRIM(N771),"00000")="89015", TEXT(TRIM(N771),"00000")="89011", TEXT(TRIM(N771),"00000")="89012"), "Suburban SE",
  OR(TEXT(TRIM(N771),"00000")="89117", TEXT(TRIM(N771),"00000")="89128", TEXT(TRIM(N771),"00000")="89135", TEXT(TRIM(N771),"00000")="89144", TEXT(TRIM(N771),"00000")="89145", TEXT(TRIM(N771),"00000")="89147"), "West Valley",
  TRUE, "Other"
)</f>
        <v>Other</v>
      </c>
      <c r="P771" t="s">
        <v>24</v>
      </c>
      <c r="Q771" t="str">
        <f t="shared" si="50"/>
        <v>Outdoors/Public</v>
      </c>
      <c r="R771" t="s">
        <v>4880</v>
      </c>
      <c r="S771" t="s">
        <v>5144</v>
      </c>
      <c r="T771" t="str" cm="1">
        <f t="array" ref="T771">_xlfn.IFS(
  TEXT(TRIM(S771),"00000")="NULL", "Missing/Unknown",
  OR(TEXT(TRIM(S771),"00000")="89101", TEXT(TRIM(S771),"00000")="89104", TEXT(TRIM(S771),"00000")="89106", TEXT(TRIM(S771),"00000")="89102", TEXT(TRIM(S771),"00000")="89107", TEXT(TRIM(S771),"00000")="89108"), "Urban Core",
  OR(TEXT(TRIM(S771),"00000")="89110", TEXT(TRIM(S771),"00000")="89115", TEXT(TRIM(S771),"00000")="89121", TEXT(TRIM(S771),"00000")="89122", TEXT(TRIM(S771),"00000")="89142", TEXT(TRIM(S771),"00000")="89156"), "East Valley",
  OR(TEXT(TRIM(S771),"00000")="89030", TEXT(TRIM(S771),"00000")="89031", TEXT(TRIM(S771),"00000")="89032", TEXT(TRIM(S771),"00000")="89086", TEXT(TRIM(S771),"00000")="89084", TEXT(TRIM(S771),"00000")="89081"), "North LV",
  OR(TEXT(TRIM(S771),"00000")="89109", TEXT(TRIM(S771),"00000")="89103", TEXT(TRIM(S771),"00000")="89119", TEXT(TRIM(S771),"00000")="89123", TEXT(TRIM(S771),"00000")="89169", TEXT(TRIM(S771),"00000")="89118"), "South/Strip",
  OR(TEXT(TRIM(S771),"00000")="89074", TEXT(TRIM(S771),"00000")="89014", TEXT(TRIM(S771),"00000")="89015", TEXT(TRIM(S771),"00000")="89011", TEXT(TRIM(S771),"00000")="89012"), "Suburban SE",
  OR(TEXT(TRIM(S771),"00000")="89117", TEXT(TRIM(S771),"00000")="89128", TEXT(TRIM(S771),"00000")="89135", TEXT(TRIM(S771),"00000")="89144", TEXT(TRIM(S771),"00000")="89145", TEXT(TRIM(S771),"00000")="89147"), "West Valley",
  TRUE, "Other"
)</f>
        <v>Other</v>
      </c>
      <c r="U771" t="s">
        <v>24</v>
      </c>
      <c r="V771" t="str">
        <f t="shared" si="51"/>
        <v>Outdoors/Public</v>
      </c>
    </row>
    <row r="772" spans="1:22">
      <c r="A772" t="s">
        <v>25</v>
      </c>
      <c r="B772" t="s">
        <v>26</v>
      </c>
      <c r="C772" s="1">
        <v>45027</v>
      </c>
      <c r="D772" s="4">
        <v>93.02</v>
      </c>
      <c r="E772">
        <v>39</v>
      </c>
      <c r="F772" t="str">
        <f t="shared" si="48"/>
        <v>30's</v>
      </c>
      <c r="G772" t="str" cm="1">
        <f t="array" ref="G772">_xlfn.IFS(
  F772="10's", "Child (5–12)",
  OR(F772="20's", F772="30's"), "Young Adult (20–39)",
  OR(F772="40's", F772="50's"), "Adult (40–59)",
  OR(F772="60's", F772="70's", F772="80's", F772="90's"), "Senior (60+)",
  TRUE, "Unknown"
)</f>
        <v>Young Adult (20–39)</v>
      </c>
      <c r="H772" t="s">
        <v>27</v>
      </c>
      <c r="I772" t="s">
        <v>28</v>
      </c>
      <c r="J772" t="str">
        <f t="shared" si="49"/>
        <v>Cardiovascular Disease</v>
      </c>
      <c r="K772" t="s">
        <v>29</v>
      </c>
      <c r="L772" t="s">
        <v>250</v>
      </c>
      <c r="N772" t="s">
        <v>5095</v>
      </c>
      <c r="O772" t="str" cm="1">
        <f t="array" ref="O772">_xlfn.IFS(
  TEXT(TRIM(N772),"00000")="NULL", "Missing/Unknown",
  OR(TEXT(TRIM(N772),"00000")="89101", TEXT(TRIM(N772),"00000")="89104", TEXT(TRIM(N772),"00000")="89106", TEXT(TRIM(N772),"00000")="89102", TEXT(TRIM(N772),"00000")="89107", TEXT(TRIM(N772),"00000")="89108"), "Urban Core",
  OR(TEXT(TRIM(N772),"00000")="89110", TEXT(TRIM(N772),"00000")="89115", TEXT(TRIM(N772),"00000")="89121", TEXT(TRIM(N772),"00000")="89122", TEXT(TRIM(N772),"00000")="89142", TEXT(TRIM(N772),"00000")="89156"), "East Valley",
  OR(TEXT(TRIM(N772),"00000")="89030", TEXT(TRIM(N772),"00000")="89031", TEXT(TRIM(N772),"00000")="89032", TEXT(TRIM(N772),"00000")="89086", TEXT(TRIM(N772),"00000")="89084", TEXT(TRIM(N772),"00000")="89081"), "North LV",
  OR(TEXT(TRIM(N772),"00000")="89109", TEXT(TRIM(N772),"00000")="89103", TEXT(TRIM(N772),"00000")="89119", TEXT(TRIM(N772),"00000")="89123", TEXT(TRIM(N772),"00000")="89169", TEXT(TRIM(N772),"00000")="89118"), "South/Strip",
  OR(TEXT(TRIM(N772),"00000")="89074", TEXT(TRIM(N772),"00000")="89014", TEXT(TRIM(N772),"00000")="89015", TEXT(TRIM(N772),"00000")="89011", TEXT(TRIM(N772),"00000")="89012"), "Suburban SE",
  OR(TEXT(TRIM(N772),"00000")="89117", TEXT(TRIM(N772),"00000")="89128", TEXT(TRIM(N772),"00000")="89135", TEXT(TRIM(N772),"00000")="89144", TEXT(TRIM(N772),"00000")="89145", TEXT(TRIM(N772),"00000")="89147"), "West Valley",
  TRUE, "Other"
)</f>
        <v>Missing/Unknown</v>
      </c>
      <c r="P772" t="s">
        <v>38</v>
      </c>
      <c r="Q772" t="str">
        <f t="shared" si="50"/>
        <v>Home/Residence</v>
      </c>
      <c r="S772" t="s">
        <v>5095</v>
      </c>
      <c r="T772" t="str" cm="1">
        <f t="array" ref="T772">_xlfn.IFS(
  TEXT(TRIM(S772),"00000")="NULL", "Missing/Unknown",
  OR(TEXT(TRIM(S772),"00000")="89101", TEXT(TRIM(S772),"00000")="89104", TEXT(TRIM(S772),"00000")="89106", TEXT(TRIM(S772),"00000")="89102", TEXT(TRIM(S772),"00000")="89107", TEXT(TRIM(S772),"00000")="89108"), "Urban Core",
  OR(TEXT(TRIM(S772),"00000")="89110", TEXT(TRIM(S772),"00000")="89115", TEXT(TRIM(S772),"00000")="89121", TEXT(TRIM(S772),"00000")="89122", TEXT(TRIM(S772),"00000")="89142", TEXT(TRIM(S772),"00000")="89156"), "East Valley",
  OR(TEXT(TRIM(S772),"00000")="89030", TEXT(TRIM(S772),"00000")="89031", TEXT(TRIM(S772),"00000")="89032", TEXT(TRIM(S772),"00000")="89086", TEXT(TRIM(S772),"00000")="89084", TEXT(TRIM(S772),"00000")="89081"), "North LV",
  OR(TEXT(TRIM(S772),"00000")="89109", TEXT(TRIM(S772),"00000")="89103", TEXT(TRIM(S772),"00000")="89119", TEXT(TRIM(S772),"00000")="89123", TEXT(TRIM(S772),"00000")="89169", TEXT(TRIM(S772),"00000")="89118"), "South/Strip",
  OR(TEXT(TRIM(S772),"00000")="89074", TEXT(TRIM(S772),"00000")="89014", TEXT(TRIM(S772),"00000")="89015", TEXT(TRIM(S772),"00000")="89011", TEXT(TRIM(S772),"00000")="89012"), "Suburban SE",
  OR(TEXT(TRIM(S772),"00000")="89117", TEXT(TRIM(S772),"00000")="89128", TEXT(TRIM(S772),"00000")="89135", TEXT(TRIM(S772),"00000")="89144", TEXT(TRIM(S772),"00000")="89145", TEXT(TRIM(S772),"00000")="89147"), "West Valley",
  TRUE, "Other"
)</f>
        <v>Missing/Unknown</v>
      </c>
      <c r="U772" t="s">
        <v>3298</v>
      </c>
      <c r="V772" t="str">
        <f t="shared" si="51"/>
        <v>Outdoors/Public</v>
      </c>
    </row>
    <row r="773" spans="1:22">
      <c r="A773" t="s">
        <v>1662</v>
      </c>
      <c r="B773" t="s">
        <v>1663</v>
      </c>
      <c r="C773" s="1">
        <v>44863</v>
      </c>
      <c r="D773" s="4">
        <v>75.02</v>
      </c>
      <c r="E773">
        <v>31</v>
      </c>
      <c r="F773" t="str">
        <f t="shared" si="48"/>
        <v>30's</v>
      </c>
      <c r="G773" t="str" cm="1">
        <f t="array" ref="G773">_xlfn.IFS(
  F773="10's", "Child (5–12)",
  OR(F773="20's", F773="30's"), "Young Adult (20–39)",
  OR(F773="40's", F773="50's"), "Adult (40–59)",
  OR(F773="60's", F773="70's", F773="80's", F773="90's"), "Senior (60+)",
  TRUE, "Unknown"
)</f>
        <v>Young Adult (20–39)</v>
      </c>
      <c r="H773" t="s">
        <v>4310</v>
      </c>
      <c r="I773" t="s">
        <v>1303</v>
      </c>
      <c r="J773" t="str">
        <f t="shared" si="49"/>
        <v>Other / Unknown</v>
      </c>
      <c r="K773" t="s">
        <v>4253</v>
      </c>
      <c r="L773" t="s">
        <v>1071</v>
      </c>
      <c r="M773" t="s">
        <v>4575</v>
      </c>
      <c r="N773" t="s">
        <v>5110</v>
      </c>
      <c r="O773" t="str" cm="1">
        <f t="array" ref="O773">_xlfn.IFS(
  TEXT(TRIM(N773),"00000")="NULL", "Missing/Unknown",
  OR(TEXT(TRIM(N773),"00000")="89101", TEXT(TRIM(N773),"00000")="89104", TEXT(TRIM(N773),"00000")="89106", TEXT(TRIM(N773),"00000")="89102", TEXT(TRIM(N773),"00000")="89107", TEXT(TRIM(N773),"00000")="89108"), "Urban Core",
  OR(TEXT(TRIM(N773),"00000")="89110", TEXT(TRIM(N773),"00000")="89115", TEXT(TRIM(N773),"00000")="89121", TEXT(TRIM(N773),"00000")="89122", TEXT(TRIM(N773),"00000")="89142", TEXT(TRIM(N773),"00000")="89156"), "East Valley",
  OR(TEXT(TRIM(N773),"00000")="89030", TEXT(TRIM(N773),"00000")="89031", TEXT(TRIM(N773),"00000")="89032", TEXT(TRIM(N773),"00000")="89086", TEXT(TRIM(N773),"00000")="89084", TEXT(TRIM(N773),"00000")="89081"), "North LV",
  OR(TEXT(TRIM(N773),"00000")="89109", TEXT(TRIM(N773),"00000")="89103", TEXT(TRIM(N773),"00000")="89119", TEXT(TRIM(N773),"00000")="89123", TEXT(TRIM(N773),"00000")="89169", TEXT(TRIM(N773),"00000")="89118"), "South/Strip",
  OR(TEXT(TRIM(N773),"00000")="89074", TEXT(TRIM(N773),"00000")="89014", TEXT(TRIM(N773),"00000")="89015", TEXT(TRIM(N773),"00000")="89011", TEXT(TRIM(N773),"00000")="89012"), "Suburban SE",
  OR(TEXT(TRIM(N773),"00000")="89117", TEXT(TRIM(N773),"00000")="89128", TEXT(TRIM(N773),"00000")="89135", TEXT(TRIM(N773),"00000")="89144", TEXT(TRIM(N773),"00000")="89145", TEXT(TRIM(N773),"00000")="89147"), "West Valley",
  TRUE, "Other"
)</f>
        <v>Suburban SE</v>
      </c>
      <c r="P773" t="s">
        <v>38</v>
      </c>
      <c r="Q773" t="str">
        <f t="shared" si="50"/>
        <v>Home/Residence</v>
      </c>
      <c r="R773" t="s">
        <v>5053</v>
      </c>
      <c r="S773" t="s">
        <v>5110</v>
      </c>
      <c r="T773" t="str" cm="1">
        <f t="array" ref="T773">_xlfn.IFS(
  TEXT(TRIM(S773),"00000")="NULL", "Missing/Unknown",
  OR(TEXT(TRIM(S773),"00000")="89101", TEXT(TRIM(S773),"00000")="89104", TEXT(TRIM(S773),"00000")="89106", TEXT(TRIM(S773),"00000")="89102", TEXT(TRIM(S773),"00000")="89107", TEXT(TRIM(S773),"00000")="89108"), "Urban Core",
  OR(TEXT(TRIM(S773),"00000")="89110", TEXT(TRIM(S773),"00000")="89115", TEXT(TRIM(S773),"00000")="89121", TEXT(TRIM(S773),"00000")="89122", TEXT(TRIM(S773),"00000")="89142", TEXT(TRIM(S773),"00000")="89156"), "East Valley",
  OR(TEXT(TRIM(S773),"00000")="89030", TEXT(TRIM(S773),"00000")="89031", TEXT(TRIM(S773),"00000")="89032", TEXT(TRIM(S773),"00000")="89086", TEXT(TRIM(S773),"00000")="89084", TEXT(TRIM(S773),"00000")="89081"), "North LV",
  OR(TEXT(TRIM(S773),"00000")="89109", TEXT(TRIM(S773),"00000")="89103", TEXT(TRIM(S773),"00000")="89119", TEXT(TRIM(S773),"00000")="89123", TEXT(TRIM(S773),"00000")="89169", TEXT(TRIM(S773),"00000")="89118"), "South/Strip",
  OR(TEXT(TRIM(S773),"00000")="89074", TEXT(TRIM(S773),"00000")="89014", TEXT(TRIM(S773),"00000")="89015", TEXT(TRIM(S773),"00000")="89011", TEXT(TRIM(S773),"00000")="89012"), "Suburban SE",
  OR(TEXT(TRIM(S773),"00000")="89117", TEXT(TRIM(S773),"00000")="89128", TEXT(TRIM(S773),"00000")="89135", TEXT(TRIM(S773),"00000")="89144", TEXT(TRIM(S773),"00000")="89145", TEXT(TRIM(S773),"00000")="89147"), "West Valley",
  TRUE, "Other"
)</f>
        <v>Suburban SE</v>
      </c>
      <c r="U773" t="s">
        <v>4305</v>
      </c>
      <c r="V773" t="str">
        <f t="shared" si="51"/>
        <v>Medical Facility</v>
      </c>
    </row>
    <row r="774" spans="1:22">
      <c r="A774" t="s">
        <v>1656</v>
      </c>
      <c r="B774" t="s">
        <v>1657</v>
      </c>
      <c r="C774" s="1">
        <v>44815</v>
      </c>
      <c r="D774" s="4">
        <v>95</v>
      </c>
      <c r="E774">
        <v>80</v>
      </c>
      <c r="F774" t="str">
        <f t="shared" si="48"/>
        <v>80's</v>
      </c>
      <c r="G774" t="str" cm="1">
        <f t="array" ref="G774">_xlfn.IFS(
  F774="10's", "Child (5–12)",
  OR(F774="20's", F774="30's"), "Young Adult (20–39)",
  OR(F774="40's", F774="50's"), "Adult (40–59)",
  OR(F774="60's", F774="70's", F774="80's", F774="90's"), "Senior (60+)",
  TRUE, "Unknown"
)</f>
        <v>Senior (60+)</v>
      </c>
      <c r="H774" t="s">
        <v>841</v>
      </c>
      <c r="I774" t="s">
        <v>54</v>
      </c>
      <c r="J774" t="str">
        <f t="shared" si="49"/>
        <v>Environmental Heat</v>
      </c>
      <c r="K774" t="s">
        <v>63</v>
      </c>
      <c r="L774" t="s">
        <v>1071</v>
      </c>
      <c r="N774" t="s">
        <v>5095</v>
      </c>
      <c r="O774" t="str" cm="1">
        <f t="array" ref="O774">_xlfn.IFS(
  TEXT(TRIM(N774),"00000")="NULL", "Missing/Unknown",
  OR(TEXT(TRIM(N774),"00000")="89101", TEXT(TRIM(N774),"00000")="89104", TEXT(TRIM(N774),"00000")="89106", TEXT(TRIM(N774),"00000")="89102", TEXT(TRIM(N774),"00000")="89107", TEXT(TRIM(N774),"00000")="89108"), "Urban Core",
  OR(TEXT(TRIM(N774),"00000")="89110", TEXT(TRIM(N774),"00000")="89115", TEXT(TRIM(N774),"00000")="89121", TEXT(TRIM(N774),"00000")="89122", TEXT(TRIM(N774),"00000")="89142", TEXT(TRIM(N774),"00000")="89156"), "East Valley",
  OR(TEXT(TRIM(N774),"00000")="89030", TEXT(TRIM(N774),"00000")="89031", TEXT(TRIM(N774),"00000")="89032", TEXT(TRIM(N774),"00000")="89086", TEXT(TRIM(N774),"00000")="89084", TEXT(TRIM(N774),"00000")="89081"), "North LV",
  OR(TEXT(TRIM(N774),"00000")="89109", TEXT(TRIM(N774),"00000")="89103", TEXT(TRIM(N774),"00000")="89119", TEXT(TRIM(N774),"00000")="89123", TEXT(TRIM(N774),"00000")="89169", TEXT(TRIM(N774),"00000")="89118"), "South/Strip",
  OR(TEXT(TRIM(N774),"00000")="89074", TEXT(TRIM(N774),"00000")="89014", TEXT(TRIM(N774),"00000")="89015", TEXT(TRIM(N774),"00000")="89011", TEXT(TRIM(N774),"00000")="89012"), "Suburban SE",
  OR(TEXT(TRIM(N774),"00000")="89117", TEXT(TRIM(N774),"00000")="89128", TEXT(TRIM(N774),"00000")="89135", TEXT(TRIM(N774),"00000")="89144", TEXT(TRIM(N774),"00000")="89145", TEXT(TRIM(N774),"00000")="89147"), "West Valley",
  TRUE, "Other"
)</f>
        <v>Missing/Unknown</v>
      </c>
      <c r="P774" t="s">
        <v>38</v>
      </c>
      <c r="Q774" t="str">
        <f t="shared" si="50"/>
        <v>Home/Residence</v>
      </c>
      <c r="R774" t="s">
        <v>4713</v>
      </c>
      <c r="S774" t="s">
        <v>5125</v>
      </c>
      <c r="T774" t="str" cm="1">
        <f t="array" ref="T774">_xlfn.IFS(
  TEXT(TRIM(S774),"00000")="NULL", "Missing/Unknown",
  OR(TEXT(TRIM(S774),"00000")="89101", TEXT(TRIM(S774),"00000")="89104", TEXT(TRIM(S774),"00000")="89106", TEXT(TRIM(S774),"00000")="89102", TEXT(TRIM(S774),"00000")="89107", TEXT(TRIM(S774),"00000")="89108"), "Urban Core",
  OR(TEXT(TRIM(S774),"00000")="89110", TEXT(TRIM(S774),"00000")="89115", TEXT(TRIM(S774),"00000")="89121", TEXT(TRIM(S774),"00000")="89122", TEXT(TRIM(S774),"00000")="89142", TEXT(TRIM(S774),"00000")="89156"), "East Valley",
  OR(TEXT(TRIM(S774),"00000")="89030", TEXT(TRIM(S774),"00000")="89031", TEXT(TRIM(S774),"00000")="89032", TEXT(TRIM(S774),"00000")="89086", TEXT(TRIM(S774),"00000")="89084", TEXT(TRIM(S774),"00000")="89081"), "North LV",
  OR(TEXT(TRIM(S774),"00000")="89109", TEXT(TRIM(S774),"00000")="89103", TEXT(TRIM(S774),"00000")="89119", TEXT(TRIM(S774),"00000")="89123", TEXT(TRIM(S774),"00000")="89169", TEXT(TRIM(S774),"00000")="89118"), "South/Strip",
  OR(TEXT(TRIM(S774),"00000")="89074", TEXT(TRIM(S774),"00000")="89014", TEXT(TRIM(S774),"00000")="89015", TEXT(TRIM(S774),"00000")="89011", TEXT(TRIM(S774),"00000")="89012"), "Suburban SE",
  OR(TEXT(TRIM(S774),"00000")="89117", TEXT(TRIM(S774),"00000")="89128", TEXT(TRIM(S774),"00000")="89135", TEXT(TRIM(S774),"00000")="89144", TEXT(TRIM(S774),"00000")="89145", TEXT(TRIM(S774),"00000")="89147"), "West Valley",
  TRUE, "Other"
)</f>
        <v>South/Strip</v>
      </c>
      <c r="U774" t="s">
        <v>228</v>
      </c>
      <c r="V774" t="str">
        <f t="shared" si="51"/>
        <v>Medical Facility</v>
      </c>
    </row>
    <row r="775" spans="1:22">
      <c r="A775" t="s">
        <v>1654</v>
      </c>
      <c r="B775" t="s">
        <v>1655</v>
      </c>
      <c r="C775" s="1">
        <v>44814</v>
      </c>
      <c r="D775" s="4">
        <v>87.98</v>
      </c>
      <c r="E775">
        <v>66</v>
      </c>
      <c r="F775" t="str">
        <f t="shared" si="48"/>
        <v>60's</v>
      </c>
      <c r="G775" t="str" cm="1">
        <f t="array" ref="G775">_xlfn.IFS(
  F775="10's", "Child (5–12)",
  OR(F775="20's", F775="30's"), "Young Adult (20–39)",
  OR(F775="40's", F775="50's"), "Adult (40–59)",
  OR(F775="60's", F775="70's", F775="80's", F775="90's"), "Senior (60+)",
  TRUE, "Unknown"
)</f>
        <v>Senior (60+)</v>
      </c>
      <c r="H775" t="s">
        <v>778</v>
      </c>
      <c r="I775" t="s">
        <v>35</v>
      </c>
      <c r="J775" t="str">
        <f t="shared" si="49"/>
        <v>Environmental Heat</v>
      </c>
      <c r="K775" t="s">
        <v>28</v>
      </c>
      <c r="L775" t="s">
        <v>1071</v>
      </c>
      <c r="M775" t="s">
        <v>4350</v>
      </c>
      <c r="N775" t="s">
        <v>5110</v>
      </c>
      <c r="O775" t="str" cm="1">
        <f t="array" ref="O775">_xlfn.IFS(
  TEXT(TRIM(N775),"00000")="NULL", "Missing/Unknown",
  OR(TEXT(TRIM(N775),"00000")="89101", TEXT(TRIM(N775),"00000")="89104", TEXT(TRIM(N775),"00000")="89106", TEXT(TRIM(N775),"00000")="89102", TEXT(TRIM(N775),"00000")="89107", TEXT(TRIM(N775),"00000")="89108"), "Urban Core",
  OR(TEXT(TRIM(N775),"00000")="89110", TEXT(TRIM(N775),"00000")="89115", TEXT(TRIM(N775),"00000")="89121", TEXT(TRIM(N775),"00000")="89122", TEXT(TRIM(N775),"00000")="89142", TEXT(TRIM(N775),"00000")="89156"), "East Valley",
  OR(TEXT(TRIM(N775),"00000")="89030", TEXT(TRIM(N775),"00000")="89031", TEXT(TRIM(N775),"00000")="89032", TEXT(TRIM(N775),"00000")="89086", TEXT(TRIM(N775),"00000")="89084", TEXT(TRIM(N775),"00000")="89081"), "North LV",
  OR(TEXT(TRIM(N775),"00000")="89109", TEXT(TRIM(N775),"00000")="89103", TEXT(TRIM(N775),"00000")="89119", TEXT(TRIM(N775),"00000")="89123", TEXT(TRIM(N775),"00000")="89169", TEXT(TRIM(N775),"00000")="89118"), "South/Strip",
  OR(TEXT(TRIM(N775),"00000")="89074", TEXT(TRIM(N775),"00000")="89014", TEXT(TRIM(N775),"00000")="89015", TEXT(TRIM(N775),"00000")="89011", TEXT(TRIM(N775),"00000")="89012"), "Suburban SE",
  OR(TEXT(TRIM(N775),"00000")="89117", TEXT(TRIM(N775),"00000")="89128", TEXT(TRIM(N775),"00000")="89135", TEXT(TRIM(N775),"00000")="89144", TEXT(TRIM(N775),"00000")="89145", TEXT(TRIM(N775),"00000")="89147"), "West Valley",
  TRUE, "Other"
)</f>
        <v>Suburban SE</v>
      </c>
      <c r="P775" t="s">
        <v>38</v>
      </c>
      <c r="Q775" t="str">
        <f t="shared" si="50"/>
        <v>Home/Residence</v>
      </c>
      <c r="R775" t="s">
        <v>4350</v>
      </c>
      <c r="S775" t="s">
        <v>5110</v>
      </c>
      <c r="T775" t="str" cm="1">
        <f t="array" ref="T775">_xlfn.IFS(
  TEXT(TRIM(S775),"00000")="NULL", "Missing/Unknown",
  OR(TEXT(TRIM(S775),"00000")="89101", TEXT(TRIM(S775),"00000")="89104", TEXT(TRIM(S775),"00000")="89106", TEXT(TRIM(S775),"00000")="89102", TEXT(TRIM(S775),"00000")="89107", TEXT(TRIM(S775),"00000")="89108"), "Urban Core",
  OR(TEXT(TRIM(S775),"00000")="89110", TEXT(TRIM(S775),"00000")="89115", TEXT(TRIM(S775),"00000")="89121", TEXT(TRIM(S775),"00000")="89122", TEXT(TRIM(S775),"00000")="89142", TEXT(TRIM(S775),"00000")="89156"), "East Valley",
  OR(TEXT(TRIM(S775),"00000")="89030", TEXT(TRIM(S775),"00000")="89031", TEXT(TRIM(S775),"00000")="89032", TEXT(TRIM(S775),"00000")="89086", TEXT(TRIM(S775),"00000")="89084", TEXT(TRIM(S775),"00000")="89081"), "North LV",
  OR(TEXT(TRIM(S775),"00000")="89109", TEXT(TRIM(S775),"00000")="89103", TEXT(TRIM(S775),"00000")="89119", TEXT(TRIM(S775),"00000")="89123", TEXT(TRIM(S775),"00000")="89169", TEXT(TRIM(S775),"00000")="89118"), "South/Strip",
  OR(TEXT(TRIM(S775),"00000")="89074", TEXT(TRIM(S775),"00000")="89014", TEXT(TRIM(S775),"00000")="89015", TEXT(TRIM(S775),"00000")="89011", TEXT(TRIM(S775),"00000")="89012"), "Suburban SE",
  OR(TEXT(TRIM(S775),"00000")="89117", TEXT(TRIM(S775),"00000")="89128", TEXT(TRIM(S775),"00000")="89135", TEXT(TRIM(S775),"00000")="89144", TEXT(TRIM(S775),"00000")="89145", TEXT(TRIM(S775),"00000")="89147"), "West Valley",
  TRUE, "Other"
)</f>
        <v>Suburban SE</v>
      </c>
      <c r="U775" t="s">
        <v>38</v>
      </c>
      <c r="V775" t="str">
        <f t="shared" si="51"/>
        <v>Home/Residence</v>
      </c>
    </row>
    <row r="776" spans="1:22">
      <c r="A776" t="s">
        <v>1650</v>
      </c>
      <c r="B776" t="s">
        <v>1651</v>
      </c>
      <c r="C776" s="1">
        <v>44814</v>
      </c>
      <c r="D776" s="4">
        <v>87.98</v>
      </c>
      <c r="E776">
        <v>91</v>
      </c>
      <c r="F776" t="str">
        <f t="shared" si="48"/>
        <v>90's</v>
      </c>
      <c r="G776" t="str" cm="1">
        <f t="array" ref="G776">_xlfn.IFS(
  F776="10's", "Child (5–12)",
  OR(F776="20's", F776="30's"), "Young Adult (20–39)",
  OR(F776="40's", F776="50's"), "Adult (40–59)",
  OR(F776="60's", F776="70's", F776="80's", F776="90's"), "Senior (60+)",
  TRUE, "Unknown"
)</f>
        <v>Senior (60+)</v>
      </c>
      <c r="H776" t="s">
        <v>778</v>
      </c>
      <c r="I776" t="s">
        <v>35</v>
      </c>
      <c r="J776" t="str">
        <f t="shared" si="49"/>
        <v>Environmental Heat</v>
      </c>
      <c r="K776" t="s">
        <v>1582</v>
      </c>
      <c r="L776" t="s">
        <v>1071</v>
      </c>
      <c r="M776" t="s">
        <v>4350</v>
      </c>
      <c r="N776" t="s">
        <v>5110</v>
      </c>
      <c r="O776" t="str" cm="1">
        <f t="array" ref="O776">_xlfn.IFS(
  TEXT(TRIM(N776),"00000")="NULL", "Missing/Unknown",
  OR(TEXT(TRIM(N776),"00000")="89101", TEXT(TRIM(N776),"00000")="89104", TEXT(TRIM(N776),"00000")="89106", TEXT(TRIM(N776),"00000")="89102", TEXT(TRIM(N776),"00000")="89107", TEXT(TRIM(N776),"00000")="89108"), "Urban Core",
  OR(TEXT(TRIM(N776),"00000")="89110", TEXT(TRIM(N776),"00000")="89115", TEXT(TRIM(N776),"00000")="89121", TEXT(TRIM(N776),"00000")="89122", TEXT(TRIM(N776),"00000")="89142", TEXT(TRIM(N776),"00000")="89156"), "East Valley",
  OR(TEXT(TRIM(N776),"00000")="89030", TEXT(TRIM(N776),"00000")="89031", TEXT(TRIM(N776),"00000")="89032", TEXT(TRIM(N776),"00000")="89086", TEXT(TRIM(N776),"00000")="89084", TEXT(TRIM(N776),"00000")="89081"), "North LV",
  OR(TEXT(TRIM(N776),"00000")="89109", TEXT(TRIM(N776),"00000")="89103", TEXT(TRIM(N776),"00000")="89119", TEXT(TRIM(N776),"00000")="89123", TEXT(TRIM(N776),"00000")="89169", TEXT(TRIM(N776),"00000")="89118"), "South/Strip",
  OR(TEXT(TRIM(N776),"00000")="89074", TEXT(TRIM(N776),"00000")="89014", TEXT(TRIM(N776),"00000")="89015", TEXT(TRIM(N776),"00000")="89011", TEXT(TRIM(N776),"00000")="89012"), "Suburban SE",
  OR(TEXT(TRIM(N776),"00000")="89117", TEXT(TRIM(N776),"00000")="89128", TEXT(TRIM(N776),"00000")="89135", TEXT(TRIM(N776),"00000")="89144", TEXT(TRIM(N776),"00000")="89145", TEXT(TRIM(N776),"00000")="89147"), "West Valley",
  TRUE, "Other"
)</f>
        <v>Suburban SE</v>
      </c>
      <c r="P776" t="s">
        <v>38</v>
      </c>
      <c r="Q776" t="str">
        <f t="shared" si="50"/>
        <v>Home/Residence</v>
      </c>
      <c r="R776" t="s">
        <v>4350</v>
      </c>
      <c r="S776" t="s">
        <v>5110</v>
      </c>
      <c r="T776" t="str" cm="1">
        <f t="array" ref="T776">_xlfn.IFS(
  TEXT(TRIM(S776),"00000")="NULL", "Missing/Unknown",
  OR(TEXT(TRIM(S776),"00000")="89101", TEXT(TRIM(S776),"00000")="89104", TEXT(TRIM(S776),"00000")="89106", TEXT(TRIM(S776),"00000")="89102", TEXT(TRIM(S776),"00000")="89107", TEXT(TRIM(S776),"00000")="89108"), "Urban Core",
  OR(TEXT(TRIM(S776),"00000")="89110", TEXT(TRIM(S776),"00000")="89115", TEXT(TRIM(S776),"00000")="89121", TEXT(TRIM(S776),"00000")="89122", TEXT(TRIM(S776),"00000")="89142", TEXT(TRIM(S776),"00000")="89156"), "East Valley",
  OR(TEXT(TRIM(S776),"00000")="89030", TEXT(TRIM(S776),"00000")="89031", TEXT(TRIM(S776),"00000")="89032", TEXT(TRIM(S776),"00000")="89086", TEXT(TRIM(S776),"00000")="89084", TEXT(TRIM(S776),"00000")="89081"), "North LV",
  OR(TEXT(TRIM(S776),"00000")="89109", TEXT(TRIM(S776),"00000")="89103", TEXT(TRIM(S776),"00000")="89119", TEXT(TRIM(S776),"00000")="89123", TEXT(TRIM(S776),"00000")="89169", TEXT(TRIM(S776),"00000")="89118"), "South/Strip",
  OR(TEXT(TRIM(S776),"00000")="89074", TEXT(TRIM(S776),"00000")="89014", TEXT(TRIM(S776),"00000")="89015", TEXT(TRIM(S776),"00000")="89011", TEXT(TRIM(S776),"00000")="89012"), "Suburban SE",
  OR(TEXT(TRIM(S776),"00000")="89117", TEXT(TRIM(S776),"00000")="89128", TEXT(TRIM(S776),"00000")="89135", TEXT(TRIM(S776),"00000")="89144", TEXT(TRIM(S776),"00000")="89145", TEXT(TRIM(S776),"00000")="89147"), "West Valley",
  TRUE, "Other"
)</f>
        <v>Suburban SE</v>
      </c>
      <c r="U776" t="s">
        <v>38</v>
      </c>
      <c r="V776" t="str">
        <f t="shared" si="51"/>
        <v>Home/Residence</v>
      </c>
    </row>
    <row r="777" spans="1:22">
      <c r="A777" t="s">
        <v>1640</v>
      </c>
      <c r="B777" t="s">
        <v>1641</v>
      </c>
      <c r="C777" s="1">
        <v>44813</v>
      </c>
      <c r="D777" s="4">
        <v>96.98</v>
      </c>
      <c r="E777">
        <v>53</v>
      </c>
      <c r="F777" t="str">
        <f t="shared" si="48"/>
        <v>50's</v>
      </c>
      <c r="G777" t="str" cm="1">
        <f t="array" ref="G777">_xlfn.IFS(
  F777="10's", "Child (5–12)",
  OR(F777="20's", F777="30's"), "Young Adult (20–39)",
  OR(F777="40's", F777="50's"), "Adult (40–59)",
  OR(F777="60's", F777="70's", F777="80's", F777="90's"), "Senior (60+)",
  TRUE, "Unknown"
)</f>
        <v>Adult (40–59)</v>
      </c>
      <c r="H777" t="s">
        <v>841</v>
      </c>
      <c r="I777" t="s">
        <v>172</v>
      </c>
      <c r="J777" t="str">
        <f t="shared" si="49"/>
        <v>Methamphetamine-related</v>
      </c>
      <c r="K777" t="s">
        <v>4237</v>
      </c>
      <c r="L777" t="s">
        <v>250</v>
      </c>
      <c r="M777" t="s">
        <v>4781</v>
      </c>
      <c r="N777" t="s">
        <v>5097</v>
      </c>
      <c r="O777" t="str" cm="1">
        <f t="array" ref="O777">_xlfn.IFS(
  TEXT(TRIM(N777),"00000")="NULL", "Missing/Unknown",
  OR(TEXT(TRIM(N777),"00000")="89101", TEXT(TRIM(N777),"00000")="89104", TEXT(TRIM(N777),"00000")="89106", TEXT(TRIM(N777),"00000")="89102", TEXT(TRIM(N777),"00000")="89107", TEXT(TRIM(N777),"00000")="89108"), "Urban Core",
  OR(TEXT(TRIM(N777),"00000")="89110", TEXT(TRIM(N777),"00000")="89115", TEXT(TRIM(N777),"00000")="89121", TEXT(TRIM(N777),"00000")="89122", TEXT(TRIM(N777),"00000")="89142", TEXT(TRIM(N777),"00000")="89156"), "East Valley",
  OR(TEXT(TRIM(N777),"00000")="89030", TEXT(TRIM(N777),"00000")="89031", TEXT(TRIM(N777),"00000")="89032", TEXT(TRIM(N777),"00000")="89086", TEXT(TRIM(N777),"00000")="89084", TEXT(TRIM(N777),"00000")="89081"), "North LV",
  OR(TEXT(TRIM(N777),"00000")="89109", TEXT(TRIM(N777),"00000")="89103", TEXT(TRIM(N777),"00000")="89119", TEXT(TRIM(N777),"00000")="89123", TEXT(TRIM(N777),"00000")="89169", TEXT(TRIM(N777),"00000")="89118"), "South/Strip",
  OR(TEXT(TRIM(N777),"00000")="89074", TEXT(TRIM(N777),"00000")="89014", TEXT(TRIM(N777),"00000")="89015", TEXT(TRIM(N777),"00000")="89011", TEXT(TRIM(N777),"00000")="89012"), "Suburban SE",
  OR(TEXT(TRIM(N777),"00000")="89117", TEXT(TRIM(N777),"00000")="89128", TEXT(TRIM(N777),"00000")="89135", TEXT(TRIM(N777),"00000")="89144", TEXT(TRIM(N777),"00000")="89145", TEXT(TRIM(N777),"00000")="89147"), "West Valley",
  TRUE, "Other"
)</f>
        <v>Urban Core</v>
      </c>
      <c r="P777" t="s">
        <v>3298</v>
      </c>
      <c r="Q777" t="str">
        <f t="shared" si="50"/>
        <v>Outdoors/Public</v>
      </c>
      <c r="R777" t="s">
        <v>4781</v>
      </c>
      <c r="S777" t="s">
        <v>5097</v>
      </c>
      <c r="T777" t="str" cm="1">
        <f t="array" ref="T777">_xlfn.IFS(
  TEXT(TRIM(S777),"00000")="NULL", "Missing/Unknown",
  OR(TEXT(TRIM(S777),"00000")="89101", TEXT(TRIM(S777),"00000")="89104", TEXT(TRIM(S777),"00000")="89106", TEXT(TRIM(S777),"00000")="89102", TEXT(TRIM(S777),"00000")="89107", TEXT(TRIM(S777),"00000")="89108"), "Urban Core",
  OR(TEXT(TRIM(S777),"00000")="89110", TEXT(TRIM(S777),"00000")="89115", TEXT(TRIM(S777),"00000")="89121", TEXT(TRIM(S777),"00000")="89122", TEXT(TRIM(S777),"00000")="89142", TEXT(TRIM(S777),"00000")="89156"), "East Valley",
  OR(TEXT(TRIM(S777),"00000")="89030", TEXT(TRIM(S777),"00000")="89031", TEXT(TRIM(S777),"00000")="89032", TEXT(TRIM(S777),"00000")="89086", TEXT(TRIM(S777),"00000")="89084", TEXT(TRIM(S777),"00000")="89081"), "North LV",
  OR(TEXT(TRIM(S777),"00000")="89109", TEXT(TRIM(S777),"00000")="89103", TEXT(TRIM(S777),"00000")="89119", TEXT(TRIM(S777),"00000")="89123", TEXT(TRIM(S777),"00000")="89169", TEXT(TRIM(S777),"00000")="89118"), "South/Strip",
  OR(TEXT(TRIM(S777),"00000")="89074", TEXT(TRIM(S777),"00000")="89014", TEXT(TRIM(S777),"00000")="89015", TEXT(TRIM(S777),"00000")="89011", TEXT(TRIM(S777),"00000")="89012"), "Suburban SE",
  OR(TEXT(TRIM(S777),"00000")="89117", TEXT(TRIM(S777),"00000")="89128", TEXT(TRIM(S777),"00000")="89135", TEXT(TRIM(S777),"00000")="89144", TEXT(TRIM(S777),"00000")="89145", TEXT(TRIM(S777),"00000")="89147"), "West Valley",
  TRUE, "Other"
)</f>
        <v>Urban Core</v>
      </c>
      <c r="U777" t="s">
        <v>3298</v>
      </c>
      <c r="V777" t="str">
        <f t="shared" si="51"/>
        <v>Outdoors/Public</v>
      </c>
    </row>
    <row r="778" spans="1:22">
      <c r="A778" t="s">
        <v>1644</v>
      </c>
      <c r="B778" t="s">
        <v>1645</v>
      </c>
      <c r="C778" s="1">
        <v>44813</v>
      </c>
      <c r="D778" s="4">
        <v>96.98</v>
      </c>
      <c r="E778">
        <v>80</v>
      </c>
      <c r="F778" t="str">
        <f t="shared" si="48"/>
        <v>80's</v>
      </c>
      <c r="G778" t="str" cm="1">
        <f t="array" ref="G778">_xlfn.IFS(
  F778="10's", "Child (5–12)",
  OR(F778="20's", F778="30's"), "Young Adult (20–39)",
  OR(F778="40's", F778="50's"), "Adult (40–59)",
  OR(F778="60's", F778="70's", F778="80's", F778="90's"), "Senior (60+)",
  TRUE, "Unknown"
)</f>
        <v>Senior (60+)</v>
      </c>
      <c r="H778" t="s">
        <v>841</v>
      </c>
      <c r="I778" t="s">
        <v>35</v>
      </c>
      <c r="J778" t="str">
        <f t="shared" si="49"/>
        <v>Environmental Heat</v>
      </c>
      <c r="K778" t="s">
        <v>28</v>
      </c>
      <c r="L778" t="s">
        <v>1071</v>
      </c>
      <c r="M778" t="s">
        <v>4347</v>
      </c>
      <c r="N778" t="s">
        <v>5122</v>
      </c>
      <c r="O778" t="str" cm="1">
        <f t="array" ref="O778">_xlfn.IFS(
  TEXT(TRIM(N778),"00000")="NULL", "Missing/Unknown",
  OR(TEXT(TRIM(N778),"00000")="89101", TEXT(TRIM(N778),"00000")="89104", TEXT(TRIM(N778),"00000")="89106", TEXT(TRIM(N778),"00000")="89102", TEXT(TRIM(N778),"00000")="89107", TEXT(TRIM(N778),"00000")="89108"), "Urban Core",
  OR(TEXT(TRIM(N778),"00000")="89110", TEXT(TRIM(N778),"00000")="89115", TEXT(TRIM(N778),"00000")="89121", TEXT(TRIM(N778),"00000")="89122", TEXT(TRIM(N778),"00000")="89142", TEXT(TRIM(N778),"00000")="89156"), "East Valley",
  OR(TEXT(TRIM(N778),"00000")="89030", TEXT(TRIM(N778),"00000")="89031", TEXT(TRIM(N778),"00000")="89032", TEXT(TRIM(N778),"00000")="89086", TEXT(TRIM(N778),"00000")="89084", TEXT(TRIM(N778),"00000")="89081"), "North LV",
  OR(TEXT(TRIM(N778),"00000")="89109", TEXT(TRIM(N778),"00000")="89103", TEXT(TRIM(N778),"00000")="89119", TEXT(TRIM(N778),"00000")="89123", TEXT(TRIM(N778),"00000")="89169", TEXT(TRIM(N778),"00000")="89118"), "South/Strip",
  OR(TEXT(TRIM(N778),"00000")="89074", TEXT(TRIM(N778),"00000")="89014", TEXT(TRIM(N778),"00000")="89015", TEXT(TRIM(N778),"00000")="89011", TEXT(TRIM(N778),"00000")="89012"), "Suburban SE",
  OR(TEXT(TRIM(N778),"00000")="89117", TEXT(TRIM(N778),"00000")="89128", TEXT(TRIM(N778),"00000")="89135", TEXT(TRIM(N778),"00000")="89144", TEXT(TRIM(N778),"00000")="89145", TEXT(TRIM(N778),"00000")="89147"), "West Valley",
  TRUE, "Other"
)</f>
        <v>East Valley</v>
      </c>
      <c r="P778" t="s">
        <v>38</v>
      </c>
      <c r="Q778" t="str">
        <f t="shared" si="50"/>
        <v>Home/Residence</v>
      </c>
      <c r="R778" t="s">
        <v>4347</v>
      </c>
      <c r="S778" t="s">
        <v>5122</v>
      </c>
      <c r="T778" t="str" cm="1">
        <f t="array" ref="T778">_xlfn.IFS(
  TEXT(TRIM(S778),"00000")="NULL", "Missing/Unknown",
  OR(TEXT(TRIM(S778),"00000")="89101", TEXT(TRIM(S778),"00000")="89104", TEXT(TRIM(S778),"00000")="89106", TEXT(TRIM(S778),"00000")="89102", TEXT(TRIM(S778),"00000")="89107", TEXT(TRIM(S778),"00000")="89108"), "Urban Core",
  OR(TEXT(TRIM(S778),"00000")="89110", TEXT(TRIM(S778),"00000")="89115", TEXT(TRIM(S778),"00000")="89121", TEXT(TRIM(S778),"00000")="89122", TEXT(TRIM(S778),"00000")="89142", TEXT(TRIM(S778),"00000")="89156"), "East Valley",
  OR(TEXT(TRIM(S778),"00000")="89030", TEXT(TRIM(S778),"00000")="89031", TEXT(TRIM(S778),"00000")="89032", TEXT(TRIM(S778),"00000")="89086", TEXT(TRIM(S778),"00000")="89084", TEXT(TRIM(S778),"00000")="89081"), "North LV",
  OR(TEXT(TRIM(S778),"00000")="89109", TEXT(TRIM(S778),"00000")="89103", TEXT(TRIM(S778),"00000")="89119", TEXT(TRIM(S778),"00000")="89123", TEXT(TRIM(S778),"00000")="89169", TEXT(TRIM(S778),"00000")="89118"), "South/Strip",
  OR(TEXT(TRIM(S778),"00000")="89074", TEXT(TRIM(S778),"00000")="89014", TEXT(TRIM(S778),"00000")="89015", TEXT(TRIM(S778),"00000")="89011", TEXT(TRIM(S778),"00000")="89012"), "Suburban SE",
  OR(TEXT(TRIM(S778),"00000")="89117", TEXT(TRIM(S778),"00000")="89128", TEXT(TRIM(S778),"00000")="89135", TEXT(TRIM(S778),"00000")="89144", TEXT(TRIM(S778),"00000")="89145", TEXT(TRIM(S778),"00000")="89147"), "West Valley",
  TRUE, "Other"
)</f>
        <v>East Valley</v>
      </c>
      <c r="U778" t="s">
        <v>38</v>
      </c>
      <c r="V778" t="str">
        <f t="shared" si="51"/>
        <v>Home/Residence</v>
      </c>
    </row>
    <row r="779" spans="1:22">
      <c r="A779" t="s">
        <v>1648</v>
      </c>
      <c r="B779" t="s">
        <v>1649</v>
      </c>
      <c r="C779" s="1">
        <v>44813</v>
      </c>
      <c r="D779" s="4">
        <v>96.98</v>
      </c>
      <c r="E779">
        <v>79</v>
      </c>
      <c r="F779" t="str">
        <f t="shared" si="48"/>
        <v>70's</v>
      </c>
      <c r="G779" t="str" cm="1">
        <f t="array" ref="G779">_xlfn.IFS(
  F779="10's", "Child (5–12)",
  OR(F779="20's", F779="30's"), "Young Adult (20–39)",
  OR(F779="40's", F779="50's"), "Adult (40–59)",
  OR(F779="60's", F779="70's", F779="80's", F779="90's"), "Senior (60+)",
  TRUE, "Unknown"
)</f>
        <v>Senior (60+)</v>
      </c>
      <c r="H779" t="s">
        <v>841</v>
      </c>
      <c r="I779" t="s">
        <v>35</v>
      </c>
      <c r="J779" t="str">
        <f t="shared" si="49"/>
        <v>Environmental Heat</v>
      </c>
      <c r="K779" t="s">
        <v>28</v>
      </c>
      <c r="L779" t="s">
        <v>1071</v>
      </c>
      <c r="M779" t="s">
        <v>4347</v>
      </c>
      <c r="N779" t="s">
        <v>5122</v>
      </c>
      <c r="O779" t="str" cm="1">
        <f t="array" ref="O779">_xlfn.IFS(
  TEXT(TRIM(N779),"00000")="NULL", "Missing/Unknown",
  OR(TEXT(TRIM(N779),"00000")="89101", TEXT(TRIM(N779),"00000")="89104", TEXT(TRIM(N779),"00000")="89106", TEXT(TRIM(N779),"00000")="89102", TEXT(TRIM(N779),"00000")="89107", TEXT(TRIM(N779),"00000")="89108"), "Urban Core",
  OR(TEXT(TRIM(N779),"00000")="89110", TEXT(TRIM(N779),"00000")="89115", TEXT(TRIM(N779),"00000")="89121", TEXT(TRIM(N779),"00000")="89122", TEXT(TRIM(N779),"00000")="89142", TEXT(TRIM(N779),"00000")="89156"), "East Valley",
  OR(TEXT(TRIM(N779),"00000")="89030", TEXT(TRIM(N779),"00000")="89031", TEXT(TRIM(N779),"00000")="89032", TEXT(TRIM(N779),"00000")="89086", TEXT(TRIM(N779),"00000")="89084", TEXT(TRIM(N779),"00000")="89081"), "North LV",
  OR(TEXT(TRIM(N779),"00000")="89109", TEXT(TRIM(N779),"00000")="89103", TEXT(TRIM(N779),"00000")="89119", TEXT(TRIM(N779),"00000")="89123", TEXT(TRIM(N779),"00000")="89169", TEXT(TRIM(N779),"00000")="89118"), "South/Strip",
  OR(TEXT(TRIM(N779),"00000")="89074", TEXT(TRIM(N779),"00000")="89014", TEXT(TRIM(N779),"00000")="89015", TEXT(TRIM(N779),"00000")="89011", TEXT(TRIM(N779),"00000")="89012"), "Suburban SE",
  OR(TEXT(TRIM(N779),"00000")="89117", TEXT(TRIM(N779),"00000")="89128", TEXT(TRIM(N779),"00000")="89135", TEXT(TRIM(N779),"00000")="89144", TEXT(TRIM(N779),"00000")="89145", TEXT(TRIM(N779),"00000")="89147"), "West Valley",
  TRUE, "Other"
)</f>
        <v>East Valley</v>
      </c>
      <c r="P779" t="s">
        <v>38</v>
      </c>
      <c r="Q779" t="str">
        <f t="shared" si="50"/>
        <v>Home/Residence</v>
      </c>
      <c r="R779" t="s">
        <v>4347</v>
      </c>
      <c r="S779" t="s">
        <v>5122</v>
      </c>
      <c r="T779" t="str" cm="1">
        <f t="array" ref="T779">_xlfn.IFS(
  TEXT(TRIM(S779),"00000")="NULL", "Missing/Unknown",
  OR(TEXT(TRIM(S779),"00000")="89101", TEXT(TRIM(S779),"00000")="89104", TEXT(TRIM(S779),"00000")="89106", TEXT(TRIM(S779),"00000")="89102", TEXT(TRIM(S779),"00000")="89107", TEXT(TRIM(S779),"00000")="89108"), "Urban Core",
  OR(TEXT(TRIM(S779),"00000")="89110", TEXT(TRIM(S779),"00000")="89115", TEXT(TRIM(S779),"00000")="89121", TEXT(TRIM(S779),"00000")="89122", TEXT(TRIM(S779),"00000")="89142", TEXT(TRIM(S779),"00000")="89156"), "East Valley",
  OR(TEXT(TRIM(S779),"00000")="89030", TEXT(TRIM(S779),"00000")="89031", TEXT(TRIM(S779),"00000")="89032", TEXT(TRIM(S779),"00000")="89086", TEXT(TRIM(S779),"00000")="89084", TEXT(TRIM(S779),"00000")="89081"), "North LV",
  OR(TEXT(TRIM(S779),"00000")="89109", TEXT(TRIM(S779),"00000")="89103", TEXT(TRIM(S779),"00000")="89119", TEXT(TRIM(S779),"00000")="89123", TEXT(TRIM(S779),"00000")="89169", TEXT(TRIM(S779),"00000")="89118"), "South/Strip",
  OR(TEXT(TRIM(S779),"00000")="89074", TEXT(TRIM(S779),"00000")="89014", TEXT(TRIM(S779),"00000")="89015", TEXT(TRIM(S779),"00000")="89011", TEXT(TRIM(S779),"00000")="89012"), "Suburban SE",
  OR(TEXT(TRIM(S779),"00000")="89117", TEXT(TRIM(S779),"00000")="89128", TEXT(TRIM(S779),"00000")="89135", TEXT(TRIM(S779),"00000")="89144", TEXT(TRIM(S779),"00000")="89145", TEXT(TRIM(S779),"00000")="89147"), "West Valley",
  TRUE, "Other"
)</f>
        <v>East Valley</v>
      </c>
      <c r="U779" t="s">
        <v>38</v>
      </c>
      <c r="V779" t="str">
        <f t="shared" si="51"/>
        <v>Home/Residence</v>
      </c>
    </row>
    <row r="780" spans="1:22">
      <c r="A780" t="s">
        <v>1633</v>
      </c>
      <c r="B780" t="s">
        <v>1634</v>
      </c>
      <c r="C780" s="1">
        <v>44812</v>
      </c>
      <c r="D780" s="4">
        <v>105.08</v>
      </c>
      <c r="E780">
        <v>67</v>
      </c>
      <c r="F780" t="str">
        <f t="shared" si="48"/>
        <v>60's</v>
      </c>
      <c r="G780" t="str" cm="1">
        <f t="array" ref="G780">_xlfn.IFS(
  F780="10's", "Child (5–12)",
  OR(F780="20's", F780="30's"), "Young Adult (20–39)",
  OR(F780="40's", F780="50's"), "Adult (40–59)",
  OR(F780="60's", F780="70's", F780="80's", F780="90's"), "Senior (60+)",
  TRUE, "Unknown"
)</f>
        <v>Senior (60+)</v>
      </c>
      <c r="H780" t="s">
        <v>841</v>
      </c>
      <c r="I780" t="s">
        <v>4012</v>
      </c>
      <c r="J780" t="str">
        <f t="shared" si="49"/>
        <v>Cardiovascular Disease</v>
      </c>
      <c r="K780" t="s">
        <v>1635</v>
      </c>
      <c r="L780" t="s">
        <v>1071</v>
      </c>
      <c r="M780" t="s">
        <v>4426</v>
      </c>
      <c r="N780" t="s">
        <v>5157</v>
      </c>
      <c r="O780" t="str" cm="1">
        <f t="array" ref="O780">_xlfn.IFS(
  TEXT(TRIM(N780),"00000")="NULL", "Missing/Unknown",
  OR(TEXT(TRIM(N780),"00000")="89101", TEXT(TRIM(N780),"00000")="89104", TEXT(TRIM(N780),"00000")="89106", TEXT(TRIM(N780),"00000")="89102", TEXT(TRIM(N780),"00000")="89107", TEXT(TRIM(N780),"00000")="89108"), "Urban Core",
  OR(TEXT(TRIM(N780),"00000")="89110", TEXT(TRIM(N780),"00000")="89115", TEXT(TRIM(N780),"00000")="89121", TEXT(TRIM(N780),"00000")="89122", TEXT(TRIM(N780),"00000")="89142", TEXT(TRIM(N780),"00000")="89156"), "East Valley",
  OR(TEXT(TRIM(N780),"00000")="89030", TEXT(TRIM(N780),"00000")="89031", TEXT(TRIM(N780),"00000")="89032", TEXT(TRIM(N780),"00000")="89086", TEXT(TRIM(N780),"00000")="89084", TEXT(TRIM(N780),"00000")="89081"), "North LV",
  OR(TEXT(TRIM(N780),"00000")="89109", TEXT(TRIM(N780),"00000")="89103", TEXT(TRIM(N780),"00000")="89119", TEXT(TRIM(N780),"00000")="89123", TEXT(TRIM(N780),"00000")="89169", TEXT(TRIM(N780),"00000")="89118"), "South/Strip",
  OR(TEXT(TRIM(N780),"00000")="89074", TEXT(TRIM(N780),"00000")="89014", TEXT(TRIM(N780),"00000")="89015", TEXT(TRIM(N780),"00000")="89011", TEXT(TRIM(N780),"00000")="89012"), "Suburban SE",
  OR(TEXT(TRIM(N780),"00000")="89117", TEXT(TRIM(N780),"00000")="89128", TEXT(TRIM(N780),"00000")="89135", TEXT(TRIM(N780),"00000")="89144", TEXT(TRIM(N780),"00000")="89145", TEXT(TRIM(N780),"00000")="89147"), "West Valley",
  TRUE, "Other"
)</f>
        <v>Other</v>
      </c>
      <c r="P780" t="s">
        <v>38</v>
      </c>
      <c r="Q780" t="str">
        <f t="shared" si="50"/>
        <v>Home/Residence</v>
      </c>
      <c r="R780" t="s">
        <v>4426</v>
      </c>
      <c r="S780" t="s">
        <v>5157</v>
      </c>
      <c r="T780" t="str" cm="1">
        <f t="array" ref="T780">_xlfn.IFS(
  TEXT(TRIM(S780),"00000")="NULL", "Missing/Unknown",
  OR(TEXT(TRIM(S780),"00000")="89101", TEXT(TRIM(S780),"00000")="89104", TEXT(TRIM(S780),"00000")="89106", TEXT(TRIM(S780),"00000")="89102", TEXT(TRIM(S780),"00000")="89107", TEXT(TRIM(S780),"00000")="89108"), "Urban Core",
  OR(TEXT(TRIM(S780),"00000")="89110", TEXT(TRIM(S780),"00000")="89115", TEXT(TRIM(S780),"00000")="89121", TEXT(TRIM(S780),"00000")="89122", TEXT(TRIM(S780),"00000")="89142", TEXT(TRIM(S780),"00000")="89156"), "East Valley",
  OR(TEXT(TRIM(S780),"00000")="89030", TEXT(TRIM(S780),"00000")="89031", TEXT(TRIM(S780),"00000")="89032", TEXT(TRIM(S780),"00000")="89086", TEXT(TRIM(S780),"00000")="89084", TEXT(TRIM(S780),"00000")="89081"), "North LV",
  OR(TEXT(TRIM(S780),"00000")="89109", TEXT(TRIM(S780),"00000")="89103", TEXT(TRIM(S780),"00000")="89119", TEXT(TRIM(S780),"00000")="89123", TEXT(TRIM(S780),"00000")="89169", TEXT(TRIM(S780),"00000")="89118"), "South/Strip",
  OR(TEXT(TRIM(S780),"00000")="89074", TEXT(TRIM(S780),"00000")="89014", TEXT(TRIM(S780),"00000")="89015", TEXT(TRIM(S780),"00000")="89011", TEXT(TRIM(S780),"00000")="89012"), "Suburban SE",
  OR(TEXT(TRIM(S780),"00000")="89117", TEXT(TRIM(S780),"00000")="89128", TEXT(TRIM(S780),"00000")="89135", TEXT(TRIM(S780),"00000")="89144", TEXT(TRIM(S780),"00000")="89145", TEXT(TRIM(S780),"00000")="89147"), "West Valley",
  TRUE, "Other"
)</f>
        <v>Other</v>
      </c>
      <c r="U780" t="s">
        <v>38</v>
      </c>
      <c r="V780" t="str">
        <f t="shared" si="51"/>
        <v>Home/Residence</v>
      </c>
    </row>
    <row r="781" spans="1:22">
      <c r="A781" t="s">
        <v>1630</v>
      </c>
      <c r="B781" t="s">
        <v>1631</v>
      </c>
      <c r="C781" s="1">
        <v>44810</v>
      </c>
      <c r="D781" s="4">
        <v>111.02</v>
      </c>
      <c r="E781">
        <v>48</v>
      </c>
      <c r="F781" t="str">
        <f t="shared" si="48"/>
        <v>40's</v>
      </c>
      <c r="G781" t="str" cm="1">
        <f t="array" ref="G781">_xlfn.IFS(
  F781="10's", "Child (5–12)",
  OR(F781="20's", F781="30's"), "Young Adult (20–39)",
  OR(F781="40's", F781="50's"), "Adult (40–59)",
  OR(F781="60's", F781="70's", F781="80's", F781="90's"), "Senior (60+)",
  TRUE, "Unknown"
)</f>
        <v>Adult (40–59)</v>
      </c>
      <c r="H781" t="s">
        <v>841</v>
      </c>
      <c r="I781" t="s">
        <v>135</v>
      </c>
      <c r="J781" t="str">
        <f t="shared" si="49"/>
        <v>Methamphetamine-related</v>
      </c>
      <c r="K781" t="s">
        <v>54</v>
      </c>
      <c r="L781" t="s">
        <v>250</v>
      </c>
      <c r="M781" t="s">
        <v>4784</v>
      </c>
      <c r="N781" t="s">
        <v>5117</v>
      </c>
      <c r="O781" t="str" cm="1">
        <f t="array" ref="O781">_xlfn.IFS(
  TEXT(TRIM(N781),"00000")="NULL", "Missing/Unknown",
  OR(TEXT(TRIM(N781),"00000")="89101", TEXT(TRIM(N781),"00000")="89104", TEXT(TRIM(N781),"00000")="89106", TEXT(TRIM(N781),"00000")="89102", TEXT(TRIM(N781),"00000")="89107", TEXT(TRIM(N781),"00000")="89108"), "Urban Core",
  OR(TEXT(TRIM(N781),"00000")="89110", TEXT(TRIM(N781),"00000")="89115", TEXT(TRIM(N781),"00000")="89121", TEXT(TRIM(N781),"00000")="89122", TEXT(TRIM(N781),"00000")="89142", TEXT(TRIM(N781),"00000")="89156"), "East Valley",
  OR(TEXT(TRIM(N781),"00000")="89030", TEXT(TRIM(N781),"00000")="89031", TEXT(TRIM(N781),"00000")="89032", TEXT(TRIM(N781),"00000")="89086", TEXT(TRIM(N781),"00000")="89084", TEXT(TRIM(N781),"00000")="89081"), "North LV",
  OR(TEXT(TRIM(N781),"00000")="89109", TEXT(TRIM(N781),"00000")="89103", TEXT(TRIM(N781),"00000")="89119", TEXT(TRIM(N781),"00000")="89123", TEXT(TRIM(N781),"00000")="89169", TEXT(TRIM(N781),"00000")="89118"), "South/Strip",
  OR(TEXT(TRIM(N781),"00000")="89074", TEXT(TRIM(N781),"00000")="89014", TEXT(TRIM(N781),"00000")="89015", TEXT(TRIM(N781),"00000")="89011", TEXT(TRIM(N781),"00000")="89012"), "Suburban SE",
  OR(TEXT(TRIM(N781),"00000")="89117", TEXT(TRIM(N781),"00000")="89128", TEXT(TRIM(N781),"00000")="89135", TEXT(TRIM(N781),"00000")="89144", TEXT(TRIM(N781),"00000")="89145", TEXT(TRIM(N781),"00000")="89147"), "West Valley",
  TRUE, "Other"
)</f>
        <v>North LV</v>
      </c>
      <c r="P781" t="s">
        <v>3298</v>
      </c>
      <c r="Q781" t="str">
        <f t="shared" si="50"/>
        <v>Outdoors/Public</v>
      </c>
      <c r="R781" t="s">
        <v>4784</v>
      </c>
      <c r="S781" t="s">
        <v>5117</v>
      </c>
      <c r="T781" t="str" cm="1">
        <f t="array" ref="T781">_xlfn.IFS(
  TEXT(TRIM(S781),"00000")="NULL", "Missing/Unknown",
  OR(TEXT(TRIM(S781),"00000")="89101", TEXT(TRIM(S781),"00000")="89104", TEXT(TRIM(S781),"00000")="89106", TEXT(TRIM(S781),"00000")="89102", TEXT(TRIM(S781),"00000")="89107", TEXT(TRIM(S781),"00000")="89108"), "Urban Core",
  OR(TEXT(TRIM(S781),"00000")="89110", TEXT(TRIM(S781),"00000")="89115", TEXT(TRIM(S781),"00000")="89121", TEXT(TRIM(S781),"00000")="89122", TEXT(TRIM(S781),"00000")="89142", TEXT(TRIM(S781),"00000")="89156"), "East Valley",
  OR(TEXT(TRIM(S781),"00000")="89030", TEXT(TRIM(S781),"00000")="89031", TEXT(TRIM(S781),"00000")="89032", TEXT(TRIM(S781),"00000")="89086", TEXT(TRIM(S781),"00000")="89084", TEXT(TRIM(S781),"00000")="89081"), "North LV",
  OR(TEXT(TRIM(S781),"00000")="89109", TEXT(TRIM(S781),"00000")="89103", TEXT(TRIM(S781),"00000")="89119", TEXT(TRIM(S781),"00000")="89123", TEXT(TRIM(S781),"00000")="89169", TEXT(TRIM(S781),"00000")="89118"), "South/Strip",
  OR(TEXT(TRIM(S781),"00000")="89074", TEXT(TRIM(S781),"00000")="89014", TEXT(TRIM(S781),"00000")="89015", TEXT(TRIM(S781),"00000")="89011", TEXT(TRIM(S781),"00000")="89012"), "Suburban SE",
  OR(TEXT(TRIM(S781),"00000")="89117", TEXT(TRIM(S781),"00000")="89128", TEXT(TRIM(S781),"00000")="89135", TEXT(TRIM(S781),"00000")="89144", TEXT(TRIM(S781),"00000")="89145", TEXT(TRIM(S781),"00000")="89147"), "West Valley",
  TRUE, "Other"
)</f>
        <v>North LV</v>
      </c>
      <c r="U781" t="s">
        <v>3298</v>
      </c>
      <c r="V781" t="str">
        <f t="shared" si="51"/>
        <v>Outdoors/Public</v>
      </c>
    </row>
    <row r="782" spans="1:22">
      <c r="A782" t="s">
        <v>1627</v>
      </c>
      <c r="B782" t="s">
        <v>1628</v>
      </c>
      <c r="C782" s="1">
        <v>44810</v>
      </c>
      <c r="D782" s="4">
        <v>111.02</v>
      </c>
      <c r="E782">
        <v>49</v>
      </c>
      <c r="F782" t="str">
        <f t="shared" si="48"/>
        <v>40's</v>
      </c>
      <c r="G782" t="str" cm="1">
        <f t="array" ref="G782">_xlfn.IFS(
  F782="10's", "Child (5–12)",
  OR(F782="20's", F782="30's"), "Young Adult (20–39)",
  OR(F782="40's", F782="50's"), "Adult (40–59)",
  OR(F782="60's", F782="70's", F782="80's", F782="90's"), "Senior (60+)",
  TRUE, "Unknown"
)</f>
        <v>Adult (40–59)</v>
      </c>
      <c r="H782" t="s">
        <v>841</v>
      </c>
      <c r="I782" t="s">
        <v>4025</v>
      </c>
      <c r="J782" t="str">
        <f t="shared" si="49"/>
        <v>Methamphetamine-related</v>
      </c>
      <c r="K782" t="s">
        <v>54</v>
      </c>
      <c r="L782" t="s">
        <v>250</v>
      </c>
      <c r="M782" t="s">
        <v>4336</v>
      </c>
      <c r="N782" t="s">
        <v>5101</v>
      </c>
      <c r="O782" t="str" cm="1">
        <f t="array" ref="O782">_xlfn.IFS(
  TEXT(TRIM(N782),"00000")="NULL", "Missing/Unknown",
  OR(TEXT(TRIM(N782),"00000")="89101", TEXT(TRIM(N782),"00000")="89104", TEXT(TRIM(N782),"00000")="89106", TEXT(TRIM(N782),"00000")="89102", TEXT(TRIM(N782),"00000")="89107", TEXT(TRIM(N782),"00000")="89108"), "Urban Core",
  OR(TEXT(TRIM(N782),"00000")="89110", TEXT(TRIM(N782),"00000")="89115", TEXT(TRIM(N782),"00000")="89121", TEXT(TRIM(N782),"00000")="89122", TEXT(TRIM(N782),"00000")="89142", TEXT(TRIM(N782),"00000")="89156"), "East Valley",
  OR(TEXT(TRIM(N782),"00000")="89030", TEXT(TRIM(N782),"00000")="89031", TEXT(TRIM(N782),"00000")="89032", TEXT(TRIM(N782),"00000")="89086", TEXT(TRIM(N782),"00000")="89084", TEXT(TRIM(N782),"00000")="89081"), "North LV",
  OR(TEXT(TRIM(N782),"00000")="89109", TEXT(TRIM(N782),"00000")="89103", TEXT(TRIM(N782),"00000")="89119", TEXT(TRIM(N782),"00000")="89123", TEXT(TRIM(N782),"00000")="89169", TEXT(TRIM(N782),"00000")="89118"), "South/Strip",
  OR(TEXT(TRIM(N782),"00000")="89074", TEXT(TRIM(N782),"00000")="89014", TEXT(TRIM(N782),"00000")="89015", TEXT(TRIM(N782),"00000")="89011", TEXT(TRIM(N782),"00000")="89012"), "Suburban SE",
  OR(TEXT(TRIM(N782),"00000")="89117", TEXT(TRIM(N782),"00000")="89128", TEXT(TRIM(N782),"00000")="89135", TEXT(TRIM(N782),"00000")="89144", TEXT(TRIM(N782),"00000")="89145", TEXT(TRIM(N782),"00000")="89147"), "West Valley",
  TRUE, "Other"
)</f>
        <v>Urban Core</v>
      </c>
      <c r="P782" t="s">
        <v>3298</v>
      </c>
      <c r="Q782" t="str">
        <f t="shared" si="50"/>
        <v>Outdoors/Public</v>
      </c>
      <c r="R782" t="s">
        <v>4336</v>
      </c>
      <c r="S782" t="s">
        <v>5101</v>
      </c>
      <c r="T782" t="str" cm="1">
        <f t="array" ref="T782">_xlfn.IFS(
  TEXT(TRIM(S782),"00000")="NULL", "Missing/Unknown",
  OR(TEXT(TRIM(S782),"00000")="89101", TEXT(TRIM(S782),"00000")="89104", TEXT(TRIM(S782),"00000")="89106", TEXT(TRIM(S782),"00000")="89102", TEXT(TRIM(S782),"00000")="89107", TEXT(TRIM(S782),"00000")="89108"), "Urban Core",
  OR(TEXT(TRIM(S782),"00000")="89110", TEXT(TRIM(S782),"00000")="89115", TEXT(TRIM(S782),"00000")="89121", TEXT(TRIM(S782),"00000")="89122", TEXT(TRIM(S782),"00000")="89142", TEXT(TRIM(S782),"00000")="89156"), "East Valley",
  OR(TEXT(TRIM(S782),"00000")="89030", TEXT(TRIM(S782),"00000")="89031", TEXT(TRIM(S782),"00000")="89032", TEXT(TRIM(S782),"00000")="89086", TEXT(TRIM(S782),"00000")="89084", TEXT(TRIM(S782),"00000")="89081"), "North LV",
  OR(TEXT(TRIM(S782),"00000")="89109", TEXT(TRIM(S782),"00000")="89103", TEXT(TRIM(S782),"00000")="89119", TEXT(TRIM(S782),"00000")="89123", TEXT(TRIM(S782),"00000")="89169", TEXT(TRIM(S782),"00000")="89118"), "South/Strip",
  OR(TEXT(TRIM(S782),"00000")="89074", TEXT(TRIM(S782),"00000")="89014", TEXT(TRIM(S782),"00000")="89015", TEXT(TRIM(S782),"00000")="89011", TEXT(TRIM(S782),"00000")="89012"), "Suburban SE",
  OR(TEXT(TRIM(S782),"00000")="89117", TEXT(TRIM(S782),"00000")="89128", TEXT(TRIM(S782),"00000")="89135", TEXT(TRIM(S782),"00000")="89144", TEXT(TRIM(S782),"00000")="89145", TEXT(TRIM(S782),"00000")="89147"), "West Valley",
  TRUE, "Other"
)</f>
        <v>Urban Core</v>
      </c>
      <c r="U782" t="s">
        <v>3298</v>
      </c>
      <c r="V782" t="str">
        <f t="shared" si="51"/>
        <v>Outdoors/Public</v>
      </c>
    </row>
    <row r="783" spans="1:22">
      <c r="A783" t="s">
        <v>1621</v>
      </c>
      <c r="B783" t="s">
        <v>1622</v>
      </c>
      <c r="C783" s="1">
        <v>44809</v>
      </c>
      <c r="D783" s="4">
        <v>109.04</v>
      </c>
      <c r="E783">
        <v>59</v>
      </c>
      <c r="F783" t="str">
        <f t="shared" si="48"/>
        <v>50's</v>
      </c>
      <c r="G783" t="str" cm="1">
        <f t="array" ref="G783">_xlfn.IFS(
  F783="10's", "Child (5–12)",
  OR(F783="20's", F783="30's"), "Young Adult (20–39)",
  OR(F783="40's", F783="50's"), "Adult (40–59)",
  OR(F783="60's", F783="70's", F783="80's", F783="90's"), "Senior (60+)",
  TRUE, "Unknown"
)</f>
        <v>Adult (40–59)</v>
      </c>
      <c r="H783" t="s">
        <v>841</v>
      </c>
      <c r="I783" t="s">
        <v>4097</v>
      </c>
      <c r="J783" t="str">
        <f t="shared" si="49"/>
        <v>Environmental Heat</v>
      </c>
      <c r="K783" t="s">
        <v>1625</v>
      </c>
      <c r="L783" t="s">
        <v>1071</v>
      </c>
      <c r="M783" t="s">
        <v>4590</v>
      </c>
      <c r="N783" t="s">
        <v>5111</v>
      </c>
      <c r="O783" t="str" cm="1">
        <f t="array" ref="O783">_xlfn.IFS(
  TEXT(TRIM(N783),"00000")="NULL", "Missing/Unknown",
  OR(TEXT(TRIM(N783),"00000")="89101", TEXT(TRIM(N783),"00000")="89104", TEXT(TRIM(N783),"00000")="89106", TEXT(TRIM(N783),"00000")="89102", TEXT(TRIM(N783),"00000")="89107", TEXT(TRIM(N783),"00000")="89108"), "Urban Core",
  OR(TEXT(TRIM(N783),"00000")="89110", TEXT(TRIM(N783),"00000")="89115", TEXT(TRIM(N783),"00000")="89121", TEXT(TRIM(N783),"00000")="89122", TEXT(TRIM(N783),"00000")="89142", TEXT(TRIM(N783),"00000")="89156"), "East Valley",
  OR(TEXT(TRIM(N783),"00000")="89030", TEXT(TRIM(N783),"00000")="89031", TEXT(TRIM(N783),"00000")="89032", TEXT(TRIM(N783),"00000")="89086", TEXT(TRIM(N783),"00000")="89084", TEXT(TRIM(N783),"00000")="89081"), "North LV",
  OR(TEXT(TRIM(N783),"00000")="89109", TEXT(TRIM(N783),"00000")="89103", TEXT(TRIM(N783),"00000")="89119", TEXT(TRIM(N783),"00000")="89123", TEXT(TRIM(N783),"00000")="89169", TEXT(TRIM(N783),"00000")="89118"), "South/Strip",
  OR(TEXT(TRIM(N783),"00000")="89074", TEXT(TRIM(N783),"00000")="89014", TEXT(TRIM(N783),"00000")="89015", TEXT(TRIM(N783),"00000")="89011", TEXT(TRIM(N783),"00000")="89012"), "Suburban SE",
  OR(TEXT(TRIM(N783),"00000")="89117", TEXT(TRIM(N783),"00000")="89128", TEXT(TRIM(N783),"00000")="89135", TEXT(TRIM(N783),"00000")="89144", TEXT(TRIM(N783),"00000")="89145", TEXT(TRIM(N783),"00000")="89147"), "West Valley",
  TRUE, "Other"
)</f>
        <v>West Valley</v>
      </c>
      <c r="P783" t="s">
        <v>3298</v>
      </c>
      <c r="Q783" t="str">
        <f t="shared" si="50"/>
        <v>Outdoors/Public</v>
      </c>
      <c r="R783" t="s">
        <v>5055</v>
      </c>
      <c r="S783" t="s">
        <v>5119</v>
      </c>
      <c r="T783" t="str" cm="1">
        <f t="array" ref="T783">_xlfn.IFS(
  TEXT(TRIM(S783),"00000")="NULL", "Missing/Unknown",
  OR(TEXT(TRIM(S783),"00000")="89101", TEXT(TRIM(S783),"00000")="89104", TEXT(TRIM(S783),"00000")="89106", TEXT(TRIM(S783),"00000")="89102", TEXT(TRIM(S783),"00000")="89107", TEXT(TRIM(S783),"00000")="89108"), "Urban Core",
  OR(TEXT(TRIM(S783),"00000")="89110", TEXT(TRIM(S783),"00000")="89115", TEXT(TRIM(S783),"00000")="89121", TEXT(TRIM(S783),"00000")="89122", TEXT(TRIM(S783),"00000")="89142", TEXT(TRIM(S783),"00000")="89156"), "East Valley",
  OR(TEXT(TRIM(S783),"00000")="89030", TEXT(TRIM(S783),"00000")="89031", TEXT(TRIM(S783),"00000")="89032", TEXT(TRIM(S783),"00000")="89086", TEXT(TRIM(S783),"00000")="89084", TEXT(TRIM(S783),"00000")="89081"), "North LV",
  OR(TEXT(TRIM(S783),"00000")="89109", TEXT(TRIM(S783),"00000")="89103", TEXT(TRIM(S783),"00000")="89119", TEXT(TRIM(S783),"00000")="89123", TEXT(TRIM(S783),"00000")="89169", TEXT(TRIM(S783),"00000")="89118"), "South/Strip",
  OR(TEXT(TRIM(S783),"00000")="89074", TEXT(TRIM(S783),"00000")="89014", TEXT(TRIM(S783),"00000")="89015", TEXT(TRIM(S783),"00000")="89011", TEXT(TRIM(S783),"00000")="89012"), "Suburban SE",
  OR(TEXT(TRIM(S783),"00000")="89117", TEXT(TRIM(S783),"00000")="89128", TEXT(TRIM(S783),"00000")="89135", TEXT(TRIM(S783),"00000")="89144", TEXT(TRIM(S783),"00000")="89145", TEXT(TRIM(S783),"00000")="89147"), "West Valley",
  TRUE, "Other"
)</f>
        <v>Urban Core</v>
      </c>
      <c r="U783" t="s">
        <v>228</v>
      </c>
      <c r="V783" t="str">
        <f t="shared" si="51"/>
        <v>Medical Facility</v>
      </c>
    </row>
    <row r="784" spans="1:22">
      <c r="A784" t="s">
        <v>1604</v>
      </c>
      <c r="B784" t="s">
        <v>1605</v>
      </c>
      <c r="C784" s="1">
        <v>44808</v>
      </c>
      <c r="D784" s="4">
        <v>109.04</v>
      </c>
      <c r="E784">
        <v>50</v>
      </c>
      <c r="F784" t="str">
        <f t="shared" si="48"/>
        <v>50's</v>
      </c>
      <c r="G784" t="str" cm="1">
        <f t="array" ref="G784">_xlfn.IFS(
  F784="10's", "Child (5–12)",
  OR(F784="20's", F784="30's"), "Young Adult (20–39)",
  OR(F784="40's", F784="50's"), "Adult (40–59)",
  OR(F784="60's", F784="70's", F784="80's", F784="90's"), "Senior (60+)",
  TRUE, "Unknown"
)</f>
        <v>Adult (40–59)</v>
      </c>
      <c r="H784" t="s">
        <v>778</v>
      </c>
      <c r="I784" t="s">
        <v>4025</v>
      </c>
      <c r="J784" t="str">
        <f t="shared" si="49"/>
        <v>Methamphetamine-related</v>
      </c>
      <c r="K784" t="s">
        <v>416</v>
      </c>
      <c r="L784" t="s">
        <v>250</v>
      </c>
      <c r="M784" t="s">
        <v>4545</v>
      </c>
      <c r="N784" t="s">
        <v>5098</v>
      </c>
      <c r="O784" t="str" cm="1">
        <f t="array" ref="O784">_xlfn.IFS(
  TEXT(TRIM(N784),"00000")="NULL", "Missing/Unknown",
  OR(TEXT(TRIM(N784),"00000")="89101", TEXT(TRIM(N784),"00000")="89104", TEXT(TRIM(N784),"00000")="89106", TEXT(TRIM(N784),"00000")="89102", TEXT(TRIM(N784),"00000")="89107", TEXT(TRIM(N784),"00000")="89108"), "Urban Core",
  OR(TEXT(TRIM(N784),"00000")="89110", TEXT(TRIM(N784),"00000")="89115", TEXT(TRIM(N784),"00000")="89121", TEXT(TRIM(N784),"00000")="89122", TEXT(TRIM(N784),"00000")="89142", TEXT(TRIM(N784),"00000")="89156"), "East Valley",
  OR(TEXT(TRIM(N784),"00000")="89030", TEXT(TRIM(N784),"00000")="89031", TEXT(TRIM(N784),"00000")="89032", TEXT(TRIM(N784),"00000")="89086", TEXT(TRIM(N784),"00000")="89084", TEXT(TRIM(N784),"00000")="89081"), "North LV",
  OR(TEXT(TRIM(N784),"00000")="89109", TEXT(TRIM(N784),"00000")="89103", TEXT(TRIM(N784),"00000")="89119", TEXT(TRIM(N784),"00000")="89123", TEXT(TRIM(N784),"00000")="89169", TEXT(TRIM(N784),"00000")="89118"), "South/Strip",
  OR(TEXT(TRIM(N784),"00000")="89074", TEXT(TRIM(N784),"00000")="89014", TEXT(TRIM(N784),"00000")="89015", TEXT(TRIM(N784),"00000")="89011", TEXT(TRIM(N784),"00000")="89012"), "Suburban SE",
  OR(TEXT(TRIM(N784),"00000")="89117", TEXT(TRIM(N784),"00000")="89128", TEXT(TRIM(N784),"00000")="89135", TEXT(TRIM(N784),"00000")="89144", TEXT(TRIM(N784),"00000")="89145", TEXT(TRIM(N784),"00000")="89147"), "West Valley",
  TRUE, "Other"
)</f>
        <v>Urban Core</v>
      </c>
      <c r="P784" t="s">
        <v>3298</v>
      </c>
      <c r="Q784" t="str">
        <f t="shared" si="50"/>
        <v>Outdoors/Public</v>
      </c>
      <c r="R784" t="s">
        <v>4713</v>
      </c>
      <c r="S784" t="s">
        <v>5125</v>
      </c>
      <c r="T784" t="str" cm="1">
        <f t="array" ref="T784">_xlfn.IFS(
  TEXT(TRIM(S784),"00000")="NULL", "Missing/Unknown",
  OR(TEXT(TRIM(S784),"00000")="89101", TEXT(TRIM(S784),"00000")="89104", TEXT(TRIM(S784),"00000")="89106", TEXT(TRIM(S784),"00000")="89102", TEXT(TRIM(S784),"00000")="89107", TEXT(TRIM(S784),"00000")="89108"), "Urban Core",
  OR(TEXT(TRIM(S784),"00000")="89110", TEXT(TRIM(S784),"00000")="89115", TEXT(TRIM(S784),"00000")="89121", TEXT(TRIM(S784),"00000")="89122", TEXT(TRIM(S784),"00000")="89142", TEXT(TRIM(S784),"00000")="89156"), "East Valley",
  OR(TEXT(TRIM(S784),"00000")="89030", TEXT(TRIM(S784),"00000")="89031", TEXT(TRIM(S784),"00000")="89032", TEXT(TRIM(S784),"00000")="89086", TEXT(TRIM(S784),"00000")="89084", TEXT(TRIM(S784),"00000")="89081"), "North LV",
  OR(TEXT(TRIM(S784),"00000")="89109", TEXT(TRIM(S784),"00000")="89103", TEXT(TRIM(S784),"00000")="89119", TEXT(TRIM(S784),"00000")="89123", TEXT(TRIM(S784),"00000")="89169", TEXT(TRIM(S784),"00000")="89118"), "South/Strip",
  OR(TEXT(TRIM(S784),"00000")="89074", TEXT(TRIM(S784),"00000")="89014", TEXT(TRIM(S784),"00000")="89015", TEXT(TRIM(S784),"00000")="89011", TEXT(TRIM(S784),"00000")="89012"), "Suburban SE",
  OR(TEXT(TRIM(S784),"00000")="89117", TEXT(TRIM(S784),"00000")="89128", TEXT(TRIM(S784),"00000")="89135", TEXT(TRIM(S784),"00000")="89144", TEXT(TRIM(S784),"00000")="89145", TEXT(TRIM(S784),"00000")="89147"), "West Valley",
  TRUE, "Other"
)</f>
        <v>South/Strip</v>
      </c>
      <c r="U784" t="s">
        <v>4301</v>
      </c>
      <c r="V784" t="str">
        <f t="shared" si="51"/>
        <v>Medical Facility</v>
      </c>
    </row>
    <row r="785" spans="1:22">
      <c r="A785" t="s">
        <v>1617</v>
      </c>
      <c r="B785" t="s">
        <v>1618</v>
      </c>
      <c r="C785" s="1">
        <v>44808</v>
      </c>
      <c r="D785" s="4">
        <v>109.04</v>
      </c>
      <c r="E785">
        <v>56</v>
      </c>
      <c r="F785" t="str">
        <f t="shared" si="48"/>
        <v>50's</v>
      </c>
      <c r="G785" t="str" cm="1">
        <f t="array" ref="G785">_xlfn.IFS(
  F785="10's", "Child (5–12)",
  OR(F785="20's", F785="30's"), "Young Adult (20–39)",
  OR(F785="40's", F785="50's"), "Adult (40–59)",
  OR(F785="60's", F785="70's", F785="80's", F785="90's"), "Senior (60+)",
  TRUE, "Unknown"
)</f>
        <v>Adult (40–59)</v>
      </c>
      <c r="H785" t="s">
        <v>841</v>
      </c>
      <c r="I785" t="s">
        <v>97</v>
      </c>
      <c r="J785" t="str">
        <f t="shared" si="49"/>
        <v>Environmental Heat</v>
      </c>
      <c r="K785" t="s">
        <v>4238</v>
      </c>
      <c r="L785" t="s">
        <v>250</v>
      </c>
      <c r="M785" t="s">
        <v>4326</v>
      </c>
      <c r="N785" t="s">
        <v>5098</v>
      </c>
      <c r="O785" t="str" cm="1">
        <f t="array" ref="O785">_xlfn.IFS(
  TEXT(TRIM(N785),"00000")="NULL", "Missing/Unknown",
  OR(TEXT(TRIM(N785),"00000")="89101", TEXT(TRIM(N785),"00000")="89104", TEXT(TRIM(N785),"00000")="89106", TEXT(TRIM(N785),"00000")="89102", TEXT(TRIM(N785),"00000")="89107", TEXT(TRIM(N785),"00000")="89108"), "Urban Core",
  OR(TEXT(TRIM(N785),"00000")="89110", TEXT(TRIM(N785),"00000")="89115", TEXT(TRIM(N785),"00000")="89121", TEXT(TRIM(N785),"00000")="89122", TEXT(TRIM(N785),"00000")="89142", TEXT(TRIM(N785),"00000")="89156"), "East Valley",
  OR(TEXT(TRIM(N785),"00000")="89030", TEXT(TRIM(N785),"00000")="89031", TEXT(TRIM(N785),"00000")="89032", TEXT(TRIM(N785),"00000")="89086", TEXT(TRIM(N785),"00000")="89084", TEXT(TRIM(N785),"00000")="89081"), "North LV",
  OR(TEXT(TRIM(N785),"00000")="89109", TEXT(TRIM(N785),"00000")="89103", TEXT(TRIM(N785),"00000")="89119", TEXT(TRIM(N785),"00000")="89123", TEXT(TRIM(N785),"00000")="89169", TEXT(TRIM(N785),"00000")="89118"), "South/Strip",
  OR(TEXT(TRIM(N785),"00000")="89074", TEXT(TRIM(N785),"00000")="89014", TEXT(TRIM(N785),"00000")="89015", TEXT(TRIM(N785),"00000")="89011", TEXT(TRIM(N785),"00000")="89012"), "Suburban SE",
  OR(TEXT(TRIM(N785),"00000")="89117", TEXT(TRIM(N785),"00000")="89128", TEXT(TRIM(N785),"00000")="89135", TEXT(TRIM(N785),"00000")="89144", TEXT(TRIM(N785),"00000")="89145", TEXT(TRIM(N785),"00000")="89147"), "West Valley",
  TRUE, "Other"
)</f>
        <v>Urban Core</v>
      </c>
      <c r="P785" t="s">
        <v>3298</v>
      </c>
      <c r="Q785" t="str">
        <f t="shared" si="50"/>
        <v>Outdoors/Public</v>
      </c>
      <c r="R785" t="s">
        <v>4713</v>
      </c>
      <c r="S785" t="s">
        <v>5125</v>
      </c>
      <c r="T785" t="str" cm="1">
        <f t="array" ref="T785">_xlfn.IFS(
  TEXT(TRIM(S785),"00000")="NULL", "Missing/Unknown",
  OR(TEXT(TRIM(S785),"00000")="89101", TEXT(TRIM(S785),"00000")="89104", TEXT(TRIM(S785),"00000")="89106", TEXT(TRIM(S785),"00000")="89102", TEXT(TRIM(S785),"00000")="89107", TEXT(TRIM(S785),"00000")="89108"), "Urban Core",
  OR(TEXT(TRIM(S785),"00000")="89110", TEXT(TRIM(S785),"00000")="89115", TEXT(TRIM(S785),"00000")="89121", TEXT(TRIM(S785),"00000")="89122", TEXT(TRIM(S785),"00000")="89142", TEXT(TRIM(S785),"00000")="89156"), "East Valley",
  OR(TEXT(TRIM(S785),"00000")="89030", TEXT(TRIM(S785),"00000")="89031", TEXT(TRIM(S785),"00000")="89032", TEXT(TRIM(S785),"00000")="89086", TEXT(TRIM(S785),"00000")="89084", TEXT(TRIM(S785),"00000")="89081"), "North LV",
  OR(TEXT(TRIM(S785),"00000")="89109", TEXT(TRIM(S785),"00000")="89103", TEXT(TRIM(S785),"00000")="89119", TEXT(TRIM(S785),"00000")="89123", TEXT(TRIM(S785),"00000")="89169", TEXT(TRIM(S785),"00000")="89118"), "South/Strip",
  OR(TEXT(TRIM(S785),"00000")="89074", TEXT(TRIM(S785),"00000")="89014", TEXT(TRIM(S785),"00000")="89015", TEXT(TRIM(S785),"00000")="89011", TEXT(TRIM(S785),"00000")="89012"), "Suburban SE",
  OR(TEXT(TRIM(S785),"00000")="89117", TEXT(TRIM(S785),"00000")="89128", TEXT(TRIM(S785),"00000")="89135", TEXT(TRIM(S785),"00000")="89144", TEXT(TRIM(S785),"00000")="89145", TEXT(TRIM(S785),"00000")="89147"), "West Valley",
  TRUE, "Other"
)</f>
        <v>South/Strip</v>
      </c>
      <c r="U785" t="s">
        <v>4301</v>
      </c>
      <c r="V785" t="str">
        <f t="shared" si="51"/>
        <v>Medical Facility</v>
      </c>
    </row>
    <row r="786" spans="1:22">
      <c r="A786" t="s">
        <v>1607</v>
      </c>
      <c r="B786" t="s">
        <v>1608</v>
      </c>
      <c r="C786" s="1">
        <v>44808</v>
      </c>
      <c r="D786" s="4">
        <v>109.04</v>
      </c>
      <c r="E786">
        <v>35</v>
      </c>
      <c r="F786" t="str">
        <f t="shared" si="48"/>
        <v>30's</v>
      </c>
      <c r="G786" t="str" cm="1">
        <f t="array" ref="G786">_xlfn.IFS(
  F786="10's", "Child (5–12)",
  OR(F786="20's", F786="30's"), "Young Adult (20–39)",
  OR(F786="40's", F786="50's"), "Adult (40–59)",
  OR(F786="60's", F786="70's", F786="80's", F786="90's"), "Senior (60+)",
  TRUE, "Unknown"
)</f>
        <v>Young Adult (20–39)</v>
      </c>
      <c r="H786" t="s">
        <v>841</v>
      </c>
      <c r="I786" t="s">
        <v>172</v>
      </c>
      <c r="J786" t="str">
        <f t="shared" si="49"/>
        <v>Methamphetamine-related</v>
      </c>
      <c r="K786" t="s">
        <v>54</v>
      </c>
      <c r="L786" t="s">
        <v>250</v>
      </c>
      <c r="M786" t="s">
        <v>4982</v>
      </c>
      <c r="N786" t="s">
        <v>5119</v>
      </c>
      <c r="O786" t="str" cm="1">
        <f t="array" ref="O786">_xlfn.IFS(
  TEXT(TRIM(N786),"00000")="NULL", "Missing/Unknown",
  OR(TEXT(TRIM(N786),"00000")="89101", TEXT(TRIM(N786),"00000")="89104", TEXT(TRIM(N786),"00000")="89106", TEXT(TRIM(N786),"00000")="89102", TEXT(TRIM(N786),"00000")="89107", TEXT(TRIM(N786),"00000")="89108"), "Urban Core",
  OR(TEXT(TRIM(N786),"00000")="89110", TEXT(TRIM(N786),"00000")="89115", TEXT(TRIM(N786),"00000")="89121", TEXT(TRIM(N786),"00000")="89122", TEXT(TRIM(N786),"00000")="89142", TEXT(TRIM(N786),"00000")="89156"), "East Valley",
  OR(TEXT(TRIM(N786),"00000")="89030", TEXT(TRIM(N786),"00000")="89031", TEXT(TRIM(N786),"00000")="89032", TEXT(TRIM(N786),"00000")="89086", TEXT(TRIM(N786),"00000")="89084", TEXT(TRIM(N786),"00000")="89081"), "North LV",
  OR(TEXT(TRIM(N786),"00000")="89109", TEXT(TRIM(N786),"00000")="89103", TEXT(TRIM(N786),"00000")="89119", TEXT(TRIM(N786),"00000")="89123", TEXT(TRIM(N786),"00000")="89169", TEXT(TRIM(N786),"00000")="89118"), "South/Strip",
  OR(TEXT(TRIM(N786),"00000")="89074", TEXT(TRIM(N786),"00000")="89014", TEXT(TRIM(N786),"00000")="89015", TEXT(TRIM(N786),"00000")="89011", TEXT(TRIM(N786),"00000")="89012"), "Suburban SE",
  OR(TEXT(TRIM(N786),"00000")="89117", TEXT(TRIM(N786),"00000")="89128", TEXT(TRIM(N786),"00000")="89135", TEXT(TRIM(N786),"00000")="89144", TEXT(TRIM(N786),"00000")="89145", TEXT(TRIM(N786),"00000")="89147"), "West Valley",
  TRUE, "Other"
)</f>
        <v>Urban Core</v>
      </c>
      <c r="P786" t="s">
        <v>65</v>
      </c>
      <c r="Q786" t="str">
        <f t="shared" si="50"/>
        <v>Vehicle-related</v>
      </c>
      <c r="R786" t="s">
        <v>4982</v>
      </c>
      <c r="S786" t="s">
        <v>5119</v>
      </c>
      <c r="T786" t="str" cm="1">
        <f t="array" ref="T786">_xlfn.IFS(
  TEXT(TRIM(S786),"00000")="NULL", "Missing/Unknown",
  OR(TEXT(TRIM(S786),"00000")="89101", TEXT(TRIM(S786),"00000")="89104", TEXT(TRIM(S786),"00000")="89106", TEXT(TRIM(S786),"00000")="89102", TEXT(TRIM(S786),"00000")="89107", TEXT(TRIM(S786),"00000")="89108"), "Urban Core",
  OR(TEXT(TRIM(S786),"00000")="89110", TEXT(TRIM(S786),"00000")="89115", TEXT(TRIM(S786),"00000")="89121", TEXT(TRIM(S786),"00000")="89122", TEXT(TRIM(S786),"00000")="89142", TEXT(TRIM(S786),"00000")="89156"), "East Valley",
  OR(TEXT(TRIM(S786),"00000")="89030", TEXT(TRIM(S786),"00000")="89031", TEXT(TRIM(S786),"00000")="89032", TEXT(TRIM(S786),"00000")="89086", TEXT(TRIM(S786),"00000")="89084", TEXT(TRIM(S786),"00000")="89081"), "North LV",
  OR(TEXT(TRIM(S786),"00000")="89109", TEXT(TRIM(S786),"00000")="89103", TEXT(TRIM(S786),"00000")="89119", TEXT(TRIM(S786),"00000")="89123", TEXT(TRIM(S786),"00000")="89169", TEXT(TRIM(S786),"00000")="89118"), "South/Strip",
  OR(TEXT(TRIM(S786),"00000")="89074", TEXT(TRIM(S786),"00000")="89014", TEXT(TRIM(S786),"00000")="89015", TEXT(TRIM(S786),"00000")="89011", TEXT(TRIM(S786),"00000")="89012"), "Suburban SE",
  OR(TEXT(TRIM(S786),"00000")="89117", TEXT(TRIM(S786),"00000")="89128", TEXT(TRIM(S786),"00000")="89135", TEXT(TRIM(S786),"00000")="89144", TEXT(TRIM(S786),"00000")="89145", TEXT(TRIM(S786),"00000")="89147"), "West Valley",
  TRUE, "Other"
)</f>
        <v>Urban Core</v>
      </c>
      <c r="U786" t="s">
        <v>65</v>
      </c>
      <c r="V786" t="str">
        <f t="shared" si="51"/>
        <v>Vehicle-related</v>
      </c>
    </row>
    <row r="787" spans="1:22">
      <c r="A787" t="s">
        <v>1610</v>
      </c>
      <c r="B787" t="s">
        <v>1611</v>
      </c>
      <c r="C787" s="1">
        <v>44808</v>
      </c>
      <c r="D787" s="4">
        <v>109.04</v>
      </c>
      <c r="E787">
        <v>53</v>
      </c>
      <c r="F787" t="str">
        <f t="shared" si="48"/>
        <v>50's</v>
      </c>
      <c r="G787" t="str" cm="1">
        <f t="array" ref="G787">_xlfn.IFS(
  F787="10's", "Child (5–12)",
  OR(F787="20's", F787="30's"), "Young Adult (20–39)",
  OR(F787="40's", F787="50's"), "Adult (40–59)",
  OR(F787="60's", F787="70's", F787="80's", F787="90's"), "Senior (60+)",
  TRUE, "Unknown"
)</f>
        <v>Adult (40–59)</v>
      </c>
      <c r="H787" t="s">
        <v>841</v>
      </c>
      <c r="I787" t="s">
        <v>54</v>
      </c>
      <c r="J787" t="str">
        <f t="shared" si="49"/>
        <v>Environmental Heat</v>
      </c>
      <c r="K787" t="s">
        <v>98</v>
      </c>
      <c r="L787" t="s">
        <v>250</v>
      </c>
      <c r="M787" t="s">
        <v>4785</v>
      </c>
      <c r="N787" t="s">
        <v>5128</v>
      </c>
      <c r="O787" t="str" cm="1">
        <f t="array" ref="O787">_xlfn.IFS(
  TEXT(TRIM(N787),"00000")="NULL", "Missing/Unknown",
  OR(TEXT(TRIM(N787),"00000")="89101", TEXT(TRIM(N787),"00000")="89104", TEXT(TRIM(N787),"00000")="89106", TEXT(TRIM(N787),"00000")="89102", TEXT(TRIM(N787),"00000")="89107", TEXT(TRIM(N787),"00000")="89108"), "Urban Core",
  OR(TEXT(TRIM(N787),"00000")="89110", TEXT(TRIM(N787),"00000")="89115", TEXT(TRIM(N787),"00000")="89121", TEXT(TRIM(N787),"00000")="89122", TEXT(TRIM(N787),"00000")="89142", TEXT(TRIM(N787),"00000")="89156"), "East Valley",
  OR(TEXT(TRIM(N787),"00000")="89030", TEXT(TRIM(N787),"00000")="89031", TEXT(TRIM(N787),"00000")="89032", TEXT(TRIM(N787),"00000")="89086", TEXT(TRIM(N787),"00000")="89084", TEXT(TRIM(N787),"00000")="89081"), "North LV",
  OR(TEXT(TRIM(N787),"00000")="89109", TEXT(TRIM(N787),"00000")="89103", TEXT(TRIM(N787),"00000")="89119", TEXT(TRIM(N787),"00000")="89123", TEXT(TRIM(N787),"00000")="89169", TEXT(TRIM(N787),"00000")="89118"), "South/Strip",
  OR(TEXT(TRIM(N787),"00000")="89074", TEXT(TRIM(N787),"00000")="89014", TEXT(TRIM(N787),"00000")="89015", TEXT(TRIM(N787),"00000")="89011", TEXT(TRIM(N787),"00000")="89012"), "Suburban SE",
  OR(TEXT(TRIM(N787),"00000")="89117", TEXT(TRIM(N787),"00000")="89128", TEXT(TRIM(N787),"00000")="89135", TEXT(TRIM(N787),"00000")="89144", TEXT(TRIM(N787),"00000")="89145", TEXT(TRIM(N787),"00000")="89147"), "West Valley",
  TRUE, "Other"
)</f>
        <v>East Valley</v>
      </c>
      <c r="P787" t="s">
        <v>3298</v>
      </c>
      <c r="Q787" t="str">
        <f t="shared" si="50"/>
        <v>Outdoors/Public</v>
      </c>
      <c r="R787" t="s">
        <v>4785</v>
      </c>
      <c r="S787" t="s">
        <v>5128</v>
      </c>
      <c r="T787" t="str" cm="1">
        <f t="array" ref="T787">_xlfn.IFS(
  TEXT(TRIM(S787),"00000")="NULL", "Missing/Unknown",
  OR(TEXT(TRIM(S787),"00000")="89101", TEXT(TRIM(S787),"00000")="89104", TEXT(TRIM(S787),"00000")="89106", TEXT(TRIM(S787),"00000")="89102", TEXT(TRIM(S787),"00000")="89107", TEXT(TRIM(S787),"00000")="89108"), "Urban Core",
  OR(TEXT(TRIM(S787),"00000")="89110", TEXT(TRIM(S787),"00000")="89115", TEXT(TRIM(S787),"00000")="89121", TEXT(TRIM(S787),"00000")="89122", TEXT(TRIM(S787),"00000")="89142", TEXT(TRIM(S787),"00000")="89156"), "East Valley",
  OR(TEXT(TRIM(S787),"00000")="89030", TEXT(TRIM(S787),"00000")="89031", TEXT(TRIM(S787),"00000")="89032", TEXT(TRIM(S787),"00000")="89086", TEXT(TRIM(S787),"00000")="89084", TEXT(TRIM(S787),"00000")="89081"), "North LV",
  OR(TEXT(TRIM(S787),"00000")="89109", TEXT(TRIM(S787),"00000")="89103", TEXT(TRIM(S787),"00000")="89119", TEXT(TRIM(S787),"00000")="89123", TEXT(TRIM(S787),"00000")="89169", TEXT(TRIM(S787),"00000")="89118"), "South/Strip",
  OR(TEXT(TRIM(S787),"00000")="89074", TEXT(TRIM(S787),"00000")="89014", TEXT(TRIM(S787),"00000")="89015", TEXT(TRIM(S787),"00000")="89011", TEXT(TRIM(S787),"00000")="89012"), "Suburban SE",
  OR(TEXT(TRIM(S787),"00000")="89117", TEXT(TRIM(S787),"00000")="89128", TEXT(TRIM(S787),"00000")="89135", TEXT(TRIM(S787),"00000")="89144", TEXT(TRIM(S787),"00000")="89145", TEXT(TRIM(S787),"00000")="89147"), "West Valley",
  TRUE, "Other"
)</f>
        <v>East Valley</v>
      </c>
      <c r="U787" t="s">
        <v>3298</v>
      </c>
      <c r="V787" t="str">
        <f t="shared" si="51"/>
        <v>Outdoors/Public</v>
      </c>
    </row>
    <row r="788" spans="1:22">
      <c r="A788" t="s">
        <v>1613</v>
      </c>
      <c r="B788" t="s">
        <v>1614</v>
      </c>
      <c r="C788" s="1">
        <v>44808</v>
      </c>
      <c r="D788" s="4">
        <v>109.04</v>
      </c>
      <c r="E788">
        <v>41</v>
      </c>
      <c r="F788" t="str">
        <f t="shared" si="48"/>
        <v>40's</v>
      </c>
      <c r="G788" t="str" cm="1">
        <f t="array" ref="G788">_xlfn.IFS(
  F788="10's", "Child (5–12)",
  OR(F788="20's", F788="30's"), "Young Adult (20–39)",
  OR(F788="40's", F788="50's"), "Adult (40–59)",
  OR(F788="60's", F788="70's", F788="80's", F788="90's"), "Senior (60+)",
  TRUE, "Unknown"
)</f>
        <v>Adult (40–59)</v>
      </c>
      <c r="H788" t="s">
        <v>27</v>
      </c>
      <c r="I788" t="s">
        <v>4098</v>
      </c>
      <c r="J788" t="str">
        <f t="shared" si="49"/>
        <v>Ethanol-related</v>
      </c>
      <c r="K788" t="s">
        <v>54</v>
      </c>
      <c r="L788" t="s">
        <v>1071</v>
      </c>
      <c r="M788" t="s">
        <v>4983</v>
      </c>
      <c r="N788" t="s">
        <v>5097</v>
      </c>
      <c r="O788" t="str" cm="1">
        <f t="array" ref="O788">_xlfn.IFS(
  TEXT(TRIM(N788),"00000")="NULL", "Missing/Unknown",
  OR(TEXT(TRIM(N788),"00000")="89101", TEXT(TRIM(N788),"00000")="89104", TEXT(TRIM(N788),"00000")="89106", TEXT(TRIM(N788),"00000")="89102", TEXT(TRIM(N788),"00000")="89107", TEXT(TRIM(N788),"00000")="89108"), "Urban Core",
  OR(TEXT(TRIM(N788),"00000")="89110", TEXT(TRIM(N788),"00000")="89115", TEXT(TRIM(N788),"00000")="89121", TEXT(TRIM(N788),"00000")="89122", TEXT(TRIM(N788),"00000")="89142", TEXT(TRIM(N788),"00000")="89156"), "East Valley",
  OR(TEXT(TRIM(N788),"00000")="89030", TEXT(TRIM(N788),"00000")="89031", TEXT(TRIM(N788),"00000")="89032", TEXT(TRIM(N788),"00000")="89086", TEXT(TRIM(N788),"00000")="89084", TEXT(TRIM(N788),"00000")="89081"), "North LV",
  OR(TEXT(TRIM(N788),"00000")="89109", TEXT(TRIM(N788),"00000")="89103", TEXT(TRIM(N788),"00000")="89119", TEXT(TRIM(N788),"00000")="89123", TEXT(TRIM(N788),"00000")="89169", TEXT(TRIM(N788),"00000")="89118"), "South/Strip",
  OR(TEXT(TRIM(N788),"00000")="89074", TEXT(TRIM(N788),"00000")="89014", TEXT(TRIM(N788),"00000")="89015", TEXT(TRIM(N788),"00000")="89011", TEXT(TRIM(N788),"00000")="89012"), "Suburban SE",
  OR(TEXT(TRIM(N788),"00000")="89117", TEXT(TRIM(N788),"00000")="89128", TEXT(TRIM(N788),"00000")="89135", TEXT(TRIM(N788),"00000")="89144", TEXT(TRIM(N788),"00000")="89145", TEXT(TRIM(N788),"00000")="89147"), "West Valley",
  TRUE, "Other"
)</f>
        <v>Urban Core</v>
      </c>
      <c r="P788" t="s">
        <v>65</v>
      </c>
      <c r="Q788" t="str">
        <f t="shared" si="50"/>
        <v>Vehicle-related</v>
      </c>
      <c r="R788" t="s">
        <v>4983</v>
      </c>
      <c r="S788" t="s">
        <v>5097</v>
      </c>
      <c r="T788" t="str" cm="1">
        <f t="array" ref="T788">_xlfn.IFS(
  TEXT(TRIM(S788),"00000")="NULL", "Missing/Unknown",
  OR(TEXT(TRIM(S788),"00000")="89101", TEXT(TRIM(S788),"00000")="89104", TEXT(TRIM(S788),"00000")="89106", TEXT(TRIM(S788),"00000")="89102", TEXT(TRIM(S788),"00000")="89107", TEXT(TRIM(S788),"00000")="89108"), "Urban Core",
  OR(TEXT(TRIM(S788),"00000")="89110", TEXT(TRIM(S788),"00000")="89115", TEXT(TRIM(S788),"00000")="89121", TEXT(TRIM(S788),"00000")="89122", TEXT(TRIM(S788),"00000")="89142", TEXT(TRIM(S788),"00000")="89156"), "East Valley",
  OR(TEXT(TRIM(S788),"00000")="89030", TEXT(TRIM(S788),"00000")="89031", TEXT(TRIM(S788),"00000")="89032", TEXT(TRIM(S788),"00000")="89086", TEXT(TRIM(S788),"00000")="89084", TEXT(TRIM(S788),"00000")="89081"), "North LV",
  OR(TEXT(TRIM(S788),"00000")="89109", TEXT(TRIM(S788),"00000")="89103", TEXT(TRIM(S788),"00000")="89119", TEXT(TRIM(S788),"00000")="89123", TEXT(TRIM(S788),"00000")="89169", TEXT(TRIM(S788),"00000")="89118"), "South/Strip",
  OR(TEXT(TRIM(S788),"00000")="89074", TEXT(TRIM(S788),"00000")="89014", TEXT(TRIM(S788),"00000")="89015", TEXT(TRIM(S788),"00000")="89011", TEXT(TRIM(S788),"00000")="89012"), "Suburban SE",
  OR(TEXT(TRIM(S788),"00000")="89117", TEXT(TRIM(S788),"00000")="89128", TEXT(TRIM(S788),"00000")="89135", TEXT(TRIM(S788),"00000")="89144", TEXT(TRIM(S788),"00000")="89145", TEXT(TRIM(S788),"00000")="89147"), "West Valley",
  TRUE, "Other"
)</f>
        <v>Urban Core</v>
      </c>
      <c r="U788" t="s">
        <v>65</v>
      </c>
      <c r="V788" t="str">
        <f t="shared" si="51"/>
        <v>Vehicle-related</v>
      </c>
    </row>
    <row r="789" spans="1:22">
      <c r="A789" t="s">
        <v>1598</v>
      </c>
      <c r="B789" t="s">
        <v>1599</v>
      </c>
      <c r="C789" s="1">
        <v>44807</v>
      </c>
      <c r="D789" s="4">
        <v>107.96</v>
      </c>
      <c r="E789">
        <v>54</v>
      </c>
      <c r="F789" t="str">
        <f t="shared" si="48"/>
        <v>50's</v>
      </c>
      <c r="G789" t="str" cm="1">
        <f t="array" ref="G789">_xlfn.IFS(
  F789="10's", "Child (5–12)",
  OR(F789="20's", F789="30's"), "Young Adult (20–39)",
  OR(F789="40's", F789="50's"), "Adult (40–59)",
  OR(F789="60's", F789="70's", F789="80's", F789="90's"), "Senior (60+)",
  TRUE, "Unknown"
)</f>
        <v>Adult (40–59)</v>
      </c>
      <c r="H789" t="s">
        <v>27</v>
      </c>
      <c r="I789" t="s">
        <v>4025</v>
      </c>
      <c r="J789" t="str">
        <f t="shared" si="49"/>
        <v>Methamphetamine-related</v>
      </c>
      <c r="K789" t="s">
        <v>54</v>
      </c>
      <c r="L789" t="s">
        <v>1071</v>
      </c>
      <c r="M789" t="s">
        <v>4619</v>
      </c>
      <c r="N789" t="s">
        <v>5106</v>
      </c>
      <c r="O789" t="str" cm="1">
        <f t="array" ref="O789">_xlfn.IFS(
  TEXT(TRIM(N789),"00000")="NULL", "Missing/Unknown",
  OR(TEXT(TRIM(N789),"00000")="89101", TEXT(TRIM(N789),"00000")="89104", TEXT(TRIM(N789),"00000")="89106", TEXT(TRIM(N789),"00000")="89102", TEXT(TRIM(N789),"00000")="89107", TEXT(TRIM(N789),"00000")="89108"), "Urban Core",
  OR(TEXT(TRIM(N789),"00000")="89110", TEXT(TRIM(N789),"00000")="89115", TEXT(TRIM(N789),"00000")="89121", TEXT(TRIM(N789),"00000")="89122", TEXT(TRIM(N789),"00000")="89142", TEXT(TRIM(N789),"00000")="89156"), "East Valley",
  OR(TEXT(TRIM(N789),"00000")="89030", TEXT(TRIM(N789),"00000")="89031", TEXT(TRIM(N789),"00000")="89032", TEXT(TRIM(N789),"00000")="89086", TEXT(TRIM(N789),"00000")="89084", TEXT(TRIM(N789),"00000")="89081"), "North LV",
  OR(TEXT(TRIM(N789),"00000")="89109", TEXT(TRIM(N789),"00000")="89103", TEXT(TRIM(N789),"00000")="89119", TEXT(TRIM(N789),"00000")="89123", TEXT(TRIM(N789),"00000")="89169", TEXT(TRIM(N789),"00000")="89118"), "South/Strip",
  OR(TEXT(TRIM(N789),"00000")="89074", TEXT(TRIM(N789),"00000")="89014", TEXT(TRIM(N789),"00000")="89015", TEXT(TRIM(N789),"00000")="89011", TEXT(TRIM(N789),"00000")="89012"), "Suburban SE",
  OR(TEXT(TRIM(N789),"00000")="89117", TEXT(TRIM(N789),"00000")="89128", TEXT(TRIM(N789),"00000")="89135", TEXT(TRIM(N789),"00000")="89144", TEXT(TRIM(N789),"00000")="89145", TEXT(TRIM(N789),"00000")="89147"), "West Valley",
  TRUE, "Other"
)</f>
        <v>East Valley</v>
      </c>
      <c r="P789" t="s">
        <v>271</v>
      </c>
      <c r="Q789" t="str">
        <f t="shared" si="50"/>
        <v>Home/Residence</v>
      </c>
      <c r="R789" t="s">
        <v>4619</v>
      </c>
      <c r="S789" t="s">
        <v>5106</v>
      </c>
      <c r="T789" t="str" cm="1">
        <f t="array" ref="T789">_xlfn.IFS(
  TEXT(TRIM(S789),"00000")="NULL", "Missing/Unknown",
  OR(TEXT(TRIM(S789),"00000")="89101", TEXT(TRIM(S789),"00000")="89104", TEXT(TRIM(S789),"00000")="89106", TEXT(TRIM(S789),"00000")="89102", TEXT(TRIM(S789),"00000")="89107", TEXT(TRIM(S789),"00000")="89108"), "Urban Core",
  OR(TEXT(TRIM(S789),"00000")="89110", TEXT(TRIM(S789),"00000")="89115", TEXT(TRIM(S789),"00000")="89121", TEXT(TRIM(S789),"00000")="89122", TEXT(TRIM(S789),"00000")="89142", TEXT(TRIM(S789),"00000")="89156"), "East Valley",
  OR(TEXT(TRIM(S789),"00000")="89030", TEXT(TRIM(S789),"00000")="89031", TEXT(TRIM(S789),"00000")="89032", TEXT(TRIM(S789),"00000")="89086", TEXT(TRIM(S789),"00000")="89084", TEXT(TRIM(S789),"00000")="89081"), "North LV",
  OR(TEXT(TRIM(S789),"00000")="89109", TEXT(TRIM(S789),"00000")="89103", TEXT(TRIM(S789),"00000")="89119", TEXT(TRIM(S789),"00000")="89123", TEXT(TRIM(S789),"00000")="89169", TEXT(TRIM(S789),"00000")="89118"), "South/Strip",
  OR(TEXT(TRIM(S789),"00000")="89074", TEXT(TRIM(S789),"00000")="89014", TEXT(TRIM(S789),"00000")="89015", TEXT(TRIM(S789),"00000")="89011", TEXT(TRIM(S789),"00000")="89012"), "Suburban SE",
  OR(TEXT(TRIM(S789),"00000")="89117", TEXT(TRIM(S789),"00000")="89128", TEXT(TRIM(S789),"00000")="89135", TEXT(TRIM(S789),"00000")="89144", TEXT(TRIM(S789),"00000")="89145", TEXT(TRIM(S789),"00000")="89147"), "West Valley",
  TRUE, "Other"
)</f>
        <v>East Valley</v>
      </c>
      <c r="U789" t="s">
        <v>271</v>
      </c>
      <c r="V789" t="str">
        <f t="shared" si="51"/>
        <v>Home/Residence</v>
      </c>
    </row>
    <row r="790" spans="1:22">
      <c r="A790" t="s">
        <v>1601</v>
      </c>
      <c r="B790" t="s">
        <v>1602</v>
      </c>
      <c r="C790" s="1">
        <v>44807</v>
      </c>
      <c r="D790" s="4">
        <v>107.96</v>
      </c>
      <c r="E790">
        <v>62</v>
      </c>
      <c r="F790" t="str">
        <f t="shared" si="48"/>
        <v>60's</v>
      </c>
      <c r="G790" t="str" cm="1">
        <f t="array" ref="G790">_xlfn.IFS(
  F790="10's", "Child (5–12)",
  OR(F790="20's", F790="30's"), "Young Adult (20–39)",
  OR(F790="40's", F790="50's"), "Adult (40–59)",
  OR(F790="60's", F790="70's", F790="80's", F790="90's"), "Senior (60+)",
  TRUE, "Unknown"
)</f>
        <v>Senior (60+)</v>
      </c>
      <c r="H790" t="s">
        <v>4309</v>
      </c>
      <c r="I790" t="s">
        <v>4025</v>
      </c>
      <c r="J790" t="str">
        <f t="shared" si="49"/>
        <v>Methamphetamine-related</v>
      </c>
      <c r="K790" t="s">
        <v>54</v>
      </c>
      <c r="L790" t="s">
        <v>250</v>
      </c>
      <c r="M790" t="s">
        <v>4772</v>
      </c>
      <c r="N790" t="s">
        <v>5107</v>
      </c>
      <c r="O790" t="str" cm="1">
        <f t="array" ref="O790">_xlfn.IFS(
  TEXT(TRIM(N790),"00000")="NULL", "Missing/Unknown",
  OR(TEXT(TRIM(N790),"00000")="89101", TEXT(TRIM(N790),"00000")="89104", TEXT(TRIM(N790),"00000")="89106", TEXT(TRIM(N790),"00000")="89102", TEXT(TRIM(N790),"00000")="89107", TEXT(TRIM(N790),"00000")="89108"), "Urban Core",
  OR(TEXT(TRIM(N790),"00000")="89110", TEXT(TRIM(N790),"00000")="89115", TEXT(TRIM(N790),"00000")="89121", TEXT(TRIM(N790),"00000")="89122", TEXT(TRIM(N790),"00000")="89142", TEXT(TRIM(N790),"00000")="89156"), "East Valley",
  OR(TEXT(TRIM(N790),"00000")="89030", TEXT(TRIM(N790),"00000")="89031", TEXT(TRIM(N790),"00000")="89032", TEXT(TRIM(N790),"00000")="89086", TEXT(TRIM(N790),"00000")="89084", TEXT(TRIM(N790),"00000")="89081"), "North LV",
  OR(TEXT(TRIM(N790),"00000")="89109", TEXT(TRIM(N790),"00000")="89103", TEXT(TRIM(N790),"00000")="89119", TEXT(TRIM(N790),"00000")="89123", TEXT(TRIM(N790),"00000")="89169", TEXT(TRIM(N790),"00000")="89118"), "South/Strip",
  OR(TEXT(TRIM(N790),"00000")="89074", TEXT(TRIM(N790),"00000")="89014", TEXT(TRIM(N790),"00000")="89015", TEXT(TRIM(N790),"00000")="89011", TEXT(TRIM(N790),"00000")="89012"), "Suburban SE",
  OR(TEXT(TRIM(N790),"00000")="89117", TEXT(TRIM(N790),"00000")="89128", TEXT(TRIM(N790),"00000")="89135", TEXT(TRIM(N790),"00000")="89144", TEXT(TRIM(N790),"00000")="89145", TEXT(TRIM(N790),"00000")="89147"), "West Valley",
  TRUE, "Other"
)</f>
        <v>South/Strip</v>
      </c>
      <c r="P790" t="s">
        <v>3298</v>
      </c>
      <c r="Q790" t="str">
        <f t="shared" si="50"/>
        <v>Outdoors/Public</v>
      </c>
      <c r="R790" t="s">
        <v>4772</v>
      </c>
      <c r="S790" t="s">
        <v>5107</v>
      </c>
      <c r="T790" t="str" cm="1">
        <f t="array" ref="T790">_xlfn.IFS(
  TEXT(TRIM(S790),"00000")="NULL", "Missing/Unknown",
  OR(TEXT(TRIM(S790),"00000")="89101", TEXT(TRIM(S790),"00000")="89104", TEXT(TRIM(S790),"00000")="89106", TEXT(TRIM(S790),"00000")="89102", TEXT(TRIM(S790),"00000")="89107", TEXT(TRIM(S790),"00000")="89108"), "Urban Core",
  OR(TEXT(TRIM(S790),"00000")="89110", TEXT(TRIM(S790),"00000")="89115", TEXT(TRIM(S790),"00000")="89121", TEXT(TRIM(S790),"00000")="89122", TEXT(TRIM(S790),"00000")="89142", TEXT(TRIM(S790),"00000")="89156"), "East Valley",
  OR(TEXT(TRIM(S790),"00000")="89030", TEXT(TRIM(S790),"00000")="89031", TEXT(TRIM(S790),"00000")="89032", TEXT(TRIM(S790),"00000")="89086", TEXT(TRIM(S790),"00000")="89084", TEXT(TRIM(S790),"00000")="89081"), "North LV",
  OR(TEXT(TRIM(S790),"00000")="89109", TEXT(TRIM(S790),"00000")="89103", TEXT(TRIM(S790),"00000")="89119", TEXT(TRIM(S790),"00000")="89123", TEXT(TRIM(S790),"00000")="89169", TEXT(TRIM(S790),"00000")="89118"), "South/Strip",
  OR(TEXT(TRIM(S790),"00000")="89074", TEXT(TRIM(S790),"00000")="89014", TEXT(TRIM(S790),"00000")="89015", TEXT(TRIM(S790),"00000")="89011", TEXT(TRIM(S790),"00000")="89012"), "Suburban SE",
  OR(TEXT(TRIM(S790),"00000")="89117", TEXT(TRIM(S790),"00000")="89128", TEXT(TRIM(S790),"00000")="89135", TEXT(TRIM(S790),"00000")="89144", TEXT(TRIM(S790),"00000")="89145", TEXT(TRIM(S790),"00000")="89147"), "West Valley",
  TRUE, "Other"
)</f>
        <v>South/Strip</v>
      </c>
      <c r="U790" t="s">
        <v>3298</v>
      </c>
      <c r="V790" t="str">
        <f t="shared" si="51"/>
        <v>Outdoors/Public</v>
      </c>
    </row>
    <row r="791" spans="1:22">
      <c r="A791" t="s">
        <v>1584</v>
      </c>
      <c r="B791" t="s">
        <v>1585</v>
      </c>
      <c r="C791" s="1">
        <v>44806</v>
      </c>
      <c r="D791" s="4">
        <v>109.04</v>
      </c>
      <c r="E791">
        <v>73</v>
      </c>
      <c r="F791" t="str">
        <f t="shared" si="48"/>
        <v>70's</v>
      </c>
      <c r="G791" t="str" cm="1">
        <f t="array" ref="G791">_xlfn.IFS(
  F791="10's", "Child (5–12)",
  OR(F791="20's", F791="30's"), "Young Adult (20–39)",
  OR(F791="40's", F791="50's"), "Adult (40–59)",
  OR(F791="60's", F791="70's", F791="80's", F791="90's"), "Senior (60+)",
  TRUE, "Unknown"
)</f>
        <v>Senior (60+)</v>
      </c>
      <c r="H791" t="s">
        <v>841</v>
      </c>
      <c r="I791" t="s">
        <v>181</v>
      </c>
      <c r="J791" t="str">
        <f t="shared" si="49"/>
        <v>Other / Unknown</v>
      </c>
      <c r="K791" t="s">
        <v>4239</v>
      </c>
      <c r="L791" t="s">
        <v>1071</v>
      </c>
      <c r="M791" t="s">
        <v>4427</v>
      </c>
      <c r="N791" t="s">
        <v>5117</v>
      </c>
      <c r="O791" t="str" cm="1">
        <f t="array" ref="O791">_xlfn.IFS(
  TEXT(TRIM(N791),"00000")="NULL", "Missing/Unknown",
  OR(TEXT(TRIM(N791),"00000")="89101", TEXT(TRIM(N791),"00000")="89104", TEXT(TRIM(N791),"00000")="89106", TEXT(TRIM(N791),"00000")="89102", TEXT(TRIM(N791),"00000")="89107", TEXT(TRIM(N791),"00000")="89108"), "Urban Core",
  OR(TEXT(TRIM(N791),"00000")="89110", TEXT(TRIM(N791),"00000")="89115", TEXT(TRIM(N791),"00000")="89121", TEXT(TRIM(N791),"00000")="89122", TEXT(TRIM(N791),"00000")="89142", TEXT(TRIM(N791),"00000")="89156"), "East Valley",
  OR(TEXT(TRIM(N791),"00000")="89030", TEXT(TRIM(N791),"00000")="89031", TEXT(TRIM(N791),"00000")="89032", TEXT(TRIM(N791),"00000")="89086", TEXT(TRIM(N791),"00000")="89084", TEXT(TRIM(N791),"00000")="89081"), "North LV",
  OR(TEXT(TRIM(N791),"00000")="89109", TEXT(TRIM(N791),"00000")="89103", TEXT(TRIM(N791),"00000")="89119", TEXT(TRIM(N791),"00000")="89123", TEXT(TRIM(N791),"00000")="89169", TEXT(TRIM(N791),"00000")="89118"), "South/Strip",
  OR(TEXT(TRIM(N791),"00000")="89074", TEXT(TRIM(N791),"00000")="89014", TEXT(TRIM(N791),"00000")="89015", TEXT(TRIM(N791),"00000")="89011", TEXT(TRIM(N791),"00000")="89012"), "Suburban SE",
  OR(TEXT(TRIM(N791),"00000")="89117", TEXT(TRIM(N791),"00000")="89128", TEXT(TRIM(N791),"00000")="89135", TEXT(TRIM(N791),"00000")="89144", TEXT(TRIM(N791),"00000")="89145", TEXT(TRIM(N791),"00000")="89147"), "West Valley",
  TRUE, "Other"
)</f>
        <v>North LV</v>
      </c>
      <c r="P791" t="s">
        <v>38</v>
      </c>
      <c r="Q791" t="str">
        <f t="shared" si="50"/>
        <v>Home/Residence</v>
      </c>
      <c r="R791" t="s">
        <v>4427</v>
      </c>
      <c r="S791" t="s">
        <v>5117</v>
      </c>
      <c r="T791" t="str" cm="1">
        <f t="array" ref="T791">_xlfn.IFS(
  TEXT(TRIM(S791),"00000")="NULL", "Missing/Unknown",
  OR(TEXT(TRIM(S791),"00000")="89101", TEXT(TRIM(S791),"00000")="89104", TEXT(TRIM(S791),"00000")="89106", TEXT(TRIM(S791),"00000")="89102", TEXT(TRIM(S791),"00000")="89107", TEXT(TRIM(S791),"00000")="89108"), "Urban Core",
  OR(TEXT(TRIM(S791),"00000")="89110", TEXT(TRIM(S791),"00000")="89115", TEXT(TRIM(S791),"00000")="89121", TEXT(TRIM(S791),"00000")="89122", TEXT(TRIM(S791),"00000")="89142", TEXT(TRIM(S791),"00000")="89156"), "East Valley",
  OR(TEXT(TRIM(S791),"00000")="89030", TEXT(TRIM(S791),"00000")="89031", TEXT(TRIM(S791),"00000")="89032", TEXT(TRIM(S791),"00000")="89086", TEXT(TRIM(S791),"00000")="89084", TEXT(TRIM(S791),"00000")="89081"), "North LV",
  OR(TEXT(TRIM(S791),"00000")="89109", TEXT(TRIM(S791),"00000")="89103", TEXT(TRIM(S791),"00000")="89119", TEXT(TRIM(S791),"00000")="89123", TEXT(TRIM(S791),"00000")="89169", TEXT(TRIM(S791),"00000")="89118"), "South/Strip",
  OR(TEXT(TRIM(S791),"00000")="89074", TEXT(TRIM(S791),"00000")="89014", TEXT(TRIM(S791),"00000")="89015", TEXT(TRIM(S791),"00000")="89011", TEXT(TRIM(S791),"00000")="89012"), "Suburban SE",
  OR(TEXT(TRIM(S791),"00000")="89117", TEXT(TRIM(S791),"00000")="89128", TEXT(TRIM(S791),"00000")="89135", TEXT(TRIM(S791),"00000")="89144", TEXT(TRIM(S791),"00000")="89145", TEXT(TRIM(S791),"00000")="89147"), "West Valley",
  TRUE, "Other"
)</f>
        <v>North LV</v>
      </c>
      <c r="U791" t="s">
        <v>38</v>
      </c>
      <c r="V791" t="str">
        <f t="shared" si="51"/>
        <v>Home/Residence</v>
      </c>
    </row>
    <row r="792" spans="1:22">
      <c r="A792" t="s">
        <v>1588</v>
      </c>
      <c r="B792" t="s">
        <v>1589</v>
      </c>
      <c r="C792" s="1">
        <v>44806</v>
      </c>
      <c r="D792" s="4">
        <v>109.04</v>
      </c>
      <c r="E792">
        <v>83</v>
      </c>
      <c r="F792" t="str">
        <f t="shared" si="48"/>
        <v>80's</v>
      </c>
      <c r="G792" t="str" cm="1">
        <f t="array" ref="G792">_xlfn.IFS(
  F792="10's", "Child (5–12)",
  OR(F792="20's", F792="30's"), "Young Adult (20–39)",
  OR(F792="40's", F792="50's"), "Adult (40–59)",
  OR(F792="60's", F792="70's", F792="80's", F792="90's"), "Senior (60+)",
  TRUE, "Unknown"
)</f>
        <v>Senior (60+)</v>
      </c>
      <c r="H792" t="s">
        <v>841</v>
      </c>
      <c r="I792" t="s">
        <v>4012</v>
      </c>
      <c r="J792" t="str">
        <f t="shared" si="49"/>
        <v>Cardiovascular Disease</v>
      </c>
      <c r="K792" t="s">
        <v>1590</v>
      </c>
      <c r="L792" t="s">
        <v>1071</v>
      </c>
      <c r="M792" t="s">
        <v>4428</v>
      </c>
      <c r="N792" t="s">
        <v>5141</v>
      </c>
      <c r="O792" t="str" cm="1">
        <f t="array" ref="O792">_xlfn.IFS(
  TEXT(TRIM(N792),"00000")="NULL", "Missing/Unknown",
  OR(TEXT(TRIM(N792),"00000")="89101", TEXT(TRIM(N792),"00000")="89104", TEXT(TRIM(N792),"00000")="89106", TEXT(TRIM(N792),"00000")="89102", TEXT(TRIM(N792),"00000")="89107", TEXT(TRIM(N792),"00000")="89108"), "Urban Core",
  OR(TEXT(TRIM(N792),"00000")="89110", TEXT(TRIM(N792),"00000")="89115", TEXT(TRIM(N792),"00000")="89121", TEXT(TRIM(N792),"00000")="89122", TEXT(TRIM(N792),"00000")="89142", TEXT(TRIM(N792),"00000")="89156"), "East Valley",
  OR(TEXT(TRIM(N792),"00000")="89030", TEXT(TRIM(N792),"00000")="89031", TEXT(TRIM(N792),"00000")="89032", TEXT(TRIM(N792),"00000")="89086", TEXT(TRIM(N792),"00000")="89084", TEXT(TRIM(N792),"00000")="89081"), "North LV",
  OR(TEXT(TRIM(N792),"00000")="89109", TEXT(TRIM(N792),"00000")="89103", TEXT(TRIM(N792),"00000")="89119", TEXT(TRIM(N792),"00000")="89123", TEXT(TRIM(N792),"00000")="89169", TEXT(TRIM(N792),"00000")="89118"), "South/Strip",
  OR(TEXT(TRIM(N792),"00000")="89074", TEXT(TRIM(N792),"00000")="89014", TEXT(TRIM(N792),"00000")="89015", TEXT(TRIM(N792),"00000")="89011", TEXT(TRIM(N792),"00000")="89012"), "Suburban SE",
  OR(TEXT(TRIM(N792),"00000")="89117", TEXT(TRIM(N792),"00000")="89128", TEXT(TRIM(N792),"00000")="89135", TEXT(TRIM(N792),"00000")="89144", TEXT(TRIM(N792),"00000")="89145", TEXT(TRIM(N792),"00000")="89147"), "West Valley",
  TRUE, "Other"
)</f>
        <v>Other</v>
      </c>
      <c r="P792" t="s">
        <v>38</v>
      </c>
      <c r="Q792" t="str">
        <f t="shared" si="50"/>
        <v>Home/Residence</v>
      </c>
      <c r="R792" t="s">
        <v>4428</v>
      </c>
      <c r="S792" t="s">
        <v>5141</v>
      </c>
      <c r="T792" t="str" cm="1">
        <f t="array" ref="T792">_xlfn.IFS(
  TEXT(TRIM(S792),"00000")="NULL", "Missing/Unknown",
  OR(TEXT(TRIM(S792),"00000")="89101", TEXT(TRIM(S792),"00000")="89104", TEXT(TRIM(S792),"00000")="89106", TEXT(TRIM(S792),"00000")="89102", TEXT(TRIM(S792),"00000")="89107", TEXT(TRIM(S792),"00000")="89108"), "Urban Core",
  OR(TEXT(TRIM(S792),"00000")="89110", TEXT(TRIM(S792),"00000")="89115", TEXT(TRIM(S792),"00000")="89121", TEXT(TRIM(S792),"00000")="89122", TEXT(TRIM(S792),"00000")="89142", TEXT(TRIM(S792),"00000")="89156"), "East Valley",
  OR(TEXT(TRIM(S792),"00000")="89030", TEXT(TRIM(S792),"00000")="89031", TEXT(TRIM(S792),"00000")="89032", TEXT(TRIM(S792),"00000")="89086", TEXT(TRIM(S792),"00000")="89084", TEXT(TRIM(S792),"00000")="89081"), "North LV",
  OR(TEXT(TRIM(S792),"00000")="89109", TEXT(TRIM(S792),"00000")="89103", TEXT(TRIM(S792),"00000")="89119", TEXT(TRIM(S792),"00000")="89123", TEXT(TRIM(S792),"00000")="89169", TEXT(TRIM(S792),"00000")="89118"), "South/Strip",
  OR(TEXT(TRIM(S792),"00000")="89074", TEXT(TRIM(S792),"00000")="89014", TEXT(TRIM(S792),"00000")="89015", TEXT(TRIM(S792),"00000")="89011", TEXT(TRIM(S792),"00000")="89012"), "Suburban SE",
  OR(TEXT(TRIM(S792),"00000")="89117", TEXT(TRIM(S792),"00000")="89128", TEXT(TRIM(S792),"00000")="89135", TEXT(TRIM(S792),"00000")="89144", TEXT(TRIM(S792),"00000")="89145", TEXT(TRIM(S792),"00000")="89147"), "West Valley",
  TRUE, "Other"
)</f>
        <v>Other</v>
      </c>
      <c r="U792" t="s">
        <v>38</v>
      </c>
      <c r="V792" t="str">
        <f t="shared" si="51"/>
        <v>Home/Residence</v>
      </c>
    </row>
    <row r="793" spans="1:22">
      <c r="A793" t="s">
        <v>1594</v>
      </c>
      <c r="B793" t="s">
        <v>1595</v>
      </c>
      <c r="C793" s="1">
        <v>44806</v>
      </c>
      <c r="D793" s="4">
        <v>109.04</v>
      </c>
      <c r="E793">
        <v>54</v>
      </c>
      <c r="F793" t="str">
        <f t="shared" si="48"/>
        <v>50's</v>
      </c>
      <c r="G793" t="str" cm="1">
        <f t="array" ref="G793">_xlfn.IFS(
  F793="10's", "Child (5–12)",
  OR(F793="20's", F793="30's"), "Young Adult (20–39)",
  OR(F793="40's", F793="50's"), "Adult (40–59)",
  OR(F793="60's", F793="70's", F793="80's", F793="90's"), "Senior (60+)",
  TRUE, "Unknown"
)</f>
        <v>Adult (40–59)</v>
      </c>
      <c r="H793" t="s">
        <v>841</v>
      </c>
      <c r="I793" t="s">
        <v>172</v>
      </c>
      <c r="J793" t="str">
        <f t="shared" si="49"/>
        <v>Methamphetamine-related</v>
      </c>
      <c r="K793" t="s">
        <v>1596</v>
      </c>
      <c r="L793" t="s">
        <v>250</v>
      </c>
      <c r="M793" t="s">
        <v>4787</v>
      </c>
      <c r="N793" t="s">
        <v>5101</v>
      </c>
      <c r="O793" t="str" cm="1">
        <f t="array" ref="O793">_xlfn.IFS(
  TEXT(TRIM(N793),"00000")="NULL", "Missing/Unknown",
  OR(TEXT(TRIM(N793),"00000")="89101", TEXT(TRIM(N793),"00000")="89104", TEXT(TRIM(N793),"00000")="89106", TEXT(TRIM(N793),"00000")="89102", TEXT(TRIM(N793),"00000")="89107", TEXT(TRIM(N793),"00000")="89108"), "Urban Core",
  OR(TEXT(TRIM(N793),"00000")="89110", TEXT(TRIM(N793),"00000")="89115", TEXT(TRIM(N793),"00000")="89121", TEXT(TRIM(N793),"00000")="89122", TEXT(TRIM(N793),"00000")="89142", TEXT(TRIM(N793),"00000")="89156"), "East Valley",
  OR(TEXT(TRIM(N793),"00000")="89030", TEXT(TRIM(N793),"00000")="89031", TEXT(TRIM(N793),"00000")="89032", TEXT(TRIM(N793),"00000")="89086", TEXT(TRIM(N793),"00000")="89084", TEXT(TRIM(N793),"00000")="89081"), "North LV",
  OR(TEXT(TRIM(N793),"00000")="89109", TEXT(TRIM(N793),"00000")="89103", TEXT(TRIM(N793),"00000")="89119", TEXT(TRIM(N793),"00000")="89123", TEXT(TRIM(N793),"00000")="89169", TEXT(TRIM(N793),"00000")="89118"), "South/Strip",
  OR(TEXT(TRIM(N793),"00000")="89074", TEXT(TRIM(N793),"00000")="89014", TEXT(TRIM(N793),"00000")="89015", TEXT(TRIM(N793),"00000")="89011", TEXT(TRIM(N793),"00000")="89012"), "Suburban SE",
  OR(TEXT(TRIM(N793),"00000")="89117", TEXT(TRIM(N793),"00000")="89128", TEXT(TRIM(N793),"00000")="89135", TEXT(TRIM(N793),"00000")="89144", TEXT(TRIM(N793),"00000")="89145", TEXT(TRIM(N793),"00000")="89147"), "West Valley",
  TRUE, "Other"
)</f>
        <v>Urban Core</v>
      </c>
      <c r="P793" t="s">
        <v>3298</v>
      </c>
      <c r="Q793" t="str">
        <f t="shared" si="50"/>
        <v>Outdoors/Public</v>
      </c>
      <c r="R793" t="s">
        <v>4787</v>
      </c>
      <c r="S793" t="s">
        <v>5101</v>
      </c>
      <c r="T793" t="str" cm="1">
        <f t="array" ref="T793">_xlfn.IFS(
  TEXT(TRIM(S793),"00000")="NULL", "Missing/Unknown",
  OR(TEXT(TRIM(S793),"00000")="89101", TEXT(TRIM(S793),"00000")="89104", TEXT(TRIM(S793),"00000")="89106", TEXT(TRIM(S793),"00000")="89102", TEXT(TRIM(S793),"00000")="89107", TEXT(TRIM(S793),"00000")="89108"), "Urban Core",
  OR(TEXT(TRIM(S793),"00000")="89110", TEXT(TRIM(S793),"00000")="89115", TEXT(TRIM(S793),"00000")="89121", TEXT(TRIM(S793),"00000")="89122", TEXT(TRIM(S793),"00000")="89142", TEXT(TRIM(S793),"00000")="89156"), "East Valley",
  OR(TEXT(TRIM(S793),"00000")="89030", TEXT(TRIM(S793),"00000")="89031", TEXT(TRIM(S793),"00000")="89032", TEXT(TRIM(S793),"00000")="89086", TEXT(TRIM(S793),"00000")="89084", TEXT(TRIM(S793),"00000")="89081"), "North LV",
  OR(TEXT(TRIM(S793),"00000")="89109", TEXT(TRIM(S793),"00000")="89103", TEXT(TRIM(S793),"00000")="89119", TEXT(TRIM(S793),"00000")="89123", TEXT(TRIM(S793),"00000")="89169", TEXT(TRIM(S793),"00000")="89118"), "South/Strip",
  OR(TEXT(TRIM(S793),"00000")="89074", TEXT(TRIM(S793),"00000")="89014", TEXT(TRIM(S793),"00000")="89015", TEXT(TRIM(S793),"00000")="89011", TEXT(TRIM(S793),"00000")="89012"), "Suburban SE",
  OR(TEXT(TRIM(S793),"00000")="89117", TEXT(TRIM(S793),"00000")="89128", TEXT(TRIM(S793),"00000")="89135", TEXT(TRIM(S793),"00000")="89144", TEXT(TRIM(S793),"00000")="89145", TEXT(TRIM(S793),"00000")="89147"), "West Valley",
  TRUE, "Other"
)</f>
        <v>Urban Core</v>
      </c>
      <c r="U793" t="s">
        <v>3298</v>
      </c>
      <c r="V793" t="str">
        <f t="shared" si="51"/>
        <v>Outdoors/Public</v>
      </c>
    </row>
    <row r="794" spans="1:22">
      <c r="A794" t="s">
        <v>1580</v>
      </c>
      <c r="B794" t="s">
        <v>1581</v>
      </c>
      <c r="C794" s="1">
        <v>44806</v>
      </c>
      <c r="D794" s="4">
        <v>109.04</v>
      </c>
      <c r="E794">
        <v>72</v>
      </c>
      <c r="F794" t="str">
        <f t="shared" si="48"/>
        <v>70's</v>
      </c>
      <c r="G794" t="str" cm="1">
        <f t="array" ref="G794">_xlfn.IFS(
  F794="10's", "Child (5–12)",
  OR(F794="20's", F794="30's"), "Young Adult (20–39)",
  OR(F794="40's", F794="50's"), "Adult (40–59)",
  OR(F794="60's", F794="70's", F794="80's", F794="90's"), "Senior (60+)",
  TRUE, "Unknown"
)</f>
        <v>Senior (60+)</v>
      </c>
      <c r="H794" t="s">
        <v>841</v>
      </c>
      <c r="I794" t="s">
        <v>1582</v>
      </c>
      <c r="J794" t="str">
        <f t="shared" si="49"/>
        <v>Cardiovascular Disease</v>
      </c>
      <c r="K794" t="s">
        <v>4216</v>
      </c>
      <c r="L794" t="s">
        <v>250</v>
      </c>
      <c r="M794" t="s">
        <v>4786</v>
      </c>
      <c r="N794" t="s">
        <v>5122</v>
      </c>
      <c r="O794" t="str" cm="1">
        <f t="array" ref="O794">_xlfn.IFS(
  TEXT(TRIM(N794),"00000")="NULL", "Missing/Unknown",
  OR(TEXT(TRIM(N794),"00000")="89101", TEXT(TRIM(N794),"00000")="89104", TEXT(TRIM(N794),"00000")="89106", TEXT(TRIM(N794),"00000")="89102", TEXT(TRIM(N794),"00000")="89107", TEXT(TRIM(N794),"00000")="89108"), "Urban Core",
  OR(TEXT(TRIM(N794),"00000")="89110", TEXT(TRIM(N794),"00000")="89115", TEXT(TRIM(N794),"00000")="89121", TEXT(TRIM(N794),"00000")="89122", TEXT(TRIM(N794),"00000")="89142", TEXT(TRIM(N794),"00000")="89156"), "East Valley",
  OR(TEXT(TRIM(N794),"00000")="89030", TEXT(TRIM(N794),"00000")="89031", TEXT(TRIM(N794),"00000")="89032", TEXT(TRIM(N794),"00000")="89086", TEXT(TRIM(N794),"00000")="89084", TEXT(TRIM(N794),"00000")="89081"), "North LV",
  OR(TEXT(TRIM(N794),"00000")="89109", TEXT(TRIM(N794),"00000")="89103", TEXT(TRIM(N794),"00000")="89119", TEXT(TRIM(N794),"00000")="89123", TEXT(TRIM(N794),"00000")="89169", TEXT(TRIM(N794),"00000")="89118"), "South/Strip",
  OR(TEXT(TRIM(N794),"00000")="89074", TEXT(TRIM(N794),"00000")="89014", TEXT(TRIM(N794),"00000")="89015", TEXT(TRIM(N794),"00000")="89011", TEXT(TRIM(N794),"00000")="89012"), "Suburban SE",
  OR(TEXT(TRIM(N794),"00000")="89117", TEXT(TRIM(N794),"00000")="89128", TEXT(TRIM(N794),"00000")="89135", TEXT(TRIM(N794),"00000")="89144", TEXT(TRIM(N794),"00000")="89145", TEXT(TRIM(N794),"00000")="89147"), "West Valley",
  TRUE, "Other"
)</f>
        <v>East Valley</v>
      </c>
      <c r="P794" t="s">
        <v>3298</v>
      </c>
      <c r="Q794" t="str">
        <f t="shared" si="50"/>
        <v>Outdoors/Public</v>
      </c>
      <c r="R794" t="s">
        <v>4786</v>
      </c>
      <c r="S794" t="s">
        <v>5122</v>
      </c>
      <c r="T794" t="str" cm="1">
        <f t="array" ref="T794">_xlfn.IFS(
  TEXT(TRIM(S794),"00000")="NULL", "Missing/Unknown",
  OR(TEXT(TRIM(S794),"00000")="89101", TEXT(TRIM(S794),"00000")="89104", TEXT(TRIM(S794),"00000")="89106", TEXT(TRIM(S794),"00000")="89102", TEXT(TRIM(S794),"00000")="89107", TEXT(TRIM(S794),"00000")="89108"), "Urban Core",
  OR(TEXT(TRIM(S794),"00000")="89110", TEXT(TRIM(S794),"00000")="89115", TEXT(TRIM(S794),"00000")="89121", TEXT(TRIM(S794),"00000")="89122", TEXT(TRIM(S794),"00000")="89142", TEXT(TRIM(S794),"00000")="89156"), "East Valley",
  OR(TEXT(TRIM(S794),"00000")="89030", TEXT(TRIM(S794),"00000")="89031", TEXT(TRIM(S794),"00000")="89032", TEXT(TRIM(S794),"00000")="89086", TEXT(TRIM(S794),"00000")="89084", TEXT(TRIM(S794),"00000")="89081"), "North LV",
  OR(TEXT(TRIM(S794),"00000")="89109", TEXT(TRIM(S794),"00000")="89103", TEXT(TRIM(S794),"00000")="89119", TEXT(TRIM(S794),"00000")="89123", TEXT(TRIM(S794),"00000")="89169", TEXT(TRIM(S794),"00000")="89118"), "South/Strip",
  OR(TEXT(TRIM(S794),"00000")="89074", TEXT(TRIM(S794),"00000")="89014", TEXT(TRIM(S794),"00000")="89015", TEXT(TRIM(S794),"00000")="89011", TEXT(TRIM(S794),"00000")="89012"), "Suburban SE",
  OR(TEXT(TRIM(S794),"00000")="89117", TEXT(TRIM(S794),"00000")="89128", TEXT(TRIM(S794),"00000")="89135", TEXT(TRIM(S794),"00000")="89144", TEXT(TRIM(S794),"00000")="89145", TEXT(TRIM(S794),"00000")="89147"), "West Valley",
  TRUE, "Other"
)</f>
        <v>East Valley</v>
      </c>
      <c r="U794" t="s">
        <v>3298</v>
      </c>
      <c r="V794" t="str">
        <f t="shared" si="51"/>
        <v>Outdoors/Public</v>
      </c>
    </row>
    <row r="795" spans="1:22">
      <c r="A795" t="s">
        <v>1592</v>
      </c>
      <c r="B795" t="s">
        <v>1593</v>
      </c>
      <c r="C795" s="1">
        <v>44806</v>
      </c>
      <c r="D795" s="4">
        <v>109.04</v>
      </c>
      <c r="E795">
        <v>52</v>
      </c>
      <c r="F795" t="str">
        <f t="shared" si="48"/>
        <v>50's</v>
      </c>
      <c r="G795" t="str" cm="1">
        <f t="array" ref="G795">_xlfn.IFS(
  F795="10's", "Child (5–12)",
  OR(F795="20's", F795="30's"), "Young Adult (20–39)",
  OR(F795="40's", F795="50's"), "Adult (40–59)",
  OR(F795="60's", F795="70's", F795="80's", F795="90's"), "Senior (60+)",
  TRUE, "Unknown"
)</f>
        <v>Adult (40–59)</v>
      </c>
      <c r="H795" t="s">
        <v>841</v>
      </c>
      <c r="I795" t="s">
        <v>172</v>
      </c>
      <c r="J795" t="str">
        <f t="shared" si="49"/>
        <v>Methamphetamine-related</v>
      </c>
      <c r="K795" t="s">
        <v>54</v>
      </c>
      <c r="L795" t="s">
        <v>250</v>
      </c>
      <c r="N795" t="s">
        <v>5095</v>
      </c>
      <c r="O795" t="str" cm="1">
        <f t="array" ref="O795">_xlfn.IFS(
  TEXT(TRIM(N795),"00000")="NULL", "Missing/Unknown",
  OR(TEXT(TRIM(N795),"00000")="89101", TEXT(TRIM(N795),"00000")="89104", TEXT(TRIM(N795),"00000")="89106", TEXT(TRIM(N795),"00000")="89102", TEXT(TRIM(N795),"00000")="89107", TEXT(TRIM(N795),"00000")="89108"), "Urban Core",
  OR(TEXT(TRIM(N795),"00000")="89110", TEXT(TRIM(N795),"00000")="89115", TEXT(TRIM(N795),"00000")="89121", TEXT(TRIM(N795),"00000")="89122", TEXT(TRIM(N795),"00000")="89142", TEXT(TRIM(N795),"00000")="89156"), "East Valley",
  OR(TEXT(TRIM(N795),"00000")="89030", TEXT(TRIM(N795),"00000")="89031", TEXT(TRIM(N795),"00000")="89032", TEXT(TRIM(N795),"00000")="89086", TEXT(TRIM(N795),"00000")="89084", TEXT(TRIM(N795),"00000")="89081"), "North LV",
  OR(TEXT(TRIM(N795),"00000")="89109", TEXT(TRIM(N795),"00000")="89103", TEXT(TRIM(N795),"00000")="89119", TEXT(TRIM(N795),"00000")="89123", TEXT(TRIM(N795),"00000")="89169", TEXT(TRIM(N795),"00000")="89118"), "South/Strip",
  OR(TEXT(TRIM(N795),"00000")="89074", TEXT(TRIM(N795),"00000")="89014", TEXT(TRIM(N795),"00000")="89015", TEXT(TRIM(N795),"00000")="89011", TEXT(TRIM(N795),"00000")="89012"), "Suburban SE",
  OR(TEXT(TRIM(N795),"00000")="89117", TEXT(TRIM(N795),"00000")="89128", TEXT(TRIM(N795),"00000")="89135", TEXT(TRIM(N795),"00000")="89144", TEXT(TRIM(N795),"00000")="89145", TEXT(TRIM(N795),"00000")="89147"), "West Valley",
  TRUE, "Other"
)</f>
        <v>Missing/Unknown</v>
      </c>
      <c r="P795" t="s">
        <v>3298</v>
      </c>
      <c r="Q795" t="str">
        <f t="shared" si="50"/>
        <v>Outdoors/Public</v>
      </c>
      <c r="S795" t="s">
        <v>5095</v>
      </c>
      <c r="T795" t="str" cm="1">
        <f t="array" ref="T795">_xlfn.IFS(
  TEXT(TRIM(S795),"00000")="NULL", "Missing/Unknown",
  OR(TEXT(TRIM(S795),"00000")="89101", TEXT(TRIM(S795),"00000")="89104", TEXT(TRIM(S795),"00000")="89106", TEXT(TRIM(S795),"00000")="89102", TEXT(TRIM(S795),"00000")="89107", TEXT(TRIM(S795),"00000")="89108"), "Urban Core",
  OR(TEXT(TRIM(S795),"00000")="89110", TEXT(TRIM(S795),"00000")="89115", TEXT(TRIM(S795),"00000")="89121", TEXT(TRIM(S795),"00000")="89122", TEXT(TRIM(S795),"00000")="89142", TEXT(TRIM(S795),"00000")="89156"), "East Valley",
  OR(TEXT(TRIM(S795),"00000")="89030", TEXT(TRIM(S795),"00000")="89031", TEXT(TRIM(S795),"00000")="89032", TEXT(TRIM(S795),"00000")="89086", TEXT(TRIM(S795),"00000")="89084", TEXT(TRIM(S795),"00000")="89081"), "North LV",
  OR(TEXT(TRIM(S795),"00000")="89109", TEXT(TRIM(S795),"00000")="89103", TEXT(TRIM(S795),"00000")="89119", TEXT(TRIM(S795),"00000")="89123", TEXT(TRIM(S795),"00000")="89169", TEXT(TRIM(S795),"00000")="89118"), "South/Strip",
  OR(TEXT(TRIM(S795),"00000")="89074", TEXT(TRIM(S795),"00000")="89014", TEXT(TRIM(S795),"00000")="89015", TEXT(TRIM(S795),"00000")="89011", TEXT(TRIM(S795),"00000")="89012"), "Suburban SE",
  OR(TEXT(TRIM(S795),"00000")="89117", TEXT(TRIM(S795),"00000")="89128", TEXT(TRIM(S795),"00000")="89135", TEXT(TRIM(S795),"00000")="89144", TEXT(TRIM(S795),"00000")="89145", TEXT(TRIM(S795),"00000")="89147"), "West Valley",
  TRUE, "Other"
)</f>
        <v>Missing/Unknown</v>
      </c>
      <c r="U795" t="s">
        <v>3298</v>
      </c>
      <c r="V795" t="str">
        <f t="shared" si="51"/>
        <v>Outdoors/Public</v>
      </c>
    </row>
    <row r="796" spans="1:22">
      <c r="A796" t="s">
        <v>1573</v>
      </c>
      <c r="B796" t="s">
        <v>1574</v>
      </c>
      <c r="C796" s="1">
        <v>44805</v>
      </c>
      <c r="D796" s="4">
        <v>111.02</v>
      </c>
      <c r="E796">
        <v>55</v>
      </c>
      <c r="F796" t="str">
        <f t="shared" si="48"/>
        <v>50's</v>
      </c>
      <c r="G796" t="str" cm="1">
        <f t="array" ref="G796">_xlfn.IFS(
  F796="10's", "Child (5–12)",
  OR(F796="20's", F796="30's"), "Young Adult (20–39)",
  OR(F796="40's", F796="50's"), "Adult (40–59)",
  OR(F796="60's", F796="70's", F796="80's", F796="90's"), "Senior (60+)",
  TRUE, "Unknown"
)</f>
        <v>Adult (40–59)</v>
      </c>
      <c r="H796" t="s">
        <v>27</v>
      </c>
      <c r="I796" t="s">
        <v>54</v>
      </c>
      <c r="J796" t="str">
        <f t="shared" si="49"/>
        <v>Environmental Heat</v>
      </c>
      <c r="K796" t="s">
        <v>1124</v>
      </c>
      <c r="L796" t="s">
        <v>250</v>
      </c>
      <c r="M796" t="s">
        <v>4557</v>
      </c>
      <c r="N796" t="s">
        <v>5101</v>
      </c>
      <c r="O796" t="str" cm="1">
        <f t="array" ref="O796">_xlfn.IFS(
  TEXT(TRIM(N796),"00000")="NULL", "Missing/Unknown",
  OR(TEXT(TRIM(N796),"00000")="89101", TEXT(TRIM(N796),"00000")="89104", TEXT(TRIM(N796),"00000")="89106", TEXT(TRIM(N796),"00000")="89102", TEXT(TRIM(N796),"00000")="89107", TEXT(TRIM(N796),"00000")="89108"), "Urban Core",
  OR(TEXT(TRIM(N796),"00000")="89110", TEXT(TRIM(N796),"00000")="89115", TEXT(TRIM(N796),"00000")="89121", TEXT(TRIM(N796),"00000")="89122", TEXT(TRIM(N796),"00000")="89142", TEXT(TRIM(N796),"00000")="89156"), "East Valley",
  OR(TEXT(TRIM(N796),"00000")="89030", TEXT(TRIM(N796),"00000")="89031", TEXT(TRIM(N796),"00000")="89032", TEXT(TRIM(N796),"00000")="89086", TEXT(TRIM(N796),"00000")="89084", TEXT(TRIM(N796),"00000")="89081"), "North LV",
  OR(TEXT(TRIM(N796),"00000")="89109", TEXT(TRIM(N796),"00000")="89103", TEXT(TRIM(N796),"00000")="89119", TEXT(TRIM(N796),"00000")="89123", TEXT(TRIM(N796),"00000")="89169", TEXT(TRIM(N796),"00000")="89118"), "South/Strip",
  OR(TEXT(TRIM(N796),"00000")="89074", TEXT(TRIM(N796),"00000")="89014", TEXT(TRIM(N796),"00000")="89015", TEXT(TRIM(N796),"00000")="89011", TEXT(TRIM(N796),"00000")="89012"), "Suburban SE",
  OR(TEXT(TRIM(N796),"00000")="89117", TEXT(TRIM(N796),"00000")="89128", TEXT(TRIM(N796),"00000")="89135", TEXT(TRIM(N796),"00000")="89144", TEXT(TRIM(N796),"00000")="89145", TEXT(TRIM(N796),"00000")="89147"), "West Valley",
  TRUE, "Other"
)</f>
        <v>Urban Core</v>
      </c>
      <c r="P796" t="s">
        <v>3298</v>
      </c>
      <c r="Q796" t="str">
        <f t="shared" si="50"/>
        <v>Outdoors/Public</v>
      </c>
      <c r="R796" t="s">
        <v>4557</v>
      </c>
      <c r="S796" t="s">
        <v>5101</v>
      </c>
      <c r="T796" t="str" cm="1">
        <f t="array" ref="T796">_xlfn.IFS(
  TEXT(TRIM(S796),"00000")="NULL", "Missing/Unknown",
  OR(TEXT(TRIM(S796),"00000")="89101", TEXT(TRIM(S796),"00000")="89104", TEXT(TRIM(S796),"00000")="89106", TEXT(TRIM(S796),"00000")="89102", TEXT(TRIM(S796),"00000")="89107", TEXT(TRIM(S796),"00000")="89108"), "Urban Core",
  OR(TEXT(TRIM(S796),"00000")="89110", TEXT(TRIM(S796),"00000")="89115", TEXT(TRIM(S796),"00000")="89121", TEXT(TRIM(S796),"00000")="89122", TEXT(TRIM(S796),"00000")="89142", TEXT(TRIM(S796),"00000")="89156"), "East Valley",
  OR(TEXT(TRIM(S796),"00000")="89030", TEXT(TRIM(S796),"00000")="89031", TEXT(TRIM(S796),"00000")="89032", TEXT(TRIM(S796),"00000")="89086", TEXT(TRIM(S796),"00000")="89084", TEXT(TRIM(S796),"00000")="89081"), "North LV",
  OR(TEXT(TRIM(S796),"00000")="89109", TEXT(TRIM(S796),"00000")="89103", TEXT(TRIM(S796),"00000")="89119", TEXT(TRIM(S796),"00000")="89123", TEXT(TRIM(S796),"00000")="89169", TEXT(TRIM(S796),"00000")="89118"), "South/Strip",
  OR(TEXT(TRIM(S796),"00000")="89074", TEXT(TRIM(S796),"00000")="89014", TEXT(TRIM(S796),"00000")="89015", TEXT(TRIM(S796),"00000")="89011", TEXT(TRIM(S796),"00000")="89012"), "Suburban SE",
  OR(TEXT(TRIM(S796),"00000")="89117", TEXT(TRIM(S796),"00000")="89128", TEXT(TRIM(S796),"00000")="89135", TEXT(TRIM(S796),"00000")="89144", TEXT(TRIM(S796),"00000")="89145", TEXT(TRIM(S796),"00000")="89147"), "West Valley",
  TRUE, "Other"
)</f>
        <v>Urban Core</v>
      </c>
      <c r="U796" t="s">
        <v>3298</v>
      </c>
      <c r="V796" t="str">
        <f t="shared" si="51"/>
        <v>Outdoors/Public</v>
      </c>
    </row>
    <row r="797" spans="1:22">
      <c r="A797" t="s">
        <v>1570</v>
      </c>
      <c r="B797" t="s">
        <v>1571</v>
      </c>
      <c r="C797" s="1">
        <v>44805</v>
      </c>
      <c r="D797" s="4">
        <v>111.02</v>
      </c>
      <c r="E797">
        <v>66</v>
      </c>
      <c r="F797" t="str">
        <f t="shared" si="48"/>
        <v>60's</v>
      </c>
      <c r="G797" t="str" cm="1">
        <f t="array" ref="G797">_xlfn.IFS(
  F797="10's", "Child (5–12)",
  OR(F797="20's", F797="30's"), "Young Adult (20–39)",
  OR(F797="40's", F797="50's"), "Adult (40–59)",
  OR(F797="60's", F797="70's", F797="80's", F797="90's"), "Senior (60+)",
  TRUE, "Unknown"
)</f>
        <v>Senior (60+)</v>
      </c>
      <c r="H797" t="s">
        <v>778</v>
      </c>
      <c r="I797" t="s">
        <v>4012</v>
      </c>
      <c r="J797" t="str">
        <f t="shared" si="49"/>
        <v>Cardiovascular Disease</v>
      </c>
      <c r="K797" t="s">
        <v>54</v>
      </c>
      <c r="L797" t="s">
        <v>250</v>
      </c>
      <c r="M797" t="s">
        <v>4788</v>
      </c>
      <c r="N797" t="s">
        <v>5127</v>
      </c>
      <c r="O797" t="str" cm="1">
        <f t="array" ref="O797">_xlfn.IFS(
  TEXT(TRIM(N797),"00000")="NULL", "Missing/Unknown",
  OR(TEXT(TRIM(N797),"00000")="89101", TEXT(TRIM(N797),"00000")="89104", TEXT(TRIM(N797),"00000")="89106", TEXT(TRIM(N797),"00000")="89102", TEXT(TRIM(N797),"00000")="89107", TEXT(TRIM(N797),"00000")="89108"), "Urban Core",
  OR(TEXT(TRIM(N797),"00000")="89110", TEXT(TRIM(N797),"00000")="89115", TEXT(TRIM(N797),"00000")="89121", TEXT(TRIM(N797),"00000")="89122", TEXT(TRIM(N797),"00000")="89142", TEXT(TRIM(N797),"00000")="89156"), "East Valley",
  OR(TEXT(TRIM(N797),"00000")="89030", TEXT(TRIM(N797),"00000")="89031", TEXT(TRIM(N797),"00000")="89032", TEXT(TRIM(N797),"00000")="89086", TEXT(TRIM(N797),"00000")="89084", TEXT(TRIM(N797),"00000")="89081"), "North LV",
  OR(TEXT(TRIM(N797),"00000")="89109", TEXT(TRIM(N797),"00000")="89103", TEXT(TRIM(N797),"00000")="89119", TEXT(TRIM(N797),"00000")="89123", TEXT(TRIM(N797),"00000")="89169", TEXT(TRIM(N797),"00000")="89118"), "South/Strip",
  OR(TEXT(TRIM(N797),"00000")="89074", TEXT(TRIM(N797),"00000")="89014", TEXT(TRIM(N797),"00000")="89015", TEXT(TRIM(N797),"00000")="89011", TEXT(TRIM(N797),"00000")="89012"), "Suburban SE",
  OR(TEXT(TRIM(N797),"00000")="89117", TEXT(TRIM(N797),"00000")="89128", TEXT(TRIM(N797),"00000")="89135", TEXT(TRIM(N797),"00000")="89144", TEXT(TRIM(N797),"00000")="89145", TEXT(TRIM(N797),"00000")="89147"), "West Valley",
  TRUE, "Other"
)</f>
        <v>Other</v>
      </c>
      <c r="P797" t="s">
        <v>3298</v>
      </c>
      <c r="Q797" t="str">
        <f t="shared" si="50"/>
        <v>Outdoors/Public</v>
      </c>
      <c r="R797" t="s">
        <v>4788</v>
      </c>
      <c r="S797" t="s">
        <v>5127</v>
      </c>
      <c r="T797" t="str" cm="1">
        <f t="array" ref="T797">_xlfn.IFS(
  TEXT(TRIM(S797),"00000")="NULL", "Missing/Unknown",
  OR(TEXT(TRIM(S797),"00000")="89101", TEXT(TRIM(S797),"00000")="89104", TEXT(TRIM(S797),"00000")="89106", TEXT(TRIM(S797),"00000")="89102", TEXT(TRIM(S797),"00000")="89107", TEXT(TRIM(S797),"00000")="89108"), "Urban Core",
  OR(TEXT(TRIM(S797),"00000")="89110", TEXT(TRIM(S797),"00000")="89115", TEXT(TRIM(S797),"00000")="89121", TEXT(TRIM(S797),"00000")="89122", TEXT(TRIM(S797),"00000")="89142", TEXT(TRIM(S797),"00000")="89156"), "East Valley",
  OR(TEXT(TRIM(S797),"00000")="89030", TEXT(TRIM(S797),"00000")="89031", TEXT(TRIM(S797),"00000")="89032", TEXT(TRIM(S797),"00000")="89086", TEXT(TRIM(S797),"00000")="89084", TEXT(TRIM(S797),"00000")="89081"), "North LV",
  OR(TEXT(TRIM(S797),"00000")="89109", TEXT(TRIM(S797),"00000")="89103", TEXT(TRIM(S797),"00000")="89119", TEXT(TRIM(S797),"00000")="89123", TEXT(TRIM(S797),"00000")="89169", TEXT(TRIM(S797),"00000")="89118"), "South/Strip",
  OR(TEXT(TRIM(S797),"00000")="89074", TEXT(TRIM(S797),"00000")="89014", TEXT(TRIM(S797),"00000")="89015", TEXT(TRIM(S797),"00000")="89011", TEXT(TRIM(S797),"00000")="89012"), "Suburban SE",
  OR(TEXT(TRIM(S797),"00000")="89117", TEXT(TRIM(S797),"00000")="89128", TEXT(TRIM(S797),"00000")="89135", TEXT(TRIM(S797),"00000")="89144", TEXT(TRIM(S797),"00000")="89145", TEXT(TRIM(S797),"00000")="89147"), "West Valley",
  TRUE, "Other"
)</f>
        <v>Other</v>
      </c>
      <c r="U797" t="s">
        <v>3298</v>
      </c>
      <c r="V797" t="str">
        <f t="shared" si="51"/>
        <v>Outdoors/Public</v>
      </c>
    </row>
    <row r="798" spans="1:22">
      <c r="A798" t="s">
        <v>1576</v>
      </c>
      <c r="B798" t="s">
        <v>1577</v>
      </c>
      <c r="C798" s="1">
        <v>44805</v>
      </c>
      <c r="D798" s="4">
        <v>111.02</v>
      </c>
      <c r="E798">
        <v>73</v>
      </c>
      <c r="F798" t="str">
        <f t="shared" si="48"/>
        <v>70's</v>
      </c>
      <c r="G798" t="str" cm="1">
        <f t="array" ref="G798">_xlfn.IFS(
  F798="10's", "Child (5–12)",
  OR(F798="20's", F798="30's"), "Young Adult (20–39)",
  OR(F798="40's", F798="50's"), "Adult (40–59)",
  OR(F798="60's", F798="70's", F798="80's", F798="90's"), "Senior (60+)",
  TRUE, "Unknown"
)</f>
        <v>Senior (60+)</v>
      </c>
      <c r="H798" t="s">
        <v>841</v>
      </c>
      <c r="I798" t="s">
        <v>54</v>
      </c>
      <c r="J798" t="str">
        <f t="shared" si="49"/>
        <v>Environmental Heat</v>
      </c>
      <c r="K798" t="s">
        <v>4240</v>
      </c>
      <c r="L798" t="s">
        <v>1071</v>
      </c>
      <c r="M798" t="s">
        <v>4429</v>
      </c>
      <c r="N798" t="s">
        <v>5158</v>
      </c>
      <c r="O798" t="str" cm="1">
        <f t="array" ref="O798">_xlfn.IFS(
  TEXT(TRIM(N798),"00000")="NULL", "Missing/Unknown",
  OR(TEXT(TRIM(N798),"00000")="89101", TEXT(TRIM(N798),"00000")="89104", TEXT(TRIM(N798),"00000")="89106", TEXT(TRIM(N798),"00000")="89102", TEXT(TRIM(N798),"00000")="89107", TEXT(TRIM(N798),"00000")="89108"), "Urban Core",
  OR(TEXT(TRIM(N798),"00000")="89110", TEXT(TRIM(N798),"00000")="89115", TEXT(TRIM(N798),"00000")="89121", TEXT(TRIM(N798),"00000")="89122", TEXT(TRIM(N798),"00000")="89142", TEXT(TRIM(N798),"00000")="89156"), "East Valley",
  OR(TEXT(TRIM(N798),"00000")="89030", TEXT(TRIM(N798),"00000")="89031", TEXT(TRIM(N798),"00000")="89032", TEXT(TRIM(N798),"00000")="89086", TEXT(TRIM(N798),"00000")="89084", TEXT(TRIM(N798),"00000")="89081"), "North LV",
  OR(TEXT(TRIM(N798),"00000")="89109", TEXT(TRIM(N798),"00000")="89103", TEXT(TRIM(N798),"00000")="89119", TEXT(TRIM(N798),"00000")="89123", TEXT(TRIM(N798),"00000")="89169", TEXT(TRIM(N798),"00000")="89118"), "South/Strip",
  OR(TEXT(TRIM(N798),"00000")="89074", TEXT(TRIM(N798),"00000")="89014", TEXT(TRIM(N798),"00000")="89015", TEXT(TRIM(N798),"00000")="89011", TEXT(TRIM(N798),"00000")="89012"), "Suburban SE",
  OR(TEXT(TRIM(N798),"00000")="89117", TEXT(TRIM(N798),"00000")="89128", TEXT(TRIM(N798),"00000")="89135", TEXT(TRIM(N798),"00000")="89144", TEXT(TRIM(N798),"00000")="89145", TEXT(TRIM(N798),"00000")="89147"), "West Valley",
  TRUE, "Other"
)</f>
        <v>Other</v>
      </c>
      <c r="P798" t="s">
        <v>38</v>
      </c>
      <c r="Q798" t="str">
        <f t="shared" si="50"/>
        <v>Home/Residence</v>
      </c>
      <c r="R798" t="s">
        <v>4429</v>
      </c>
      <c r="S798" t="s">
        <v>5158</v>
      </c>
      <c r="T798" t="str" cm="1">
        <f t="array" ref="T798">_xlfn.IFS(
  TEXT(TRIM(S798),"00000")="NULL", "Missing/Unknown",
  OR(TEXT(TRIM(S798),"00000")="89101", TEXT(TRIM(S798),"00000")="89104", TEXT(TRIM(S798),"00000")="89106", TEXT(TRIM(S798),"00000")="89102", TEXT(TRIM(S798),"00000")="89107", TEXT(TRIM(S798),"00000")="89108"), "Urban Core",
  OR(TEXT(TRIM(S798),"00000")="89110", TEXT(TRIM(S798),"00000")="89115", TEXT(TRIM(S798),"00000")="89121", TEXT(TRIM(S798),"00000")="89122", TEXT(TRIM(S798),"00000")="89142", TEXT(TRIM(S798),"00000")="89156"), "East Valley",
  OR(TEXT(TRIM(S798),"00000")="89030", TEXT(TRIM(S798),"00000")="89031", TEXT(TRIM(S798),"00000")="89032", TEXT(TRIM(S798),"00000")="89086", TEXT(TRIM(S798),"00000")="89084", TEXT(TRIM(S798),"00000")="89081"), "North LV",
  OR(TEXT(TRIM(S798),"00000")="89109", TEXT(TRIM(S798),"00000")="89103", TEXT(TRIM(S798),"00000")="89119", TEXT(TRIM(S798),"00000")="89123", TEXT(TRIM(S798),"00000")="89169", TEXT(TRIM(S798),"00000")="89118"), "South/Strip",
  OR(TEXT(TRIM(S798),"00000")="89074", TEXT(TRIM(S798),"00000")="89014", TEXT(TRIM(S798),"00000")="89015", TEXT(TRIM(S798),"00000")="89011", TEXT(TRIM(S798),"00000")="89012"), "Suburban SE",
  OR(TEXT(TRIM(S798),"00000")="89117", TEXT(TRIM(S798),"00000")="89128", TEXT(TRIM(S798),"00000")="89135", TEXT(TRIM(S798),"00000")="89144", TEXT(TRIM(S798),"00000")="89145", TEXT(TRIM(S798),"00000")="89147"), "West Valley",
  TRUE, "Other"
)</f>
        <v>Other</v>
      </c>
      <c r="U798" t="s">
        <v>38</v>
      </c>
      <c r="V798" t="str">
        <f t="shared" si="51"/>
        <v>Home/Residence</v>
      </c>
    </row>
    <row r="799" spans="1:22">
      <c r="A799" t="s">
        <v>1637</v>
      </c>
      <c r="B799" t="s">
        <v>1638</v>
      </c>
      <c r="C799" s="1">
        <v>44805</v>
      </c>
      <c r="D799" s="4">
        <v>111.02</v>
      </c>
      <c r="E799">
        <v>36</v>
      </c>
      <c r="F799" t="str">
        <f t="shared" si="48"/>
        <v>30's</v>
      </c>
      <c r="G799" t="str" cm="1">
        <f t="array" ref="G799">_xlfn.IFS(
  F799="10's", "Child (5–12)",
  OR(F799="20's", F799="30's"), "Young Adult (20–39)",
  OR(F799="40's", F799="50's"), "Adult (40–59)",
  OR(F799="60's", F799="70's", F799="80's", F799="90's"), "Senior (60+)",
  TRUE, "Unknown"
)</f>
        <v>Young Adult (20–39)</v>
      </c>
      <c r="H799" t="s">
        <v>841</v>
      </c>
      <c r="I799" t="s">
        <v>4099</v>
      </c>
      <c r="J799" t="str">
        <f t="shared" si="49"/>
        <v>Methamphetamine-related</v>
      </c>
      <c r="K799" t="s">
        <v>54</v>
      </c>
      <c r="L799" t="s">
        <v>250</v>
      </c>
      <c r="N799" t="s">
        <v>5095</v>
      </c>
      <c r="O799" t="str" cm="1">
        <f t="array" ref="O799">_xlfn.IFS(
  TEXT(TRIM(N799),"00000")="NULL", "Missing/Unknown",
  OR(TEXT(TRIM(N799),"00000")="89101", TEXT(TRIM(N799),"00000")="89104", TEXT(TRIM(N799),"00000")="89106", TEXT(TRIM(N799),"00000")="89102", TEXT(TRIM(N799),"00000")="89107", TEXT(TRIM(N799),"00000")="89108"), "Urban Core",
  OR(TEXT(TRIM(N799),"00000")="89110", TEXT(TRIM(N799),"00000")="89115", TEXT(TRIM(N799),"00000")="89121", TEXT(TRIM(N799),"00000")="89122", TEXT(TRIM(N799),"00000")="89142", TEXT(TRIM(N799),"00000")="89156"), "East Valley",
  OR(TEXT(TRIM(N799),"00000")="89030", TEXT(TRIM(N799),"00000")="89031", TEXT(TRIM(N799),"00000")="89032", TEXT(TRIM(N799),"00000")="89086", TEXT(TRIM(N799),"00000")="89084", TEXT(TRIM(N799),"00000")="89081"), "North LV",
  OR(TEXT(TRIM(N799),"00000")="89109", TEXT(TRIM(N799),"00000")="89103", TEXT(TRIM(N799),"00000")="89119", TEXT(TRIM(N799),"00000")="89123", TEXT(TRIM(N799),"00000")="89169", TEXT(TRIM(N799),"00000")="89118"), "South/Strip",
  OR(TEXT(TRIM(N799),"00000")="89074", TEXT(TRIM(N799),"00000")="89014", TEXT(TRIM(N799),"00000")="89015", TEXT(TRIM(N799),"00000")="89011", TEXT(TRIM(N799),"00000")="89012"), "Suburban SE",
  OR(TEXT(TRIM(N799),"00000")="89117", TEXT(TRIM(N799),"00000")="89128", TEXT(TRIM(N799),"00000")="89135", TEXT(TRIM(N799),"00000")="89144", TEXT(TRIM(N799),"00000")="89145", TEXT(TRIM(N799),"00000")="89147"), "West Valley",
  TRUE, "Other"
)</f>
        <v>Missing/Unknown</v>
      </c>
      <c r="P799" t="s">
        <v>3298</v>
      </c>
      <c r="Q799" t="str">
        <f t="shared" si="50"/>
        <v>Outdoors/Public</v>
      </c>
      <c r="R799" t="s">
        <v>4713</v>
      </c>
      <c r="S799" t="s">
        <v>5125</v>
      </c>
      <c r="T799" t="str" cm="1">
        <f t="array" ref="T799">_xlfn.IFS(
  TEXT(TRIM(S799),"00000")="NULL", "Missing/Unknown",
  OR(TEXT(TRIM(S799),"00000")="89101", TEXT(TRIM(S799),"00000")="89104", TEXT(TRIM(S799),"00000")="89106", TEXT(TRIM(S799),"00000")="89102", TEXT(TRIM(S799),"00000")="89107", TEXT(TRIM(S799),"00000")="89108"), "Urban Core",
  OR(TEXT(TRIM(S799),"00000")="89110", TEXT(TRIM(S799),"00000")="89115", TEXT(TRIM(S799),"00000")="89121", TEXT(TRIM(S799),"00000")="89122", TEXT(TRIM(S799),"00000")="89142", TEXT(TRIM(S799),"00000")="89156"), "East Valley",
  OR(TEXT(TRIM(S799),"00000")="89030", TEXT(TRIM(S799),"00000")="89031", TEXT(TRIM(S799),"00000")="89032", TEXT(TRIM(S799),"00000")="89086", TEXT(TRIM(S799),"00000")="89084", TEXT(TRIM(S799),"00000")="89081"), "North LV",
  OR(TEXT(TRIM(S799),"00000")="89109", TEXT(TRIM(S799),"00000")="89103", TEXT(TRIM(S799),"00000")="89119", TEXT(TRIM(S799),"00000")="89123", TEXT(TRIM(S799),"00000")="89169", TEXT(TRIM(S799),"00000")="89118"), "South/Strip",
  OR(TEXT(TRIM(S799),"00000")="89074", TEXT(TRIM(S799),"00000")="89014", TEXT(TRIM(S799),"00000")="89015", TEXT(TRIM(S799),"00000")="89011", TEXT(TRIM(S799),"00000")="89012"), "Suburban SE",
  OR(TEXT(TRIM(S799),"00000")="89117", TEXT(TRIM(S799),"00000")="89128", TEXT(TRIM(S799),"00000")="89135", TEXT(TRIM(S799),"00000")="89144", TEXT(TRIM(S799),"00000")="89145", TEXT(TRIM(S799),"00000")="89147"), "West Valley",
  TRUE, "Other"
)</f>
        <v>South/Strip</v>
      </c>
      <c r="U799" t="s">
        <v>228</v>
      </c>
      <c r="V799" t="str">
        <f t="shared" si="51"/>
        <v>Medical Facility</v>
      </c>
    </row>
    <row r="800" spans="1:22">
      <c r="A800" t="s">
        <v>1567</v>
      </c>
      <c r="B800" t="s">
        <v>1568</v>
      </c>
      <c r="C800" s="1">
        <v>44803</v>
      </c>
      <c r="D800" s="4">
        <v>109.04</v>
      </c>
      <c r="E800">
        <v>41</v>
      </c>
      <c r="F800" t="str">
        <f t="shared" si="48"/>
        <v>40's</v>
      </c>
      <c r="G800" t="str" cm="1">
        <f t="array" ref="G800">_xlfn.IFS(
  F800="10's", "Child (5–12)",
  OR(F800="20's", F800="30's"), "Young Adult (20–39)",
  OR(F800="40's", F800="50's"), "Adult (40–59)",
  OR(F800="60's", F800="70's", F800="80's", F800="90's"), "Senior (60+)",
  TRUE, "Unknown"
)</f>
        <v>Adult (40–59)</v>
      </c>
      <c r="H800" t="s">
        <v>841</v>
      </c>
      <c r="I800" t="s">
        <v>172</v>
      </c>
      <c r="J800" t="str">
        <f t="shared" si="49"/>
        <v>Methamphetamine-related</v>
      </c>
      <c r="K800" t="s">
        <v>48</v>
      </c>
      <c r="L800" t="s">
        <v>250</v>
      </c>
      <c r="M800" t="s">
        <v>4789</v>
      </c>
      <c r="N800" t="s">
        <v>5119</v>
      </c>
      <c r="O800" t="str" cm="1">
        <f t="array" ref="O800">_xlfn.IFS(
  TEXT(TRIM(N800),"00000")="NULL", "Missing/Unknown",
  OR(TEXT(TRIM(N800),"00000")="89101", TEXT(TRIM(N800),"00000")="89104", TEXT(TRIM(N800),"00000")="89106", TEXT(TRIM(N800),"00000")="89102", TEXT(TRIM(N800),"00000")="89107", TEXT(TRIM(N800),"00000")="89108"), "Urban Core",
  OR(TEXT(TRIM(N800),"00000")="89110", TEXT(TRIM(N800),"00000")="89115", TEXT(TRIM(N800),"00000")="89121", TEXT(TRIM(N800),"00000")="89122", TEXT(TRIM(N800),"00000")="89142", TEXT(TRIM(N800),"00000")="89156"), "East Valley",
  OR(TEXT(TRIM(N800),"00000")="89030", TEXT(TRIM(N800),"00000")="89031", TEXT(TRIM(N800),"00000")="89032", TEXT(TRIM(N800),"00000")="89086", TEXT(TRIM(N800),"00000")="89084", TEXT(TRIM(N800),"00000")="89081"), "North LV",
  OR(TEXT(TRIM(N800),"00000")="89109", TEXT(TRIM(N800),"00000")="89103", TEXT(TRIM(N800),"00000")="89119", TEXT(TRIM(N800),"00000")="89123", TEXT(TRIM(N800),"00000")="89169", TEXT(TRIM(N800),"00000")="89118"), "South/Strip",
  OR(TEXT(TRIM(N800),"00000")="89074", TEXT(TRIM(N800),"00000")="89014", TEXT(TRIM(N800),"00000")="89015", TEXT(TRIM(N800),"00000")="89011", TEXT(TRIM(N800),"00000")="89012"), "Suburban SE",
  OR(TEXT(TRIM(N800),"00000")="89117", TEXT(TRIM(N800),"00000")="89128", TEXT(TRIM(N800),"00000")="89135", TEXT(TRIM(N800),"00000")="89144", TEXT(TRIM(N800),"00000")="89145", TEXT(TRIM(N800),"00000")="89147"), "West Valley",
  TRUE, "Other"
)</f>
        <v>Urban Core</v>
      </c>
      <c r="P800" t="s">
        <v>3298</v>
      </c>
      <c r="Q800" t="str">
        <f t="shared" si="50"/>
        <v>Outdoors/Public</v>
      </c>
      <c r="R800" t="s">
        <v>4789</v>
      </c>
      <c r="S800" t="s">
        <v>5119</v>
      </c>
      <c r="T800" t="str" cm="1">
        <f t="array" ref="T800">_xlfn.IFS(
  TEXT(TRIM(S800),"00000")="NULL", "Missing/Unknown",
  OR(TEXT(TRIM(S800),"00000")="89101", TEXT(TRIM(S800),"00000")="89104", TEXT(TRIM(S800),"00000")="89106", TEXT(TRIM(S800),"00000")="89102", TEXT(TRIM(S800),"00000")="89107", TEXT(TRIM(S800),"00000")="89108"), "Urban Core",
  OR(TEXT(TRIM(S800),"00000")="89110", TEXT(TRIM(S800),"00000")="89115", TEXT(TRIM(S800),"00000")="89121", TEXT(TRIM(S800),"00000")="89122", TEXT(TRIM(S800),"00000")="89142", TEXT(TRIM(S800),"00000")="89156"), "East Valley",
  OR(TEXT(TRIM(S800),"00000")="89030", TEXT(TRIM(S800),"00000")="89031", TEXT(TRIM(S800),"00000")="89032", TEXT(TRIM(S800),"00000")="89086", TEXT(TRIM(S800),"00000")="89084", TEXT(TRIM(S800),"00000")="89081"), "North LV",
  OR(TEXT(TRIM(S800),"00000")="89109", TEXT(TRIM(S800),"00000")="89103", TEXT(TRIM(S800),"00000")="89119", TEXT(TRIM(S800),"00000")="89123", TEXT(TRIM(S800),"00000")="89169", TEXT(TRIM(S800),"00000")="89118"), "South/Strip",
  OR(TEXT(TRIM(S800),"00000")="89074", TEXT(TRIM(S800),"00000")="89014", TEXT(TRIM(S800),"00000")="89015", TEXT(TRIM(S800),"00000")="89011", TEXT(TRIM(S800),"00000")="89012"), "Suburban SE",
  OR(TEXT(TRIM(S800),"00000")="89117", TEXT(TRIM(S800),"00000")="89128", TEXT(TRIM(S800),"00000")="89135", TEXT(TRIM(S800),"00000")="89144", TEXT(TRIM(S800),"00000")="89145", TEXT(TRIM(S800),"00000")="89147"), "West Valley",
  TRUE, "Other"
)</f>
        <v>Urban Core</v>
      </c>
      <c r="U800" t="s">
        <v>3298</v>
      </c>
      <c r="V800" t="str">
        <f t="shared" si="51"/>
        <v>Outdoors/Public</v>
      </c>
    </row>
    <row r="801" spans="1:22">
      <c r="A801" t="s">
        <v>1563</v>
      </c>
      <c r="B801" t="s">
        <v>1564</v>
      </c>
      <c r="C801" s="1">
        <v>44800</v>
      </c>
      <c r="D801" s="4">
        <v>105.08</v>
      </c>
      <c r="E801">
        <v>53</v>
      </c>
      <c r="F801" t="str">
        <f t="shared" si="48"/>
        <v>50's</v>
      </c>
      <c r="G801" t="str" cm="1">
        <f t="array" ref="G801">_xlfn.IFS(
  F801="10's", "Child (5–12)",
  OR(F801="20's", F801="30's"), "Young Adult (20–39)",
  OR(F801="40's", F801="50's"), "Adult (40–59)",
  OR(F801="60's", F801="70's", F801="80's", F801="90's"), "Senior (60+)",
  TRUE, "Unknown"
)</f>
        <v>Adult (40–59)</v>
      </c>
      <c r="H801" t="s">
        <v>841</v>
      </c>
      <c r="I801" t="s">
        <v>172</v>
      </c>
      <c r="J801" t="str">
        <f t="shared" si="49"/>
        <v>Methamphetamine-related</v>
      </c>
      <c r="K801" t="s">
        <v>4241</v>
      </c>
      <c r="L801" t="s">
        <v>250</v>
      </c>
      <c r="M801" t="s">
        <v>4790</v>
      </c>
      <c r="N801" t="s">
        <v>5119</v>
      </c>
      <c r="O801" t="str" cm="1">
        <f t="array" ref="O801">_xlfn.IFS(
  TEXT(TRIM(N801),"00000")="NULL", "Missing/Unknown",
  OR(TEXT(TRIM(N801),"00000")="89101", TEXT(TRIM(N801),"00000")="89104", TEXT(TRIM(N801),"00000")="89106", TEXT(TRIM(N801),"00000")="89102", TEXT(TRIM(N801),"00000")="89107", TEXT(TRIM(N801),"00000")="89108"), "Urban Core",
  OR(TEXT(TRIM(N801),"00000")="89110", TEXT(TRIM(N801),"00000")="89115", TEXT(TRIM(N801),"00000")="89121", TEXT(TRIM(N801),"00000")="89122", TEXT(TRIM(N801),"00000")="89142", TEXT(TRIM(N801),"00000")="89156"), "East Valley",
  OR(TEXT(TRIM(N801),"00000")="89030", TEXT(TRIM(N801),"00000")="89031", TEXT(TRIM(N801),"00000")="89032", TEXT(TRIM(N801),"00000")="89086", TEXT(TRIM(N801),"00000")="89084", TEXT(TRIM(N801),"00000")="89081"), "North LV",
  OR(TEXT(TRIM(N801),"00000")="89109", TEXT(TRIM(N801),"00000")="89103", TEXT(TRIM(N801),"00000")="89119", TEXT(TRIM(N801),"00000")="89123", TEXT(TRIM(N801),"00000")="89169", TEXT(TRIM(N801),"00000")="89118"), "South/Strip",
  OR(TEXT(TRIM(N801),"00000")="89074", TEXT(TRIM(N801),"00000")="89014", TEXT(TRIM(N801),"00000")="89015", TEXT(TRIM(N801),"00000")="89011", TEXT(TRIM(N801),"00000")="89012"), "Suburban SE",
  OR(TEXT(TRIM(N801),"00000")="89117", TEXT(TRIM(N801),"00000")="89128", TEXT(TRIM(N801),"00000")="89135", TEXT(TRIM(N801),"00000")="89144", TEXT(TRIM(N801),"00000")="89145", TEXT(TRIM(N801),"00000")="89147"), "West Valley",
  TRUE, "Other"
)</f>
        <v>Urban Core</v>
      </c>
      <c r="P801" t="s">
        <v>3298</v>
      </c>
      <c r="Q801" t="str">
        <f t="shared" si="50"/>
        <v>Outdoors/Public</v>
      </c>
      <c r="R801" t="s">
        <v>4790</v>
      </c>
      <c r="S801" t="s">
        <v>5119</v>
      </c>
      <c r="T801" t="str" cm="1">
        <f t="array" ref="T801">_xlfn.IFS(
  TEXT(TRIM(S801),"00000")="NULL", "Missing/Unknown",
  OR(TEXT(TRIM(S801),"00000")="89101", TEXT(TRIM(S801),"00000")="89104", TEXT(TRIM(S801),"00000")="89106", TEXT(TRIM(S801),"00000")="89102", TEXT(TRIM(S801),"00000")="89107", TEXT(TRIM(S801),"00000")="89108"), "Urban Core",
  OR(TEXT(TRIM(S801),"00000")="89110", TEXT(TRIM(S801),"00000")="89115", TEXT(TRIM(S801),"00000")="89121", TEXT(TRIM(S801),"00000")="89122", TEXT(TRIM(S801),"00000")="89142", TEXT(TRIM(S801),"00000")="89156"), "East Valley",
  OR(TEXT(TRIM(S801),"00000")="89030", TEXT(TRIM(S801),"00000")="89031", TEXT(TRIM(S801),"00000")="89032", TEXT(TRIM(S801),"00000")="89086", TEXT(TRIM(S801),"00000")="89084", TEXT(TRIM(S801),"00000")="89081"), "North LV",
  OR(TEXT(TRIM(S801),"00000")="89109", TEXT(TRIM(S801),"00000")="89103", TEXT(TRIM(S801),"00000")="89119", TEXT(TRIM(S801),"00000")="89123", TEXT(TRIM(S801),"00000")="89169", TEXT(TRIM(S801),"00000")="89118"), "South/Strip",
  OR(TEXT(TRIM(S801),"00000")="89074", TEXT(TRIM(S801),"00000")="89014", TEXT(TRIM(S801),"00000")="89015", TEXT(TRIM(S801),"00000")="89011", TEXT(TRIM(S801),"00000")="89012"), "Suburban SE",
  OR(TEXT(TRIM(S801),"00000")="89117", TEXT(TRIM(S801),"00000")="89128", TEXT(TRIM(S801),"00000")="89135", TEXT(TRIM(S801),"00000")="89144", TEXT(TRIM(S801),"00000")="89145", TEXT(TRIM(S801),"00000")="89147"), "West Valley",
  TRUE, "Other"
)</f>
        <v>Urban Core</v>
      </c>
      <c r="U801" t="s">
        <v>3298</v>
      </c>
      <c r="V801" t="str">
        <f t="shared" si="51"/>
        <v>Outdoors/Public</v>
      </c>
    </row>
    <row r="802" spans="1:22">
      <c r="A802" t="s">
        <v>1556</v>
      </c>
      <c r="B802" t="s">
        <v>1557</v>
      </c>
      <c r="C802" s="1">
        <v>44798</v>
      </c>
      <c r="D802" s="4">
        <v>98.06</v>
      </c>
      <c r="E802">
        <v>46</v>
      </c>
      <c r="F802" t="str">
        <f t="shared" si="48"/>
        <v>40's</v>
      </c>
      <c r="G802" t="str" cm="1">
        <f t="array" ref="G802">_xlfn.IFS(
  F802="10's", "Child (5–12)",
  OR(F802="20's", F802="30's"), "Young Adult (20–39)",
  OR(F802="40's", F802="50's"), "Adult (40–59)",
  OR(F802="60's", F802="70's", F802="80's", F802="90's"), "Senior (60+)",
  TRUE, "Unknown"
)</f>
        <v>Adult (40–59)</v>
      </c>
      <c r="H802" t="s">
        <v>841</v>
      </c>
      <c r="I802" t="s">
        <v>54</v>
      </c>
      <c r="J802" t="str">
        <f t="shared" si="49"/>
        <v>Environmental Heat</v>
      </c>
      <c r="K802" t="s">
        <v>4084</v>
      </c>
      <c r="L802" t="s">
        <v>250</v>
      </c>
      <c r="M802" t="s">
        <v>4791</v>
      </c>
      <c r="N802" t="s">
        <v>5104</v>
      </c>
      <c r="O802" t="str" cm="1">
        <f t="array" ref="O802">_xlfn.IFS(
  TEXT(TRIM(N802),"00000")="NULL", "Missing/Unknown",
  OR(TEXT(TRIM(N802),"00000")="89101", TEXT(TRIM(N802),"00000")="89104", TEXT(TRIM(N802),"00000")="89106", TEXT(TRIM(N802),"00000")="89102", TEXT(TRIM(N802),"00000")="89107", TEXT(TRIM(N802),"00000")="89108"), "Urban Core",
  OR(TEXT(TRIM(N802),"00000")="89110", TEXT(TRIM(N802),"00000")="89115", TEXT(TRIM(N802),"00000")="89121", TEXT(TRIM(N802),"00000")="89122", TEXT(TRIM(N802),"00000")="89142", TEXT(TRIM(N802),"00000")="89156"), "East Valley",
  OR(TEXT(TRIM(N802),"00000")="89030", TEXT(TRIM(N802),"00000")="89031", TEXT(TRIM(N802),"00000")="89032", TEXT(TRIM(N802),"00000")="89086", TEXT(TRIM(N802),"00000")="89084", TEXT(TRIM(N802),"00000")="89081"), "North LV",
  OR(TEXT(TRIM(N802),"00000")="89109", TEXT(TRIM(N802),"00000")="89103", TEXT(TRIM(N802),"00000")="89119", TEXT(TRIM(N802),"00000")="89123", TEXT(TRIM(N802),"00000")="89169", TEXT(TRIM(N802),"00000")="89118"), "South/Strip",
  OR(TEXT(TRIM(N802),"00000")="89074", TEXT(TRIM(N802),"00000")="89014", TEXT(TRIM(N802),"00000")="89015", TEXT(TRIM(N802),"00000")="89011", TEXT(TRIM(N802),"00000")="89012"), "Suburban SE",
  OR(TEXT(TRIM(N802),"00000")="89117", TEXT(TRIM(N802),"00000")="89128", TEXT(TRIM(N802),"00000")="89135", TEXT(TRIM(N802),"00000")="89144", TEXT(TRIM(N802),"00000")="89145", TEXT(TRIM(N802),"00000")="89147"), "West Valley",
  TRUE, "Other"
)</f>
        <v>West Valley</v>
      </c>
      <c r="P802" t="s">
        <v>3298</v>
      </c>
      <c r="Q802" t="str">
        <f t="shared" si="50"/>
        <v>Outdoors/Public</v>
      </c>
      <c r="R802" t="s">
        <v>4791</v>
      </c>
      <c r="S802" t="s">
        <v>5104</v>
      </c>
      <c r="T802" t="str" cm="1">
        <f t="array" ref="T802">_xlfn.IFS(
  TEXT(TRIM(S802),"00000")="NULL", "Missing/Unknown",
  OR(TEXT(TRIM(S802),"00000")="89101", TEXT(TRIM(S802),"00000")="89104", TEXT(TRIM(S802),"00000")="89106", TEXT(TRIM(S802),"00000")="89102", TEXT(TRIM(S802),"00000")="89107", TEXT(TRIM(S802),"00000")="89108"), "Urban Core",
  OR(TEXT(TRIM(S802),"00000")="89110", TEXT(TRIM(S802),"00000")="89115", TEXT(TRIM(S802),"00000")="89121", TEXT(TRIM(S802),"00000")="89122", TEXT(TRIM(S802),"00000")="89142", TEXT(TRIM(S802),"00000")="89156"), "East Valley",
  OR(TEXT(TRIM(S802),"00000")="89030", TEXT(TRIM(S802),"00000")="89031", TEXT(TRIM(S802),"00000")="89032", TEXT(TRIM(S802),"00000")="89086", TEXT(TRIM(S802),"00000")="89084", TEXT(TRIM(S802),"00000")="89081"), "North LV",
  OR(TEXT(TRIM(S802),"00000")="89109", TEXT(TRIM(S802),"00000")="89103", TEXT(TRIM(S802),"00000")="89119", TEXT(TRIM(S802),"00000")="89123", TEXT(TRIM(S802),"00000")="89169", TEXT(TRIM(S802),"00000")="89118"), "South/Strip",
  OR(TEXT(TRIM(S802),"00000")="89074", TEXT(TRIM(S802),"00000")="89014", TEXT(TRIM(S802),"00000")="89015", TEXT(TRIM(S802),"00000")="89011", TEXT(TRIM(S802),"00000")="89012"), "Suburban SE",
  OR(TEXT(TRIM(S802),"00000")="89117", TEXT(TRIM(S802),"00000")="89128", TEXT(TRIM(S802),"00000")="89135", TEXT(TRIM(S802),"00000")="89144", TEXT(TRIM(S802),"00000")="89145", TEXT(TRIM(S802),"00000")="89147"), "West Valley",
  TRUE, "Other"
)</f>
        <v>West Valley</v>
      </c>
      <c r="U802" t="s">
        <v>3298</v>
      </c>
      <c r="V802" t="str">
        <f t="shared" si="51"/>
        <v>Outdoors/Public</v>
      </c>
    </row>
    <row r="803" spans="1:22">
      <c r="A803" t="s">
        <v>1554</v>
      </c>
      <c r="B803" t="s">
        <v>1555</v>
      </c>
      <c r="C803" s="1">
        <v>44797</v>
      </c>
      <c r="D803" s="4">
        <v>102.02</v>
      </c>
      <c r="E803">
        <v>35</v>
      </c>
      <c r="F803" t="str">
        <f t="shared" si="48"/>
        <v>30's</v>
      </c>
      <c r="G803" t="str" cm="1">
        <f t="array" ref="G803">_xlfn.IFS(
  F803="10's", "Child (5–12)",
  OR(F803="20's", F803="30's"), "Young Adult (20–39)",
  OR(F803="40's", F803="50's"), "Adult (40–59)",
  OR(F803="60's", F803="70's", F803="80's", F803="90's"), "Senior (60+)",
  TRUE, "Unknown"
)</f>
        <v>Young Adult (20–39)</v>
      </c>
      <c r="H803" t="s">
        <v>778</v>
      </c>
      <c r="I803" t="s">
        <v>163</v>
      </c>
      <c r="J803" t="str">
        <f t="shared" si="49"/>
        <v>Environmental Heat</v>
      </c>
      <c r="K803" t="s">
        <v>172</v>
      </c>
      <c r="L803" t="s">
        <v>250</v>
      </c>
      <c r="N803" t="s">
        <v>5095</v>
      </c>
      <c r="O803" t="str" cm="1">
        <f t="array" ref="O803">_xlfn.IFS(
  TEXT(TRIM(N803),"00000")="NULL", "Missing/Unknown",
  OR(TEXT(TRIM(N803),"00000")="89101", TEXT(TRIM(N803),"00000")="89104", TEXT(TRIM(N803),"00000")="89106", TEXT(TRIM(N803),"00000")="89102", TEXT(TRIM(N803),"00000")="89107", TEXT(TRIM(N803),"00000")="89108"), "Urban Core",
  OR(TEXT(TRIM(N803),"00000")="89110", TEXT(TRIM(N803),"00000")="89115", TEXT(TRIM(N803),"00000")="89121", TEXT(TRIM(N803),"00000")="89122", TEXT(TRIM(N803),"00000")="89142", TEXT(TRIM(N803),"00000")="89156"), "East Valley",
  OR(TEXT(TRIM(N803),"00000")="89030", TEXT(TRIM(N803),"00000")="89031", TEXT(TRIM(N803),"00000")="89032", TEXT(TRIM(N803),"00000")="89086", TEXT(TRIM(N803),"00000")="89084", TEXT(TRIM(N803),"00000")="89081"), "North LV",
  OR(TEXT(TRIM(N803),"00000")="89109", TEXT(TRIM(N803),"00000")="89103", TEXT(TRIM(N803),"00000")="89119", TEXT(TRIM(N803),"00000")="89123", TEXT(TRIM(N803),"00000")="89169", TEXT(TRIM(N803),"00000")="89118"), "South/Strip",
  OR(TEXT(TRIM(N803),"00000")="89074", TEXT(TRIM(N803),"00000")="89014", TEXT(TRIM(N803),"00000")="89015", TEXT(TRIM(N803),"00000")="89011", TEXT(TRIM(N803),"00000")="89012"), "Suburban SE",
  OR(TEXT(TRIM(N803),"00000")="89117", TEXT(TRIM(N803),"00000")="89128", TEXT(TRIM(N803),"00000")="89135", TEXT(TRIM(N803),"00000")="89144", TEXT(TRIM(N803),"00000")="89145", TEXT(TRIM(N803),"00000")="89147"), "West Valley",
  TRUE, "Other"
)</f>
        <v>Missing/Unknown</v>
      </c>
      <c r="P803" t="s">
        <v>3298</v>
      </c>
      <c r="Q803" t="str">
        <f t="shared" si="50"/>
        <v>Outdoors/Public</v>
      </c>
      <c r="S803" t="s">
        <v>5095</v>
      </c>
      <c r="T803" t="str" cm="1">
        <f t="array" ref="T803">_xlfn.IFS(
  TEXT(TRIM(S803),"00000")="NULL", "Missing/Unknown",
  OR(TEXT(TRIM(S803),"00000")="89101", TEXT(TRIM(S803),"00000")="89104", TEXT(TRIM(S803),"00000")="89106", TEXT(TRIM(S803),"00000")="89102", TEXT(TRIM(S803),"00000")="89107", TEXT(TRIM(S803),"00000")="89108"), "Urban Core",
  OR(TEXT(TRIM(S803),"00000")="89110", TEXT(TRIM(S803),"00000")="89115", TEXT(TRIM(S803),"00000")="89121", TEXT(TRIM(S803),"00000")="89122", TEXT(TRIM(S803),"00000")="89142", TEXT(TRIM(S803),"00000")="89156"), "East Valley",
  OR(TEXT(TRIM(S803),"00000")="89030", TEXT(TRIM(S803),"00000")="89031", TEXT(TRIM(S803),"00000")="89032", TEXT(TRIM(S803),"00000")="89086", TEXT(TRIM(S803),"00000")="89084", TEXT(TRIM(S803),"00000")="89081"), "North LV",
  OR(TEXT(TRIM(S803),"00000")="89109", TEXT(TRIM(S803),"00000")="89103", TEXT(TRIM(S803),"00000")="89119", TEXT(TRIM(S803),"00000")="89123", TEXT(TRIM(S803),"00000")="89169", TEXT(TRIM(S803),"00000")="89118"), "South/Strip",
  OR(TEXT(TRIM(S803),"00000")="89074", TEXT(TRIM(S803),"00000")="89014", TEXT(TRIM(S803),"00000")="89015", TEXT(TRIM(S803),"00000")="89011", TEXT(TRIM(S803),"00000")="89012"), "Suburban SE",
  OR(TEXT(TRIM(S803),"00000")="89117", TEXT(TRIM(S803),"00000")="89128", TEXT(TRIM(S803),"00000")="89135", TEXT(TRIM(S803),"00000")="89144", TEXT(TRIM(S803),"00000")="89145", TEXT(TRIM(S803),"00000")="89147"), "West Valley",
  TRUE, "Other"
)</f>
        <v>Missing/Unknown</v>
      </c>
      <c r="U803" t="s">
        <v>3298</v>
      </c>
      <c r="V803" t="str">
        <f t="shared" si="51"/>
        <v>Outdoors/Public</v>
      </c>
    </row>
    <row r="804" spans="1:22">
      <c r="A804" t="s">
        <v>1545</v>
      </c>
      <c r="B804" t="s">
        <v>1546</v>
      </c>
      <c r="C804" s="1">
        <v>44796</v>
      </c>
      <c r="D804" s="4">
        <v>107.96</v>
      </c>
      <c r="E804">
        <v>58</v>
      </c>
      <c r="F804" t="str">
        <f t="shared" si="48"/>
        <v>50's</v>
      </c>
      <c r="G804" t="str" cm="1">
        <f t="array" ref="G804">_xlfn.IFS(
  F804="10's", "Child (5–12)",
  OR(F804="20's", F804="30's"), "Young Adult (20–39)",
  OR(F804="40's", F804="50's"), "Adult (40–59)",
  OR(F804="60's", F804="70's", F804="80's", F804="90's"), "Senior (60+)",
  TRUE, "Unknown"
)</f>
        <v>Adult (40–59)</v>
      </c>
      <c r="H804" t="s">
        <v>841</v>
      </c>
      <c r="I804" t="s">
        <v>4051</v>
      </c>
      <c r="J804" t="str">
        <f t="shared" si="49"/>
        <v>Cardiovascular Disease</v>
      </c>
      <c r="K804" t="s">
        <v>54</v>
      </c>
      <c r="L804" t="s">
        <v>250</v>
      </c>
      <c r="M804" t="s">
        <v>4326</v>
      </c>
      <c r="N804" t="s">
        <v>5098</v>
      </c>
      <c r="O804" t="str" cm="1">
        <f t="array" ref="O804">_xlfn.IFS(
  TEXT(TRIM(N804),"00000")="NULL", "Missing/Unknown",
  OR(TEXT(TRIM(N804),"00000")="89101", TEXT(TRIM(N804),"00000")="89104", TEXT(TRIM(N804),"00000")="89106", TEXT(TRIM(N804),"00000")="89102", TEXT(TRIM(N804),"00000")="89107", TEXT(TRIM(N804),"00000")="89108"), "Urban Core",
  OR(TEXT(TRIM(N804),"00000")="89110", TEXT(TRIM(N804),"00000")="89115", TEXT(TRIM(N804),"00000")="89121", TEXT(TRIM(N804),"00000")="89122", TEXT(TRIM(N804),"00000")="89142", TEXT(TRIM(N804),"00000")="89156"), "East Valley",
  OR(TEXT(TRIM(N804),"00000")="89030", TEXT(TRIM(N804),"00000")="89031", TEXT(TRIM(N804),"00000")="89032", TEXT(TRIM(N804),"00000")="89086", TEXT(TRIM(N804),"00000")="89084", TEXT(TRIM(N804),"00000")="89081"), "North LV",
  OR(TEXT(TRIM(N804),"00000")="89109", TEXT(TRIM(N804),"00000")="89103", TEXT(TRIM(N804),"00000")="89119", TEXT(TRIM(N804),"00000")="89123", TEXT(TRIM(N804),"00000")="89169", TEXT(TRIM(N804),"00000")="89118"), "South/Strip",
  OR(TEXT(TRIM(N804),"00000")="89074", TEXT(TRIM(N804),"00000")="89014", TEXT(TRIM(N804),"00000")="89015", TEXT(TRIM(N804),"00000")="89011", TEXT(TRIM(N804),"00000")="89012"), "Suburban SE",
  OR(TEXT(TRIM(N804),"00000")="89117", TEXT(TRIM(N804),"00000")="89128", TEXT(TRIM(N804),"00000")="89135", TEXT(TRIM(N804),"00000")="89144", TEXT(TRIM(N804),"00000")="89145", TEXT(TRIM(N804),"00000")="89147"), "West Valley",
  TRUE, "Other"
)</f>
        <v>Urban Core</v>
      </c>
      <c r="P804" t="s">
        <v>331</v>
      </c>
      <c r="Q804" t="str">
        <f t="shared" si="50"/>
        <v>Business/Commercial</v>
      </c>
      <c r="R804" t="s">
        <v>4326</v>
      </c>
      <c r="S804" t="s">
        <v>5098</v>
      </c>
      <c r="T804" t="str" cm="1">
        <f t="array" ref="T804">_xlfn.IFS(
  TEXT(TRIM(S804),"00000")="NULL", "Missing/Unknown",
  OR(TEXT(TRIM(S804),"00000")="89101", TEXT(TRIM(S804),"00000")="89104", TEXT(TRIM(S804),"00000")="89106", TEXT(TRIM(S804),"00000")="89102", TEXT(TRIM(S804),"00000")="89107", TEXT(TRIM(S804),"00000")="89108"), "Urban Core",
  OR(TEXT(TRIM(S804),"00000")="89110", TEXT(TRIM(S804),"00000")="89115", TEXT(TRIM(S804),"00000")="89121", TEXT(TRIM(S804),"00000")="89122", TEXT(TRIM(S804),"00000")="89142", TEXT(TRIM(S804),"00000")="89156"), "East Valley",
  OR(TEXT(TRIM(S804),"00000")="89030", TEXT(TRIM(S804),"00000")="89031", TEXT(TRIM(S804),"00000")="89032", TEXT(TRIM(S804),"00000")="89086", TEXT(TRIM(S804),"00000")="89084", TEXT(TRIM(S804),"00000")="89081"), "North LV",
  OR(TEXT(TRIM(S804),"00000")="89109", TEXT(TRIM(S804),"00000")="89103", TEXT(TRIM(S804),"00000")="89119", TEXT(TRIM(S804),"00000")="89123", TEXT(TRIM(S804),"00000")="89169", TEXT(TRIM(S804),"00000")="89118"), "South/Strip",
  OR(TEXT(TRIM(S804),"00000")="89074", TEXT(TRIM(S804),"00000")="89014", TEXT(TRIM(S804),"00000")="89015", TEXT(TRIM(S804),"00000")="89011", TEXT(TRIM(S804),"00000")="89012"), "Suburban SE",
  OR(TEXT(TRIM(S804),"00000")="89117", TEXT(TRIM(S804),"00000")="89128", TEXT(TRIM(S804),"00000")="89135", TEXT(TRIM(S804),"00000")="89144", TEXT(TRIM(S804),"00000")="89145", TEXT(TRIM(S804),"00000")="89147"), "West Valley",
  TRUE, "Other"
)</f>
        <v>Urban Core</v>
      </c>
      <c r="U804" t="s">
        <v>331</v>
      </c>
      <c r="V804" t="str">
        <f t="shared" si="51"/>
        <v>Business/Commercial</v>
      </c>
    </row>
    <row r="805" spans="1:22">
      <c r="A805" t="s">
        <v>1537</v>
      </c>
      <c r="B805" t="s">
        <v>1538</v>
      </c>
      <c r="C805" s="1">
        <v>44795</v>
      </c>
      <c r="D805" s="4">
        <v>105.08</v>
      </c>
      <c r="E805">
        <v>82</v>
      </c>
      <c r="F805" t="str">
        <f t="shared" si="48"/>
        <v>80's</v>
      </c>
      <c r="G805" t="str" cm="1">
        <f t="array" ref="G805">_xlfn.IFS(
  F805="10's", "Child (5–12)",
  OR(F805="20's", F805="30's"), "Young Adult (20–39)",
  OR(F805="40's", F805="50's"), "Adult (40–59)",
  OR(F805="60's", F805="70's", F805="80's", F805="90's"), "Senior (60+)",
  TRUE, "Unknown"
)</f>
        <v>Senior (60+)</v>
      </c>
      <c r="H805" t="s">
        <v>841</v>
      </c>
      <c r="I805" t="s">
        <v>54</v>
      </c>
      <c r="J805" t="str">
        <f t="shared" si="49"/>
        <v>Environmental Heat</v>
      </c>
      <c r="K805" t="s">
        <v>1539</v>
      </c>
      <c r="L805" t="s">
        <v>1071</v>
      </c>
      <c r="M805" t="s">
        <v>4430</v>
      </c>
      <c r="N805" t="s">
        <v>5159</v>
      </c>
      <c r="O805" t="str" cm="1">
        <f t="array" ref="O805">_xlfn.IFS(
  TEXT(TRIM(N805),"00000")="NULL", "Missing/Unknown",
  OR(TEXT(TRIM(N805),"00000")="89101", TEXT(TRIM(N805),"00000")="89104", TEXT(TRIM(N805),"00000")="89106", TEXT(TRIM(N805),"00000")="89102", TEXT(TRIM(N805),"00000")="89107", TEXT(TRIM(N805),"00000")="89108"), "Urban Core",
  OR(TEXT(TRIM(N805),"00000")="89110", TEXT(TRIM(N805),"00000")="89115", TEXT(TRIM(N805),"00000")="89121", TEXT(TRIM(N805),"00000")="89122", TEXT(TRIM(N805),"00000")="89142", TEXT(TRIM(N805),"00000")="89156"), "East Valley",
  OR(TEXT(TRIM(N805),"00000")="89030", TEXT(TRIM(N805),"00000")="89031", TEXT(TRIM(N805),"00000")="89032", TEXT(TRIM(N805),"00000")="89086", TEXT(TRIM(N805),"00000")="89084", TEXT(TRIM(N805),"00000")="89081"), "North LV",
  OR(TEXT(TRIM(N805),"00000")="89109", TEXT(TRIM(N805),"00000")="89103", TEXT(TRIM(N805),"00000")="89119", TEXT(TRIM(N805),"00000")="89123", TEXT(TRIM(N805),"00000")="89169", TEXT(TRIM(N805),"00000")="89118"), "South/Strip",
  OR(TEXT(TRIM(N805),"00000")="89074", TEXT(TRIM(N805),"00000")="89014", TEXT(TRIM(N805),"00000")="89015", TEXT(TRIM(N805),"00000")="89011", TEXT(TRIM(N805),"00000")="89012"), "Suburban SE",
  OR(TEXT(TRIM(N805),"00000")="89117", TEXT(TRIM(N805),"00000")="89128", TEXT(TRIM(N805),"00000")="89135", TEXT(TRIM(N805),"00000")="89144", TEXT(TRIM(N805),"00000")="89145", TEXT(TRIM(N805),"00000")="89147"), "West Valley",
  TRUE, "Other"
)</f>
        <v>Suburban SE</v>
      </c>
      <c r="P805" t="s">
        <v>38</v>
      </c>
      <c r="Q805" t="str">
        <f t="shared" si="50"/>
        <v>Home/Residence</v>
      </c>
      <c r="R805" t="s">
        <v>4430</v>
      </c>
      <c r="S805" t="s">
        <v>5159</v>
      </c>
      <c r="T805" t="str" cm="1">
        <f t="array" ref="T805">_xlfn.IFS(
  TEXT(TRIM(S805),"00000")="NULL", "Missing/Unknown",
  OR(TEXT(TRIM(S805),"00000")="89101", TEXT(TRIM(S805),"00000")="89104", TEXT(TRIM(S805),"00000")="89106", TEXT(TRIM(S805),"00000")="89102", TEXT(TRIM(S805),"00000")="89107", TEXT(TRIM(S805),"00000")="89108"), "Urban Core",
  OR(TEXT(TRIM(S805),"00000")="89110", TEXT(TRIM(S805),"00000")="89115", TEXT(TRIM(S805),"00000")="89121", TEXT(TRIM(S805),"00000")="89122", TEXT(TRIM(S805),"00000")="89142", TEXT(TRIM(S805),"00000")="89156"), "East Valley",
  OR(TEXT(TRIM(S805),"00000")="89030", TEXT(TRIM(S805),"00000")="89031", TEXT(TRIM(S805),"00000")="89032", TEXT(TRIM(S805),"00000")="89086", TEXT(TRIM(S805),"00000")="89084", TEXT(TRIM(S805),"00000")="89081"), "North LV",
  OR(TEXT(TRIM(S805),"00000")="89109", TEXT(TRIM(S805),"00000")="89103", TEXT(TRIM(S805),"00000")="89119", TEXT(TRIM(S805),"00000")="89123", TEXT(TRIM(S805),"00000")="89169", TEXT(TRIM(S805),"00000")="89118"), "South/Strip",
  OR(TEXT(TRIM(S805),"00000")="89074", TEXT(TRIM(S805),"00000")="89014", TEXT(TRIM(S805),"00000")="89015", TEXT(TRIM(S805),"00000")="89011", TEXT(TRIM(S805),"00000")="89012"), "Suburban SE",
  OR(TEXT(TRIM(S805),"00000")="89117", TEXT(TRIM(S805),"00000")="89128", TEXT(TRIM(S805),"00000")="89135", TEXT(TRIM(S805),"00000")="89144", TEXT(TRIM(S805),"00000")="89145", TEXT(TRIM(S805),"00000")="89147"), "West Valley",
  TRUE, "Other"
)</f>
        <v>Suburban SE</v>
      </c>
      <c r="U805" t="s">
        <v>38</v>
      </c>
      <c r="V805" t="str">
        <f t="shared" si="51"/>
        <v>Home/Residence</v>
      </c>
    </row>
    <row r="806" spans="1:22">
      <c r="A806" t="s">
        <v>1559</v>
      </c>
      <c r="B806" t="s">
        <v>1560</v>
      </c>
      <c r="C806" s="1">
        <v>44795</v>
      </c>
      <c r="D806" s="4">
        <v>105.08</v>
      </c>
      <c r="E806">
        <v>75</v>
      </c>
      <c r="F806" t="str">
        <f t="shared" si="48"/>
        <v>70's</v>
      </c>
      <c r="G806" t="str" cm="1">
        <f t="array" ref="G806">_xlfn.IFS(
  F806="10's", "Child (5–12)",
  OR(F806="20's", F806="30's"), "Young Adult (20–39)",
  OR(F806="40's", F806="50's"), "Adult (40–59)",
  OR(F806="60's", F806="70's", F806="80's", F806="90's"), "Senior (60+)",
  TRUE, "Unknown"
)</f>
        <v>Senior (60+)</v>
      </c>
      <c r="H806" t="s">
        <v>841</v>
      </c>
      <c r="I806" t="s">
        <v>97</v>
      </c>
      <c r="J806" t="str">
        <f t="shared" si="49"/>
        <v>Environmental Heat</v>
      </c>
      <c r="K806" t="s">
        <v>1561</v>
      </c>
      <c r="L806" t="s">
        <v>1071</v>
      </c>
      <c r="M806" t="s">
        <v>4530</v>
      </c>
      <c r="N806" t="s">
        <v>5098</v>
      </c>
      <c r="O806" t="str" cm="1">
        <f t="array" ref="O806">_xlfn.IFS(
  TEXT(TRIM(N806),"00000")="NULL", "Missing/Unknown",
  OR(TEXT(TRIM(N806),"00000")="89101", TEXT(TRIM(N806),"00000")="89104", TEXT(TRIM(N806),"00000")="89106", TEXT(TRIM(N806),"00000")="89102", TEXT(TRIM(N806),"00000")="89107", TEXT(TRIM(N806),"00000")="89108"), "Urban Core",
  OR(TEXT(TRIM(N806),"00000")="89110", TEXT(TRIM(N806),"00000")="89115", TEXT(TRIM(N806),"00000")="89121", TEXT(TRIM(N806),"00000")="89122", TEXT(TRIM(N806),"00000")="89142", TEXT(TRIM(N806),"00000")="89156"), "East Valley",
  OR(TEXT(TRIM(N806),"00000")="89030", TEXT(TRIM(N806),"00000")="89031", TEXT(TRIM(N806),"00000")="89032", TEXT(TRIM(N806),"00000")="89086", TEXT(TRIM(N806),"00000")="89084", TEXT(TRIM(N806),"00000")="89081"), "North LV",
  OR(TEXT(TRIM(N806),"00000")="89109", TEXT(TRIM(N806),"00000")="89103", TEXT(TRIM(N806),"00000")="89119", TEXT(TRIM(N806),"00000")="89123", TEXT(TRIM(N806),"00000")="89169", TEXT(TRIM(N806),"00000")="89118"), "South/Strip",
  OR(TEXT(TRIM(N806),"00000")="89074", TEXT(TRIM(N806),"00000")="89014", TEXT(TRIM(N806),"00000")="89015", TEXT(TRIM(N806),"00000")="89011", TEXT(TRIM(N806),"00000")="89012"), "Suburban SE",
  OR(TEXT(TRIM(N806),"00000")="89117", TEXT(TRIM(N806),"00000")="89128", TEXT(TRIM(N806),"00000")="89135", TEXT(TRIM(N806),"00000")="89144", TEXT(TRIM(N806),"00000")="89145", TEXT(TRIM(N806),"00000")="89147"), "West Valley",
  TRUE, "Other"
)</f>
        <v>Urban Core</v>
      </c>
      <c r="P806" t="s">
        <v>3298</v>
      </c>
      <c r="Q806" t="str">
        <f t="shared" si="50"/>
        <v>Outdoors/Public</v>
      </c>
      <c r="R806" t="s">
        <v>4713</v>
      </c>
      <c r="S806" t="s">
        <v>5125</v>
      </c>
      <c r="T806" t="str" cm="1">
        <f t="array" ref="T806">_xlfn.IFS(
  TEXT(TRIM(S806),"00000")="NULL", "Missing/Unknown",
  OR(TEXT(TRIM(S806),"00000")="89101", TEXT(TRIM(S806),"00000")="89104", TEXT(TRIM(S806),"00000")="89106", TEXT(TRIM(S806),"00000")="89102", TEXT(TRIM(S806),"00000")="89107", TEXT(TRIM(S806),"00000")="89108"), "Urban Core",
  OR(TEXT(TRIM(S806),"00000")="89110", TEXT(TRIM(S806),"00000")="89115", TEXT(TRIM(S806),"00000")="89121", TEXT(TRIM(S806),"00000")="89122", TEXT(TRIM(S806),"00000")="89142", TEXT(TRIM(S806),"00000")="89156"), "East Valley",
  OR(TEXT(TRIM(S806),"00000")="89030", TEXT(TRIM(S806),"00000")="89031", TEXT(TRIM(S806),"00000")="89032", TEXT(TRIM(S806),"00000")="89086", TEXT(TRIM(S806),"00000")="89084", TEXT(TRIM(S806),"00000")="89081"), "North LV",
  OR(TEXT(TRIM(S806),"00000")="89109", TEXT(TRIM(S806),"00000")="89103", TEXT(TRIM(S806),"00000")="89119", TEXT(TRIM(S806),"00000")="89123", TEXT(TRIM(S806),"00000")="89169", TEXT(TRIM(S806),"00000")="89118"), "South/Strip",
  OR(TEXT(TRIM(S806),"00000")="89074", TEXT(TRIM(S806),"00000")="89014", TEXT(TRIM(S806),"00000")="89015", TEXT(TRIM(S806),"00000")="89011", TEXT(TRIM(S806),"00000")="89012"), "Suburban SE",
  OR(TEXT(TRIM(S806),"00000")="89117", TEXT(TRIM(S806),"00000")="89128", TEXT(TRIM(S806),"00000")="89135", TEXT(TRIM(S806),"00000")="89144", TEXT(TRIM(S806),"00000")="89145", TEXT(TRIM(S806),"00000")="89147"), "West Valley",
  TRUE, "Other"
)</f>
        <v>South/Strip</v>
      </c>
      <c r="U806" t="s">
        <v>4301</v>
      </c>
      <c r="V806" t="str">
        <f t="shared" si="51"/>
        <v>Medical Facility</v>
      </c>
    </row>
    <row r="807" spans="1:22">
      <c r="A807" t="s">
        <v>1541</v>
      </c>
      <c r="B807" t="s">
        <v>1542</v>
      </c>
      <c r="C807" s="1">
        <v>44795</v>
      </c>
      <c r="D807" s="4">
        <v>105.08</v>
      </c>
      <c r="E807">
        <v>62</v>
      </c>
      <c r="F807" t="str">
        <f t="shared" si="48"/>
        <v>60's</v>
      </c>
      <c r="G807" t="str" cm="1">
        <f t="array" ref="G807">_xlfn.IFS(
  F807="10's", "Child (5–12)",
  OR(F807="20's", F807="30's"), "Young Adult (20–39)",
  OR(F807="40's", F807="50's"), "Adult (40–59)",
  OR(F807="60's", F807="70's", F807="80's", F807="90's"), "Senior (60+)",
  TRUE, "Unknown"
)</f>
        <v>Senior (60+)</v>
      </c>
      <c r="H807" t="s">
        <v>27</v>
      </c>
      <c r="I807" t="s">
        <v>4100</v>
      </c>
      <c r="J807" t="str">
        <f t="shared" si="49"/>
        <v>Environmental Heat</v>
      </c>
      <c r="K807" t="s">
        <v>4242</v>
      </c>
      <c r="L807" t="s">
        <v>1071</v>
      </c>
      <c r="N807" t="s">
        <v>5095</v>
      </c>
      <c r="O807" t="str" cm="1">
        <f t="array" ref="O807">_xlfn.IFS(
  TEXT(TRIM(N807),"00000")="NULL", "Missing/Unknown",
  OR(TEXT(TRIM(N807),"00000")="89101", TEXT(TRIM(N807),"00000")="89104", TEXT(TRIM(N807),"00000")="89106", TEXT(TRIM(N807),"00000")="89102", TEXT(TRIM(N807),"00000")="89107", TEXT(TRIM(N807),"00000")="89108"), "Urban Core",
  OR(TEXT(TRIM(N807),"00000")="89110", TEXT(TRIM(N807),"00000")="89115", TEXT(TRIM(N807),"00000")="89121", TEXT(TRIM(N807),"00000")="89122", TEXT(TRIM(N807),"00000")="89142", TEXT(TRIM(N807),"00000")="89156"), "East Valley",
  OR(TEXT(TRIM(N807),"00000")="89030", TEXT(TRIM(N807),"00000")="89031", TEXT(TRIM(N807),"00000")="89032", TEXT(TRIM(N807),"00000")="89086", TEXT(TRIM(N807),"00000")="89084", TEXT(TRIM(N807),"00000")="89081"), "North LV",
  OR(TEXT(TRIM(N807),"00000")="89109", TEXT(TRIM(N807),"00000")="89103", TEXT(TRIM(N807),"00000")="89119", TEXT(TRIM(N807),"00000")="89123", TEXT(TRIM(N807),"00000")="89169", TEXT(TRIM(N807),"00000")="89118"), "South/Strip",
  OR(TEXT(TRIM(N807),"00000")="89074", TEXT(TRIM(N807),"00000")="89014", TEXT(TRIM(N807),"00000")="89015", TEXT(TRIM(N807),"00000")="89011", TEXT(TRIM(N807),"00000")="89012"), "Suburban SE",
  OR(TEXT(TRIM(N807),"00000")="89117", TEXT(TRIM(N807),"00000")="89128", TEXT(TRIM(N807),"00000")="89135", TEXT(TRIM(N807),"00000")="89144", TEXT(TRIM(N807),"00000")="89145", TEXT(TRIM(N807),"00000")="89147"), "West Valley",
  TRUE, "Other"
)</f>
        <v>Missing/Unknown</v>
      </c>
      <c r="P807" t="s">
        <v>38</v>
      </c>
      <c r="Q807" t="str">
        <f t="shared" si="50"/>
        <v>Home/Residence</v>
      </c>
      <c r="R807" t="s">
        <v>5055</v>
      </c>
      <c r="S807" t="s">
        <v>5119</v>
      </c>
      <c r="T807" t="str" cm="1">
        <f t="array" ref="T807">_xlfn.IFS(
  TEXT(TRIM(S807),"00000")="NULL", "Missing/Unknown",
  OR(TEXT(TRIM(S807),"00000")="89101", TEXT(TRIM(S807),"00000")="89104", TEXT(TRIM(S807),"00000")="89106", TEXT(TRIM(S807),"00000")="89102", TEXT(TRIM(S807),"00000")="89107", TEXT(TRIM(S807),"00000")="89108"), "Urban Core",
  OR(TEXT(TRIM(S807),"00000")="89110", TEXT(TRIM(S807),"00000")="89115", TEXT(TRIM(S807),"00000")="89121", TEXT(TRIM(S807),"00000")="89122", TEXT(TRIM(S807),"00000")="89142", TEXT(TRIM(S807),"00000")="89156"), "East Valley",
  OR(TEXT(TRIM(S807),"00000")="89030", TEXT(TRIM(S807),"00000")="89031", TEXT(TRIM(S807),"00000")="89032", TEXT(TRIM(S807),"00000")="89086", TEXT(TRIM(S807),"00000")="89084", TEXT(TRIM(S807),"00000")="89081"), "North LV",
  OR(TEXT(TRIM(S807),"00000")="89109", TEXT(TRIM(S807),"00000")="89103", TEXT(TRIM(S807),"00000")="89119", TEXT(TRIM(S807),"00000")="89123", TEXT(TRIM(S807),"00000")="89169", TEXT(TRIM(S807),"00000")="89118"), "South/Strip",
  OR(TEXT(TRIM(S807),"00000")="89074", TEXT(TRIM(S807),"00000")="89014", TEXT(TRIM(S807),"00000")="89015", TEXT(TRIM(S807),"00000")="89011", TEXT(TRIM(S807),"00000")="89012"), "Suburban SE",
  OR(TEXT(TRIM(S807),"00000")="89117", TEXT(TRIM(S807),"00000")="89128", TEXT(TRIM(S807),"00000")="89135", TEXT(TRIM(S807),"00000")="89144", TEXT(TRIM(S807),"00000")="89145", TEXT(TRIM(S807),"00000")="89147"), "West Valley",
  TRUE, "Other"
)</f>
        <v>Urban Core</v>
      </c>
      <c r="U807" t="s">
        <v>228</v>
      </c>
      <c r="V807" t="str">
        <f t="shared" si="51"/>
        <v>Medical Facility</v>
      </c>
    </row>
    <row r="808" spans="1:22">
      <c r="A808" t="s">
        <v>1534</v>
      </c>
      <c r="B808" t="s">
        <v>1535</v>
      </c>
      <c r="C808" s="1">
        <v>44794</v>
      </c>
      <c r="D808" s="4">
        <v>104</v>
      </c>
      <c r="E808">
        <v>49</v>
      </c>
      <c r="F808" t="str">
        <f t="shared" si="48"/>
        <v>40's</v>
      </c>
      <c r="G808" t="str" cm="1">
        <f t="array" ref="G808">_xlfn.IFS(
  F808="10's", "Child (5–12)",
  OR(F808="20's", F808="30's"), "Young Adult (20–39)",
  OR(F808="40's", F808="50's"), "Adult (40–59)",
  OR(F808="60's", F808="70's", F808="80's", F808="90's"), "Senior (60+)",
  TRUE, "Unknown"
)</f>
        <v>Adult (40–59)</v>
      </c>
      <c r="H808" t="s">
        <v>4309</v>
      </c>
      <c r="I808" t="s">
        <v>97</v>
      </c>
      <c r="J808" t="str">
        <f t="shared" si="49"/>
        <v>Environmental Heat</v>
      </c>
      <c r="K808" t="s">
        <v>98</v>
      </c>
      <c r="L808" t="s">
        <v>250</v>
      </c>
      <c r="M808" t="s">
        <v>4571</v>
      </c>
      <c r="N808" t="s">
        <v>5108</v>
      </c>
      <c r="O808" t="str" cm="1">
        <f t="array" ref="O808">_xlfn.IFS(
  TEXT(TRIM(N808),"00000")="NULL", "Missing/Unknown",
  OR(TEXT(TRIM(N808),"00000")="89101", TEXT(TRIM(N808),"00000")="89104", TEXT(TRIM(N808),"00000")="89106", TEXT(TRIM(N808),"00000")="89102", TEXT(TRIM(N808),"00000")="89107", TEXT(TRIM(N808),"00000")="89108"), "Urban Core",
  OR(TEXT(TRIM(N808),"00000")="89110", TEXT(TRIM(N808),"00000")="89115", TEXT(TRIM(N808),"00000")="89121", TEXT(TRIM(N808),"00000")="89122", TEXT(TRIM(N808),"00000")="89142", TEXT(TRIM(N808),"00000")="89156"), "East Valley",
  OR(TEXT(TRIM(N808),"00000")="89030", TEXT(TRIM(N808),"00000")="89031", TEXT(TRIM(N808),"00000")="89032", TEXT(TRIM(N808),"00000")="89086", TEXT(TRIM(N808),"00000")="89084", TEXT(TRIM(N808),"00000")="89081"), "North LV",
  OR(TEXT(TRIM(N808),"00000")="89109", TEXT(TRIM(N808),"00000")="89103", TEXT(TRIM(N808),"00000")="89119", TEXT(TRIM(N808),"00000")="89123", TEXT(TRIM(N808),"00000")="89169", TEXT(TRIM(N808),"00000")="89118"), "South/Strip",
  OR(TEXT(TRIM(N808),"00000")="89074", TEXT(TRIM(N808),"00000")="89014", TEXT(TRIM(N808),"00000")="89015", TEXT(TRIM(N808),"00000")="89011", TEXT(TRIM(N808),"00000")="89012"), "Suburban SE",
  OR(TEXT(TRIM(N808),"00000")="89117", TEXT(TRIM(N808),"00000")="89128", TEXT(TRIM(N808),"00000")="89135", TEXT(TRIM(N808),"00000")="89144", TEXT(TRIM(N808),"00000")="89145", TEXT(TRIM(N808),"00000")="89147"), "West Valley",
  TRUE, "Other"
)</f>
        <v>East Valley</v>
      </c>
      <c r="P808" t="s">
        <v>65</v>
      </c>
      <c r="Q808" t="str">
        <f t="shared" si="50"/>
        <v>Vehicle-related</v>
      </c>
      <c r="R808" t="s">
        <v>4713</v>
      </c>
      <c r="S808" t="s">
        <v>5125</v>
      </c>
      <c r="T808" t="str" cm="1">
        <f t="array" ref="T808">_xlfn.IFS(
  TEXT(TRIM(S808),"00000")="NULL", "Missing/Unknown",
  OR(TEXT(TRIM(S808),"00000")="89101", TEXT(TRIM(S808),"00000")="89104", TEXT(TRIM(S808),"00000")="89106", TEXT(TRIM(S808),"00000")="89102", TEXT(TRIM(S808),"00000")="89107", TEXT(TRIM(S808),"00000")="89108"), "Urban Core",
  OR(TEXT(TRIM(S808),"00000")="89110", TEXT(TRIM(S808),"00000")="89115", TEXT(TRIM(S808),"00000")="89121", TEXT(TRIM(S808),"00000")="89122", TEXT(TRIM(S808),"00000")="89142", TEXT(TRIM(S808),"00000")="89156"), "East Valley",
  OR(TEXT(TRIM(S808),"00000")="89030", TEXT(TRIM(S808),"00000")="89031", TEXT(TRIM(S808),"00000")="89032", TEXT(TRIM(S808),"00000")="89086", TEXT(TRIM(S808),"00000")="89084", TEXT(TRIM(S808),"00000")="89081"), "North LV",
  OR(TEXT(TRIM(S808),"00000")="89109", TEXT(TRIM(S808),"00000")="89103", TEXT(TRIM(S808),"00000")="89119", TEXT(TRIM(S808),"00000")="89123", TEXT(TRIM(S808),"00000")="89169", TEXT(TRIM(S808),"00000")="89118"), "South/Strip",
  OR(TEXT(TRIM(S808),"00000")="89074", TEXT(TRIM(S808),"00000")="89014", TEXT(TRIM(S808),"00000")="89015", TEXT(TRIM(S808),"00000")="89011", TEXT(TRIM(S808),"00000")="89012"), "Suburban SE",
  OR(TEXT(TRIM(S808),"00000")="89117", TEXT(TRIM(S808),"00000")="89128", TEXT(TRIM(S808),"00000")="89135", TEXT(TRIM(S808),"00000")="89144", TEXT(TRIM(S808),"00000")="89145", TEXT(TRIM(S808),"00000")="89147"), "West Valley",
  TRUE, "Other"
)</f>
        <v>South/Strip</v>
      </c>
      <c r="U808" t="s">
        <v>4301</v>
      </c>
      <c r="V808" t="str">
        <f t="shared" si="51"/>
        <v>Medical Facility</v>
      </c>
    </row>
    <row r="809" spans="1:22">
      <c r="A809" t="s">
        <v>1523</v>
      </c>
      <c r="B809" t="s">
        <v>1524</v>
      </c>
      <c r="C809" s="1">
        <v>44792</v>
      </c>
      <c r="D809" s="4">
        <v>102.02</v>
      </c>
      <c r="E809">
        <v>41</v>
      </c>
      <c r="F809" t="str">
        <f t="shared" si="48"/>
        <v>40's</v>
      </c>
      <c r="G809" t="str" cm="1">
        <f t="array" ref="G809">_xlfn.IFS(
  F809="10's", "Child (5–12)",
  OR(F809="20's", F809="30's"), "Young Adult (20–39)",
  OR(F809="40's", F809="50's"), "Adult (40–59)",
  OR(F809="60's", F809="70's", F809="80's", F809="90's"), "Senior (60+)",
  TRUE, "Unknown"
)</f>
        <v>Adult (40–59)</v>
      </c>
      <c r="H809" t="s">
        <v>778</v>
      </c>
      <c r="I809" t="s">
        <v>4025</v>
      </c>
      <c r="J809" t="str">
        <f t="shared" si="49"/>
        <v>Methamphetamine-related</v>
      </c>
      <c r="K809" t="s">
        <v>4243</v>
      </c>
      <c r="L809" t="s">
        <v>250</v>
      </c>
      <c r="M809" t="s">
        <v>4336</v>
      </c>
      <c r="N809" t="s">
        <v>5101</v>
      </c>
      <c r="O809" t="str" cm="1">
        <f t="array" ref="O809">_xlfn.IFS(
  TEXT(TRIM(N809),"00000")="NULL", "Missing/Unknown",
  OR(TEXT(TRIM(N809),"00000")="89101", TEXT(TRIM(N809),"00000")="89104", TEXT(TRIM(N809),"00000")="89106", TEXT(TRIM(N809),"00000")="89102", TEXT(TRIM(N809),"00000")="89107", TEXT(TRIM(N809),"00000")="89108"), "Urban Core",
  OR(TEXT(TRIM(N809),"00000")="89110", TEXT(TRIM(N809),"00000")="89115", TEXT(TRIM(N809),"00000")="89121", TEXT(TRIM(N809),"00000")="89122", TEXT(TRIM(N809),"00000")="89142", TEXT(TRIM(N809),"00000")="89156"), "East Valley",
  OR(TEXT(TRIM(N809),"00000")="89030", TEXT(TRIM(N809),"00000")="89031", TEXT(TRIM(N809),"00000")="89032", TEXT(TRIM(N809),"00000")="89086", TEXT(TRIM(N809),"00000")="89084", TEXT(TRIM(N809),"00000")="89081"), "North LV",
  OR(TEXT(TRIM(N809),"00000")="89109", TEXT(TRIM(N809),"00000")="89103", TEXT(TRIM(N809),"00000")="89119", TEXT(TRIM(N809),"00000")="89123", TEXT(TRIM(N809),"00000")="89169", TEXT(TRIM(N809),"00000")="89118"), "South/Strip",
  OR(TEXT(TRIM(N809),"00000")="89074", TEXT(TRIM(N809),"00000")="89014", TEXT(TRIM(N809),"00000")="89015", TEXT(TRIM(N809),"00000")="89011", TEXT(TRIM(N809),"00000")="89012"), "Suburban SE",
  OR(TEXT(TRIM(N809),"00000")="89117", TEXT(TRIM(N809),"00000")="89128", TEXT(TRIM(N809),"00000")="89135", TEXT(TRIM(N809),"00000")="89144", TEXT(TRIM(N809),"00000")="89145", TEXT(TRIM(N809),"00000")="89147"), "West Valley",
  TRUE, "Other"
)</f>
        <v>Urban Core</v>
      </c>
      <c r="P809" t="s">
        <v>3298</v>
      </c>
      <c r="Q809" t="str">
        <f t="shared" si="50"/>
        <v>Outdoors/Public</v>
      </c>
      <c r="R809" t="s">
        <v>4341</v>
      </c>
      <c r="S809" t="s">
        <v>5100</v>
      </c>
      <c r="T809" t="str" cm="1">
        <f t="array" ref="T809">_xlfn.IFS(
  TEXT(TRIM(S809),"00000")="NULL", "Missing/Unknown",
  OR(TEXT(TRIM(S809),"00000")="89101", TEXT(TRIM(S809),"00000")="89104", TEXT(TRIM(S809),"00000")="89106", TEXT(TRIM(S809),"00000")="89102", TEXT(TRIM(S809),"00000")="89107", TEXT(TRIM(S809),"00000")="89108"), "Urban Core",
  OR(TEXT(TRIM(S809),"00000")="89110", TEXT(TRIM(S809),"00000")="89115", TEXT(TRIM(S809),"00000")="89121", TEXT(TRIM(S809),"00000")="89122", TEXT(TRIM(S809),"00000")="89142", TEXT(TRIM(S809),"00000")="89156"), "East Valley",
  OR(TEXT(TRIM(S809),"00000")="89030", TEXT(TRIM(S809),"00000")="89031", TEXT(TRIM(S809),"00000")="89032", TEXT(TRIM(S809),"00000")="89086", TEXT(TRIM(S809),"00000")="89084", TEXT(TRIM(S809),"00000")="89081"), "North LV",
  OR(TEXT(TRIM(S809),"00000")="89109", TEXT(TRIM(S809),"00000")="89103", TEXT(TRIM(S809),"00000")="89119", TEXT(TRIM(S809),"00000")="89123", TEXT(TRIM(S809),"00000")="89169", TEXT(TRIM(S809),"00000")="89118"), "South/Strip",
  OR(TEXT(TRIM(S809),"00000")="89074", TEXT(TRIM(S809),"00000")="89014", TEXT(TRIM(S809),"00000")="89015", TEXT(TRIM(S809),"00000")="89011", TEXT(TRIM(S809),"00000")="89012"), "Suburban SE",
  OR(TEXT(TRIM(S809),"00000")="89117", TEXT(TRIM(S809),"00000")="89128", TEXT(TRIM(S809),"00000")="89135", TEXT(TRIM(S809),"00000")="89144", TEXT(TRIM(S809),"00000")="89145", TEXT(TRIM(S809),"00000")="89147"), "West Valley",
  TRUE, "Other"
)</f>
        <v>North LV</v>
      </c>
      <c r="U809" t="s">
        <v>4301</v>
      </c>
      <c r="V809" t="str">
        <f t="shared" si="51"/>
        <v>Medical Facility</v>
      </c>
    </row>
    <row r="810" spans="1:22">
      <c r="A810" t="s">
        <v>1519</v>
      </c>
      <c r="B810" t="s">
        <v>1520</v>
      </c>
      <c r="C810" s="1">
        <v>44791</v>
      </c>
      <c r="D810" s="4">
        <v>98.06</v>
      </c>
      <c r="E810">
        <v>28</v>
      </c>
      <c r="F810" t="str">
        <f t="shared" si="48"/>
        <v>20's</v>
      </c>
      <c r="G810" t="str" cm="1">
        <f t="array" ref="G810">_xlfn.IFS(
  F810="10's", "Child (5–12)",
  OR(F810="20's", F810="30's"), "Young Adult (20–39)",
  OR(F810="40's", F810="50's"), "Adult (40–59)",
  OR(F810="60's", F810="70's", F810="80's", F810="90's"), "Senior (60+)",
  TRUE, "Unknown"
)</f>
        <v>Young Adult (20–39)</v>
      </c>
      <c r="H810" t="s">
        <v>841</v>
      </c>
      <c r="I810" t="s">
        <v>172</v>
      </c>
      <c r="J810" t="str">
        <f t="shared" si="49"/>
        <v>Methamphetamine-related</v>
      </c>
      <c r="K810" t="s">
        <v>54</v>
      </c>
      <c r="L810" t="s">
        <v>250</v>
      </c>
      <c r="M810" t="s">
        <v>4792</v>
      </c>
      <c r="N810" t="s">
        <v>5117</v>
      </c>
      <c r="O810" t="str" cm="1">
        <f t="array" ref="O810">_xlfn.IFS(
  TEXT(TRIM(N810),"00000")="NULL", "Missing/Unknown",
  OR(TEXT(TRIM(N810),"00000")="89101", TEXT(TRIM(N810),"00000")="89104", TEXT(TRIM(N810),"00000")="89106", TEXT(TRIM(N810),"00000")="89102", TEXT(TRIM(N810),"00000")="89107", TEXT(TRIM(N810),"00000")="89108"), "Urban Core",
  OR(TEXT(TRIM(N810),"00000")="89110", TEXT(TRIM(N810),"00000")="89115", TEXT(TRIM(N810),"00000")="89121", TEXT(TRIM(N810),"00000")="89122", TEXT(TRIM(N810),"00000")="89142", TEXT(TRIM(N810),"00000")="89156"), "East Valley",
  OR(TEXT(TRIM(N810),"00000")="89030", TEXT(TRIM(N810),"00000")="89031", TEXT(TRIM(N810),"00000")="89032", TEXT(TRIM(N810),"00000")="89086", TEXT(TRIM(N810),"00000")="89084", TEXT(TRIM(N810),"00000")="89081"), "North LV",
  OR(TEXT(TRIM(N810),"00000")="89109", TEXT(TRIM(N810),"00000")="89103", TEXT(TRIM(N810),"00000")="89119", TEXT(TRIM(N810),"00000")="89123", TEXT(TRIM(N810),"00000")="89169", TEXT(TRIM(N810),"00000")="89118"), "South/Strip",
  OR(TEXT(TRIM(N810),"00000")="89074", TEXT(TRIM(N810),"00000")="89014", TEXT(TRIM(N810),"00000")="89015", TEXT(TRIM(N810),"00000")="89011", TEXT(TRIM(N810),"00000")="89012"), "Suburban SE",
  OR(TEXT(TRIM(N810),"00000")="89117", TEXT(TRIM(N810),"00000")="89128", TEXT(TRIM(N810),"00000")="89135", TEXT(TRIM(N810),"00000")="89144", TEXT(TRIM(N810),"00000")="89145", TEXT(TRIM(N810),"00000")="89147"), "West Valley",
  TRUE, "Other"
)</f>
        <v>North LV</v>
      </c>
      <c r="P810" t="s">
        <v>3298</v>
      </c>
      <c r="Q810" t="str">
        <f t="shared" si="50"/>
        <v>Outdoors/Public</v>
      </c>
      <c r="R810" t="s">
        <v>4792</v>
      </c>
      <c r="S810" t="s">
        <v>5117</v>
      </c>
      <c r="T810" t="str" cm="1">
        <f t="array" ref="T810">_xlfn.IFS(
  TEXT(TRIM(S810),"00000")="NULL", "Missing/Unknown",
  OR(TEXT(TRIM(S810),"00000")="89101", TEXT(TRIM(S810),"00000")="89104", TEXT(TRIM(S810),"00000")="89106", TEXT(TRIM(S810),"00000")="89102", TEXT(TRIM(S810),"00000")="89107", TEXT(TRIM(S810),"00000")="89108"), "Urban Core",
  OR(TEXT(TRIM(S810),"00000")="89110", TEXT(TRIM(S810),"00000")="89115", TEXT(TRIM(S810),"00000")="89121", TEXT(TRIM(S810),"00000")="89122", TEXT(TRIM(S810),"00000")="89142", TEXT(TRIM(S810),"00000")="89156"), "East Valley",
  OR(TEXT(TRIM(S810),"00000")="89030", TEXT(TRIM(S810),"00000")="89031", TEXT(TRIM(S810),"00000")="89032", TEXT(TRIM(S810),"00000")="89086", TEXT(TRIM(S810),"00000")="89084", TEXT(TRIM(S810),"00000")="89081"), "North LV",
  OR(TEXT(TRIM(S810),"00000")="89109", TEXT(TRIM(S810),"00000")="89103", TEXT(TRIM(S810),"00000")="89119", TEXT(TRIM(S810),"00000")="89123", TEXT(TRIM(S810),"00000")="89169", TEXT(TRIM(S810),"00000")="89118"), "South/Strip",
  OR(TEXT(TRIM(S810),"00000")="89074", TEXT(TRIM(S810),"00000")="89014", TEXT(TRIM(S810),"00000")="89015", TEXT(TRIM(S810),"00000")="89011", TEXT(TRIM(S810),"00000")="89012"), "Suburban SE",
  OR(TEXT(TRIM(S810),"00000")="89117", TEXT(TRIM(S810),"00000")="89128", TEXT(TRIM(S810),"00000")="89135", TEXT(TRIM(S810),"00000")="89144", TEXT(TRIM(S810),"00000")="89145", TEXT(TRIM(S810),"00000")="89147"), "West Valley",
  TRUE, "Other"
)</f>
        <v>North LV</v>
      </c>
      <c r="U810" t="s">
        <v>3298</v>
      </c>
      <c r="V810" t="str">
        <f t="shared" si="51"/>
        <v>Outdoors/Public</v>
      </c>
    </row>
    <row r="811" spans="1:22">
      <c r="A811" t="s">
        <v>1516</v>
      </c>
      <c r="B811" t="s">
        <v>1517</v>
      </c>
      <c r="C811" s="1">
        <v>44790</v>
      </c>
      <c r="D811" s="4">
        <v>104</v>
      </c>
      <c r="E811">
        <v>51</v>
      </c>
      <c r="F811" t="str">
        <f t="shared" si="48"/>
        <v>50's</v>
      </c>
      <c r="G811" t="str" cm="1">
        <f t="array" ref="G811">_xlfn.IFS(
  F811="10's", "Child (5–12)",
  OR(F811="20's", F811="30's"), "Young Adult (20–39)",
  OR(F811="40's", F811="50's"), "Adult (40–59)",
  OR(F811="60's", F811="70's", F811="80's", F811="90's"), "Senior (60+)",
  TRUE, "Unknown"
)</f>
        <v>Adult (40–59)</v>
      </c>
      <c r="H811" t="s">
        <v>778</v>
      </c>
      <c r="I811" t="s">
        <v>172</v>
      </c>
      <c r="J811" t="str">
        <f t="shared" si="49"/>
        <v>Methamphetamine-related</v>
      </c>
      <c r="K811" t="s">
        <v>1518</v>
      </c>
      <c r="L811" t="s">
        <v>250</v>
      </c>
      <c r="N811" t="s">
        <v>5095</v>
      </c>
      <c r="O811" t="str" cm="1">
        <f t="array" ref="O811">_xlfn.IFS(
  TEXT(TRIM(N811),"00000")="NULL", "Missing/Unknown",
  OR(TEXT(TRIM(N811),"00000")="89101", TEXT(TRIM(N811),"00000")="89104", TEXT(TRIM(N811),"00000")="89106", TEXT(TRIM(N811),"00000")="89102", TEXT(TRIM(N811),"00000")="89107", TEXT(TRIM(N811),"00000")="89108"), "Urban Core",
  OR(TEXT(TRIM(N811),"00000")="89110", TEXT(TRIM(N811),"00000")="89115", TEXT(TRIM(N811),"00000")="89121", TEXT(TRIM(N811),"00000")="89122", TEXT(TRIM(N811),"00000")="89142", TEXT(TRIM(N811),"00000")="89156"), "East Valley",
  OR(TEXT(TRIM(N811),"00000")="89030", TEXT(TRIM(N811),"00000")="89031", TEXT(TRIM(N811),"00000")="89032", TEXT(TRIM(N811),"00000")="89086", TEXT(TRIM(N811),"00000")="89084", TEXT(TRIM(N811),"00000")="89081"), "North LV",
  OR(TEXT(TRIM(N811),"00000")="89109", TEXT(TRIM(N811),"00000")="89103", TEXT(TRIM(N811),"00000")="89119", TEXT(TRIM(N811),"00000")="89123", TEXT(TRIM(N811),"00000")="89169", TEXT(TRIM(N811),"00000")="89118"), "South/Strip",
  OR(TEXT(TRIM(N811),"00000")="89074", TEXT(TRIM(N811),"00000")="89014", TEXT(TRIM(N811),"00000")="89015", TEXT(TRIM(N811),"00000")="89011", TEXT(TRIM(N811),"00000")="89012"), "Suburban SE",
  OR(TEXT(TRIM(N811),"00000")="89117", TEXT(TRIM(N811),"00000")="89128", TEXT(TRIM(N811),"00000")="89135", TEXT(TRIM(N811),"00000")="89144", TEXT(TRIM(N811),"00000")="89145", TEXT(TRIM(N811),"00000")="89147"), "West Valley",
  TRUE, "Other"
)</f>
        <v>Missing/Unknown</v>
      </c>
      <c r="P811" t="s">
        <v>38</v>
      </c>
      <c r="Q811" t="str">
        <f t="shared" si="50"/>
        <v>Home/Residence</v>
      </c>
      <c r="S811" t="s">
        <v>5095</v>
      </c>
      <c r="T811" t="str" cm="1">
        <f t="array" ref="T811">_xlfn.IFS(
  TEXT(TRIM(S811),"00000")="NULL", "Missing/Unknown",
  OR(TEXT(TRIM(S811),"00000")="89101", TEXT(TRIM(S811),"00000")="89104", TEXT(TRIM(S811),"00000")="89106", TEXT(TRIM(S811),"00000")="89102", TEXT(TRIM(S811),"00000")="89107", TEXT(TRIM(S811),"00000")="89108"), "Urban Core",
  OR(TEXT(TRIM(S811),"00000")="89110", TEXT(TRIM(S811),"00000")="89115", TEXT(TRIM(S811),"00000")="89121", TEXT(TRIM(S811),"00000")="89122", TEXT(TRIM(S811),"00000")="89142", TEXT(TRIM(S811),"00000")="89156"), "East Valley",
  OR(TEXT(TRIM(S811),"00000")="89030", TEXT(TRIM(S811),"00000")="89031", TEXT(TRIM(S811),"00000")="89032", TEXT(TRIM(S811),"00000")="89086", TEXT(TRIM(S811),"00000")="89084", TEXT(TRIM(S811),"00000")="89081"), "North LV",
  OR(TEXT(TRIM(S811),"00000")="89109", TEXT(TRIM(S811),"00000")="89103", TEXT(TRIM(S811),"00000")="89119", TEXT(TRIM(S811),"00000")="89123", TEXT(TRIM(S811),"00000")="89169", TEXT(TRIM(S811),"00000")="89118"), "South/Strip",
  OR(TEXT(TRIM(S811),"00000")="89074", TEXT(TRIM(S811),"00000")="89014", TEXT(TRIM(S811),"00000")="89015", TEXT(TRIM(S811),"00000")="89011", TEXT(TRIM(S811),"00000")="89012"), "Suburban SE",
  OR(TEXT(TRIM(S811),"00000")="89117", TEXT(TRIM(S811),"00000")="89128", TEXT(TRIM(S811),"00000")="89135", TEXT(TRIM(S811),"00000")="89144", TEXT(TRIM(S811),"00000")="89145", TEXT(TRIM(S811),"00000")="89147"), "West Valley",
  TRUE, "Other"
)</f>
        <v>Missing/Unknown</v>
      </c>
      <c r="U811" t="s">
        <v>3298</v>
      </c>
      <c r="V811" t="str">
        <f t="shared" si="51"/>
        <v>Outdoors/Public</v>
      </c>
    </row>
    <row r="812" spans="1:22">
      <c r="A812" t="s">
        <v>1549</v>
      </c>
      <c r="B812" t="s">
        <v>1550</v>
      </c>
      <c r="C812" s="1">
        <v>44789</v>
      </c>
      <c r="D812" s="4">
        <v>100.94</v>
      </c>
      <c r="E812">
        <v>39</v>
      </c>
      <c r="F812" t="str">
        <f t="shared" si="48"/>
        <v>30's</v>
      </c>
      <c r="G812" t="str" cm="1">
        <f t="array" ref="G812">_xlfn.IFS(
  F812="10's", "Child (5–12)",
  OR(F812="20's", F812="30's"), "Young Adult (20–39)",
  OR(F812="40's", F812="50's"), "Adult (40–59)",
  OR(F812="60's", F812="70's", F812="80's", F812="90's"), "Senior (60+)",
  TRUE, "Unknown"
)</f>
        <v>Young Adult (20–39)</v>
      </c>
      <c r="H812" t="s">
        <v>4309</v>
      </c>
      <c r="I812" t="s">
        <v>4101</v>
      </c>
      <c r="J812" t="str">
        <f t="shared" si="49"/>
        <v>Environmental Heat</v>
      </c>
      <c r="K812" t="s">
        <v>1552</v>
      </c>
      <c r="L812" t="s">
        <v>1071</v>
      </c>
      <c r="N812" t="s">
        <v>5095</v>
      </c>
      <c r="O812" t="str" cm="1">
        <f t="array" ref="O812">_xlfn.IFS(
  TEXT(TRIM(N812),"00000")="NULL", "Missing/Unknown",
  OR(TEXT(TRIM(N812),"00000")="89101", TEXT(TRIM(N812),"00000")="89104", TEXT(TRIM(N812),"00000")="89106", TEXT(TRIM(N812),"00000")="89102", TEXT(TRIM(N812),"00000")="89107", TEXT(TRIM(N812),"00000")="89108"), "Urban Core",
  OR(TEXT(TRIM(N812),"00000")="89110", TEXT(TRIM(N812),"00000")="89115", TEXT(TRIM(N812),"00000")="89121", TEXT(TRIM(N812),"00000")="89122", TEXT(TRIM(N812),"00000")="89142", TEXT(TRIM(N812),"00000")="89156"), "East Valley",
  OR(TEXT(TRIM(N812),"00000")="89030", TEXT(TRIM(N812),"00000")="89031", TEXT(TRIM(N812),"00000")="89032", TEXT(TRIM(N812),"00000")="89086", TEXT(TRIM(N812),"00000")="89084", TEXT(TRIM(N812),"00000")="89081"), "North LV",
  OR(TEXT(TRIM(N812),"00000")="89109", TEXT(TRIM(N812),"00000")="89103", TEXT(TRIM(N812),"00000")="89119", TEXT(TRIM(N812),"00000")="89123", TEXT(TRIM(N812),"00000")="89169", TEXT(TRIM(N812),"00000")="89118"), "South/Strip",
  OR(TEXT(TRIM(N812),"00000")="89074", TEXT(TRIM(N812),"00000")="89014", TEXT(TRIM(N812),"00000")="89015", TEXT(TRIM(N812),"00000")="89011", TEXT(TRIM(N812),"00000")="89012"), "Suburban SE",
  OR(TEXT(TRIM(N812),"00000")="89117", TEXT(TRIM(N812),"00000")="89128", TEXT(TRIM(N812),"00000")="89135", TEXT(TRIM(N812),"00000")="89144", TEXT(TRIM(N812),"00000")="89145", TEXT(TRIM(N812),"00000")="89147"), "West Valley",
  TRUE, "Other"
)</f>
        <v>Missing/Unknown</v>
      </c>
      <c r="P812" t="s">
        <v>3298</v>
      </c>
      <c r="Q812" t="str">
        <f t="shared" si="50"/>
        <v>Outdoors/Public</v>
      </c>
      <c r="R812" t="s">
        <v>5062</v>
      </c>
      <c r="S812" t="s">
        <v>5118</v>
      </c>
      <c r="T812" t="str" cm="1">
        <f t="array" ref="T812">_xlfn.IFS(
  TEXT(TRIM(S812),"00000")="NULL", "Missing/Unknown",
  OR(TEXT(TRIM(S812),"00000")="89101", TEXT(TRIM(S812),"00000")="89104", TEXT(TRIM(S812),"00000")="89106", TEXT(TRIM(S812),"00000")="89102", TEXT(TRIM(S812),"00000")="89107", TEXT(TRIM(S812),"00000")="89108"), "Urban Core",
  OR(TEXT(TRIM(S812),"00000")="89110", TEXT(TRIM(S812),"00000")="89115", TEXT(TRIM(S812),"00000")="89121", TEXT(TRIM(S812),"00000")="89122", TEXT(TRIM(S812),"00000")="89142", TEXT(TRIM(S812),"00000")="89156"), "East Valley",
  OR(TEXT(TRIM(S812),"00000")="89030", TEXT(TRIM(S812),"00000")="89031", TEXT(TRIM(S812),"00000")="89032", TEXT(TRIM(S812),"00000")="89086", TEXT(TRIM(S812),"00000")="89084", TEXT(TRIM(S812),"00000")="89081"), "North LV",
  OR(TEXT(TRIM(S812),"00000")="89109", TEXT(TRIM(S812),"00000")="89103", TEXT(TRIM(S812),"00000")="89119", TEXT(TRIM(S812),"00000")="89123", TEXT(TRIM(S812),"00000")="89169", TEXT(TRIM(S812),"00000")="89118"), "South/Strip",
  OR(TEXT(TRIM(S812),"00000")="89074", TEXT(TRIM(S812),"00000")="89014", TEXT(TRIM(S812),"00000")="89015", TEXT(TRIM(S812),"00000")="89011", TEXT(TRIM(S812),"00000")="89012"), "Suburban SE",
  OR(TEXT(TRIM(S812),"00000")="89117", TEXT(TRIM(S812),"00000")="89128", TEXT(TRIM(S812),"00000")="89135", TEXT(TRIM(S812),"00000")="89144", TEXT(TRIM(S812),"00000")="89145", TEXT(TRIM(S812),"00000")="89147"), "West Valley",
  TRUE, "Other"
)</f>
        <v>South/Strip</v>
      </c>
      <c r="U812" t="s">
        <v>109</v>
      </c>
      <c r="V812" t="str">
        <f t="shared" si="51"/>
        <v>Other / Unknown</v>
      </c>
    </row>
    <row r="813" spans="1:22">
      <c r="A813" t="s">
        <v>1513</v>
      </c>
      <c r="B813" t="s">
        <v>1514</v>
      </c>
      <c r="C813" s="1">
        <v>44789</v>
      </c>
      <c r="D813" s="4">
        <v>100.94</v>
      </c>
      <c r="E813">
        <v>52</v>
      </c>
      <c r="F813" t="str">
        <f t="shared" si="48"/>
        <v>50's</v>
      </c>
      <c r="G813" t="str" cm="1">
        <f t="array" ref="G813">_xlfn.IFS(
  F813="10's", "Child (5–12)",
  OR(F813="20's", F813="30's"), "Young Adult (20–39)",
  OR(F813="40's", F813="50's"), "Adult (40–59)",
  OR(F813="60's", F813="70's", F813="80's", F813="90's"), "Senior (60+)",
  TRUE, "Unknown"
)</f>
        <v>Adult (40–59)</v>
      </c>
      <c r="H813" t="s">
        <v>841</v>
      </c>
      <c r="I813" t="s">
        <v>461</v>
      </c>
      <c r="J813" t="str">
        <f t="shared" si="49"/>
        <v>Dehydration / Electrolyte</v>
      </c>
      <c r="K813" t="s">
        <v>503</v>
      </c>
      <c r="L813" t="s">
        <v>250</v>
      </c>
      <c r="M813" t="s">
        <v>4620</v>
      </c>
      <c r="N813" t="s">
        <v>5122</v>
      </c>
      <c r="O813" t="str" cm="1">
        <f t="array" ref="O813">_xlfn.IFS(
  TEXT(TRIM(N813),"00000")="NULL", "Missing/Unknown",
  OR(TEXT(TRIM(N813),"00000")="89101", TEXT(TRIM(N813),"00000")="89104", TEXT(TRIM(N813),"00000")="89106", TEXT(TRIM(N813),"00000")="89102", TEXT(TRIM(N813),"00000")="89107", TEXT(TRIM(N813),"00000")="89108"), "Urban Core",
  OR(TEXT(TRIM(N813),"00000")="89110", TEXT(TRIM(N813),"00000")="89115", TEXT(TRIM(N813),"00000")="89121", TEXT(TRIM(N813),"00000")="89122", TEXT(TRIM(N813),"00000")="89142", TEXT(TRIM(N813),"00000")="89156"), "East Valley",
  OR(TEXT(TRIM(N813),"00000")="89030", TEXT(TRIM(N813),"00000")="89031", TEXT(TRIM(N813),"00000")="89032", TEXT(TRIM(N813),"00000")="89086", TEXT(TRIM(N813),"00000")="89084", TEXT(TRIM(N813),"00000")="89081"), "North LV",
  OR(TEXT(TRIM(N813),"00000")="89109", TEXT(TRIM(N813),"00000")="89103", TEXT(TRIM(N813),"00000")="89119", TEXT(TRIM(N813),"00000")="89123", TEXT(TRIM(N813),"00000")="89169", TEXT(TRIM(N813),"00000")="89118"), "South/Strip",
  OR(TEXT(TRIM(N813),"00000")="89074", TEXT(TRIM(N813),"00000")="89014", TEXT(TRIM(N813),"00000")="89015", TEXT(TRIM(N813),"00000")="89011", TEXT(TRIM(N813),"00000")="89012"), "Suburban SE",
  OR(TEXT(TRIM(N813),"00000")="89117", TEXT(TRIM(N813),"00000")="89128", TEXT(TRIM(N813),"00000")="89135", TEXT(TRIM(N813),"00000")="89144", TEXT(TRIM(N813),"00000")="89145", TEXT(TRIM(N813),"00000")="89147"), "West Valley",
  TRUE, "Other"
)</f>
        <v>East Valley</v>
      </c>
      <c r="P813" t="s">
        <v>271</v>
      </c>
      <c r="Q813" t="str">
        <f t="shared" si="50"/>
        <v>Home/Residence</v>
      </c>
      <c r="R813" t="s">
        <v>4620</v>
      </c>
      <c r="S813" t="s">
        <v>5122</v>
      </c>
      <c r="T813" t="str" cm="1">
        <f t="array" ref="T813">_xlfn.IFS(
  TEXT(TRIM(S813),"00000")="NULL", "Missing/Unknown",
  OR(TEXT(TRIM(S813),"00000")="89101", TEXT(TRIM(S813),"00000")="89104", TEXT(TRIM(S813),"00000")="89106", TEXT(TRIM(S813),"00000")="89102", TEXT(TRIM(S813),"00000")="89107", TEXT(TRIM(S813),"00000")="89108"), "Urban Core",
  OR(TEXT(TRIM(S813),"00000")="89110", TEXT(TRIM(S813),"00000")="89115", TEXT(TRIM(S813),"00000")="89121", TEXT(TRIM(S813),"00000")="89122", TEXT(TRIM(S813),"00000")="89142", TEXT(TRIM(S813),"00000")="89156"), "East Valley",
  OR(TEXT(TRIM(S813),"00000")="89030", TEXT(TRIM(S813),"00000")="89031", TEXT(TRIM(S813),"00000")="89032", TEXT(TRIM(S813),"00000")="89086", TEXT(TRIM(S813),"00000")="89084", TEXT(TRIM(S813),"00000")="89081"), "North LV",
  OR(TEXT(TRIM(S813),"00000")="89109", TEXT(TRIM(S813),"00000")="89103", TEXT(TRIM(S813),"00000")="89119", TEXT(TRIM(S813),"00000")="89123", TEXT(TRIM(S813),"00000")="89169", TEXT(TRIM(S813),"00000")="89118"), "South/Strip",
  OR(TEXT(TRIM(S813),"00000")="89074", TEXT(TRIM(S813),"00000")="89014", TEXT(TRIM(S813),"00000")="89015", TEXT(TRIM(S813),"00000")="89011", TEXT(TRIM(S813),"00000")="89012"), "Suburban SE",
  OR(TEXT(TRIM(S813),"00000")="89117", TEXT(TRIM(S813),"00000")="89128", TEXT(TRIM(S813),"00000")="89135", TEXT(TRIM(S813),"00000")="89144", TEXT(TRIM(S813),"00000")="89145", TEXT(TRIM(S813),"00000")="89147"), "West Valley",
  TRUE, "Other"
)</f>
        <v>East Valley</v>
      </c>
      <c r="U813" t="s">
        <v>271</v>
      </c>
      <c r="V813" t="str">
        <f t="shared" si="51"/>
        <v>Home/Residence</v>
      </c>
    </row>
    <row r="814" spans="1:22">
      <c r="A814" t="s">
        <v>1509</v>
      </c>
      <c r="B814" t="s">
        <v>1510</v>
      </c>
      <c r="C814" s="1">
        <v>44788</v>
      </c>
      <c r="D814" s="4">
        <v>96.98</v>
      </c>
      <c r="E814">
        <v>42</v>
      </c>
      <c r="F814" t="str">
        <f t="shared" si="48"/>
        <v>40's</v>
      </c>
      <c r="G814" t="str" cm="1">
        <f t="array" ref="G814">_xlfn.IFS(
  F814="10's", "Child (5–12)",
  OR(F814="20's", F814="30's"), "Young Adult (20–39)",
  OR(F814="40's", F814="50's"), "Adult (40–59)",
  OR(F814="60's", F814="70's", F814="80's", F814="90's"), "Senior (60+)",
  TRUE, "Unknown"
)</f>
        <v>Adult (40–59)</v>
      </c>
      <c r="H814" t="s">
        <v>841</v>
      </c>
      <c r="I814" t="s">
        <v>97</v>
      </c>
      <c r="J814" t="str">
        <f t="shared" si="49"/>
        <v>Environmental Heat</v>
      </c>
      <c r="K814" t="s">
        <v>1511</v>
      </c>
      <c r="L814" t="s">
        <v>1071</v>
      </c>
      <c r="M814" t="s">
        <v>4587</v>
      </c>
      <c r="N814" t="s">
        <v>5118</v>
      </c>
      <c r="O814" t="str" cm="1">
        <f t="array" ref="O814">_xlfn.IFS(
  TEXT(TRIM(N814),"00000")="NULL", "Missing/Unknown",
  OR(TEXT(TRIM(N814),"00000")="89101", TEXT(TRIM(N814),"00000")="89104", TEXT(TRIM(N814),"00000")="89106", TEXT(TRIM(N814),"00000")="89102", TEXT(TRIM(N814),"00000")="89107", TEXT(TRIM(N814),"00000")="89108"), "Urban Core",
  OR(TEXT(TRIM(N814),"00000")="89110", TEXT(TRIM(N814),"00000")="89115", TEXT(TRIM(N814),"00000")="89121", TEXT(TRIM(N814),"00000")="89122", TEXT(TRIM(N814),"00000")="89142", TEXT(TRIM(N814),"00000")="89156"), "East Valley",
  OR(TEXT(TRIM(N814),"00000")="89030", TEXT(TRIM(N814),"00000")="89031", TEXT(TRIM(N814),"00000")="89032", TEXT(TRIM(N814),"00000")="89086", TEXT(TRIM(N814),"00000")="89084", TEXT(TRIM(N814),"00000")="89081"), "North LV",
  OR(TEXT(TRIM(N814),"00000")="89109", TEXT(TRIM(N814),"00000")="89103", TEXT(TRIM(N814),"00000")="89119", TEXT(TRIM(N814),"00000")="89123", TEXT(TRIM(N814),"00000")="89169", TEXT(TRIM(N814),"00000")="89118"), "South/Strip",
  OR(TEXT(TRIM(N814),"00000")="89074", TEXT(TRIM(N814),"00000")="89014", TEXT(TRIM(N814),"00000")="89015", TEXT(TRIM(N814),"00000")="89011", TEXT(TRIM(N814),"00000")="89012"), "Suburban SE",
  OR(TEXT(TRIM(N814),"00000")="89117", TEXT(TRIM(N814),"00000")="89128", TEXT(TRIM(N814),"00000")="89135", TEXT(TRIM(N814),"00000")="89144", TEXT(TRIM(N814),"00000")="89145", TEXT(TRIM(N814),"00000")="89147"), "West Valley",
  TRUE, "Other"
)</f>
        <v>South/Strip</v>
      </c>
      <c r="P814" t="s">
        <v>726</v>
      </c>
      <c r="Q814" t="str">
        <f t="shared" si="50"/>
        <v>Outdoors/Public</v>
      </c>
      <c r="R814" t="s">
        <v>4576</v>
      </c>
      <c r="S814" t="s">
        <v>5118</v>
      </c>
      <c r="T814" t="str" cm="1">
        <f t="array" ref="T814">_xlfn.IFS(
  TEXT(TRIM(S814),"00000")="NULL", "Missing/Unknown",
  OR(TEXT(TRIM(S814),"00000")="89101", TEXT(TRIM(S814),"00000")="89104", TEXT(TRIM(S814),"00000")="89106", TEXT(TRIM(S814),"00000")="89102", TEXT(TRIM(S814),"00000")="89107", TEXT(TRIM(S814),"00000")="89108"), "Urban Core",
  OR(TEXT(TRIM(S814),"00000")="89110", TEXT(TRIM(S814),"00000")="89115", TEXT(TRIM(S814),"00000")="89121", TEXT(TRIM(S814),"00000")="89122", TEXT(TRIM(S814),"00000")="89142", TEXT(TRIM(S814),"00000")="89156"), "East Valley",
  OR(TEXT(TRIM(S814),"00000")="89030", TEXT(TRIM(S814),"00000")="89031", TEXT(TRIM(S814),"00000")="89032", TEXT(TRIM(S814),"00000")="89086", TEXT(TRIM(S814),"00000")="89084", TEXT(TRIM(S814),"00000")="89081"), "North LV",
  OR(TEXT(TRIM(S814),"00000")="89109", TEXT(TRIM(S814),"00000")="89103", TEXT(TRIM(S814),"00000")="89119", TEXT(TRIM(S814),"00000")="89123", TEXT(TRIM(S814),"00000")="89169", TEXT(TRIM(S814),"00000")="89118"), "South/Strip",
  OR(TEXT(TRIM(S814),"00000")="89074", TEXT(TRIM(S814),"00000")="89014", TEXT(TRIM(S814),"00000")="89015", TEXT(TRIM(S814),"00000")="89011", TEXT(TRIM(S814),"00000")="89012"), "Suburban SE",
  OR(TEXT(TRIM(S814),"00000")="89117", TEXT(TRIM(S814),"00000")="89128", TEXT(TRIM(S814),"00000")="89135", TEXT(TRIM(S814),"00000")="89144", TEXT(TRIM(S814),"00000")="89145", TEXT(TRIM(S814),"00000")="89147"), "West Valley",
  TRUE, "Other"
)</f>
        <v>South/Strip</v>
      </c>
      <c r="U814" t="s">
        <v>4305</v>
      </c>
      <c r="V814" t="str">
        <f t="shared" si="51"/>
        <v>Medical Facility</v>
      </c>
    </row>
    <row r="815" spans="1:22">
      <c r="A815" t="s">
        <v>1527</v>
      </c>
      <c r="B815" t="s">
        <v>1528</v>
      </c>
      <c r="C815" s="1">
        <v>44787</v>
      </c>
      <c r="D815" s="4">
        <v>96.98</v>
      </c>
      <c r="E815">
        <v>67</v>
      </c>
      <c r="F815" t="str">
        <f t="shared" si="48"/>
        <v>60's</v>
      </c>
      <c r="G815" t="str" cm="1">
        <f t="array" ref="G815">_xlfn.IFS(
  F815="10's", "Child (5–12)",
  OR(F815="20's", F815="30's"), "Young Adult (20–39)",
  OR(F815="40's", F815="50's"), "Adult (40–59)",
  OR(F815="60's", F815="70's", F815="80's", F815="90's"), "Senior (60+)",
  TRUE, "Unknown"
)</f>
        <v>Senior (60+)</v>
      </c>
      <c r="H815" t="s">
        <v>778</v>
      </c>
      <c r="I815" t="s">
        <v>1529</v>
      </c>
      <c r="J815" t="str">
        <f t="shared" si="49"/>
        <v>Other / Unknown</v>
      </c>
      <c r="K815" t="s">
        <v>4244</v>
      </c>
      <c r="L815" t="s">
        <v>1071</v>
      </c>
      <c r="M815" t="s">
        <v>4337</v>
      </c>
      <c r="N815" t="s">
        <v>5097</v>
      </c>
      <c r="O815" t="str" cm="1">
        <f t="array" ref="O815">_xlfn.IFS(
  TEXT(TRIM(N815),"00000")="NULL", "Missing/Unknown",
  OR(TEXT(TRIM(N815),"00000")="89101", TEXT(TRIM(N815),"00000")="89104", TEXT(TRIM(N815),"00000")="89106", TEXT(TRIM(N815),"00000")="89102", TEXT(TRIM(N815),"00000")="89107", TEXT(TRIM(N815),"00000")="89108"), "Urban Core",
  OR(TEXT(TRIM(N815),"00000")="89110", TEXT(TRIM(N815),"00000")="89115", TEXT(TRIM(N815),"00000")="89121", TEXT(TRIM(N815),"00000")="89122", TEXT(TRIM(N815),"00000")="89142", TEXT(TRIM(N815),"00000")="89156"), "East Valley",
  OR(TEXT(TRIM(N815),"00000")="89030", TEXT(TRIM(N815),"00000")="89031", TEXT(TRIM(N815),"00000")="89032", TEXT(TRIM(N815),"00000")="89086", TEXT(TRIM(N815),"00000")="89084", TEXT(TRIM(N815),"00000")="89081"), "North LV",
  OR(TEXT(TRIM(N815),"00000")="89109", TEXT(TRIM(N815),"00000")="89103", TEXT(TRIM(N815),"00000")="89119", TEXT(TRIM(N815),"00000")="89123", TEXT(TRIM(N815),"00000")="89169", TEXT(TRIM(N815),"00000")="89118"), "South/Strip",
  OR(TEXT(TRIM(N815),"00000")="89074", TEXT(TRIM(N815),"00000")="89014", TEXT(TRIM(N815),"00000")="89015", TEXT(TRIM(N815),"00000")="89011", TEXT(TRIM(N815),"00000")="89012"), "Suburban SE",
  OR(TEXT(TRIM(N815),"00000")="89117", TEXT(TRIM(N815),"00000")="89128", TEXT(TRIM(N815),"00000")="89135", TEXT(TRIM(N815),"00000")="89144", TEXT(TRIM(N815),"00000")="89145", TEXT(TRIM(N815),"00000")="89147"), "West Valley",
  TRUE, "Other"
)</f>
        <v>Urban Core</v>
      </c>
      <c r="P815" t="s">
        <v>3298</v>
      </c>
      <c r="Q815" t="str">
        <f t="shared" si="50"/>
        <v>Outdoors/Public</v>
      </c>
      <c r="R815" t="s">
        <v>5061</v>
      </c>
      <c r="S815" t="s">
        <v>5100</v>
      </c>
      <c r="T815" t="str" cm="1">
        <f t="array" ref="T815">_xlfn.IFS(
  TEXT(TRIM(S815),"00000")="NULL", "Missing/Unknown",
  OR(TEXT(TRIM(S815),"00000")="89101", TEXT(TRIM(S815),"00000")="89104", TEXT(TRIM(S815),"00000")="89106", TEXT(TRIM(S815),"00000")="89102", TEXT(TRIM(S815),"00000")="89107", TEXT(TRIM(S815),"00000")="89108"), "Urban Core",
  OR(TEXT(TRIM(S815),"00000")="89110", TEXT(TRIM(S815),"00000")="89115", TEXT(TRIM(S815),"00000")="89121", TEXT(TRIM(S815),"00000")="89122", TEXT(TRIM(S815),"00000")="89142", TEXT(TRIM(S815),"00000")="89156"), "East Valley",
  OR(TEXT(TRIM(S815),"00000")="89030", TEXT(TRIM(S815),"00000")="89031", TEXT(TRIM(S815),"00000")="89032", TEXT(TRIM(S815),"00000")="89086", TEXT(TRIM(S815),"00000")="89084", TEXT(TRIM(S815),"00000")="89081"), "North LV",
  OR(TEXT(TRIM(S815),"00000")="89109", TEXT(TRIM(S815),"00000")="89103", TEXT(TRIM(S815),"00000")="89119", TEXT(TRIM(S815),"00000")="89123", TEXT(TRIM(S815),"00000")="89169", TEXT(TRIM(S815),"00000")="89118"), "South/Strip",
  OR(TEXT(TRIM(S815),"00000")="89074", TEXT(TRIM(S815),"00000")="89014", TEXT(TRIM(S815),"00000")="89015", TEXT(TRIM(S815),"00000")="89011", TEXT(TRIM(S815),"00000")="89012"), "Suburban SE",
  OR(TEXT(TRIM(S815),"00000")="89117", TEXT(TRIM(S815),"00000")="89128", TEXT(TRIM(S815),"00000")="89135", TEXT(TRIM(S815),"00000")="89144", TEXT(TRIM(S815),"00000")="89145", TEXT(TRIM(S815),"00000")="89147"), "West Valley",
  TRUE, "Other"
)</f>
        <v>North LV</v>
      </c>
      <c r="U815" t="s">
        <v>38</v>
      </c>
      <c r="V815" t="str">
        <f t="shared" si="51"/>
        <v>Home/Residence</v>
      </c>
    </row>
    <row r="816" spans="1:22">
      <c r="A816" t="s">
        <v>1507</v>
      </c>
      <c r="B816" t="s">
        <v>1508</v>
      </c>
      <c r="C816" s="1">
        <v>44785</v>
      </c>
      <c r="D816" s="4">
        <v>98.06</v>
      </c>
      <c r="E816">
        <v>29</v>
      </c>
      <c r="F816" t="str">
        <f t="shared" si="48"/>
        <v>20's</v>
      </c>
      <c r="G816" t="str" cm="1">
        <f t="array" ref="G816">_xlfn.IFS(
  F816="10's", "Child (5–12)",
  OR(F816="20's", F816="30's"), "Young Adult (20–39)",
  OR(F816="40's", F816="50's"), "Adult (40–59)",
  OR(F816="60's", F816="70's", F816="80's", F816="90's"), "Senior (60+)",
  TRUE, "Unknown"
)</f>
        <v>Young Adult (20–39)</v>
      </c>
      <c r="H816" t="s">
        <v>778</v>
      </c>
      <c r="I816" t="s">
        <v>97</v>
      </c>
      <c r="J816" t="str">
        <f t="shared" si="49"/>
        <v>Environmental Heat</v>
      </c>
      <c r="K816" t="s">
        <v>1254</v>
      </c>
      <c r="L816" t="s">
        <v>250</v>
      </c>
      <c r="N816" t="s">
        <v>5095</v>
      </c>
      <c r="O816" t="str" cm="1">
        <f t="array" ref="O816">_xlfn.IFS(
  TEXT(TRIM(N816),"00000")="NULL", "Missing/Unknown",
  OR(TEXT(TRIM(N816),"00000")="89101", TEXT(TRIM(N816),"00000")="89104", TEXT(TRIM(N816),"00000")="89106", TEXT(TRIM(N816),"00000")="89102", TEXT(TRIM(N816),"00000")="89107", TEXT(TRIM(N816),"00000")="89108"), "Urban Core",
  OR(TEXT(TRIM(N816),"00000")="89110", TEXT(TRIM(N816),"00000")="89115", TEXT(TRIM(N816),"00000")="89121", TEXT(TRIM(N816),"00000")="89122", TEXT(TRIM(N816),"00000")="89142", TEXT(TRIM(N816),"00000")="89156"), "East Valley",
  OR(TEXT(TRIM(N816),"00000")="89030", TEXT(TRIM(N816),"00000")="89031", TEXT(TRIM(N816),"00000")="89032", TEXT(TRIM(N816),"00000")="89086", TEXT(TRIM(N816),"00000")="89084", TEXT(TRIM(N816),"00000")="89081"), "North LV",
  OR(TEXT(TRIM(N816),"00000")="89109", TEXT(TRIM(N816),"00000")="89103", TEXT(TRIM(N816),"00000")="89119", TEXT(TRIM(N816),"00000")="89123", TEXT(TRIM(N816),"00000")="89169", TEXT(TRIM(N816),"00000")="89118"), "South/Strip",
  OR(TEXT(TRIM(N816),"00000")="89074", TEXT(TRIM(N816),"00000")="89014", TEXT(TRIM(N816),"00000")="89015", TEXT(TRIM(N816),"00000")="89011", TEXT(TRIM(N816),"00000")="89012"), "Suburban SE",
  OR(TEXT(TRIM(N816),"00000")="89117", TEXT(TRIM(N816),"00000")="89128", TEXT(TRIM(N816),"00000")="89135", TEXT(TRIM(N816),"00000")="89144", TEXT(TRIM(N816),"00000")="89145", TEXT(TRIM(N816),"00000")="89147"), "West Valley",
  TRUE, "Other"
)</f>
        <v>Missing/Unknown</v>
      </c>
      <c r="P816" t="s">
        <v>3298</v>
      </c>
      <c r="Q816" t="str">
        <f t="shared" si="50"/>
        <v>Outdoors/Public</v>
      </c>
      <c r="R816" t="s">
        <v>5054</v>
      </c>
      <c r="S816" t="s">
        <v>5097</v>
      </c>
      <c r="T816" t="str" cm="1">
        <f t="array" ref="T816">_xlfn.IFS(
  TEXT(TRIM(S816),"00000")="NULL", "Missing/Unknown",
  OR(TEXT(TRIM(S816),"00000")="89101", TEXT(TRIM(S816),"00000")="89104", TEXT(TRIM(S816),"00000")="89106", TEXT(TRIM(S816),"00000")="89102", TEXT(TRIM(S816),"00000")="89107", TEXT(TRIM(S816),"00000")="89108"), "Urban Core",
  OR(TEXT(TRIM(S816),"00000")="89110", TEXT(TRIM(S816),"00000")="89115", TEXT(TRIM(S816),"00000")="89121", TEXT(TRIM(S816),"00000")="89122", TEXT(TRIM(S816),"00000")="89142", TEXT(TRIM(S816),"00000")="89156"), "East Valley",
  OR(TEXT(TRIM(S816),"00000")="89030", TEXT(TRIM(S816),"00000")="89031", TEXT(TRIM(S816),"00000")="89032", TEXT(TRIM(S816),"00000")="89086", TEXT(TRIM(S816),"00000")="89084", TEXT(TRIM(S816),"00000")="89081"), "North LV",
  OR(TEXT(TRIM(S816),"00000")="89109", TEXT(TRIM(S816),"00000")="89103", TEXT(TRIM(S816),"00000")="89119", TEXT(TRIM(S816),"00000")="89123", TEXT(TRIM(S816),"00000")="89169", TEXT(TRIM(S816),"00000")="89118"), "South/Strip",
  OR(TEXT(TRIM(S816),"00000")="89074", TEXT(TRIM(S816),"00000")="89014", TEXT(TRIM(S816),"00000")="89015", TEXT(TRIM(S816),"00000")="89011", TEXT(TRIM(S816),"00000")="89012"), "Suburban SE",
  OR(TEXT(TRIM(S816),"00000")="89117", TEXT(TRIM(S816),"00000")="89128", TEXT(TRIM(S816),"00000")="89135", TEXT(TRIM(S816),"00000")="89144", TEXT(TRIM(S816),"00000")="89145", TEXT(TRIM(S816),"00000")="89147"), "West Valley",
  TRUE, "Other"
)</f>
        <v>Urban Core</v>
      </c>
      <c r="U816" t="s">
        <v>4305</v>
      </c>
      <c r="V816" t="str">
        <f t="shared" si="51"/>
        <v>Medical Facility</v>
      </c>
    </row>
    <row r="817" spans="1:22">
      <c r="A817" t="s">
        <v>1504</v>
      </c>
      <c r="B817" t="s">
        <v>1505</v>
      </c>
      <c r="C817" s="1">
        <v>44784</v>
      </c>
      <c r="D817" s="4">
        <v>100.04</v>
      </c>
      <c r="E817">
        <v>84</v>
      </c>
      <c r="F817" t="str">
        <f t="shared" si="48"/>
        <v>80's</v>
      </c>
      <c r="G817" t="str" cm="1">
        <f t="array" ref="G817">_xlfn.IFS(
  F817="10's", "Child (5–12)",
  OR(F817="20's", F817="30's"), "Young Adult (20–39)",
  OR(F817="40's", F817="50's"), "Adult (40–59)",
  OR(F817="60's", F817="70's", F817="80's", F817="90's"), "Senior (60+)",
  TRUE, "Unknown"
)</f>
        <v>Senior (60+)</v>
      </c>
      <c r="H817" t="s">
        <v>27</v>
      </c>
      <c r="I817" t="s">
        <v>63</v>
      </c>
      <c r="J817" t="str">
        <f t="shared" si="49"/>
        <v>Cardiovascular Disease</v>
      </c>
      <c r="K817" t="s">
        <v>54</v>
      </c>
      <c r="L817" t="s">
        <v>1071</v>
      </c>
      <c r="M817" t="s">
        <v>4431</v>
      </c>
      <c r="N817" t="s">
        <v>5108</v>
      </c>
      <c r="O817" t="str" cm="1">
        <f t="array" ref="O817">_xlfn.IFS(
  TEXT(TRIM(N817),"00000")="NULL", "Missing/Unknown",
  OR(TEXT(TRIM(N817),"00000")="89101", TEXT(TRIM(N817),"00000")="89104", TEXT(TRIM(N817),"00000")="89106", TEXT(TRIM(N817),"00000")="89102", TEXT(TRIM(N817),"00000")="89107", TEXT(TRIM(N817),"00000")="89108"), "Urban Core",
  OR(TEXT(TRIM(N817),"00000")="89110", TEXT(TRIM(N817),"00000")="89115", TEXT(TRIM(N817),"00000")="89121", TEXT(TRIM(N817),"00000")="89122", TEXT(TRIM(N817),"00000")="89142", TEXT(TRIM(N817),"00000")="89156"), "East Valley",
  OR(TEXT(TRIM(N817),"00000")="89030", TEXT(TRIM(N817),"00000")="89031", TEXT(TRIM(N817),"00000")="89032", TEXT(TRIM(N817),"00000")="89086", TEXT(TRIM(N817),"00000")="89084", TEXT(TRIM(N817),"00000")="89081"), "North LV",
  OR(TEXT(TRIM(N817),"00000")="89109", TEXT(TRIM(N817),"00000")="89103", TEXT(TRIM(N817),"00000")="89119", TEXT(TRIM(N817),"00000")="89123", TEXT(TRIM(N817),"00000")="89169", TEXT(TRIM(N817),"00000")="89118"), "South/Strip",
  OR(TEXT(TRIM(N817),"00000")="89074", TEXT(TRIM(N817),"00000")="89014", TEXT(TRIM(N817),"00000")="89015", TEXT(TRIM(N817),"00000")="89011", TEXT(TRIM(N817),"00000")="89012"), "Suburban SE",
  OR(TEXT(TRIM(N817),"00000")="89117", TEXT(TRIM(N817),"00000")="89128", TEXT(TRIM(N817),"00000")="89135", TEXT(TRIM(N817),"00000")="89144", TEXT(TRIM(N817),"00000")="89145", TEXT(TRIM(N817),"00000")="89147"), "West Valley",
  TRUE, "Other"
)</f>
        <v>East Valley</v>
      </c>
      <c r="P817" t="s">
        <v>38</v>
      </c>
      <c r="Q817" t="str">
        <f t="shared" si="50"/>
        <v>Home/Residence</v>
      </c>
      <c r="R817" t="s">
        <v>4431</v>
      </c>
      <c r="S817" t="s">
        <v>5108</v>
      </c>
      <c r="T817" t="str" cm="1">
        <f t="array" ref="T817">_xlfn.IFS(
  TEXT(TRIM(S817),"00000")="NULL", "Missing/Unknown",
  OR(TEXT(TRIM(S817),"00000")="89101", TEXT(TRIM(S817),"00000")="89104", TEXT(TRIM(S817),"00000")="89106", TEXT(TRIM(S817),"00000")="89102", TEXT(TRIM(S817),"00000")="89107", TEXT(TRIM(S817),"00000")="89108"), "Urban Core",
  OR(TEXT(TRIM(S817),"00000")="89110", TEXT(TRIM(S817),"00000")="89115", TEXT(TRIM(S817),"00000")="89121", TEXT(TRIM(S817),"00000")="89122", TEXT(TRIM(S817),"00000")="89142", TEXT(TRIM(S817),"00000")="89156"), "East Valley",
  OR(TEXT(TRIM(S817),"00000")="89030", TEXT(TRIM(S817),"00000")="89031", TEXT(TRIM(S817),"00000")="89032", TEXT(TRIM(S817),"00000")="89086", TEXT(TRIM(S817),"00000")="89084", TEXT(TRIM(S817),"00000")="89081"), "North LV",
  OR(TEXT(TRIM(S817),"00000")="89109", TEXT(TRIM(S817),"00000")="89103", TEXT(TRIM(S817),"00000")="89119", TEXT(TRIM(S817),"00000")="89123", TEXT(TRIM(S817),"00000")="89169", TEXT(TRIM(S817),"00000")="89118"), "South/Strip",
  OR(TEXT(TRIM(S817),"00000")="89074", TEXT(TRIM(S817),"00000")="89014", TEXT(TRIM(S817),"00000")="89015", TEXT(TRIM(S817),"00000")="89011", TEXT(TRIM(S817),"00000")="89012"), "Suburban SE",
  OR(TEXT(TRIM(S817),"00000")="89117", TEXT(TRIM(S817),"00000")="89128", TEXT(TRIM(S817),"00000")="89135", TEXT(TRIM(S817),"00000")="89144", TEXT(TRIM(S817),"00000")="89145", TEXT(TRIM(S817),"00000")="89147"), "West Valley",
  TRUE, "Other"
)</f>
        <v>East Valley</v>
      </c>
      <c r="U817" t="s">
        <v>38</v>
      </c>
      <c r="V817" t="str">
        <f t="shared" si="51"/>
        <v>Home/Residence</v>
      </c>
    </row>
    <row r="818" spans="1:22">
      <c r="A818" t="s">
        <v>1500</v>
      </c>
      <c r="B818" t="s">
        <v>1501</v>
      </c>
      <c r="C818" s="1">
        <v>44783</v>
      </c>
      <c r="D818" s="4">
        <v>95</v>
      </c>
      <c r="E818">
        <v>54</v>
      </c>
      <c r="F818" t="str">
        <f t="shared" si="48"/>
        <v>50's</v>
      </c>
      <c r="G818" t="str" cm="1">
        <f t="array" ref="G818">_xlfn.IFS(
  F818="10's", "Child (5–12)",
  OR(F818="20's", F818="30's"), "Young Adult (20–39)",
  OR(F818="40's", F818="50's"), "Adult (40–59)",
  OR(F818="60's", F818="70's", F818="80's", F818="90's"), "Senior (60+)",
  TRUE, "Unknown"
)</f>
        <v>Adult (40–59)</v>
      </c>
      <c r="H818" t="s">
        <v>841</v>
      </c>
      <c r="I818" t="s">
        <v>54</v>
      </c>
      <c r="J818" t="str">
        <f t="shared" si="49"/>
        <v>Environmental Heat</v>
      </c>
      <c r="K818" t="s">
        <v>4245</v>
      </c>
      <c r="L818" t="s">
        <v>250</v>
      </c>
      <c r="M818" t="s">
        <v>4335</v>
      </c>
      <c r="N818" t="s">
        <v>5108</v>
      </c>
      <c r="O818" t="str" cm="1">
        <f t="array" ref="O818">_xlfn.IFS(
  TEXT(TRIM(N818),"00000")="NULL", "Missing/Unknown",
  OR(TEXT(TRIM(N818),"00000")="89101", TEXT(TRIM(N818),"00000")="89104", TEXT(TRIM(N818),"00000")="89106", TEXT(TRIM(N818),"00000")="89102", TEXT(TRIM(N818),"00000")="89107", TEXT(TRIM(N818),"00000")="89108"), "Urban Core",
  OR(TEXT(TRIM(N818),"00000")="89110", TEXT(TRIM(N818),"00000")="89115", TEXT(TRIM(N818),"00000")="89121", TEXT(TRIM(N818),"00000")="89122", TEXT(TRIM(N818),"00000")="89142", TEXT(TRIM(N818),"00000")="89156"), "East Valley",
  OR(TEXT(TRIM(N818),"00000")="89030", TEXT(TRIM(N818),"00000")="89031", TEXT(TRIM(N818),"00000")="89032", TEXT(TRIM(N818),"00000")="89086", TEXT(TRIM(N818),"00000")="89084", TEXT(TRIM(N818),"00000")="89081"), "North LV",
  OR(TEXT(TRIM(N818),"00000")="89109", TEXT(TRIM(N818),"00000")="89103", TEXT(TRIM(N818),"00000")="89119", TEXT(TRIM(N818),"00000")="89123", TEXT(TRIM(N818),"00000")="89169", TEXT(TRIM(N818),"00000")="89118"), "South/Strip",
  OR(TEXT(TRIM(N818),"00000")="89074", TEXT(TRIM(N818),"00000")="89014", TEXT(TRIM(N818),"00000")="89015", TEXT(TRIM(N818),"00000")="89011", TEXT(TRIM(N818),"00000")="89012"), "Suburban SE",
  OR(TEXT(TRIM(N818),"00000")="89117", TEXT(TRIM(N818),"00000")="89128", TEXT(TRIM(N818),"00000")="89135", TEXT(TRIM(N818),"00000")="89144", TEXT(TRIM(N818),"00000")="89145", TEXT(TRIM(N818),"00000")="89147"), "West Valley",
  TRUE, "Other"
)</f>
        <v>East Valley</v>
      </c>
      <c r="P818" t="s">
        <v>3298</v>
      </c>
      <c r="Q818" t="str">
        <f t="shared" si="50"/>
        <v>Outdoors/Public</v>
      </c>
      <c r="R818" t="s">
        <v>4335</v>
      </c>
      <c r="S818" t="s">
        <v>5108</v>
      </c>
      <c r="T818" t="str" cm="1">
        <f t="array" ref="T818">_xlfn.IFS(
  TEXT(TRIM(S818),"00000")="NULL", "Missing/Unknown",
  OR(TEXT(TRIM(S818),"00000")="89101", TEXT(TRIM(S818),"00000")="89104", TEXT(TRIM(S818),"00000")="89106", TEXT(TRIM(S818),"00000")="89102", TEXT(TRIM(S818),"00000")="89107", TEXT(TRIM(S818),"00000")="89108"), "Urban Core",
  OR(TEXT(TRIM(S818),"00000")="89110", TEXT(TRIM(S818),"00000")="89115", TEXT(TRIM(S818),"00000")="89121", TEXT(TRIM(S818),"00000")="89122", TEXT(TRIM(S818),"00000")="89142", TEXT(TRIM(S818),"00000")="89156"), "East Valley",
  OR(TEXT(TRIM(S818),"00000")="89030", TEXT(TRIM(S818),"00000")="89031", TEXT(TRIM(S818),"00000")="89032", TEXT(TRIM(S818),"00000")="89086", TEXT(TRIM(S818),"00000")="89084", TEXT(TRIM(S818),"00000")="89081"), "North LV",
  OR(TEXT(TRIM(S818),"00000")="89109", TEXT(TRIM(S818),"00000")="89103", TEXT(TRIM(S818),"00000")="89119", TEXT(TRIM(S818),"00000")="89123", TEXT(TRIM(S818),"00000")="89169", TEXT(TRIM(S818),"00000")="89118"), "South/Strip",
  OR(TEXT(TRIM(S818),"00000")="89074", TEXT(TRIM(S818),"00000")="89014", TEXT(TRIM(S818),"00000")="89015", TEXT(TRIM(S818),"00000")="89011", TEXT(TRIM(S818),"00000")="89012"), "Suburban SE",
  OR(TEXT(TRIM(S818),"00000")="89117", TEXT(TRIM(S818),"00000")="89128", TEXT(TRIM(S818),"00000")="89135", TEXT(TRIM(S818),"00000")="89144", TEXT(TRIM(S818),"00000")="89145", TEXT(TRIM(S818),"00000")="89147"), "West Valley",
  TRUE, "Other"
)</f>
        <v>East Valley</v>
      </c>
      <c r="U818" t="s">
        <v>3298</v>
      </c>
      <c r="V818" t="str">
        <f t="shared" si="51"/>
        <v>Outdoors/Public</v>
      </c>
    </row>
    <row r="819" spans="1:22">
      <c r="A819" t="s">
        <v>1491</v>
      </c>
      <c r="B819" t="s">
        <v>1492</v>
      </c>
      <c r="C819" s="1">
        <v>44781</v>
      </c>
      <c r="D819" s="4">
        <v>102.92</v>
      </c>
      <c r="E819">
        <v>59</v>
      </c>
      <c r="F819" t="str">
        <f t="shared" si="48"/>
        <v>50's</v>
      </c>
      <c r="G819" t="str" cm="1">
        <f t="array" ref="G819">_xlfn.IFS(
  F819="10's", "Child (5–12)",
  OR(F819="20's", F819="30's"), "Young Adult (20–39)",
  OR(F819="40's", F819="50's"), "Adult (40–59)",
  OR(F819="60's", F819="70's", F819="80's", F819="90's"), "Senior (60+)",
  TRUE, "Unknown"
)</f>
        <v>Adult (40–59)</v>
      </c>
      <c r="H819" t="s">
        <v>841</v>
      </c>
      <c r="I819" t="s">
        <v>54</v>
      </c>
      <c r="J819" t="str">
        <f t="shared" si="49"/>
        <v>Environmental Heat</v>
      </c>
      <c r="K819" t="s">
        <v>181</v>
      </c>
      <c r="L819" t="s">
        <v>250</v>
      </c>
      <c r="M819" t="s">
        <v>4644</v>
      </c>
      <c r="N819" t="s">
        <v>5139</v>
      </c>
      <c r="O819" t="str" cm="1">
        <f t="array" ref="O819">_xlfn.IFS(
  TEXT(TRIM(N819),"00000")="NULL", "Missing/Unknown",
  OR(TEXT(TRIM(N819),"00000")="89101", TEXT(TRIM(N819),"00000")="89104", TEXT(TRIM(N819),"00000")="89106", TEXT(TRIM(N819),"00000")="89102", TEXT(TRIM(N819),"00000")="89107", TEXT(TRIM(N819),"00000")="89108"), "Urban Core",
  OR(TEXT(TRIM(N819),"00000")="89110", TEXT(TRIM(N819),"00000")="89115", TEXT(TRIM(N819),"00000")="89121", TEXT(TRIM(N819),"00000")="89122", TEXT(TRIM(N819),"00000")="89142", TEXT(TRIM(N819),"00000")="89156"), "East Valley",
  OR(TEXT(TRIM(N819),"00000")="89030", TEXT(TRIM(N819),"00000")="89031", TEXT(TRIM(N819),"00000")="89032", TEXT(TRIM(N819),"00000")="89086", TEXT(TRIM(N819),"00000")="89084", TEXT(TRIM(N819),"00000")="89081"), "North LV",
  OR(TEXT(TRIM(N819),"00000")="89109", TEXT(TRIM(N819),"00000")="89103", TEXT(TRIM(N819),"00000")="89119", TEXT(TRIM(N819),"00000")="89123", TEXT(TRIM(N819),"00000")="89169", TEXT(TRIM(N819),"00000")="89118"), "South/Strip",
  OR(TEXT(TRIM(N819),"00000")="89074", TEXT(TRIM(N819),"00000")="89014", TEXT(TRIM(N819),"00000")="89015", TEXT(TRIM(N819),"00000")="89011", TEXT(TRIM(N819),"00000")="89012"), "Suburban SE",
  OR(TEXT(TRIM(N819),"00000")="89117", TEXT(TRIM(N819),"00000")="89128", TEXT(TRIM(N819),"00000")="89135", TEXT(TRIM(N819),"00000")="89144", TEXT(TRIM(N819),"00000")="89145", TEXT(TRIM(N819),"00000")="89147"), "West Valley",
  TRUE, "Other"
)</f>
        <v>Other</v>
      </c>
      <c r="P819" t="s">
        <v>3298</v>
      </c>
      <c r="Q819" t="str">
        <f t="shared" si="50"/>
        <v>Outdoors/Public</v>
      </c>
      <c r="R819" t="s">
        <v>4644</v>
      </c>
      <c r="S819" t="s">
        <v>5139</v>
      </c>
      <c r="T819" t="str" cm="1">
        <f t="array" ref="T819">_xlfn.IFS(
  TEXT(TRIM(S819),"00000")="NULL", "Missing/Unknown",
  OR(TEXT(TRIM(S819),"00000")="89101", TEXT(TRIM(S819),"00000")="89104", TEXT(TRIM(S819),"00000")="89106", TEXT(TRIM(S819),"00000")="89102", TEXT(TRIM(S819),"00000")="89107", TEXT(TRIM(S819),"00000")="89108"), "Urban Core",
  OR(TEXT(TRIM(S819),"00000")="89110", TEXT(TRIM(S819),"00000")="89115", TEXT(TRIM(S819),"00000")="89121", TEXT(TRIM(S819),"00000")="89122", TEXT(TRIM(S819),"00000")="89142", TEXT(TRIM(S819),"00000")="89156"), "East Valley",
  OR(TEXT(TRIM(S819),"00000")="89030", TEXT(TRIM(S819),"00000")="89031", TEXT(TRIM(S819),"00000")="89032", TEXT(TRIM(S819),"00000")="89086", TEXT(TRIM(S819),"00000")="89084", TEXT(TRIM(S819),"00000")="89081"), "North LV",
  OR(TEXT(TRIM(S819),"00000")="89109", TEXT(TRIM(S819),"00000")="89103", TEXT(TRIM(S819),"00000")="89119", TEXT(TRIM(S819),"00000")="89123", TEXT(TRIM(S819),"00000")="89169", TEXT(TRIM(S819),"00000")="89118"), "South/Strip",
  OR(TEXT(TRIM(S819),"00000")="89074", TEXT(TRIM(S819),"00000")="89014", TEXT(TRIM(S819),"00000")="89015", TEXT(TRIM(S819),"00000")="89011", TEXT(TRIM(S819),"00000")="89012"), "Suburban SE",
  OR(TEXT(TRIM(S819),"00000")="89117", TEXT(TRIM(S819),"00000")="89128", TEXT(TRIM(S819),"00000")="89135", TEXT(TRIM(S819),"00000")="89144", TEXT(TRIM(S819),"00000")="89145", TEXT(TRIM(S819),"00000")="89147"), "West Valley",
  TRUE, "Other"
)</f>
        <v>Other</v>
      </c>
      <c r="U819" t="s">
        <v>3298</v>
      </c>
      <c r="V819" t="str">
        <f t="shared" si="51"/>
        <v>Outdoors/Public</v>
      </c>
    </row>
    <row r="820" spans="1:22">
      <c r="A820" t="s">
        <v>1497</v>
      </c>
      <c r="B820" t="s">
        <v>1498</v>
      </c>
      <c r="C820" s="1">
        <v>44781</v>
      </c>
      <c r="D820" s="4">
        <v>102.92</v>
      </c>
      <c r="E820">
        <v>54</v>
      </c>
      <c r="F820" t="str">
        <f t="shared" si="48"/>
        <v>50's</v>
      </c>
      <c r="G820" t="str" cm="1">
        <f t="array" ref="G820">_xlfn.IFS(
  F820="10's", "Child (5–12)",
  OR(F820="20's", F820="30's"), "Young Adult (20–39)",
  OR(F820="40's", F820="50's"), "Adult (40–59)",
  OR(F820="60's", F820="70's", F820="80's", F820="90's"), "Senior (60+)",
  TRUE, "Unknown"
)</f>
        <v>Adult (40–59)</v>
      </c>
      <c r="H820" t="s">
        <v>27</v>
      </c>
      <c r="I820" t="s">
        <v>54</v>
      </c>
      <c r="J820" t="str">
        <f t="shared" si="49"/>
        <v>Environmental Heat</v>
      </c>
      <c r="K820" t="s">
        <v>503</v>
      </c>
      <c r="L820" t="s">
        <v>250</v>
      </c>
      <c r="M820" t="s">
        <v>4793</v>
      </c>
      <c r="N820" t="s">
        <v>5101</v>
      </c>
      <c r="O820" t="str" cm="1">
        <f t="array" ref="O820">_xlfn.IFS(
  TEXT(TRIM(N820),"00000")="NULL", "Missing/Unknown",
  OR(TEXT(TRIM(N820),"00000")="89101", TEXT(TRIM(N820),"00000")="89104", TEXT(TRIM(N820),"00000")="89106", TEXT(TRIM(N820),"00000")="89102", TEXT(TRIM(N820),"00000")="89107", TEXT(TRIM(N820),"00000")="89108"), "Urban Core",
  OR(TEXT(TRIM(N820),"00000")="89110", TEXT(TRIM(N820),"00000")="89115", TEXT(TRIM(N820),"00000")="89121", TEXT(TRIM(N820),"00000")="89122", TEXT(TRIM(N820),"00000")="89142", TEXT(TRIM(N820),"00000")="89156"), "East Valley",
  OR(TEXT(TRIM(N820),"00000")="89030", TEXT(TRIM(N820),"00000")="89031", TEXT(TRIM(N820),"00000")="89032", TEXT(TRIM(N820),"00000")="89086", TEXT(TRIM(N820),"00000")="89084", TEXT(TRIM(N820),"00000")="89081"), "North LV",
  OR(TEXT(TRIM(N820),"00000")="89109", TEXT(TRIM(N820),"00000")="89103", TEXT(TRIM(N820),"00000")="89119", TEXT(TRIM(N820),"00000")="89123", TEXT(TRIM(N820),"00000")="89169", TEXT(TRIM(N820),"00000")="89118"), "South/Strip",
  OR(TEXT(TRIM(N820),"00000")="89074", TEXT(TRIM(N820),"00000")="89014", TEXT(TRIM(N820),"00000")="89015", TEXT(TRIM(N820),"00000")="89011", TEXT(TRIM(N820),"00000")="89012"), "Suburban SE",
  OR(TEXT(TRIM(N820),"00000")="89117", TEXT(TRIM(N820),"00000")="89128", TEXT(TRIM(N820),"00000")="89135", TEXT(TRIM(N820),"00000")="89144", TEXT(TRIM(N820),"00000")="89145", TEXT(TRIM(N820),"00000")="89147"), "West Valley",
  TRUE, "Other"
)</f>
        <v>Urban Core</v>
      </c>
      <c r="P820" t="s">
        <v>3298</v>
      </c>
      <c r="Q820" t="str">
        <f t="shared" si="50"/>
        <v>Outdoors/Public</v>
      </c>
      <c r="R820" t="s">
        <v>4793</v>
      </c>
      <c r="S820" t="s">
        <v>5101</v>
      </c>
      <c r="T820" t="str" cm="1">
        <f t="array" ref="T820">_xlfn.IFS(
  TEXT(TRIM(S820),"00000")="NULL", "Missing/Unknown",
  OR(TEXT(TRIM(S820),"00000")="89101", TEXT(TRIM(S820),"00000")="89104", TEXT(TRIM(S820),"00000")="89106", TEXT(TRIM(S820),"00000")="89102", TEXT(TRIM(S820),"00000")="89107", TEXT(TRIM(S820),"00000")="89108"), "Urban Core",
  OR(TEXT(TRIM(S820),"00000")="89110", TEXT(TRIM(S820),"00000")="89115", TEXT(TRIM(S820),"00000")="89121", TEXT(TRIM(S820),"00000")="89122", TEXT(TRIM(S820),"00000")="89142", TEXT(TRIM(S820),"00000")="89156"), "East Valley",
  OR(TEXT(TRIM(S820),"00000")="89030", TEXT(TRIM(S820),"00000")="89031", TEXT(TRIM(S820),"00000")="89032", TEXT(TRIM(S820),"00000")="89086", TEXT(TRIM(S820),"00000")="89084", TEXT(TRIM(S820),"00000")="89081"), "North LV",
  OR(TEXT(TRIM(S820),"00000")="89109", TEXT(TRIM(S820),"00000")="89103", TEXT(TRIM(S820),"00000")="89119", TEXT(TRIM(S820),"00000")="89123", TEXT(TRIM(S820),"00000")="89169", TEXT(TRIM(S820),"00000")="89118"), "South/Strip",
  OR(TEXT(TRIM(S820),"00000")="89074", TEXT(TRIM(S820),"00000")="89014", TEXT(TRIM(S820),"00000")="89015", TEXT(TRIM(S820),"00000")="89011", TEXT(TRIM(S820),"00000")="89012"), "Suburban SE",
  OR(TEXT(TRIM(S820),"00000")="89117", TEXT(TRIM(S820),"00000")="89128", TEXT(TRIM(S820),"00000")="89135", TEXT(TRIM(S820),"00000")="89144", TEXT(TRIM(S820),"00000")="89145", TEXT(TRIM(S820),"00000")="89147"), "West Valley",
  TRUE, "Other"
)</f>
        <v>Urban Core</v>
      </c>
      <c r="U820" t="s">
        <v>3298</v>
      </c>
      <c r="V820" t="str">
        <f t="shared" si="51"/>
        <v>Outdoors/Public</v>
      </c>
    </row>
    <row r="821" spans="1:22">
      <c r="A821" t="s">
        <v>1494</v>
      </c>
      <c r="B821" t="s">
        <v>1495</v>
      </c>
      <c r="C821" s="1">
        <v>44781</v>
      </c>
      <c r="D821" s="4">
        <v>102.92</v>
      </c>
      <c r="E821">
        <v>82</v>
      </c>
      <c r="F821" t="str">
        <f t="shared" si="48"/>
        <v>80's</v>
      </c>
      <c r="G821" t="str" cm="1">
        <f t="array" ref="G821">_xlfn.IFS(
  F821="10's", "Child (5–12)",
  OR(F821="20's", F821="30's"), "Young Adult (20–39)",
  OR(F821="40's", F821="50's"), "Adult (40–59)",
  OR(F821="60's", F821="70's", F821="80's", F821="90's"), "Senior (60+)",
  TRUE, "Unknown"
)</f>
        <v>Senior (60+)</v>
      </c>
      <c r="H821" t="s">
        <v>4309</v>
      </c>
      <c r="I821" t="s">
        <v>54</v>
      </c>
      <c r="J821" t="str">
        <f t="shared" si="49"/>
        <v>Environmental Heat</v>
      </c>
      <c r="K821" t="s">
        <v>181</v>
      </c>
      <c r="L821" t="s">
        <v>1071</v>
      </c>
      <c r="M821" t="s">
        <v>4432</v>
      </c>
      <c r="N821" t="s">
        <v>5123</v>
      </c>
      <c r="O821" t="str" cm="1">
        <f t="array" ref="O821">_xlfn.IFS(
  TEXT(TRIM(N821),"00000")="NULL", "Missing/Unknown",
  OR(TEXT(TRIM(N821),"00000")="89101", TEXT(TRIM(N821),"00000")="89104", TEXT(TRIM(N821),"00000")="89106", TEXT(TRIM(N821),"00000")="89102", TEXT(TRIM(N821),"00000")="89107", TEXT(TRIM(N821),"00000")="89108"), "Urban Core",
  OR(TEXT(TRIM(N821),"00000")="89110", TEXT(TRIM(N821),"00000")="89115", TEXT(TRIM(N821),"00000")="89121", TEXT(TRIM(N821),"00000")="89122", TEXT(TRIM(N821),"00000")="89142", TEXT(TRIM(N821),"00000")="89156"), "East Valley",
  OR(TEXT(TRIM(N821),"00000")="89030", TEXT(TRIM(N821),"00000")="89031", TEXT(TRIM(N821),"00000")="89032", TEXT(TRIM(N821),"00000")="89086", TEXT(TRIM(N821),"00000")="89084", TEXT(TRIM(N821),"00000")="89081"), "North LV",
  OR(TEXT(TRIM(N821),"00000")="89109", TEXT(TRIM(N821),"00000")="89103", TEXT(TRIM(N821),"00000")="89119", TEXT(TRIM(N821),"00000")="89123", TEXT(TRIM(N821),"00000")="89169", TEXT(TRIM(N821),"00000")="89118"), "South/Strip",
  OR(TEXT(TRIM(N821),"00000")="89074", TEXT(TRIM(N821),"00000")="89014", TEXT(TRIM(N821),"00000")="89015", TEXT(TRIM(N821),"00000")="89011", TEXT(TRIM(N821),"00000")="89012"), "Suburban SE",
  OR(TEXT(TRIM(N821),"00000")="89117", TEXT(TRIM(N821),"00000")="89128", TEXT(TRIM(N821),"00000")="89135", TEXT(TRIM(N821),"00000")="89144", TEXT(TRIM(N821),"00000")="89145", TEXT(TRIM(N821),"00000")="89147"), "West Valley",
  TRUE, "Other"
)</f>
        <v>South/Strip</v>
      </c>
      <c r="P821" t="s">
        <v>38</v>
      </c>
      <c r="Q821" t="str">
        <f t="shared" si="50"/>
        <v>Home/Residence</v>
      </c>
      <c r="R821" t="s">
        <v>4432</v>
      </c>
      <c r="S821" t="s">
        <v>5123</v>
      </c>
      <c r="T821" t="str" cm="1">
        <f t="array" ref="T821">_xlfn.IFS(
  TEXT(TRIM(S821),"00000")="NULL", "Missing/Unknown",
  OR(TEXT(TRIM(S821),"00000")="89101", TEXT(TRIM(S821),"00000")="89104", TEXT(TRIM(S821),"00000")="89106", TEXT(TRIM(S821),"00000")="89102", TEXT(TRIM(S821),"00000")="89107", TEXT(TRIM(S821),"00000")="89108"), "Urban Core",
  OR(TEXT(TRIM(S821),"00000")="89110", TEXT(TRIM(S821),"00000")="89115", TEXT(TRIM(S821),"00000")="89121", TEXT(TRIM(S821),"00000")="89122", TEXT(TRIM(S821),"00000")="89142", TEXT(TRIM(S821),"00000")="89156"), "East Valley",
  OR(TEXT(TRIM(S821),"00000")="89030", TEXT(TRIM(S821),"00000")="89031", TEXT(TRIM(S821),"00000")="89032", TEXT(TRIM(S821),"00000")="89086", TEXT(TRIM(S821),"00000")="89084", TEXT(TRIM(S821),"00000")="89081"), "North LV",
  OR(TEXT(TRIM(S821),"00000")="89109", TEXT(TRIM(S821),"00000")="89103", TEXT(TRIM(S821),"00000")="89119", TEXT(TRIM(S821),"00000")="89123", TEXT(TRIM(S821),"00000")="89169", TEXT(TRIM(S821),"00000")="89118"), "South/Strip",
  OR(TEXT(TRIM(S821),"00000")="89074", TEXT(TRIM(S821),"00000")="89014", TEXT(TRIM(S821),"00000")="89015", TEXT(TRIM(S821),"00000")="89011", TEXT(TRIM(S821),"00000")="89012"), "Suburban SE",
  OR(TEXT(TRIM(S821),"00000")="89117", TEXT(TRIM(S821),"00000")="89128", TEXT(TRIM(S821),"00000")="89135", TEXT(TRIM(S821),"00000")="89144", TEXT(TRIM(S821),"00000")="89145", TEXT(TRIM(S821),"00000")="89147"), "West Valley",
  TRUE, "Other"
)</f>
        <v>South/Strip</v>
      </c>
      <c r="U821" t="s">
        <v>38</v>
      </c>
      <c r="V821" t="str">
        <f t="shared" si="51"/>
        <v>Home/Residence</v>
      </c>
    </row>
    <row r="822" spans="1:22">
      <c r="A822" t="s">
        <v>1487</v>
      </c>
      <c r="B822" t="s">
        <v>1488</v>
      </c>
      <c r="C822" s="1">
        <v>44777</v>
      </c>
      <c r="D822" s="4">
        <v>95</v>
      </c>
      <c r="E822">
        <v>83</v>
      </c>
      <c r="F822" t="str">
        <f t="shared" si="48"/>
        <v>80's</v>
      </c>
      <c r="G822" t="str" cm="1">
        <f t="array" ref="G822">_xlfn.IFS(
  F822="10's", "Child (5–12)",
  OR(F822="20's", F822="30's"), "Young Adult (20–39)",
  OR(F822="40's", F822="50's"), "Adult (40–59)",
  OR(F822="60's", F822="70's", F822="80's", F822="90's"), "Senior (60+)",
  TRUE, "Unknown"
)</f>
        <v>Senior (60+)</v>
      </c>
      <c r="H822" t="s">
        <v>841</v>
      </c>
      <c r="I822" t="s">
        <v>63</v>
      </c>
      <c r="J822" t="str">
        <f t="shared" si="49"/>
        <v>Cardiovascular Disease</v>
      </c>
      <c r="K822" t="s">
        <v>54</v>
      </c>
      <c r="L822" t="s">
        <v>1071</v>
      </c>
      <c r="M822" t="s">
        <v>4433</v>
      </c>
      <c r="N822" t="s">
        <v>5160</v>
      </c>
      <c r="O822" t="str" cm="1">
        <f t="array" ref="O822">_xlfn.IFS(
  TEXT(TRIM(N822),"00000")="NULL", "Missing/Unknown",
  OR(TEXT(TRIM(N822),"00000")="89101", TEXT(TRIM(N822),"00000")="89104", TEXT(TRIM(N822),"00000")="89106", TEXT(TRIM(N822),"00000")="89102", TEXT(TRIM(N822),"00000")="89107", TEXT(TRIM(N822),"00000")="89108"), "Urban Core",
  OR(TEXT(TRIM(N822),"00000")="89110", TEXT(TRIM(N822),"00000")="89115", TEXT(TRIM(N822),"00000")="89121", TEXT(TRIM(N822),"00000")="89122", TEXT(TRIM(N822),"00000")="89142", TEXT(TRIM(N822),"00000")="89156"), "East Valley",
  OR(TEXT(TRIM(N822),"00000")="89030", TEXT(TRIM(N822),"00000")="89031", TEXT(TRIM(N822),"00000")="89032", TEXT(TRIM(N822),"00000")="89086", TEXT(TRIM(N822),"00000")="89084", TEXT(TRIM(N822),"00000")="89081"), "North LV",
  OR(TEXT(TRIM(N822),"00000")="89109", TEXT(TRIM(N822),"00000")="89103", TEXT(TRIM(N822),"00000")="89119", TEXT(TRIM(N822),"00000")="89123", TEXT(TRIM(N822),"00000")="89169", TEXT(TRIM(N822),"00000")="89118"), "South/Strip",
  OR(TEXT(TRIM(N822),"00000")="89074", TEXT(TRIM(N822),"00000")="89014", TEXT(TRIM(N822),"00000")="89015", TEXT(TRIM(N822),"00000")="89011", TEXT(TRIM(N822),"00000")="89012"), "Suburban SE",
  OR(TEXT(TRIM(N822),"00000")="89117", TEXT(TRIM(N822),"00000")="89128", TEXT(TRIM(N822),"00000")="89135", TEXT(TRIM(N822),"00000")="89144", TEXT(TRIM(N822),"00000")="89145", TEXT(TRIM(N822),"00000")="89147"), "West Valley",
  TRUE, "Other"
)</f>
        <v>Other</v>
      </c>
      <c r="P822" t="s">
        <v>38</v>
      </c>
      <c r="Q822" t="str">
        <f t="shared" si="50"/>
        <v>Home/Residence</v>
      </c>
      <c r="R822" t="s">
        <v>4433</v>
      </c>
      <c r="S822" t="s">
        <v>5160</v>
      </c>
      <c r="T822" t="str" cm="1">
        <f t="array" ref="T822">_xlfn.IFS(
  TEXT(TRIM(S822),"00000")="NULL", "Missing/Unknown",
  OR(TEXT(TRIM(S822),"00000")="89101", TEXT(TRIM(S822),"00000")="89104", TEXT(TRIM(S822),"00000")="89106", TEXT(TRIM(S822),"00000")="89102", TEXT(TRIM(S822),"00000")="89107", TEXT(TRIM(S822),"00000")="89108"), "Urban Core",
  OR(TEXT(TRIM(S822),"00000")="89110", TEXT(TRIM(S822),"00000")="89115", TEXT(TRIM(S822),"00000")="89121", TEXT(TRIM(S822),"00000")="89122", TEXT(TRIM(S822),"00000")="89142", TEXT(TRIM(S822),"00000")="89156"), "East Valley",
  OR(TEXT(TRIM(S822),"00000")="89030", TEXT(TRIM(S822),"00000")="89031", TEXT(TRIM(S822),"00000")="89032", TEXT(TRIM(S822),"00000")="89086", TEXT(TRIM(S822),"00000")="89084", TEXT(TRIM(S822),"00000")="89081"), "North LV",
  OR(TEXT(TRIM(S822),"00000")="89109", TEXT(TRIM(S822),"00000")="89103", TEXT(TRIM(S822),"00000")="89119", TEXT(TRIM(S822),"00000")="89123", TEXT(TRIM(S822),"00000")="89169", TEXT(TRIM(S822),"00000")="89118"), "South/Strip",
  OR(TEXT(TRIM(S822),"00000")="89074", TEXT(TRIM(S822),"00000")="89014", TEXT(TRIM(S822),"00000")="89015", TEXT(TRIM(S822),"00000")="89011", TEXT(TRIM(S822),"00000")="89012"), "Suburban SE",
  OR(TEXT(TRIM(S822),"00000")="89117", TEXT(TRIM(S822),"00000")="89128", TEXT(TRIM(S822),"00000")="89135", TEXT(TRIM(S822),"00000")="89144", TEXT(TRIM(S822),"00000")="89145", TEXT(TRIM(S822),"00000")="89147"), "West Valley",
  TRUE, "Other"
)</f>
        <v>Other</v>
      </c>
      <c r="U822" t="s">
        <v>38</v>
      </c>
      <c r="V822" t="str">
        <f t="shared" si="51"/>
        <v>Home/Residence</v>
      </c>
    </row>
    <row r="823" spans="1:22">
      <c r="A823" t="s">
        <v>1483</v>
      </c>
      <c r="B823" t="s">
        <v>1484</v>
      </c>
      <c r="C823" s="1">
        <v>44775</v>
      </c>
      <c r="D823" s="4">
        <v>102.92</v>
      </c>
      <c r="E823">
        <v>34</v>
      </c>
      <c r="F823" t="str">
        <f t="shared" si="48"/>
        <v>30's</v>
      </c>
      <c r="G823" t="str" cm="1">
        <f t="array" ref="G823">_xlfn.IFS(
  F823="10's", "Child (5–12)",
  OR(F823="20's", F823="30's"), "Young Adult (20–39)",
  OR(F823="40's", F823="50's"), "Adult (40–59)",
  OR(F823="60's", F823="70's", F823="80's", F823="90's"), "Senior (60+)",
  TRUE, "Unknown"
)</f>
        <v>Young Adult (20–39)</v>
      </c>
      <c r="H823" t="s">
        <v>841</v>
      </c>
      <c r="I823" t="s">
        <v>299</v>
      </c>
      <c r="J823" t="str">
        <f t="shared" si="49"/>
        <v>Cardiovascular Disease</v>
      </c>
      <c r="K823" t="s">
        <v>4246</v>
      </c>
      <c r="L823" t="s">
        <v>1071</v>
      </c>
      <c r="N823" t="s">
        <v>5095</v>
      </c>
      <c r="O823" t="str" cm="1">
        <f t="array" ref="O823">_xlfn.IFS(
  TEXT(TRIM(N823),"00000")="NULL", "Missing/Unknown",
  OR(TEXT(TRIM(N823),"00000")="89101", TEXT(TRIM(N823),"00000")="89104", TEXT(TRIM(N823),"00000")="89106", TEXT(TRIM(N823),"00000")="89102", TEXT(TRIM(N823),"00000")="89107", TEXT(TRIM(N823),"00000")="89108"), "Urban Core",
  OR(TEXT(TRIM(N823),"00000")="89110", TEXT(TRIM(N823),"00000")="89115", TEXT(TRIM(N823),"00000")="89121", TEXT(TRIM(N823),"00000")="89122", TEXT(TRIM(N823),"00000")="89142", TEXT(TRIM(N823),"00000")="89156"), "East Valley",
  OR(TEXT(TRIM(N823),"00000")="89030", TEXT(TRIM(N823),"00000")="89031", TEXT(TRIM(N823),"00000")="89032", TEXT(TRIM(N823),"00000")="89086", TEXT(TRIM(N823),"00000")="89084", TEXT(TRIM(N823),"00000")="89081"), "North LV",
  OR(TEXT(TRIM(N823),"00000")="89109", TEXT(TRIM(N823),"00000")="89103", TEXT(TRIM(N823),"00000")="89119", TEXT(TRIM(N823),"00000")="89123", TEXT(TRIM(N823),"00000")="89169", TEXT(TRIM(N823),"00000")="89118"), "South/Strip",
  OR(TEXT(TRIM(N823),"00000")="89074", TEXT(TRIM(N823),"00000")="89014", TEXT(TRIM(N823),"00000")="89015", TEXT(TRIM(N823),"00000")="89011", TEXT(TRIM(N823),"00000")="89012"), "Suburban SE",
  OR(TEXT(TRIM(N823),"00000")="89117", TEXT(TRIM(N823),"00000")="89128", TEXT(TRIM(N823),"00000")="89135", TEXT(TRIM(N823),"00000")="89144", TEXT(TRIM(N823),"00000")="89145", TEXT(TRIM(N823),"00000")="89147"), "West Valley",
  TRUE, "Other"
)</f>
        <v>Missing/Unknown</v>
      </c>
      <c r="P823" t="s">
        <v>3298</v>
      </c>
      <c r="Q823" t="str">
        <f t="shared" si="50"/>
        <v>Outdoors/Public</v>
      </c>
      <c r="S823" t="s">
        <v>5095</v>
      </c>
      <c r="T823" t="str" cm="1">
        <f t="array" ref="T823">_xlfn.IFS(
  TEXT(TRIM(S823),"00000")="NULL", "Missing/Unknown",
  OR(TEXT(TRIM(S823),"00000")="89101", TEXT(TRIM(S823),"00000")="89104", TEXT(TRIM(S823),"00000")="89106", TEXT(TRIM(S823),"00000")="89102", TEXT(TRIM(S823),"00000")="89107", TEXT(TRIM(S823),"00000")="89108"), "Urban Core",
  OR(TEXT(TRIM(S823),"00000")="89110", TEXT(TRIM(S823),"00000")="89115", TEXT(TRIM(S823),"00000")="89121", TEXT(TRIM(S823),"00000")="89122", TEXT(TRIM(S823),"00000")="89142", TEXT(TRIM(S823),"00000")="89156"), "East Valley",
  OR(TEXT(TRIM(S823),"00000")="89030", TEXT(TRIM(S823),"00000")="89031", TEXT(TRIM(S823),"00000")="89032", TEXT(TRIM(S823),"00000")="89086", TEXT(TRIM(S823),"00000")="89084", TEXT(TRIM(S823),"00000")="89081"), "North LV",
  OR(TEXT(TRIM(S823),"00000")="89109", TEXT(TRIM(S823),"00000")="89103", TEXT(TRIM(S823),"00000")="89119", TEXT(TRIM(S823),"00000")="89123", TEXT(TRIM(S823),"00000")="89169", TEXT(TRIM(S823),"00000")="89118"), "South/Strip",
  OR(TEXT(TRIM(S823),"00000")="89074", TEXT(TRIM(S823),"00000")="89014", TEXT(TRIM(S823),"00000")="89015", TEXT(TRIM(S823),"00000")="89011", TEXT(TRIM(S823),"00000")="89012"), "Suburban SE",
  OR(TEXT(TRIM(S823),"00000")="89117", TEXT(TRIM(S823),"00000")="89128", TEXT(TRIM(S823),"00000")="89135", TEXT(TRIM(S823),"00000")="89144", TEXT(TRIM(S823),"00000")="89145", TEXT(TRIM(S823),"00000")="89147"), "West Valley",
  TRUE, "Other"
)</f>
        <v>Missing/Unknown</v>
      </c>
      <c r="U823" t="s">
        <v>3298</v>
      </c>
      <c r="V823" t="str">
        <f t="shared" si="51"/>
        <v>Outdoors/Public</v>
      </c>
    </row>
    <row r="824" spans="1:22">
      <c r="A824" t="s">
        <v>1479</v>
      </c>
      <c r="B824" t="s">
        <v>1480</v>
      </c>
      <c r="C824" s="1">
        <v>44773</v>
      </c>
      <c r="D824" s="4">
        <v>89.960000000000008</v>
      </c>
      <c r="E824">
        <v>71</v>
      </c>
      <c r="F824" t="str">
        <f t="shared" si="48"/>
        <v>70's</v>
      </c>
      <c r="G824" t="str" cm="1">
        <f t="array" ref="G824">_xlfn.IFS(
  F824="10's", "Child (5–12)",
  OR(F824="20's", F824="30's"), "Young Adult (20–39)",
  OR(F824="40's", F824="50's"), "Adult (40–59)",
  OR(F824="60's", F824="70's", F824="80's", F824="90's"), "Senior (60+)",
  TRUE, "Unknown"
)</f>
        <v>Senior (60+)</v>
      </c>
      <c r="H824" t="s">
        <v>841</v>
      </c>
      <c r="I824" t="s">
        <v>4102</v>
      </c>
      <c r="J824" t="str">
        <f t="shared" si="49"/>
        <v>Environmental Heat</v>
      </c>
      <c r="K824" t="s">
        <v>4248</v>
      </c>
      <c r="L824" t="s">
        <v>1071</v>
      </c>
      <c r="M824" t="s">
        <v>4435</v>
      </c>
      <c r="N824" t="s">
        <v>5120</v>
      </c>
      <c r="O824" t="str" cm="1">
        <f t="array" ref="O824">_xlfn.IFS(
  TEXT(TRIM(N824),"00000")="NULL", "Missing/Unknown",
  OR(TEXT(TRIM(N824),"00000")="89101", TEXT(TRIM(N824),"00000")="89104", TEXT(TRIM(N824),"00000")="89106", TEXT(TRIM(N824),"00000")="89102", TEXT(TRIM(N824),"00000")="89107", TEXT(TRIM(N824),"00000")="89108"), "Urban Core",
  OR(TEXT(TRIM(N824),"00000")="89110", TEXT(TRIM(N824),"00000")="89115", TEXT(TRIM(N824),"00000")="89121", TEXT(TRIM(N824),"00000")="89122", TEXT(TRIM(N824),"00000")="89142", TEXT(TRIM(N824),"00000")="89156"), "East Valley",
  OR(TEXT(TRIM(N824),"00000")="89030", TEXT(TRIM(N824),"00000")="89031", TEXT(TRIM(N824),"00000")="89032", TEXT(TRIM(N824),"00000")="89086", TEXT(TRIM(N824),"00000")="89084", TEXT(TRIM(N824),"00000")="89081"), "North LV",
  OR(TEXT(TRIM(N824),"00000")="89109", TEXT(TRIM(N824),"00000")="89103", TEXT(TRIM(N824),"00000")="89119", TEXT(TRIM(N824),"00000")="89123", TEXT(TRIM(N824),"00000")="89169", TEXT(TRIM(N824),"00000")="89118"), "South/Strip",
  OR(TEXT(TRIM(N824),"00000")="89074", TEXT(TRIM(N824),"00000")="89014", TEXT(TRIM(N824),"00000")="89015", TEXT(TRIM(N824),"00000")="89011", TEXT(TRIM(N824),"00000")="89012"), "Suburban SE",
  OR(TEXT(TRIM(N824),"00000")="89117", TEXT(TRIM(N824),"00000")="89128", TEXT(TRIM(N824),"00000")="89135", TEXT(TRIM(N824),"00000")="89144", TEXT(TRIM(N824),"00000")="89145", TEXT(TRIM(N824),"00000")="89147"), "West Valley",
  TRUE, "Other"
)</f>
        <v>Suburban SE</v>
      </c>
      <c r="P824" t="s">
        <v>38</v>
      </c>
      <c r="Q824" t="str">
        <f t="shared" si="50"/>
        <v>Home/Residence</v>
      </c>
      <c r="R824" t="s">
        <v>4435</v>
      </c>
      <c r="S824" t="s">
        <v>5120</v>
      </c>
      <c r="T824" t="str" cm="1">
        <f t="array" ref="T824">_xlfn.IFS(
  TEXT(TRIM(S824),"00000")="NULL", "Missing/Unknown",
  OR(TEXT(TRIM(S824),"00000")="89101", TEXT(TRIM(S824),"00000")="89104", TEXT(TRIM(S824),"00000")="89106", TEXT(TRIM(S824),"00000")="89102", TEXT(TRIM(S824),"00000")="89107", TEXT(TRIM(S824),"00000")="89108"), "Urban Core",
  OR(TEXT(TRIM(S824),"00000")="89110", TEXT(TRIM(S824),"00000")="89115", TEXT(TRIM(S824),"00000")="89121", TEXT(TRIM(S824),"00000")="89122", TEXT(TRIM(S824),"00000")="89142", TEXT(TRIM(S824),"00000")="89156"), "East Valley",
  OR(TEXT(TRIM(S824),"00000")="89030", TEXT(TRIM(S824),"00000")="89031", TEXT(TRIM(S824),"00000")="89032", TEXT(TRIM(S824),"00000")="89086", TEXT(TRIM(S824),"00000")="89084", TEXT(TRIM(S824),"00000")="89081"), "North LV",
  OR(TEXT(TRIM(S824),"00000")="89109", TEXT(TRIM(S824),"00000")="89103", TEXT(TRIM(S824),"00000")="89119", TEXT(TRIM(S824),"00000")="89123", TEXT(TRIM(S824),"00000")="89169", TEXT(TRIM(S824),"00000")="89118"), "South/Strip",
  OR(TEXT(TRIM(S824),"00000")="89074", TEXT(TRIM(S824),"00000")="89014", TEXT(TRIM(S824),"00000")="89015", TEXT(TRIM(S824),"00000")="89011", TEXT(TRIM(S824),"00000")="89012"), "Suburban SE",
  OR(TEXT(TRIM(S824),"00000")="89117", TEXT(TRIM(S824),"00000")="89128", TEXT(TRIM(S824),"00000")="89135", TEXT(TRIM(S824),"00000")="89144", TEXT(TRIM(S824),"00000")="89145", TEXT(TRIM(S824),"00000")="89147"), "West Valley",
  TRUE, "Other"
)</f>
        <v>Suburban SE</v>
      </c>
      <c r="U824" t="s">
        <v>38</v>
      </c>
      <c r="V824" t="str">
        <f t="shared" si="51"/>
        <v>Home/Residence</v>
      </c>
    </row>
    <row r="825" spans="1:22">
      <c r="A825" t="s">
        <v>1474</v>
      </c>
      <c r="B825" t="s">
        <v>1475</v>
      </c>
      <c r="C825" s="1">
        <v>44773</v>
      </c>
      <c r="D825" s="4">
        <v>89.960000000000008</v>
      </c>
      <c r="E825">
        <v>65</v>
      </c>
      <c r="F825" t="str">
        <f t="shared" si="48"/>
        <v>60's</v>
      </c>
      <c r="G825" t="str" cm="1">
        <f t="array" ref="G825">_xlfn.IFS(
  F825="10's", "Child (5–12)",
  OR(F825="20's", F825="30's"), "Young Adult (20–39)",
  OR(F825="40's", F825="50's"), "Adult (40–59)",
  OR(F825="60's", F825="70's", F825="80's", F825="90's"), "Senior (60+)",
  TRUE, "Unknown"
)</f>
        <v>Senior (60+)</v>
      </c>
      <c r="H825" t="s">
        <v>778</v>
      </c>
      <c r="I825" t="s">
        <v>4102</v>
      </c>
      <c r="J825" t="str">
        <f t="shared" si="49"/>
        <v>Environmental Heat</v>
      </c>
      <c r="K825" t="s">
        <v>4247</v>
      </c>
      <c r="L825" t="s">
        <v>1071</v>
      </c>
      <c r="M825" t="s">
        <v>4434</v>
      </c>
      <c r="N825" t="s">
        <v>5111</v>
      </c>
      <c r="O825" t="str" cm="1">
        <f t="array" ref="O825">_xlfn.IFS(
  TEXT(TRIM(N825),"00000")="NULL", "Missing/Unknown",
  OR(TEXT(TRIM(N825),"00000")="89101", TEXT(TRIM(N825),"00000")="89104", TEXT(TRIM(N825),"00000")="89106", TEXT(TRIM(N825),"00000")="89102", TEXT(TRIM(N825),"00000")="89107", TEXT(TRIM(N825),"00000")="89108"), "Urban Core",
  OR(TEXT(TRIM(N825),"00000")="89110", TEXT(TRIM(N825),"00000")="89115", TEXT(TRIM(N825),"00000")="89121", TEXT(TRIM(N825),"00000")="89122", TEXT(TRIM(N825),"00000")="89142", TEXT(TRIM(N825),"00000")="89156"), "East Valley",
  OR(TEXT(TRIM(N825),"00000")="89030", TEXT(TRIM(N825),"00000")="89031", TEXT(TRIM(N825),"00000")="89032", TEXT(TRIM(N825),"00000")="89086", TEXT(TRIM(N825),"00000")="89084", TEXT(TRIM(N825),"00000")="89081"), "North LV",
  OR(TEXT(TRIM(N825),"00000")="89109", TEXT(TRIM(N825),"00000")="89103", TEXT(TRIM(N825),"00000")="89119", TEXT(TRIM(N825),"00000")="89123", TEXT(TRIM(N825),"00000")="89169", TEXT(TRIM(N825),"00000")="89118"), "South/Strip",
  OR(TEXT(TRIM(N825),"00000")="89074", TEXT(TRIM(N825),"00000")="89014", TEXT(TRIM(N825),"00000")="89015", TEXT(TRIM(N825),"00000")="89011", TEXT(TRIM(N825),"00000")="89012"), "Suburban SE",
  OR(TEXT(TRIM(N825),"00000")="89117", TEXT(TRIM(N825),"00000")="89128", TEXT(TRIM(N825),"00000")="89135", TEXT(TRIM(N825),"00000")="89144", TEXT(TRIM(N825),"00000")="89145", TEXT(TRIM(N825),"00000")="89147"), "West Valley",
  TRUE, "Other"
)</f>
        <v>West Valley</v>
      </c>
      <c r="P825" t="s">
        <v>38</v>
      </c>
      <c r="Q825" t="str">
        <f t="shared" si="50"/>
        <v>Home/Residence</v>
      </c>
      <c r="R825" t="s">
        <v>4434</v>
      </c>
      <c r="S825" t="s">
        <v>5111</v>
      </c>
      <c r="T825" t="str" cm="1">
        <f t="array" ref="T825">_xlfn.IFS(
  TEXT(TRIM(S825),"00000")="NULL", "Missing/Unknown",
  OR(TEXT(TRIM(S825),"00000")="89101", TEXT(TRIM(S825),"00000")="89104", TEXT(TRIM(S825),"00000")="89106", TEXT(TRIM(S825),"00000")="89102", TEXT(TRIM(S825),"00000")="89107", TEXT(TRIM(S825),"00000")="89108"), "Urban Core",
  OR(TEXT(TRIM(S825),"00000")="89110", TEXT(TRIM(S825),"00000")="89115", TEXT(TRIM(S825),"00000")="89121", TEXT(TRIM(S825),"00000")="89122", TEXT(TRIM(S825),"00000")="89142", TEXT(TRIM(S825),"00000")="89156"), "East Valley",
  OR(TEXT(TRIM(S825),"00000")="89030", TEXT(TRIM(S825),"00000")="89031", TEXT(TRIM(S825),"00000")="89032", TEXT(TRIM(S825),"00000")="89086", TEXT(TRIM(S825),"00000")="89084", TEXT(TRIM(S825),"00000")="89081"), "North LV",
  OR(TEXT(TRIM(S825),"00000")="89109", TEXT(TRIM(S825),"00000")="89103", TEXT(TRIM(S825),"00000")="89119", TEXT(TRIM(S825),"00000")="89123", TEXT(TRIM(S825),"00000")="89169", TEXT(TRIM(S825),"00000")="89118"), "South/Strip",
  OR(TEXT(TRIM(S825),"00000")="89074", TEXT(TRIM(S825),"00000")="89014", TEXT(TRIM(S825),"00000")="89015", TEXT(TRIM(S825),"00000")="89011", TEXT(TRIM(S825),"00000")="89012"), "Suburban SE",
  OR(TEXT(TRIM(S825),"00000")="89117", TEXT(TRIM(S825),"00000")="89128", TEXT(TRIM(S825),"00000")="89135", TEXT(TRIM(S825),"00000")="89144", TEXT(TRIM(S825),"00000")="89145", TEXT(TRIM(S825),"00000")="89147"), "West Valley",
  TRUE, "Other"
)</f>
        <v>West Valley</v>
      </c>
      <c r="U825" t="s">
        <v>38</v>
      </c>
      <c r="V825" t="str">
        <f t="shared" si="51"/>
        <v>Home/Residence</v>
      </c>
    </row>
    <row r="826" spans="1:22">
      <c r="A826" t="s">
        <v>1468</v>
      </c>
      <c r="B826" t="s">
        <v>1469</v>
      </c>
      <c r="C826" s="1">
        <v>44770</v>
      </c>
      <c r="D826" s="4">
        <v>100.04</v>
      </c>
      <c r="E826">
        <v>67</v>
      </c>
      <c r="F826" t="str">
        <f t="shared" si="48"/>
        <v>60's</v>
      </c>
      <c r="G826" t="str" cm="1">
        <f t="array" ref="G826">_xlfn.IFS(
  F826="10's", "Child (5–12)",
  OR(F826="20's", F826="30's"), "Young Adult (20–39)",
  OR(F826="40's", F826="50's"), "Adult (40–59)",
  OR(F826="60's", F826="70's", F826="80's", F826="90's"), "Senior (60+)",
  TRUE, "Unknown"
)</f>
        <v>Senior (60+)</v>
      </c>
      <c r="H826" t="s">
        <v>841</v>
      </c>
      <c r="I826" t="s">
        <v>54</v>
      </c>
      <c r="J826" t="str">
        <f t="shared" si="49"/>
        <v>Environmental Heat</v>
      </c>
      <c r="K826" t="s">
        <v>4249</v>
      </c>
      <c r="L826" t="s">
        <v>250</v>
      </c>
      <c r="M826" t="s">
        <v>4326</v>
      </c>
      <c r="N826" t="s">
        <v>5098</v>
      </c>
      <c r="O826" t="str" cm="1">
        <f t="array" ref="O826">_xlfn.IFS(
  TEXT(TRIM(N826),"00000")="NULL", "Missing/Unknown",
  OR(TEXT(TRIM(N826),"00000")="89101", TEXT(TRIM(N826),"00000")="89104", TEXT(TRIM(N826),"00000")="89106", TEXT(TRIM(N826),"00000")="89102", TEXT(TRIM(N826),"00000")="89107", TEXT(TRIM(N826),"00000")="89108"), "Urban Core",
  OR(TEXT(TRIM(N826),"00000")="89110", TEXT(TRIM(N826),"00000")="89115", TEXT(TRIM(N826),"00000")="89121", TEXT(TRIM(N826),"00000")="89122", TEXT(TRIM(N826),"00000")="89142", TEXT(TRIM(N826),"00000")="89156"), "East Valley",
  OR(TEXT(TRIM(N826),"00000")="89030", TEXT(TRIM(N826),"00000")="89031", TEXT(TRIM(N826),"00000")="89032", TEXT(TRIM(N826),"00000")="89086", TEXT(TRIM(N826),"00000")="89084", TEXT(TRIM(N826),"00000")="89081"), "North LV",
  OR(TEXT(TRIM(N826),"00000")="89109", TEXT(TRIM(N826),"00000")="89103", TEXT(TRIM(N826),"00000")="89119", TEXT(TRIM(N826),"00000")="89123", TEXT(TRIM(N826),"00000")="89169", TEXT(TRIM(N826),"00000")="89118"), "South/Strip",
  OR(TEXT(TRIM(N826),"00000")="89074", TEXT(TRIM(N826),"00000")="89014", TEXT(TRIM(N826),"00000")="89015", TEXT(TRIM(N826),"00000")="89011", TEXT(TRIM(N826),"00000")="89012"), "Suburban SE",
  OR(TEXT(TRIM(N826),"00000")="89117", TEXT(TRIM(N826),"00000")="89128", TEXT(TRIM(N826),"00000")="89135", TEXT(TRIM(N826),"00000")="89144", TEXT(TRIM(N826),"00000")="89145", TEXT(TRIM(N826),"00000")="89147"), "West Valley",
  TRUE, "Other"
)</f>
        <v>Urban Core</v>
      </c>
      <c r="P826" t="s">
        <v>3298</v>
      </c>
      <c r="Q826" t="str">
        <f t="shared" si="50"/>
        <v>Outdoors/Public</v>
      </c>
      <c r="R826" t="s">
        <v>4326</v>
      </c>
      <c r="S826" t="s">
        <v>5098</v>
      </c>
      <c r="T826" t="str" cm="1">
        <f t="array" ref="T826">_xlfn.IFS(
  TEXT(TRIM(S826),"00000")="NULL", "Missing/Unknown",
  OR(TEXT(TRIM(S826),"00000")="89101", TEXT(TRIM(S826),"00000")="89104", TEXT(TRIM(S826),"00000")="89106", TEXT(TRIM(S826),"00000")="89102", TEXT(TRIM(S826),"00000")="89107", TEXT(TRIM(S826),"00000")="89108"), "Urban Core",
  OR(TEXT(TRIM(S826),"00000")="89110", TEXT(TRIM(S826),"00000")="89115", TEXT(TRIM(S826),"00000")="89121", TEXT(TRIM(S826),"00000")="89122", TEXT(TRIM(S826),"00000")="89142", TEXT(TRIM(S826),"00000")="89156"), "East Valley",
  OR(TEXT(TRIM(S826),"00000")="89030", TEXT(TRIM(S826),"00000")="89031", TEXT(TRIM(S826),"00000")="89032", TEXT(TRIM(S826),"00000")="89086", TEXT(TRIM(S826),"00000")="89084", TEXT(TRIM(S826),"00000")="89081"), "North LV",
  OR(TEXT(TRIM(S826),"00000")="89109", TEXT(TRIM(S826),"00000")="89103", TEXT(TRIM(S826),"00000")="89119", TEXT(TRIM(S826),"00000")="89123", TEXT(TRIM(S826),"00000")="89169", TEXT(TRIM(S826),"00000")="89118"), "South/Strip",
  OR(TEXT(TRIM(S826),"00000")="89074", TEXT(TRIM(S826),"00000")="89014", TEXT(TRIM(S826),"00000")="89015", TEXT(TRIM(S826),"00000")="89011", TEXT(TRIM(S826),"00000")="89012"), "Suburban SE",
  OR(TEXT(TRIM(S826),"00000")="89117", TEXT(TRIM(S826),"00000")="89128", TEXT(TRIM(S826),"00000")="89135", TEXT(TRIM(S826),"00000")="89144", TEXT(TRIM(S826),"00000")="89145", TEXT(TRIM(S826),"00000")="89147"), "West Valley",
  TRUE, "Other"
)</f>
        <v>Urban Core</v>
      </c>
      <c r="U826" t="s">
        <v>3298</v>
      </c>
      <c r="V826" t="str">
        <f t="shared" si="51"/>
        <v>Outdoors/Public</v>
      </c>
    </row>
    <row r="827" spans="1:22">
      <c r="A827" t="s">
        <v>1472</v>
      </c>
      <c r="B827" t="s">
        <v>1473</v>
      </c>
      <c r="C827" s="1">
        <v>44770</v>
      </c>
      <c r="D827" s="4">
        <v>100.04</v>
      </c>
      <c r="E827">
        <v>42</v>
      </c>
      <c r="F827" t="str">
        <f t="shared" si="48"/>
        <v>40's</v>
      </c>
      <c r="G827" t="str" cm="1">
        <f t="array" ref="G827">_xlfn.IFS(
  F827="10's", "Child (5–12)",
  OR(F827="20's", F827="30's"), "Young Adult (20–39)",
  OR(F827="40's", F827="50's"), "Adult (40–59)",
  OR(F827="60's", F827="70's", F827="80's", F827="90's"), "Senior (60+)",
  TRUE, "Unknown"
)</f>
        <v>Adult (40–59)</v>
      </c>
      <c r="H827" t="s">
        <v>841</v>
      </c>
      <c r="I827" t="s">
        <v>35</v>
      </c>
      <c r="J827" t="str">
        <f t="shared" si="49"/>
        <v>Environmental Heat</v>
      </c>
      <c r="K827" t="s">
        <v>28</v>
      </c>
      <c r="L827" t="s">
        <v>250</v>
      </c>
      <c r="N827" t="s">
        <v>5095</v>
      </c>
      <c r="O827" t="str" cm="1">
        <f t="array" ref="O827">_xlfn.IFS(
  TEXT(TRIM(N827),"00000")="NULL", "Missing/Unknown",
  OR(TEXT(TRIM(N827),"00000")="89101", TEXT(TRIM(N827),"00000")="89104", TEXT(TRIM(N827),"00000")="89106", TEXT(TRIM(N827),"00000")="89102", TEXT(TRIM(N827),"00000")="89107", TEXT(TRIM(N827),"00000")="89108"), "Urban Core",
  OR(TEXT(TRIM(N827),"00000")="89110", TEXT(TRIM(N827),"00000")="89115", TEXT(TRIM(N827),"00000")="89121", TEXT(TRIM(N827),"00000")="89122", TEXT(TRIM(N827),"00000")="89142", TEXT(TRIM(N827),"00000")="89156"), "East Valley",
  OR(TEXT(TRIM(N827),"00000")="89030", TEXT(TRIM(N827),"00000")="89031", TEXT(TRIM(N827),"00000")="89032", TEXT(TRIM(N827),"00000")="89086", TEXT(TRIM(N827),"00000")="89084", TEXT(TRIM(N827),"00000")="89081"), "North LV",
  OR(TEXT(TRIM(N827),"00000")="89109", TEXT(TRIM(N827),"00000")="89103", TEXT(TRIM(N827),"00000")="89119", TEXT(TRIM(N827),"00000")="89123", TEXT(TRIM(N827),"00000")="89169", TEXT(TRIM(N827),"00000")="89118"), "South/Strip",
  OR(TEXT(TRIM(N827),"00000")="89074", TEXT(TRIM(N827),"00000")="89014", TEXT(TRIM(N827),"00000")="89015", TEXT(TRIM(N827),"00000")="89011", TEXT(TRIM(N827),"00000")="89012"), "Suburban SE",
  OR(TEXT(TRIM(N827),"00000")="89117", TEXT(TRIM(N827),"00000")="89128", TEXT(TRIM(N827),"00000")="89135", TEXT(TRIM(N827),"00000")="89144", TEXT(TRIM(N827),"00000")="89145", TEXT(TRIM(N827),"00000")="89147"), "West Valley",
  TRUE, "Other"
)</f>
        <v>Missing/Unknown</v>
      </c>
      <c r="P827" t="s">
        <v>3298</v>
      </c>
      <c r="Q827" t="str">
        <f t="shared" si="50"/>
        <v>Outdoors/Public</v>
      </c>
      <c r="R827" t="s">
        <v>5055</v>
      </c>
      <c r="S827" t="s">
        <v>5119</v>
      </c>
      <c r="T827" t="str" cm="1">
        <f t="array" ref="T827">_xlfn.IFS(
  TEXT(TRIM(S827),"00000")="NULL", "Missing/Unknown",
  OR(TEXT(TRIM(S827),"00000")="89101", TEXT(TRIM(S827),"00000")="89104", TEXT(TRIM(S827),"00000")="89106", TEXT(TRIM(S827),"00000")="89102", TEXT(TRIM(S827),"00000")="89107", TEXT(TRIM(S827),"00000")="89108"), "Urban Core",
  OR(TEXT(TRIM(S827),"00000")="89110", TEXT(TRIM(S827),"00000")="89115", TEXT(TRIM(S827),"00000")="89121", TEXT(TRIM(S827),"00000")="89122", TEXT(TRIM(S827),"00000")="89142", TEXT(TRIM(S827),"00000")="89156"), "East Valley",
  OR(TEXT(TRIM(S827),"00000")="89030", TEXT(TRIM(S827),"00000")="89031", TEXT(TRIM(S827),"00000")="89032", TEXT(TRIM(S827),"00000")="89086", TEXT(TRIM(S827),"00000")="89084", TEXT(TRIM(S827),"00000")="89081"), "North LV",
  OR(TEXT(TRIM(S827),"00000")="89109", TEXT(TRIM(S827),"00000")="89103", TEXT(TRIM(S827),"00000")="89119", TEXT(TRIM(S827),"00000")="89123", TEXT(TRIM(S827),"00000")="89169", TEXT(TRIM(S827),"00000")="89118"), "South/Strip",
  OR(TEXT(TRIM(S827),"00000")="89074", TEXT(TRIM(S827),"00000")="89014", TEXT(TRIM(S827),"00000")="89015", TEXT(TRIM(S827),"00000")="89011", TEXT(TRIM(S827),"00000")="89012"), "Suburban SE",
  OR(TEXT(TRIM(S827),"00000")="89117", TEXT(TRIM(S827),"00000")="89128", TEXT(TRIM(S827),"00000")="89135", TEXT(TRIM(S827),"00000")="89144", TEXT(TRIM(S827),"00000")="89145", TEXT(TRIM(S827),"00000")="89147"), "West Valley",
  TRUE, "Other"
)</f>
        <v>Urban Core</v>
      </c>
      <c r="U827" t="s">
        <v>4305</v>
      </c>
      <c r="V827" t="str">
        <f t="shared" si="51"/>
        <v>Medical Facility</v>
      </c>
    </row>
    <row r="828" spans="1:22">
      <c r="A828" t="s">
        <v>1461</v>
      </c>
      <c r="B828" t="s">
        <v>1462</v>
      </c>
      <c r="C828" s="1">
        <v>44770</v>
      </c>
      <c r="D828" s="4">
        <v>100.04</v>
      </c>
      <c r="E828">
        <v>40</v>
      </c>
      <c r="F828" t="str">
        <f t="shared" si="48"/>
        <v>40's</v>
      </c>
      <c r="G828" t="str" cm="1">
        <f t="array" ref="G828">_xlfn.IFS(
  F828="10's", "Child (5–12)",
  OR(F828="20's", F828="30's"), "Young Adult (20–39)",
  OR(F828="40's", F828="50's"), "Adult (40–59)",
  OR(F828="60's", F828="70's", F828="80's", F828="90's"), "Senior (60+)",
  TRUE, "Unknown"
)</f>
        <v>Adult (40–59)</v>
      </c>
      <c r="H828" t="s">
        <v>841</v>
      </c>
      <c r="I828" t="s">
        <v>4041</v>
      </c>
      <c r="J828" t="str">
        <f t="shared" si="49"/>
        <v>Environmental Heat</v>
      </c>
      <c r="K828" t="s">
        <v>54</v>
      </c>
      <c r="L828" t="s">
        <v>250</v>
      </c>
      <c r="N828" t="s">
        <v>5095</v>
      </c>
      <c r="O828" t="str" cm="1">
        <f t="array" ref="O828">_xlfn.IFS(
  TEXT(TRIM(N828),"00000")="NULL", "Missing/Unknown",
  OR(TEXT(TRIM(N828),"00000")="89101", TEXT(TRIM(N828),"00000")="89104", TEXT(TRIM(N828),"00000")="89106", TEXT(TRIM(N828),"00000")="89102", TEXT(TRIM(N828),"00000")="89107", TEXT(TRIM(N828),"00000")="89108"), "Urban Core",
  OR(TEXT(TRIM(N828),"00000")="89110", TEXT(TRIM(N828),"00000")="89115", TEXT(TRIM(N828),"00000")="89121", TEXT(TRIM(N828),"00000")="89122", TEXT(TRIM(N828),"00000")="89142", TEXT(TRIM(N828),"00000")="89156"), "East Valley",
  OR(TEXT(TRIM(N828),"00000")="89030", TEXT(TRIM(N828),"00000")="89031", TEXT(TRIM(N828),"00000")="89032", TEXT(TRIM(N828),"00000")="89086", TEXT(TRIM(N828),"00000")="89084", TEXT(TRIM(N828),"00000")="89081"), "North LV",
  OR(TEXT(TRIM(N828),"00000")="89109", TEXT(TRIM(N828),"00000")="89103", TEXT(TRIM(N828),"00000")="89119", TEXT(TRIM(N828),"00000")="89123", TEXT(TRIM(N828),"00000")="89169", TEXT(TRIM(N828),"00000")="89118"), "South/Strip",
  OR(TEXT(TRIM(N828),"00000")="89074", TEXT(TRIM(N828),"00000")="89014", TEXT(TRIM(N828),"00000")="89015", TEXT(TRIM(N828),"00000")="89011", TEXT(TRIM(N828),"00000")="89012"), "Suburban SE",
  OR(TEXT(TRIM(N828),"00000")="89117", TEXT(TRIM(N828),"00000")="89128", TEXT(TRIM(N828),"00000")="89135", TEXT(TRIM(N828),"00000")="89144", TEXT(TRIM(N828),"00000")="89145", TEXT(TRIM(N828),"00000")="89147"), "West Valley",
  TRUE, "Other"
)</f>
        <v>Missing/Unknown</v>
      </c>
      <c r="P828" t="s">
        <v>3298</v>
      </c>
      <c r="Q828" t="str">
        <f t="shared" si="50"/>
        <v>Outdoors/Public</v>
      </c>
      <c r="R828" t="s">
        <v>5064</v>
      </c>
      <c r="S828" t="s">
        <v>5154</v>
      </c>
      <c r="T828" t="str" cm="1">
        <f t="array" ref="T828">_xlfn.IFS(
  TEXT(TRIM(S828),"00000")="NULL", "Missing/Unknown",
  OR(TEXT(TRIM(S828),"00000")="89101", TEXT(TRIM(S828),"00000")="89104", TEXT(TRIM(S828),"00000")="89106", TEXT(TRIM(S828),"00000")="89102", TEXT(TRIM(S828),"00000")="89107", TEXT(TRIM(S828),"00000")="89108"), "Urban Core",
  OR(TEXT(TRIM(S828),"00000")="89110", TEXT(TRIM(S828),"00000")="89115", TEXT(TRIM(S828),"00000")="89121", TEXT(TRIM(S828),"00000")="89122", TEXT(TRIM(S828),"00000")="89142", TEXT(TRIM(S828),"00000")="89156"), "East Valley",
  OR(TEXT(TRIM(S828),"00000")="89030", TEXT(TRIM(S828),"00000")="89031", TEXT(TRIM(S828),"00000")="89032", TEXT(TRIM(S828),"00000")="89086", TEXT(TRIM(S828),"00000")="89084", TEXT(TRIM(S828),"00000")="89081"), "North LV",
  OR(TEXT(TRIM(S828),"00000")="89109", TEXT(TRIM(S828),"00000")="89103", TEXT(TRIM(S828),"00000")="89119", TEXT(TRIM(S828),"00000")="89123", TEXT(TRIM(S828),"00000")="89169", TEXT(TRIM(S828),"00000")="89118"), "South/Strip",
  OR(TEXT(TRIM(S828),"00000")="89074", TEXT(TRIM(S828),"00000")="89014", TEXT(TRIM(S828),"00000")="89015", TEXT(TRIM(S828),"00000")="89011", TEXT(TRIM(S828),"00000")="89012"), "Suburban SE",
  OR(TEXT(TRIM(S828),"00000")="89117", TEXT(TRIM(S828),"00000")="89128", TEXT(TRIM(S828),"00000")="89135", TEXT(TRIM(S828),"00000")="89144", TEXT(TRIM(S828),"00000")="89145", TEXT(TRIM(S828),"00000")="89147"), "West Valley",
  TRUE, "Other"
)</f>
        <v>West Valley</v>
      </c>
      <c r="U828" t="s">
        <v>4305</v>
      </c>
      <c r="V828" t="str">
        <f t="shared" si="51"/>
        <v>Medical Facility</v>
      </c>
    </row>
    <row r="829" spans="1:22">
      <c r="A829" t="s">
        <v>1465</v>
      </c>
      <c r="B829" t="s">
        <v>1466</v>
      </c>
      <c r="C829" s="1">
        <v>44769</v>
      </c>
      <c r="D829" s="4">
        <v>100.04</v>
      </c>
      <c r="E829">
        <v>62</v>
      </c>
      <c r="F829" t="str">
        <f t="shared" si="48"/>
        <v>60's</v>
      </c>
      <c r="G829" t="str" cm="1">
        <f t="array" ref="G829">_xlfn.IFS(
  F829="10's", "Child (5–12)",
  OR(F829="20's", F829="30's"), "Young Adult (20–39)",
  OR(F829="40's", F829="50's"), "Adult (40–59)",
  OR(F829="60's", F829="70's", F829="80's", F829="90's"), "Senior (60+)",
  TRUE, "Unknown"
)</f>
        <v>Senior (60+)</v>
      </c>
      <c r="H829" t="s">
        <v>841</v>
      </c>
      <c r="I829" t="s">
        <v>4025</v>
      </c>
      <c r="J829" t="str">
        <f t="shared" si="49"/>
        <v>Methamphetamine-related</v>
      </c>
      <c r="K829" t="s">
        <v>54</v>
      </c>
      <c r="L829" t="s">
        <v>250</v>
      </c>
      <c r="M829" t="s">
        <v>4546</v>
      </c>
      <c r="N829" t="s">
        <v>5101</v>
      </c>
      <c r="O829" t="str" cm="1">
        <f t="array" ref="O829">_xlfn.IFS(
  TEXT(TRIM(N829),"00000")="NULL", "Missing/Unknown",
  OR(TEXT(TRIM(N829),"00000")="89101", TEXT(TRIM(N829),"00000")="89104", TEXT(TRIM(N829),"00000")="89106", TEXT(TRIM(N829),"00000")="89102", TEXT(TRIM(N829),"00000")="89107", TEXT(TRIM(N829),"00000")="89108"), "Urban Core",
  OR(TEXT(TRIM(N829),"00000")="89110", TEXT(TRIM(N829),"00000")="89115", TEXT(TRIM(N829),"00000")="89121", TEXT(TRIM(N829),"00000")="89122", TEXT(TRIM(N829),"00000")="89142", TEXT(TRIM(N829),"00000")="89156"), "East Valley",
  OR(TEXT(TRIM(N829),"00000")="89030", TEXT(TRIM(N829),"00000")="89031", TEXT(TRIM(N829),"00000")="89032", TEXT(TRIM(N829),"00000")="89086", TEXT(TRIM(N829),"00000")="89084", TEXT(TRIM(N829),"00000")="89081"), "North LV",
  OR(TEXT(TRIM(N829),"00000")="89109", TEXT(TRIM(N829),"00000")="89103", TEXT(TRIM(N829),"00000")="89119", TEXT(TRIM(N829),"00000")="89123", TEXT(TRIM(N829),"00000")="89169", TEXT(TRIM(N829),"00000")="89118"), "South/Strip",
  OR(TEXT(TRIM(N829),"00000")="89074", TEXT(TRIM(N829),"00000")="89014", TEXT(TRIM(N829),"00000")="89015", TEXT(TRIM(N829),"00000")="89011", TEXT(TRIM(N829),"00000")="89012"), "Suburban SE",
  OR(TEXT(TRIM(N829),"00000")="89117", TEXT(TRIM(N829),"00000")="89128", TEXT(TRIM(N829),"00000")="89135", TEXT(TRIM(N829),"00000")="89144", TEXT(TRIM(N829),"00000")="89145", TEXT(TRIM(N829),"00000")="89147"), "West Valley",
  TRUE, "Other"
)</f>
        <v>Urban Core</v>
      </c>
      <c r="P829" t="s">
        <v>3298</v>
      </c>
      <c r="Q829" t="str">
        <f t="shared" si="50"/>
        <v>Outdoors/Public</v>
      </c>
      <c r="R829" t="s">
        <v>5055</v>
      </c>
      <c r="S829" t="s">
        <v>5119</v>
      </c>
      <c r="T829" t="str" cm="1">
        <f t="array" ref="T829">_xlfn.IFS(
  TEXT(TRIM(S829),"00000")="NULL", "Missing/Unknown",
  OR(TEXT(TRIM(S829),"00000")="89101", TEXT(TRIM(S829),"00000")="89104", TEXT(TRIM(S829),"00000")="89106", TEXT(TRIM(S829),"00000")="89102", TEXT(TRIM(S829),"00000")="89107", TEXT(TRIM(S829),"00000")="89108"), "Urban Core",
  OR(TEXT(TRIM(S829),"00000")="89110", TEXT(TRIM(S829),"00000")="89115", TEXT(TRIM(S829),"00000")="89121", TEXT(TRIM(S829),"00000")="89122", TEXT(TRIM(S829),"00000")="89142", TEXT(TRIM(S829),"00000")="89156"), "East Valley",
  OR(TEXT(TRIM(S829),"00000")="89030", TEXT(TRIM(S829),"00000")="89031", TEXT(TRIM(S829),"00000")="89032", TEXT(TRIM(S829),"00000")="89086", TEXT(TRIM(S829),"00000")="89084", TEXT(TRIM(S829),"00000")="89081"), "North LV",
  OR(TEXT(TRIM(S829),"00000")="89109", TEXT(TRIM(S829),"00000")="89103", TEXT(TRIM(S829),"00000")="89119", TEXT(TRIM(S829),"00000")="89123", TEXT(TRIM(S829),"00000")="89169", TEXT(TRIM(S829),"00000")="89118"), "South/Strip",
  OR(TEXT(TRIM(S829),"00000")="89074", TEXT(TRIM(S829),"00000")="89014", TEXT(TRIM(S829),"00000")="89015", TEXT(TRIM(S829),"00000")="89011", TEXT(TRIM(S829),"00000")="89012"), "Suburban SE",
  OR(TEXT(TRIM(S829),"00000")="89117", TEXT(TRIM(S829),"00000")="89128", TEXT(TRIM(S829),"00000")="89135", TEXT(TRIM(S829),"00000")="89144", TEXT(TRIM(S829),"00000")="89145", TEXT(TRIM(S829),"00000")="89147"), "West Valley",
  TRUE, "Other"
)</f>
        <v>Urban Core</v>
      </c>
      <c r="U829" t="s">
        <v>4301</v>
      </c>
      <c r="V829" t="str">
        <f t="shared" si="51"/>
        <v>Medical Facility</v>
      </c>
    </row>
    <row r="830" spans="1:22">
      <c r="A830" t="s">
        <v>1457</v>
      </c>
      <c r="B830" t="s">
        <v>1458</v>
      </c>
      <c r="C830" s="1">
        <v>44767</v>
      </c>
      <c r="D830" s="4">
        <v>98.06</v>
      </c>
      <c r="E830">
        <v>56</v>
      </c>
      <c r="F830" t="str">
        <f t="shared" si="48"/>
        <v>50's</v>
      </c>
      <c r="G830" t="str" cm="1">
        <f t="array" ref="G830">_xlfn.IFS(
  F830="10's", "Child (5–12)",
  OR(F830="20's", F830="30's"), "Young Adult (20–39)",
  OR(F830="40's", F830="50's"), "Adult (40–59)",
  OR(F830="60's", F830="70's", F830="80's", F830="90's"), "Senior (60+)",
  TRUE, "Unknown"
)</f>
        <v>Adult (40–59)</v>
      </c>
      <c r="H830" t="s">
        <v>778</v>
      </c>
      <c r="I830" t="s">
        <v>97</v>
      </c>
      <c r="J830" t="str">
        <f t="shared" si="49"/>
        <v>Environmental Heat</v>
      </c>
      <c r="K830" t="s">
        <v>4250</v>
      </c>
      <c r="L830" t="s">
        <v>250</v>
      </c>
      <c r="M830" t="s">
        <v>4326</v>
      </c>
      <c r="N830" t="s">
        <v>5098</v>
      </c>
      <c r="O830" t="str" cm="1">
        <f t="array" ref="O830">_xlfn.IFS(
  TEXT(TRIM(N830),"00000")="NULL", "Missing/Unknown",
  OR(TEXT(TRIM(N830),"00000")="89101", TEXT(TRIM(N830),"00000")="89104", TEXT(TRIM(N830),"00000")="89106", TEXT(TRIM(N830),"00000")="89102", TEXT(TRIM(N830),"00000")="89107", TEXT(TRIM(N830),"00000")="89108"), "Urban Core",
  OR(TEXT(TRIM(N830),"00000")="89110", TEXT(TRIM(N830),"00000")="89115", TEXT(TRIM(N830),"00000")="89121", TEXT(TRIM(N830),"00000")="89122", TEXT(TRIM(N830),"00000")="89142", TEXT(TRIM(N830),"00000")="89156"), "East Valley",
  OR(TEXT(TRIM(N830),"00000")="89030", TEXT(TRIM(N830),"00000")="89031", TEXT(TRIM(N830),"00000")="89032", TEXT(TRIM(N830),"00000")="89086", TEXT(TRIM(N830),"00000")="89084", TEXT(TRIM(N830),"00000")="89081"), "North LV",
  OR(TEXT(TRIM(N830),"00000")="89109", TEXT(TRIM(N830),"00000")="89103", TEXT(TRIM(N830),"00000")="89119", TEXT(TRIM(N830),"00000")="89123", TEXT(TRIM(N830),"00000")="89169", TEXT(TRIM(N830),"00000")="89118"), "South/Strip",
  OR(TEXT(TRIM(N830),"00000")="89074", TEXT(TRIM(N830),"00000")="89014", TEXT(TRIM(N830),"00000")="89015", TEXT(TRIM(N830),"00000")="89011", TEXT(TRIM(N830),"00000")="89012"), "Suburban SE",
  OR(TEXT(TRIM(N830),"00000")="89117", TEXT(TRIM(N830),"00000")="89128", TEXT(TRIM(N830),"00000")="89135", TEXT(TRIM(N830),"00000")="89144", TEXT(TRIM(N830),"00000")="89145", TEXT(TRIM(N830),"00000")="89147"), "West Valley",
  TRUE, "Other"
)</f>
        <v>Urban Core</v>
      </c>
      <c r="P830" t="s">
        <v>3298</v>
      </c>
      <c r="Q830" t="str">
        <f t="shared" si="50"/>
        <v>Outdoors/Public</v>
      </c>
      <c r="R830" t="s">
        <v>5055</v>
      </c>
      <c r="S830" t="s">
        <v>5119</v>
      </c>
      <c r="T830" t="str" cm="1">
        <f t="array" ref="T830">_xlfn.IFS(
  TEXT(TRIM(S830),"00000")="NULL", "Missing/Unknown",
  OR(TEXT(TRIM(S830),"00000")="89101", TEXT(TRIM(S830),"00000")="89104", TEXT(TRIM(S830),"00000")="89106", TEXT(TRIM(S830),"00000")="89102", TEXT(TRIM(S830),"00000")="89107", TEXT(TRIM(S830),"00000")="89108"), "Urban Core",
  OR(TEXT(TRIM(S830),"00000")="89110", TEXT(TRIM(S830),"00000")="89115", TEXT(TRIM(S830),"00000")="89121", TEXT(TRIM(S830),"00000")="89122", TEXT(TRIM(S830),"00000")="89142", TEXT(TRIM(S830),"00000")="89156"), "East Valley",
  OR(TEXT(TRIM(S830),"00000")="89030", TEXT(TRIM(S830),"00000")="89031", TEXT(TRIM(S830),"00000")="89032", TEXT(TRIM(S830),"00000")="89086", TEXT(TRIM(S830),"00000")="89084", TEXT(TRIM(S830),"00000")="89081"), "North LV",
  OR(TEXT(TRIM(S830),"00000")="89109", TEXT(TRIM(S830),"00000")="89103", TEXT(TRIM(S830),"00000")="89119", TEXT(TRIM(S830),"00000")="89123", TEXT(TRIM(S830),"00000")="89169", TEXT(TRIM(S830),"00000")="89118"), "South/Strip",
  OR(TEXT(TRIM(S830),"00000")="89074", TEXT(TRIM(S830),"00000")="89014", TEXT(TRIM(S830),"00000")="89015", TEXT(TRIM(S830),"00000")="89011", TEXT(TRIM(S830),"00000")="89012"), "Suburban SE",
  OR(TEXT(TRIM(S830),"00000")="89117", TEXT(TRIM(S830),"00000")="89128", TEXT(TRIM(S830),"00000")="89135", TEXT(TRIM(S830),"00000")="89144", TEXT(TRIM(S830),"00000")="89145", TEXT(TRIM(S830),"00000")="89147"), "West Valley",
  TRUE, "Other"
)</f>
        <v>Urban Core</v>
      </c>
      <c r="U830" t="s">
        <v>4305</v>
      </c>
      <c r="V830" t="str">
        <f t="shared" si="51"/>
        <v>Medical Facility</v>
      </c>
    </row>
    <row r="831" spans="1:22">
      <c r="A831" t="s">
        <v>1454</v>
      </c>
      <c r="B831" t="s">
        <v>1455</v>
      </c>
      <c r="C831" s="1">
        <v>44765</v>
      </c>
      <c r="D831" s="4">
        <v>105.08</v>
      </c>
      <c r="E831">
        <v>38</v>
      </c>
      <c r="F831" t="str">
        <f t="shared" si="48"/>
        <v>30's</v>
      </c>
      <c r="G831" t="str" cm="1">
        <f t="array" ref="G831">_xlfn.IFS(
  F831="10's", "Child (5–12)",
  OR(F831="20's", F831="30's"), "Young Adult (20–39)",
  OR(F831="40's", F831="50's"), "Adult (40–59)",
  OR(F831="60's", F831="70's", F831="80's", F831="90's"), "Senior (60+)",
  TRUE, "Unknown"
)</f>
        <v>Young Adult (20–39)</v>
      </c>
      <c r="H831" t="s">
        <v>778</v>
      </c>
      <c r="I831" t="s">
        <v>54</v>
      </c>
      <c r="J831" t="str">
        <f t="shared" si="49"/>
        <v>Environmental Heat</v>
      </c>
      <c r="K831" t="s">
        <v>98</v>
      </c>
      <c r="L831" t="s">
        <v>250</v>
      </c>
      <c r="M831" t="s">
        <v>4796</v>
      </c>
      <c r="N831" t="s">
        <v>5101</v>
      </c>
      <c r="O831" t="str" cm="1">
        <f t="array" ref="O831">_xlfn.IFS(
  TEXT(TRIM(N831),"00000")="NULL", "Missing/Unknown",
  OR(TEXT(TRIM(N831),"00000")="89101", TEXT(TRIM(N831),"00000")="89104", TEXT(TRIM(N831),"00000")="89106", TEXT(TRIM(N831),"00000")="89102", TEXT(TRIM(N831),"00000")="89107", TEXT(TRIM(N831),"00000")="89108"), "Urban Core",
  OR(TEXT(TRIM(N831),"00000")="89110", TEXT(TRIM(N831),"00000")="89115", TEXT(TRIM(N831),"00000")="89121", TEXT(TRIM(N831),"00000")="89122", TEXT(TRIM(N831),"00000")="89142", TEXT(TRIM(N831),"00000")="89156"), "East Valley",
  OR(TEXT(TRIM(N831),"00000")="89030", TEXT(TRIM(N831),"00000")="89031", TEXT(TRIM(N831),"00000")="89032", TEXT(TRIM(N831),"00000")="89086", TEXT(TRIM(N831),"00000")="89084", TEXT(TRIM(N831),"00000")="89081"), "North LV",
  OR(TEXT(TRIM(N831),"00000")="89109", TEXT(TRIM(N831),"00000")="89103", TEXT(TRIM(N831),"00000")="89119", TEXT(TRIM(N831),"00000")="89123", TEXT(TRIM(N831),"00000")="89169", TEXT(TRIM(N831),"00000")="89118"), "South/Strip",
  OR(TEXT(TRIM(N831),"00000")="89074", TEXT(TRIM(N831),"00000")="89014", TEXT(TRIM(N831),"00000")="89015", TEXT(TRIM(N831),"00000")="89011", TEXT(TRIM(N831),"00000")="89012"), "Suburban SE",
  OR(TEXT(TRIM(N831),"00000")="89117", TEXT(TRIM(N831),"00000")="89128", TEXT(TRIM(N831),"00000")="89135", TEXT(TRIM(N831),"00000")="89144", TEXT(TRIM(N831),"00000")="89145", TEXT(TRIM(N831),"00000")="89147"), "West Valley",
  TRUE, "Other"
)</f>
        <v>Urban Core</v>
      </c>
      <c r="P831" t="s">
        <v>3298</v>
      </c>
      <c r="Q831" t="str">
        <f t="shared" si="50"/>
        <v>Outdoors/Public</v>
      </c>
      <c r="R831" t="s">
        <v>4796</v>
      </c>
      <c r="S831" t="s">
        <v>5101</v>
      </c>
      <c r="T831" t="str" cm="1">
        <f t="array" ref="T831">_xlfn.IFS(
  TEXT(TRIM(S831),"00000")="NULL", "Missing/Unknown",
  OR(TEXT(TRIM(S831),"00000")="89101", TEXT(TRIM(S831),"00000")="89104", TEXT(TRIM(S831),"00000")="89106", TEXT(TRIM(S831),"00000")="89102", TEXT(TRIM(S831),"00000")="89107", TEXT(TRIM(S831),"00000")="89108"), "Urban Core",
  OR(TEXT(TRIM(S831),"00000")="89110", TEXT(TRIM(S831),"00000")="89115", TEXT(TRIM(S831),"00000")="89121", TEXT(TRIM(S831),"00000")="89122", TEXT(TRIM(S831),"00000")="89142", TEXT(TRIM(S831),"00000")="89156"), "East Valley",
  OR(TEXT(TRIM(S831),"00000")="89030", TEXT(TRIM(S831),"00000")="89031", TEXT(TRIM(S831),"00000")="89032", TEXT(TRIM(S831),"00000")="89086", TEXT(TRIM(S831),"00000")="89084", TEXT(TRIM(S831),"00000")="89081"), "North LV",
  OR(TEXT(TRIM(S831),"00000")="89109", TEXT(TRIM(S831),"00000")="89103", TEXT(TRIM(S831),"00000")="89119", TEXT(TRIM(S831),"00000")="89123", TEXT(TRIM(S831),"00000")="89169", TEXT(TRIM(S831),"00000")="89118"), "South/Strip",
  OR(TEXT(TRIM(S831),"00000")="89074", TEXT(TRIM(S831),"00000")="89014", TEXT(TRIM(S831),"00000")="89015", TEXT(TRIM(S831),"00000")="89011", TEXT(TRIM(S831),"00000")="89012"), "Suburban SE",
  OR(TEXT(TRIM(S831),"00000")="89117", TEXT(TRIM(S831),"00000")="89128", TEXT(TRIM(S831),"00000")="89135", TEXT(TRIM(S831),"00000")="89144", TEXT(TRIM(S831),"00000")="89145", TEXT(TRIM(S831),"00000")="89147"), "West Valley",
  TRUE, "Other"
)</f>
        <v>Urban Core</v>
      </c>
      <c r="U831" t="s">
        <v>3298</v>
      </c>
      <c r="V831" t="str">
        <f t="shared" si="51"/>
        <v>Outdoors/Public</v>
      </c>
    </row>
    <row r="832" spans="1:22">
      <c r="A832" t="s">
        <v>1451</v>
      </c>
      <c r="B832" t="s">
        <v>1452</v>
      </c>
      <c r="C832" s="1">
        <v>44765</v>
      </c>
      <c r="D832" s="4">
        <v>105.08</v>
      </c>
      <c r="E832">
        <v>46</v>
      </c>
      <c r="F832" t="str">
        <f t="shared" si="48"/>
        <v>40's</v>
      </c>
      <c r="G832" t="str" cm="1">
        <f t="array" ref="G832">_xlfn.IFS(
  F832="10's", "Child (5–12)",
  OR(F832="20's", F832="30's"), "Young Adult (20–39)",
  OR(F832="40's", F832="50's"), "Adult (40–59)",
  OR(F832="60's", F832="70's", F832="80's", F832="90's"), "Senior (60+)",
  TRUE, "Unknown"
)</f>
        <v>Adult (40–59)</v>
      </c>
      <c r="H832" t="s">
        <v>841</v>
      </c>
      <c r="I832" t="s">
        <v>34</v>
      </c>
      <c r="J832" t="str">
        <f t="shared" si="49"/>
        <v>Methamphetamine-related</v>
      </c>
      <c r="K832" t="s">
        <v>48</v>
      </c>
      <c r="L832" t="s">
        <v>250</v>
      </c>
      <c r="M832" t="s">
        <v>4795</v>
      </c>
      <c r="N832" t="s">
        <v>5119</v>
      </c>
      <c r="O832" t="str" cm="1">
        <f t="array" ref="O832">_xlfn.IFS(
  TEXT(TRIM(N832),"00000")="NULL", "Missing/Unknown",
  OR(TEXT(TRIM(N832),"00000")="89101", TEXT(TRIM(N832),"00000")="89104", TEXT(TRIM(N832),"00000")="89106", TEXT(TRIM(N832),"00000")="89102", TEXT(TRIM(N832),"00000")="89107", TEXT(TRIM(N832),"00000")="89108"), "Urban Core",
  OR(TEXT(TRIM(N832),"00000")="89110", TEXT(TRIM(N832),"00000")="89115", TEXT(TRIM(N832),"00000")="89121", TEXT(TRIM(N832),"00000")="89122", TEXT(TRIM(N832),"00000")="89142", TEXT(TRIM(N832),"00000")="89156"), "East Valley",
  OR(TEXT(TRIM(N832),"00000")="89030", TEXT(TRIM(N832),"00000")="89031", TEXT(TRIM(N832),"00000")="89032", TEXT(TRIM(N832),"00000")="89086", TEXT(TRIM(N832),"00000")="89084", TEXT(TRIM(N832),"00000")="89081"), "North LV",
  OR(TEXT(TRIM(N832),"00000")="89109", TEXT(TRIM(N832),"00000")="89103", TEXT(TRIM(N832),"00000")="89119", TEXT(TRIM(N832),"00000")="89123", TEXT(TRIM(N832),"00000")="89169", TEXT(TRIM(N832),"00000")="89118"), "South/Strip",
  OR(TEXT(TRIM(N832),"00000")="89074", TEXT(TRIM(N832),"00000")="89014", TEXT(TRIM(N832),"00000")="89015", TEXT(TRIM(N832),"00000")="89011", TEXT(TRIM(N832),"00000")="89012"), "Suburban SE",
  OR(TEXT(TRIM(N832),"00000")="89117", TEXT(TRIM(N832),"00000")="89128", TEXT(TRIM(N832),"00000")="89135", TEXT(TRIM(N832),"00000")="89144", TEXT(TRIM(N832),"00000")="89145", TEXT(TRIM(N832),"00000")="89147"), "West Valley",
  TRUE, "Other"
)</f>
        <v>Urban Core</v>
      </c>
      <c r="P832" t="s">
        <v>3298</v>
      </c>
      <c r="Q832" t="str">
        <f t="shared" si="50"/>
        <v>Outdoors/Public</v>
      </c>
      <c r="R832" t="s">
        <v>4795</v>
      </c>
      <c r="S832" t="s">
        <v>5119</v>
      </c>
      <c r="T832" t="str" cm="1">
        <f t="array" ref="T832">_xlfn.IFS(
  TEXT(TRIM(S832),"00000")="NULL", "Missing/Unknown",
  OR(TEXT(TRIM(S832),"00000")="89101", TEXT(TRIM(S832),"00000")="89104", TEXT(TRIM(S832),"00000")="89106", TEXT(TRIM(S832),"00000")="89102", TEXT(TRIM(S832),"00000")="89107", TEXT(TRIM(S832),"00000")="89108"), "Urban Core",
  OR(TEXT(TRIM(S832),"00000")="89110", TEXT(TRIM(S832),"00000")="89115", TEXT(TRIM(S832),"00000")="89121", TEXT(TRIM(S832),"00000")="89122", TEXT(TRIM(S832),"00000")="89142", TEXT(TRIM(S832),"00000")="89156"), "East Valley",
  OR(TEXT(TRIM(S832),"00000")="89030", TEXT(TRIM(S832),"00000")="89031", TEXT(TRIM(S832),"00000")="89032", TEXT(TRIM(S832),"00000")="89086", TEXT(TRIM(S832),"00000")="89084", TEXT(TRIM(S832),"00000")="89081"), "North LV",
  OR(TEXT(TRIM(S832),"00000")="89109", TEXT(TRIM(S832),"00000")="89103", TEXT(TRIM(S832),"00000")="89119", TEXT(TRIM(S832),"00000")="89123", TEXT(TRIM(S832),"00000")="89169", TEXT(TRIM(S832),"00000")="89118"), "South/Strip",
  OR(TEXT(TRIM(S832),"00000")="89074", TEXT(TRIM(S832),"00000")="89014", TEXT(TRIM(S832),"00000")="89015", TEXT(TRIM(S832),"00000")="89011", TEXT(TRIM(S832),"00000")="89012"), "Suburban SE",
  OR(TEXT(TRIM(S832),"00000")="89117", TEXT(TRIM(S832),"00000")="89128", TEXT(TRIM(S832),"00000")="89135", TEXT(TRIM(S832),"00000")="89144", TEXT(TRIM(S832),"00000")="89145", TEXT(TRIM(S832),"00000")="89147"), "West Valley",
  TRUE, "Other"
)</f>
        <v>Urban Core</v>
      </c>
      <c r="U832" t="s">
        <v>3298</v>
      </c>
      <c r="V832" t="str">
        <f t="shared" si="51"/>
        <v>Outdoors/Public</v>
      </c>
    </row>
    <row r="833" spans="1:22">
      <c r="A833" t="s">
        <v>1448</v>
      </c>
      <c r="B833" t="s">
        <v>1449</v>
      </c>
      <c r="C833" s="1">
        <v>44765</v>
      </c>
      <c r="D833" s="4">
        <v>105.08</v>
      </c>
      <c r="E833">
        <v>51</v>
      </c>
      <c r="F833" t="str">
        <f t="shared" si="48"/>
        <v>50's</v>
      </c>
      <c r="G833" t="str" cm="1">
        <f t="array" ref="G833">_xlfn.IFS(
  F833="10's", "Child (5–12)",
  OR(F833="20's", F833="30's"), "Young Adult (20–39)",
  OR(F833="40's", F833="50's"), "Adult (40–59)",
  OR(F833="60's", F833="70's", F833="80's", F833="90's"), "Senior (60+)",
  TRUE, "Unknown"
)</f>
        <v>Adult (40–59)</v>
      </c>
      <c r="H833" t="s">
        <v>841</v>
      </c>
      <c r="I833" t="s">
        <v>63</v>
      </c>
      <c r="J833" t="str">
        <f t="shared" si="49"/>
        <v>Cardiovascular Disease</v>
      </c>
      <c r="K833" t="s">
        <v>4196</v>
      </c>
      <c r="L833" t="s">
        <v>250</v>
      </c>
      <c r="N833" t="s">
        <v>5095</v>
      </c>
      <c r="O833" t="str" cm="1">
        <f t="array" ref="O833">_xlfn.IFS(
  TEXT(TRIM(N833),"00000")="NULL", "Missing/Unknown",
  OR(TEXT(TRIM(N833),"00000")="89101", TEXT(TRIM(N833),"00000")="89104", TEXT(TRIM(N833),"00000")="89106", TEXT(TRIM(N833),"00000")="89102", TEXT(TRIM(N833),"00000")="89107", TEXT(TRIM(N833),"00000")="89108"), "Urban Core",
  OR(TEXT(TRIM(N833),"00000")="89110", TEXT(TRIM(N833),"00000")="89115", TEXT(TRIM(N833),"00000")="89121", TEXT(TRIM(N833),"00000")="89122", TEXT(TRIM(N833),"00000")="89142", TEXT(TRIM(N833),"00000")="89156"), "East Valley",
  OR(TEXT(TRIM(N833),"00000")="89030", TEXT(TRIM(N833),"00000")="89031", TEXT(TRIM(N833),"00000")="89032", TEXT(TRIM(N833),"00000")="89086", TEXT(TRIM(N833),"00000")="89084", TEXT(TRIM(N833),"00000")="89081"), "North LV",
  OR(TEXT(TRIM(N833),"00000")="89109", TEXT(TRIM(N833),"00000")="89103", TEXT(TRIM(N833),"00000")="89119", TEXT(TRIM(N833),"00000")="89123", TEXT(TRIM(N833),"00000")="89169", TEXT(TRIM(N833),"00000")="89118"), "South/Strip",
  OR(TEXT(TRIM(N833),"00000")="89074", TEXT(TRIM(N833),"00000")="89014", TEXT(TRIM(N833),"00000")="89015", TEXT(TRIM(N833),"00000")="89011", TEXT(TRIM(N833),"00000")="89012"), "Suburban SE",
  OR(TEXT(TRIM(N833),"00000")="89117", TEXT(TRIM(N833),"00000")="89128", TEXT(TRIM(N833),"00000")="89135", TEXT(TRIM(N833),"00000")="89144", TEXT(TRIM(N833),"00000")="89145", TEXT(TRIM(N833),"00000")="89147"), "West Valley",
  TRUE, "Other"
)</f>
        <v>Missing/Unknown</v>
      </c>
      <c r="P833" t="s">
        <v>3298</v>
      </c>
      <c r="Q833" t="str">
        <f t="shared" si="50"/>
        <v>Outdoors/Public</v>
      </c>
      <c r="R833" t="s">
        <v>4713</v>
      </c>
      <c r="S833" t="s">
        <v>5125</v>
      </c>
      <c r="T833" t="str" cm="1">
        <f t="array" ref="T833">_xlfn.IFS(
  TEXT(TRIM(S833),"00000")="NULL", "Missing/Unknown",
  OR(TEXT(TRIM(S833),"00000")="89101", TEXT(TRIM(S833),"00000")="89104", TEXT(TRIM(S833),"00000")="89106", TEXT(TRIM(S833),"00000")="89102", TEXT(TRIM(S833),"00000")="89107", TEXT(TRIM(S833),"00000")="89108"), "Urban Core",
  OR(TEXT(TRIM(S833),"00000")="89110", TEXT(TRIM(S833),"00000")="89115", TEXT(TRIM(S833),"00000")="89121", TEXT(TRIM(S833),"00000")="89122", TEXT(TRIM(S833),"00000")="89142", TEXT(TRIM(S833),"00000")="89156"), "East Valley",
  OR(TEXT(TRIM(S833),"00000")="89030", TEXT(TRIM(S833),"00000")="89031", TEXT(TRIM(S833),"00000")="89032", TEXT(TRIM(S833),"00000")="89086", TEXT(TRIM(S833),"00000")="89084", TEXT(TRIM(S833),"00000")="89081"), "North LV",
  OR(TEXT(TRIM(S833),"00000")="89109", TEXT(TRIM(S833),"00000")="89103", TEXT(TRIM(S833),"00000")="89119", TEXT(TRIM(S833),"00000")="89123", TEXT(TRIM(S833),"00000")="89169", TEXT(TRIM(S833),"00000")="89118"), "South/Strip",
  OR(TEXT(TRIM(S833),"00000")="89074", TEXT(TRIM(S833),"00000")="89014", TEXT(TRIM(S833),"00000")="89015", TEXT(TRIM(S833),"00000")="89011", TEXT(TRIM(S833),"00000")="89012"), "Suburban SE",
  OR(TEXT(TRIM(S833),"00000")="89117", TEXT(TRIM(S833),"00000")="89128", TEXT(TRIM(S833),"00000")="89135", TEXT(TRIM(S833),"00000")="89144", TEXT(TRIM(S833),"00000")="89145", TEXT(TRIM(S833),"00000")="89147"), "West Valley",
  TRUE, "Other"
)</f>
        <v>South/Strip</v>
      </c>
      <c r="U833" t="s">
        <v>4305</v>
      </c>
      <c r="V833" t="str">
        <f t="shared" si="51"/>
        <v>Medical Facility</v>
      </c>
    </row>
    <row r="834" spans="1:22">
      <c r="A834" t="s">
        <v>1428</v>
      </c>
      <c r="B834" t="s">
        <v>1429</v>
      </c>
      <c r="C834" s="1">
        <v>44764</v>
      </c>
      <c r="D834" s="4">
        <v>113</v>
      </c>
      <c r="E834">
        <v>86</v>
      </c>
      <c r="F834" t="str">
        <f t="shared" ref="F834:F897" si="52">_xlfn.CONCAT(INT(E834/10)*10, "'s")</f>
        <v>80's</v>
      </c>
      <c r="G834" t="str" cm="1">
        <f t="array" ref="G834">_xlfn.IFS(
  F834="10's", "Child (5–12)",
  OR(F834="20's", F834="30's"), "Young Adult (20–39)",
  OR(F834="40's", F834="50's"), "Adult (40–59)",
  OR(F834="60's", F834="70's", F834="80's", F834="90's"), "Senior (60+)",
  TRUE, "Unknown"
)</f>
        <v>Senior (60+)</v>
      </c>
      <c r="H834" t="s">
        <v>841</v>
      </c>
      <c r="I834" t="s">
        <v>4084</v>
      </c>
      <c r="J834" t="str">
        <f t="shared" ref="J834:J897" si="53">IF(ISNUMBER(SEARCH("heat", I834)) + ISNUMBER(SEARCH("hyperthermia", I834)) + ISNUMBER(SEARCH("heat stroke", I834)) + ISNUMBER(SEARCH("environmental", I834)), "Environmental Heat",
IF(ISNUMBER(SEARCH("meth", I834)), "Methamphetamine-related",
IF(ISNUMBER(SEARCH("fentanyl", I834)), "Fentanyl-related",
IF(ISNUMBER(SEARCH("cardio", I834)) + ISNUMBER(SEARCH("heart", I834)) + ISNUMBER(SEARCH("atherosclerotic", I834)) + ISNUMBER(SEARCH("hypertensive", I834)) + ISNUMBER(SEARCH("myocardial", I834)) + ISNUMBER(SEARCH("infarction", I834)), "Cardiovascular Disease",
IF(ISNUMBER(SEARCH("ethanol", I834)) + ISNUMBER(SEARCH("alcohol", I834)), "Ethanol-related",
IF(ISNUMBER(SEARCH("dehydration", I834)) + ISNUMBER(SEARCH("hypernatrem", I834)) + ISNUMBER(SEARCH("hyponatrem", I834)), "Dehydration / Electrolyte",
IF(ISNUMBER(SEARCH("intoxication", I834)) + ISNUMBER(SEARCH("toxicity", I834)) + ISNUMBER(SEARCH("overdose", I834)), "Mixed Drug Toxicity",
"Other / Unknown")))))))</f>
        <v>Cardiovascular Disease</v>
      </c>
      <c r="K834" t="s">
        <v>54</v>
      </c>
      <c r="L834" t="s">
        <v>1071</v>
      </c>
      <c r="M834" t="s">
        <v>4436</v>
      </c>
      <c r="N834" t="s">
        <v>5098</v>
      </c>
      <c r="O834" t="str" cm="1">
        <f t="array" ref="O834">_xlfn.IFS(
  TEXT(TRIM(N834),"00000")="NULL", "Missing/Unknown",
  OR(TEXT(TRIM(N834),"00000")="89101", TEXT(TRIM(N834),"00000")="89104", TEXT(TRIM(N834),"00000")="89106", TEXT(TRIM(N834),"00000")="89102", TEXT(TRIM(N834),"00000")="89107", TEXT(TRIM(N834),"00000")="89108"), "Urban Core",
  OR(TEXT(TRIM(N834),"00000")="89110", TEXT(TRIM(N834),"00000")="89115", TEXT(TRIM(N834),"00000")="89121", TEXT(TRIM(N834),"00000")="89122", TEXT(TRIM(N834),"00000")="89142", TEXT(TRIM(N834),"00000")="89156"), "East Valley",
  OR(TEXT(TRIM(N834),"00000")="89030", TEXT(TRIM(N834),"00000")="89031", TEXT(TRIM(N834),"00000")="89032", TEXT(TRIM(N834),"00000")="89086", TEXT(TRIM(N834),"00000")="89084", TEXT(TRIM(N834),"00000")="89081"), "North LV",
  OR(TEXT(TRIM(N834),"00000")="89109", TEXT(TRIM(N834),"00000")="89103", TEXT(TRIM(N834),"00000")="89119", TEXT(TRIM(N834),"00000")="89123", TEXT(TRIM(N834),"00000")="89169", TEXT(TRIM(N834),"00000")="89118"), "South/Strip",
  OR(TEXT(TRIM(N834),"00000")="89074", TEXT(TRIM(N834),"00000")="89014", TEXT(TRIM(N834),"00000")="89015", TEXT(TRIM(N834),"00000")="89011", TEXT(TRIM(N834),"00000")="89012"), "Suburban SE",
  OR(TEXT(TRIM(N834),"00000")="89117", TEXT(TRIM(N834),"00000")="89128", TEXT(TRIM(N834),"00000")="89135", TEXT(TRIM(N834),"00000")="89144", TEXT(TRIM(N834),"00000")="89145", TEXT(TRIM(N834),"00000")="89147"), "West Valley",
  TRUE, "Other"
)</f>
        <v>Urban Core</v>
      </c>
      <c r="P834" t="s">
        <v>38</v>
      </c>
      <c r="Q834" t="str">
        <f t="shared" ref="Q834:Q897" si="54">IF(OR(ISNUMBER(SEARCH("outdoor", P834)), ISNUMBER(SEARCH("park", P834)), ISNUMBER(SEARCH("road", P834)), ISNUMBER(SEARCH("sidewalk", P834)), ISNUMBER(SEARCH("desert", P834)), ISNUMBER(SEARCH("tunnel", P834)), ISNUMBER(SEARCH("lot", P834)), ISNUMBER(SEARCH("lake", P834)), ISNUMBER(SEARCH("bus", P834)), ISNUMBER(SEARCH("shed", P834)), ISNUMBER(SEARCH("amusement", P834))), "Outdoors/Public",
IF(OR(ISNUMBER(SEARCH("home", P834)), ISNUMBER(SEARCH("residence", P834)), ISNUMBER(SEARCH("rv", P834)), ISNUMBER(SEARCH("tent", P834)), ISNUMBER(SEARCH("bedroom", P834)), ISNUMBER(SEARCH("garage", P834)), ISNUMBER(SEARCH("trailer", P834)), ISNUMBER(SEARCH("backyard", P834))), "Home/Residence",
IF(OR(ISNUMBER(SEARCH("vehicle", P834)), ISNUMBER(SEARCH("car", P834)), ISNUMBER(SEARCH("wash", P834))), "Vehicle-related",
IF(OR(ISNUMBER(SEARCH("business", P834)), ISNUMBER(SEARCH("school", P834)), ISNUMBER(SEARCH("hotel", P834)), ISNUMBER(SEARCH("construction", P834)), ISNUMBER(SEARCH("furniture", P834)), ISNUMBER(SEARCH("public", P834))), "Business/Commercial",
IF(OR(ISNUMBER(SEARCH("hospital", P834)), ISNUMBER(SEARCH("assisted", P834)), ISNUMBER(SEARCH("residential care", P834))), "Medical Facility",
IF(OR(ISNUMBER(SEARCH("shelter", P834)), ISNUMBER(SEARCH("jail", P834))), "Shelter/Temporary Housing",
"Other / Unknown"))))))</f>
        <v>Home/Residence</v>
      </c>
      <c r="R834" t="s">
        <v>4436</v>
      </c>
      <c r="S834" t="s">
        <v>5098</v>
      </c>
      <c r="T834" t="str" cm="1">
        <f t="array" ref="T834">_xlfn.IFS(
  TEXT(TRIM(S834),"00000")="NULL", "Missing/Unknown",
  OR(TEXT(TRIM(S834),"00000")="89101", TEXT(TRIM(S834),"00000")="89104", TEXT(TRIM(S834),"00000")="89106", TEXT(TRIM(S834),"00000")="89102", TEXT(TRIM(S834),"00000")="89107", TEXT(TRIM(S834),"00000")="89108"), "Urban Core",
  OR(TEXT(TRIM(S834),"00000")="89110", TEXT(TRIM(S834),"00000")="89115", TEXT(TRIM(S834),"00000")="89121", TEXT(TRIM(S834),"00000")="89122", TEXT(TRIM(S834),"00000")="89142", TEXT(TRIM(S834),"00000")="89156"), "East Valley",
  OR(TEXT(TRIM(S834),"00000")="89030", TEXT(TRIM(S834),"00000")="89031", TEXT(TRIM(S834),"00000")="89032", TEXT(TRIM(S834),"00000")="89086", TEXT(TRIM(S834),"00000")="89084", TEXT(TRIM(S834),"00000")="89081"), "North LV",
  OR(TEXT(TRIM(S834),"00000")="89109", TEXT(TRIM(S834),"00000")="89103", TEXT(TRIM(S834),"00000")="89119", TEXT(TRIM(S834),"00000")="89123", TEXT(TRIM(S834),"00000")="89169", TEXT(TRIM(S834),"00000")="89118"), "South/Strip",
  OR(TEXT(TRIM(S834),"00000")="89074", TEXT(TRIM(S834),"00000")="89014", TEXT(TRIM(S834),"00000")="89015", TEXT(TRIM(S834),"00000")="89011", TEXT(TRIM(S834),"00000")="89012"), "Suburban SE",
  OR(TEXT(TRIM(S834),"00000")="89117", TEXT(TRIM(S834),"00000")="89128", TEXT(TRIM(S834),"00000")="89135", TEXT(TRIM(S834),"00000")="89144", TEXT(TRIM(S834),"00000")="89145", TEXT(TRIM(S834),"00000")="89147"), "West Valley",
  TRUE, "Other"
)</f>
        <v>Urban Core</v>
      </c>
      <c r="U834" t="s">
        <v>38</v>
      </c>
      <c r="V834" t="str">
        <f t="shared" ref="V834:V897" si="55">IF(OR(ISNUMBER(SEARCH("outdoor", U834)), ISNUMBER(SEARCH("park", U834)), ISNUMBER(SEARCH("road", U834)), ISNUMBER(SEARCH("sidewalk", U834)), ISNUMBER(SEARCH("desert", U834)), ISNUMBER(SEARCH("tunnel", U834)), ISNUMBER(SEARCH("lot", U834)), ISNUMBER(SEARCH("lake", U834)), ISNUMBER(SEARCH("bus", U834)), ISNUMBER(SEARCH("shed", U834)), ISNUMBER(SEARCH("amusement", U834))), "Outdoors/Public",
IF(OR(ISNUMBER(SEARCH("home", U834)), ISNUMBER(SEARCH("residence", U834)), ISNUMBER(SEARCH("rv", U834)), ISNUMBER(SEARCH("tent", U834)), ISNUMBER(SEARCH("bedroom", U834)), ISNUMBER(SEARCH("garage", U834)), ISNUMBER(SEARCH("trailer", U834)), ISNUMBER(SEARCH("backyard", U834))), "Home/Residence",
IF(OR(ISNUMBER(SEARCH("vehicle", U834)), ISNUMBER(SEARCH("wash", U834))), "Vehicle-related",
IF(OR(ISNUMBER(SEARCH("business", U834)), ISNUMBER(SEARCH("school", U834)), ISNUMBER(SEARCH("hotel", U834)), ISNUMBER(SEARCH("construction", U834)), ISNUMBER(SEARCH("furniture", U834)), ISNUMBER(SEARCH("public", U834))), "Business/Commercial",
IF(OR(ISNUMBER(SEARCH("hospital", U834)), ISNUMBER(SEARCH("assisted", U834)), ISNUMBER(SEARCH("residential care", U834)), ISNUMBER(SEARCH("emergency room", U834)), ISNUMBER(SEARCH("emergency", U834)), ISNUMBER(SEARCH("intensive care unit", U834)), ISNUMBER(SEARCH("icu", U834))), "Medical Facility",
IF(OR(ISNUMBER(SEARCH("shelter", U834)), ISNUMBER(SEARCH("jail", U834))), "Shelter/Temporary Housing",
"Other / Unknown"))))))</f>
        <v>Home/Residence</v>
      </c>
    </row>
    <row r="835" spans="1:22">
      <c r="A835" t="s">
        <v>1444</v>
      </c>
      <c r="B835" t="s">
        <v>1445</v>
      </c>
      <c r="C835" s="1">
        <v>44764</v>
      </c>
      <c r="D835" s="4">
        <v>113</v>
      </c>
      <c r="E835">
        <v>66</v>
      </c>
      <c r="F835" t="str">
        <f t="shared" si="52"/>
        <v>60's</v>
      </c>
      <c r="G835" t="str" cm="1">
        <f t="array" ref="G835">_xlfn.IFS(
  F835="10's", "Child (5–12)",
  OR(F835="20's", F835="30's"), "Young Adult (20–39)",
  OR(F835="40's", F835="50's"), "Adult (40–59)",
  OR(F835="60's", F835="70's", F835="80's", F835="90's"), "Senior (60+)",
  TRUE, "Unknown"
)</f>
        <v>Senior (60+)</v>
      </c>
      <c r="H835" t="s">
        <v>841</v>
      </c>
      <c r="I835" t="s">
        <v>63</v>
      </c>
      <c r="J835" t="str">
        <f t="shared" si="53"/>
        <v>Cardiovascular Disease</v>
      </c>
      <c r="K835" t="s">
        <v>1446</v>
      </c>
      <c r="L835" t="s">
        <v>250</v>
      </c>
      <c r="M835" t="s">
        <v>4797</v>
      </c>
      <c r="N835" t="s">
        <v>5123</v>
      </c>
      <c r="O835" t="str" cm="1">
        <f t="array" ref="O835">_xlfn.IFS(
  TEXT(TRIM(N835),"00000")="NULL", "Missing/Unknown",
  OR(TEXT(TRIM(N835),"00000")="89101", TEXT(TRIM(N835),"00000")="89104", TEXT(TRIM(N835),"00000")="89106", TEXT(TRIM(N835),"00000")="89102", TEXT(TRIM(N835),"00000")="89107", TEXT(TRIM(N835),"00000")="89108"), "Urban Core",
  OR(TEXT(TRIM(N835),"00000")="89110", TEXT(TRIM(N835),"00000")="89115", TEXT(TRIM(N835),"00000")="89121", TEXT(TRIM(N835),"00000")="89122", TEXT(TRIM(N835),"00000")="89142", TEXT(TRIM(N835),"00000")="89156"), "East Valley",
  OR(TEXT(TRIM(N835),"00000")="89030", TEXT(TRIM(N835),"00000")="89031", TEXT(TRIM(N835),"00000")="89032", TEXT(TRIM(N835),"00000")="89086", TEXT(TRIM(N835),"00000")="89084", TEXT(TRIM(N835),"00000")="89081"), "North LV",
  OR(TEXT(TRIM(N835),"00000")="89109", TEXT(TRIM(N835),"00000")="89103", TEXT(TRIM(N835),"00000")="89119", TEXT(TRIM(N835),"00000")="89123", TEXT(TRIM(N835),"00000")="89169", TEXT(TRIM(N835),"00000")="89118"), "South/Strip",
  OR(TEXT(TRIM(N835),"00000")="89074", TEXT(TRIM(N835),"00000")="89014", TEXT(TRIM(N835),"00000")="89015", TEXT(TRIM(N835),"00000")="89011", TEXT(TRIM(N835),"00000")="89012"), "Suburban SE",
  OR(TEXT(TRIM(N835),"00000")="89117", TEXT(TRIM(N835),"00000")="89128", TEXT(TRIM(N835),"00000")="89135", TEXT(TRIM(N835),"00000")="89144", TEXT(TRIM(N835),"00000")="89145", TEXT(TRIM(N835),"00000")="89147"), "West Valley",
  TRUE, "Other"
)</f>
        <v>South/Strip</v>
      </c>
      <c r="P835" t="s">
        <v>3298</v>
      </c>
      <c r="Q835" t="str">
        <f t="shared" si="54"/>
        <v>Outdoors/Public</v>
      </c>
      <c r="R835" t="s">
        <v>4797</v>
      </c>
      <c r="S835" t="s">
        <v>5123</v>
      </c>
      <c r="T835" t="str" cm="1">
        <f t="array" ref="T835">_xlfn.IFS(
  TEXT(TRIM(S835),"00000")="NULL", "Missing/Unknown",
  OR(TEXT(TRIM(S835),"00000")="89101", TEXT(TRIM(S835),"00000")="89104", TEXT(TRIM(S835),"00000")="89106", TEXT(TRIM(S835),"00000")="89102", TEXT(TRIM(S835),"00000")="89107", TEXT(TRIM(S835),"00000")="89108"), "Urban Core",
  OR(TEXT(TRIM(S835),"00000")="89110", TEXT(TRIM(S835),"00000")="89115", TEXT(TRIM(S835),"00000")="89121", TEXT(TRIM(S835),"00000")="89122", TEXT(TRIM(S835),"00000")="89142", TEXT(TRIM(S835),"00000")="89156"), "East Valley",
  OR(TEXT(TRIM(S835),"00000")="89030", TEXT(TRIM(S835),"00000")="89031", TEXT(TRIM(S835),"00000")="89032", TEXT(TRIM(S835),"00000")="89086", TEXT(TRIM(S835),"00000")="89084", TEXT(TRIM(S835),"00000")="89081"), "North LV",
  OR(TEXT(TRIM(S835),"00000")="89109", TEXT(TRIM(S835),"00000")="89103", TEXT(TRIM(S835),"00000")="89119", TEXT(TRIM(S835),"00000")="89123", TEXT(TRIM(S835),"00000")="89169", TEXT(TRIM(S835),"00000")="89118"), "South/Strip",
  OR(TEXT(TRIM(S835),"00000")="89074", TEXT(TRIM(S835),"00000")="89014", TEXT(TRIM(S835),"00000")="89015", TEXT(TRIM(S835),"00000")="89011", TEXT(TRIM(S835),"00000")="89012"), "Suburban SE",
  OR(TEXT(TRIM(S835),"00000")="89117", TEXT(TRIM(S835),"00000")="89128", TEXT(TRIM(S835),"00000")="89135", TEXT(TRIM(S835),"00000")="89144", TEXT(TRIM(S835),"00000")="89145", TEXT(TRIM(S835),"00000")="89147"), "West Valley",
  TRUE, "Other"
)</f>
        <v>South/Strip</v>
      </c>
      <c r="U835" t="s">
        <v>3298</v>
      </c>
      <c r="V835" t="str">
        <f t="shared" si="55"/>
        <v>Outdoors/Public</v>
      </c>
    </row>
    <row r="836" spans="1:22">
      <c r="A836" t="s">
        <v>1439</v>
      </c>
      <c r="B836" t="s">
        <v>1440</v>
      </c>
      <c r="C836" s="1">
        <v>44764</v>
      </c>
      <c r="D836" s="4">
        <v>113</v>
      </c>
      <c r="E836">
        <v>87</v>
      </c>
      <c r="F836" t="str">
        <f t="shared" si="52"/>
        <v>80's</v>
      </c>
      <c r="G836" t="str" cm="1">
        <f t="array" ref="G836">_xlfn.IFS(
  F836="10's", "Child (5–12)",
  OR(F836="20's", F836="30's"), "Young Adult (20–39)",
  OR(F836="40's", F836="50's"), "Adult (40–59)",
  OR(F836="60's", F836="70's", F836="80's", F836="90's"), "Senior (60+)",
  TRUE, "Unknown"
)</f>
        <v>Senior (60+)</v>
      </c>
      <c r="H836" t="s">
        <v>4309</v>
      </c>
      <c r="I836" t="s">
        <v>4084</v>
      </c>
      <c r="J836" t="str">
        <f t="shared" si="53"/>
        <v>Cardiovascular Disease</v>
      </c>
      <c r="K836" t="s">
        <v>4173</v>
      </c>
      <c r="L836" t="s">
        <v>1071</v>
      </c>
      <c r="M836" t="s">
        <v>4437</v>
      </c>
      <c r="N836" t="s">
        <v>5151</v>
      </c>
      <c r="O836" t="str" cm="1">
        <f t="array" ref="O836">_xlfn.IFS(
  TEXT(TRIM(N836),"00000")="NULL", "Missing/Unknown",
  OR(TEXT(TRIM(N836),"00000")="89101", TEXT(TRIM(N836),"00000")="89104", TEXT(TRIM(N836),"00000")="89106", TEXT(TRIM(N836),"00000")="89102", TEXT(TRIM(N836),"00000")="89107", TEXT(TRIM(N836),"00000")="89108"), "Urban Core",
  OR(TEXT(TRIM(N836),"00000")="89110", TEXT(TRIM(N836),"00000")="89115", TEXT(TRIM(N836),"00000")="89121", TEXT(TRIM(N836),"00000")="89122", TEXT(TRIM(N836),"00000")="89142", TEXT(TRIM(N836),"00000")="89156"), "East Valley",
  OR(TEXT(TRIM(N836),"00000")="89030", TEXT(TRIM(N836),"00000")="89031", TEXT(TRIM(N836),"00000")="89032", TEXT(TRIM(N836),"00000")="89086", TEXT(TRIM(N836),"00000")="89084", TEXT(TRIM(N836),"00000")="89081"), "North LV",
  OR(TEXT(TRIM(N836),"00000")="89109", TEXT(TRIM(N836),"00000")="89103", TEXT(TRIM(N836),"00000")="89119", TEXT(TRIM(N836),"00000")="89123", TEXT(TRIM(N836),"00000")="89169", TEXT(TRIM(N836),"00000")="89118"), "South/Strip",
  OR(TEXT(TRIM(N836),"00000")="89074", TEXT(TRIM(N836),"00000")="89014", TEXT(TRIM(N836),"00000")="89015", TEXT(TRIM(N836),"00000")="89011", TEXT(TRIM(N836),"00000")="89012"), "Suburban SE",
  OR(TEXT(TRIM(N836),"00000")="89117", TEXT(TRIM(N836),"00000")="89128", TEXT(TRIM(N836),"00000")="89135", TEXT(TRIM(N836),"00000")="89144", TEXT(TRIM(N836),"00000")="89145", TEXT(TRIM(N836),"00000")="89147"), "West Valley",
  TRUE, "Other"
)</f>
        <v>Other</v>
      </c>
      <c r="P836" t="s">
        <v>38</v>
      </c>
      <c r="Q836" t="str">
        <f t="shared" si="54"/>
        <v>Home/Residence</v>
      </c>
      <c r="R836" t="s">
        <v>4437</v>
      </c>
      <c r="S836" t="s">
        <v>5151</v>
      </c>
      <c r="T836" t="str" cm="1">
        <f t="array" ref="T836">_xlfn.IFS(
  TEXT(TRIM(S836),"00000")="NULL", "Missing/Unknown",
  OR(TEXT(TRIM(S836),"00000")="89101", TEXT(TRIM(S836),"00000")="89104", TEXT(TRIM(S836),"00000")="89106", TEXT(TRIM(S836),"00000")="89102", TEXT(TRIM(S836),"00000")="89107", TEXT(TRIM(S836),"00000")="89108"), "Urban Core",
  OR(TEXT(TRIM(S836),"00000")="89110", TEXT(TRIM(S836),"00000")="89115", TEXT(TRIM(S836),"00000")="89121", TEXT(TRIM(S836),"00000")="89122", TEXT(TRIM(S836),"00000")="89142", TEXT(TRIM(S836),"00000")="89156"), "East Valley",
  OR(TEXT(TRIM(S836),"00000")="89030", TEXT(TRIM(S836),"00000")="89031", TEXT(TRIM(S836),"00000")="89032", TEXT(TRIM(S836),"00000")="89086", TEXT(TRIM(S836),"00000")="89084", TEXT(TRIM(S836),"00000")="89081"), "North LV",
  OR(TEXT(TRIM(S836),"00000")="89109", TEXT(TRIM(S836),"00000")="89103", TEXT(TRIM(S836),"00000")="89119", TEXT(TRIM(S836),"00000")="89123", TEXT(TRIM(S836),"00000")="89169", TEXT(TRIM(S836),"00000")="89118"), "South/Strip",
  OR(TEXT(TRIM(S836),"00000")="89074", TEXT(TRIM(S836),"00000")="89014", TEXT(TRIM(S836),"00000")="89015", TEXT(TRIM(S836),"00000")="89011", TEXT(TRIM(S836),"00000")="89012"), "Suburban SE",
  OR(TEXT(TRIM(S836),"00000")="89117", TEXT(TRIM(S836),"00000")="89128", TEXT(TRIM(S836),"00000")="89135", TEXT(TRIM(S836),"00000")="89144", TEXT(TRIM(S836),"00000")="89145", TEXT(TRIM(S836),"00000")="89147"), "West Valley",
  TRUE, "Other"
)</f>
        <v>Other</v>
      </c>
      <c r="U836" t="s">
        <v>38</v>
      </c>
      <c r="V836" t="str">
        <f t="shared" si="55"/>
        <v>Home/Residence</v>
      </c>
    </row>
    <row r="837" spans="1:22">
      <c r="A837" t="s">
        <v>1435</v>
      </c>
      <c r="B837" t="s">
        <v>1436</v>
      </c>
      <c r="C837" s="1">
        <v>44764</v>
      </c>
      <c r="D837" s="4">
        <v>113</v>
      </c>
      <c r="E837">
        <v>34</v>
      </c>
      <c r="F837" t="str">
        <f t="shared" si="52"/>
        <v>30's</v>
      </c>
      <c r="G837" t="str" cm="1">
        <f t="array" ref="G837">_xlfn.IFS(
  F837="10's", "Child (5–12)",
  OR(F837="20's", F837="30's"), "Young Adult (20–39)",
  OR(F837="40's", F837="50's"), "Adult (40–59)",
  OR(F837="60's", F837="70's", F837="80's", F837="90's"), "Senior (60+)",
  TRUE, "Unknown"
)</f>
        <v>Young Adult (20–39)</v>
      </c>
      <c r="H837" t="s">
        <v>841</v>
      </c>
      <c r="I837" t="s">
        <v>4103</v>
      </c>
      <c r="J837" t="str">
        <f t="shared" si="53"/>
        <v>Methamphetamine-related</v>
      </c>
      <c r="K837" t="s">
        <v>54</v>
      </c>
      <c r="L837" t="s">
        <v>250</v>
      </c>
      <c r="M837" t="s">
        <v>4736</v>
      </c>
      <c r="N837" t="s">
        <v>5119</v>
      </c>
      <c r="O837" t="str" cm="1">
        <f t="array" ref="O837">_xlfn.IFS(
  TEXT(TRIM(N837),"00000")="NULL", "Missing/Unknown",
  OR(TEXT(TRIM(N837),"00000")="89101", TEXT(TRIM(N837),"00000")="89104", TEXT(TRIM(N837),"00000")="89106", TEXT(TRIM(N837),"00000")="89102", TEXT(TRIM(N837),"00000")="89107", TEXT(TRIM(N837),"00000")="89108"), "Urban Core",
  OR(TEXT(TRIM(N837),"00000")="89110", TEXT(TRIM(N837),"00000")="89115", TEXT(TRIM(N837),"00000")="89121", TEXT(TRIM(N837),"00000")="89122", TEXT(TRIM(N837),"00000")="89142", TEXT(TRIM(N837),"00000")="89156"), "East Valley",
  OR(TEXT(TRIM(N837),"00000")="89030", TEXT(TRIM(N837),"00000")="89031", TEXT(TRIM(N837),"00000")="89032", TEXT(TRIM(N837),"00000")="89086", TEXT(TRIM(N837),"00000")="89084", TEXT(TRIM(N837),"00000")="89081"), "North LV",
  OR(TEXT(TRIM(N837),"00000")="89109", TEXT(TRIM(N837),"00000")="89103", TEXT(TRIM(N837),"00000")="89119", TEXT(TRIM(N837),"00000")="89123", TEXT(TRIM(N837),"00000")="89169", TEXT(TRIM(N837),"00000")="89118"), "South/Strip",
  OR(TEXT(TRIM(N837),"00000")="89074", TEXT(TRIM(N837),"00000")="89014", TEXT(TRIM(N837),"00000")="89015", TEXT(TRIM(N837),"00000")="89011", TEXT(TRIM(N837),"00000")="89012"), "Suburban SE",
  OR(TEXT(TRIM(N837),"00000")="89117", TEXT(TRIM(N837),"00000")="89128", TEXT(TRIM(N837),"00000")="89135", TEXT(TRIM(N837),"00000")="89144", TEXT(TRIM(N837),"00000")="89145", TEXT(TRIM(N837),"00000")="89147"), "West Valley",
  TRUE, "Other"
)</f>
        <v>Urban Core</v>
      </c>
      <c r="P837" t="s">
        <v>3298</v>
      </c>
      <c r="Q837" t="str">
        <f t="shared" si="54"/>
        <v>Outdoors/Public</v>
      </c>
      <c r="R837" t="s">
        <v>4736</v>
      </c>
      <c r="S837" t="s">
        <v>5119</v>
      </c>
      <c r="T837" t="str" cm="1">
        <f t="array" ref="T837">_xlfn.IFS(
  TEXT(TRIM(S837),"00000")="NULL", "Missing/Unknown",
  OR(TEXT(TRIM(S837),"00000")="89101", TEXT(TRIM(S837),"00000")="89104", TEXT(TRIM(S837),"00000")="89106", TEXT(TRIM(S837),"00000")="89102", TEXT(TRIM(S837),"00000")="89107", TEXT(TRIM(S837),"00000")="89108"), "Urban Core",
  OR(TEXT(TRIM(S837),"00000")="89110", TEXT(TRIM(S837),"00000")="89115", TEXT(TRIM(S837),"00000")="89121", TEXT(TRIM(S837),"00000")="89122", TEXT(TRIM(S837),"00000")="89142", TEXT(TRIM(S837),"00000")="89156"), "East Valley",
  OR(TEXT(TRIM(S837),"00000")="89030", TEXT(TRIM(S837),"00000")="89031", TEXT(TRIM(S837),"00000")="89032", TEXT(TRIM(S837),"00000")="89086", TEXT(TRIM(S837),"00000")="89084", TEXT(TRIM(S837),"00000")="89081"), "North LV",
  OR(TEXT(TRIM(S837),"00000")="89109", TEXT(TRIM(S837),"00000")="89103", TEXT(TRIM(S837),"00000")="89119", TEXT(TRIM(S837),"00000")="89123", TEXT(TRIM(S837),"00000")="89169", TEXT(TRIM(S837),"00000")="89118"), "South/Strip",
  OR(TEXT(TRIM(S837),"00000")="89074", TEXT(TRIM(S837),"00000")="89014", TEXT(TRIM(S837),"00000")="89015", TEXT(TRIM(S837),"00000")="89011", TEXT(TRIM(S837),"00000")="89012"), "Suburban SE",
  OR(TEXT(TRIM(S837),"00000")="89117", TEXT(TRIM(S837),"00000")="89128", TEXT(TRIM(S837),"00000")="89135", TEXT(TRIM(S837),"00000")="89144", TEXT(TRIM(S837),"00000")="89145", TEXT(TRIM(S837),"00000")="89147"), "West Valley",
  TRUE, "Other"
)</f>
        <v>Urban Core</v>
      </c>
      <c r="U837" t="s">
        <v>3298</v>
      </c>
      <c r="V837" t="str">
        <f t="shared" si="55"/>
        <v>Outdoors/Public</v>
      </c>
    </row>
    <row r="838" spans="1:22">
      <c r="A838" t="s">
        <v>1431</v>
      </c>
      <c r="B838" t="s">
        <v>1432</v>
      </c>
      <c r="C838" s="1">
        <v>44764</v>
      </c>
      <c r="D838" s="4">
        <v>113</v>
      </c>
      <c r="E838">
        <v>46</v>
      </c>
      <c r="F838" t="str">
        <f t="shared" si="52"/>
        <v>40's</v>
      </c>
      <c r="G838" t="str" cm="1">
        <f t="array" ref="G838">_xlfn.IFS(
  F838="10's", "Child (5–12)",
  OR(F838="20's", F838="30's"), "Young Adult (20–39)",
  OR(F838="40's", F838="50's"), "Adult (40–59)",
  OR(F838="60's", F838="70's", F838="80's", F838="90's"), "Senior (60+)",
  TRUE, "Unknown"
)</f>
        <v>Adult (40–59)</v>
      </c>
      <c r="H838" t="s">
        <v>778</v>
      </c>
      <c r="I838" t="s">
        <v>54</v>
      </c>
      <c r="J838" t="str">
        <f t="shared" si="53"/>
        <v>Environmental Heat</v>
      </c>
      <c r="K838" t="s">
        <v>1433</v>
      </c>
      <c r="L838" t="s">
        <v>250</v>
      </c>
      <c r="M838" t="s">
        <v>4337</v>
      </c>
      <c r="N838" t="s">
        <v>5097</v>
      </c>
      <c r="O838" t="str" cm="1">
        <f t="array" ref="O838">_xlfn.IFS(
  TEXT(TRIM(N838),"00000")="NULL", "Missing/Unknown",
  OR(TEXT(TRIM(N838),"00000")="89101", TEXT(TRIM(N838),"00000")="89104", TEXT(TRIM(N838),"00000")="89106", TEXT(TRIM(N838),"00000")="89102", TEXT(TRIM(N838),"00000")="89107", TEXT(TRIM(N838),"00000")="89108"), "Urban Core",
  OR(TEXT(TRIM(N838),"00000")="89110", TEXT(TRIM(N838),"00000")="89115", TEXT(TRIM(N838),"00000")="89121", TEXT(TRIM(N838),"00000")="89122", TEXT(TRIM(N838),"00000")="89142", TEXT(TRIM(N838),"00000")="89156"), "East Valley",
  OR(TEXT(TRIM(N838),"00000")="89030", TEXT(TRIM(N838),"00000")="89031", TEXT(TRIM(N838),"00000")="89032", TEXT(TRIM(N838),"00000")="89086", TEXT(TRIM(N838),"00000")="89084", TEXT(TRIM(N838),"00000")="89081"), "North LV",
  OR(TEXT(TRIM(N838),"00000")="89109", TEXT(TRIM(N838),"00000")="89103", TEXT(TRIM(N838),"00000")="89119", TEXT(TRIM(N838),"00000")="89123", TEXT(TRIM(N838),"00000")="89169", TEXT(TRIM(N838),"00000")="89118"), "South/Strip",
  OR(TEXT(TRIM(N838),"00000")="89074", TEXT(TRIM(N838),"00000")="89014", TEXT(TRIM(N838),"00000")="89015", TEXT(TRIM(N838),"00000")="89011", TEXT(TRIM(N838),"00000")="89012"), "Suburban SE",
  OR(TEXT(TRIM(N838),"00000")="89117", TEXT(TRIM(N838),"00000")="89128", TEXT(TRIM(N838),"00000")="89135", TEXT(TRIM(N838),"00000")="89144", TEXT(TRIM(N838),"00000")="89145", TEXT(TRIM(N838),"00000")="89147"), "West Valley",
  TRUE, "Other"
)</f>
        <v>Urban Core</v>
      </c>
      <c r="P838" t="s">
        <v>3298</v>
      </c>
      <c r="Q838" t="str">
        <f t="shared" si="54"/>
        <v>Outdoors/Public</v>
      </c>
      <c r="R838" t="s">
        <v>4337</v>
      </c>
      <c r="S838" t="s">
        <v>5097</v>
      </c>
      <c r="T838" t="str" cm="1">
        <f t="array" ref="T838">_xlfn.IFS(
  TEXT(TRIM(S838),"00000")="NULL", "Missing/Unknown",
  OR(TEXT(TRIM(S838),"00000")="89101", TEXT(TRIM(S838),"00000")="89104", TEXT(TRIM(S838),"00000")="89106", TEXT(TRIM(S838),"00000")="89102", TEXT(TRIM(S838),"00000")="89107", TEXT(TRIM(S838),"00000")="89108"), "Urban Core",
  OR(TEXT(TRIM(S838),"00000")="89110", TEXT(TRIM(S838),"00000")="89115", TEXT(TRIM(S838),"00000")="89121", TEXT(TRIM(S838),"00000")="89122", TEXT(TRIM(S838),"00000")="89142", TEXT(TRIM(S838),"00000")="89156"), "East Valley",
  OR(TEXT(TRIM(S838),"00000")="89030", TEXT(TRIM(S838),"00000")="89031", TEXT(TRIM(S838),"00000")="89032", TEXT(TRIM(S838),"00000")="89086", TEXT(TRIM(S838),"00000")="89084", TEXT(TRIM(S838),"00000")="89081"), "North LV",
  OR(TEXT(TRIM(S838),"00000")="89109", TEXT(TRIM(S838),"00000")="89103", TEXT(TRIM(S838),"00000")="89119", TEXT(TRIM(S838),"00000")="89123", TEXT(TRIM(S838),"00000")="89169", TEXT(TRIM(S838),"00000")="89118"), "South/Strip",
  OR(TEXT(TRIM(S838),"00000")="89074", TEXT(TRIM(S838),"00000")="89014", TEXT(TRIM(S838),"00000")="89015", TEXT(TRIM(S838),"00000")="89011", TEXT(TRIM(S838),"00000")="89012"), "Suburban SE",
  OR(TEXT(TRIM(S838),"00000")="89117", TEXT(TRIM(S838),"00000")="89128", TEXT(TRIM(S838),"00000")="89135", TEXT(TRIM(S838),"00000")="89144", TEXT(TRIM(S838),"00000")="89145", TEXT(TRIM(S838),"00000")="89147"), "West Valley",
  TRUE, "Other"
)</f>
        <v>Urban Core</v>
      </c>
      <c r="U838" t="s">
        <v>3298</v>
      </c>
      <c r="V838" t="str">
        <f t="shared" si="55"/>
        <v>Outdoors/Public</v>
      </c>
    </row>
    <row r="839" spans="1:22">
      <c r="A839" t="s">
        <v>1419</v>
      </c>
      <c r="B839" t="s">
        <v>1420</v>
      </c>
      <c r="C839" s="1">
        <v>44763</v>
      </c>
      <c r="D839" s="4">
        <v>113</v>
      </c>
      <c r="E839">
        <v>58</v>
      </c>
      <c r="F839" t="str">
        <f t="shared" si="52"/>
        <v>50's</v>
      </c>
      <c r="G839" t="str" cm="1">
        <f t="array" ref="G839">_xlfn.IFS(
  F839="10's", "Child (5–12)",
  OR(F839="20's", F839="30's"), "Young Adult (20–39)",
  OR(F839="40's", F839="50's"), "Adult (40–59)",
  OR(F839="60's", F839="70's", F839="80's", F839="90's"), "Senior (60+)",
  TRUE, "Unknown"
)</f>
        <v>Adult (40–59)</v>
      </c>
      <c r="H839" t="s">
        <v>841</v>
      </c>
      <c r="I839" t="s">
        <v>54</v>
      </c>
      <c r="J839" t="str">
        <f t="shared" si="53"/>
        <v>Environmental Heat</v>
      </c>
      <c r="K839" t="s">
        <v>63</v>
      </c>
      <c r="L839" t="s">
        <v>250</v>
      </c>
      <c r="N839" t="s">
        <v>5095</v>
      </c>
      <c r="O839" t="str" cm="1">
        <f t="array" ref="O839">_xlfn.IFS(
  TEXT(TRIM(N839),"00000")="NULL", "Missing/Unknown",
  OR(TEXT(TRIM(N839),"00000")="89101", TEXT(TRIM(N839),"00000")="89104", TEXT(TRIM(N839),"00000")="89106", TEXT(TRIM(N839),"00000")="89102", TEXT(TRIM(N839),"00000")="89107", TEXT(TRIM(N839),"00000")="89108"), "Urban Core",
  OR(TEXT(TRIM(N839),"00000")="89110", TEXT(TRIM(N839),"00000")="89115", TEXT(TRIM(N839),"00000")="89121", TEXT(TRIM(N839),"00000")="89122", TEXT(TRIM(N839),"00000")="89142", TEXT(TRIM(N839),"00000")="89156"), "East Valley",
  OR(TEXT(TRIM(N839),"00000")="89030", TEXT(TRIM(N839),"00000")="89031", TEXT(TRIM(N839),"00000")="89032", TEXT(TRIM(N839),"00000")="89086", TEXT(TRIM(N839),"00000")="89084", TEXT(TRIM(N839),"00000")="89081"), "North LV",
  OR(TEXT(TRIM(N839),"00000")="89109", TEXT(TRIM(N839),"00000")="89103", TEXT(TRIM(N839),"00000")="89119", TEXT(TRIM(N839),"00000")="89123", TEXT(TRIM(N839),"00000")="89169", TEXT(TRIM(N839),"00000")="89118"), "South/Strip",
  OR(TEXT(TRIM(N839),"00000")="89074", TEXT(TRIM(N839),"00000")="89014", TEXT(TRIM(N839),"00000")="89015", TEXT(TRIM(N839),"00000")="89011", TEXT(TRIM(N839),"00000")="89012"), "Suburban SE",
  OR(TEXT(TRIM(N839),"00000")="89117", TEXT(TRIM(N839),"00000")="89128", TEXT(TRIM(N839),"00000")="89135", TEXT(TRIM(N839),"00000")="89144", TEXT(TRIM(N839),"00000")="89145", TEXT(TRIM(N839),"00000")="89147"), "West Valley",
  TRUE, "Other"
)</f>
        <v>Missing/Unknown</v>
      </c>
      <c r="P839" t="s">
        <v>3298</v>
      </c>
      <c r="Q839" t="str">
        <f t="shared" si="54"/>
        <v>Outdoors/Public</v>
      </c>
      <c r="R839" t="s">
        <v>4341</v>
      </c>
      <c r="S839" t="s">
        <v>5100</v>
      </c>
      <c r="T839" t="str" cm="1">
        <f t="array" ref="T839">_xlfn.IFS(
  TEXT(TRIM(S839),"00000")="NULL", "Missing/Unknown",
  OR(TEXT(TRIM(S839),"00000")="89101", TEXT(TRIM(S839),"00000")="89104", TEXT(TRIM(S839),"00000")="89106", TEXT(TRIM(S839),"00000")="89102", TEXT(TRIM(S839),"00000")="89107", TEXT(TRIM(S839),"00000")="89108"), "Urban Core",
  OR(TEXT(TRIM(S839),"00000")="89110", TEXT(TRIM(S839),"00000")="89115", TEXT(TRIM(S839),"00000")="89121", TEXT(TRIM(S839),"00000")="89122", TEXT(TRIM(S839),"00000")="89142", TEXT(TRIM(S839),"00000")="89156"), "East Valley",
  OR(TEXT(TRIM(S839),"00000")="89030", TEXT(TRIM(S839),"00000")="89031", TEXT(TRIM(S839),"00000")="89032", TEXT(TRIM(S839),"00000")="89086", TEXT(TRIM(S839),"00000")="89084", TEXT(TRIM(S839),"00000")="89081"), "North LV",
  OR(TEXT(TRIM(S839),"00000")="89109", TEXT(TRIM(S839),"00000")="89103", TEXT(TRIM(S839),"00000")="89119", TEXT(TRIM(S839),"00000")="89123", TEXT(TRIM(S839),"00000")="89169", TEXT(TRIM(S839),"00000")="89118"), "South/Strip",
  OR(TEXT(TRIM(S839),"00000")="89074", TEXT(TRIM(S839),"00000")="89014", TEXT(TRIM(S839),"00000")="89015", TEXT(TRIM(S839),"00000")="89011", TEXT(TRIM(S839),"00000")="89012"), "Suburban SE",
  OR(TEXT(TRIM(S839),"00000")="89117", TEXT(TRIM(S839),"00000")="89128", TEXT(TRIM(S839),"00000")="89135", TEXT(TRIM(S839),"00000")="89144", TEXT(TRIM(S839),"00000")="89145", TEXT(TRIM(S839),"00000")="89147"), "West Valley",
  TRUE, "Other"
)</f>
        <v>North LV</v>
      </c>
      <c r="U839" t="s">
        <v>4301</v>
      </c>
      <c r="V839" t="str">
        <f t="shared" si="55"/>
        <v>Medical Facility</v>
      </c>
    </row>
    <row r="840" spans="1:22">
      <c r="A840" t="s">
        <v>1425</v>
      </c>
      <c r="B840" t="s">
        <v>1426</v>
      </c>
      <c r="C840" s="1">
        <v>44763</v>
      </c>
      <c r="D840" s="4">
        <v>113</v>
      </c>
      <c r="E840">
        <v>36</v>
      </c>
      <c r="F840" t="str">
        <f t="shared" si="52"/>
        <v>30's</v>
      </c>
      <c r="G840" t="str" cm="1">
        <f t="array" ref="G840">_xlfn.IFS(
  F840="10's", "Child (5–12)",
  OR(F840="20's", F840="30's"), "Young Adult (20–39)",
  OR(F840="40's", F840="50's"), "Adult (40–59)",
  OR(F840="60's", F840="70's", F840="80's", F840="90's"), "Senior (60+)",
  TRUE, "Unknown"
)</f>
        <v>Young Adult (20–39)</v>
      </c>
      <c r="H840" t="s">
        <v>27</v>
      </c>
      <c r="I840" t="s">
        <v>172</v>
      </c>
      <c r="J840" t="str">
        <f t="shared" si="53"/>
        <v>Methamphetamine-related</v>
      </c>
      <c r="K840" t="s">
        <v>54</v>
      </c>
      <c r="L840" t="s">
        <v>250</v>
      </c>
      <c r="M840" t="s">
        <v>4798</v>
      </c>
      <c r="N840" t="s">
        <v>5125</v>
      </c>
      <c r="O840" t="str" cm="1">
        <f t="array" ref="O840">_xlfn.IFS(
  TEXT(TRIM(N840),"00000")="NULL", "Missing/Unknown",
  OR(TEXT(TRIM(N840),"00000")="89101", TEXT(TRIM(N840),"00000")="89104", TEXT(TRIM(N840),"00000")="89106", TEXT(TRIM(N840),"00000")="89102", TEXT(TRIM(N840),"00000")="89107", TEXT(TRIM(N840),"00000")="89108"), "Urban Core",
  OR(TEXT(TRIM(N840),"00000")="89110", TEXT(TRIM(N840),"00000")="89115", TEXT(TRIM(N840),"00000")="89121", TEXT(TRIM(N840),"00000")="89122", TEXT(TRIM(N840),"00000")="89142", TEXT(TRIM(N840),"00000")="89156"), "East Valley",
  OR(TEXT(TRIM(N840),"00000")="89030", TEXT(TRIM(N840),"00000")="89031", TEXT(TRIM(N840),"00000")="89032", TEXT(TRIM(N840),"00000")="89086", TEXT(TRIM(N840),"00000")="89084", TEXT(TRIM(N840),"00000")="89081"), "North LV",
  OR(TEXT(TRIM(N840),"00000")="89109", TEXT(TRIM(N840),"00000")="89103", TEXT(TRIM(N840),"00000")="89119", TEXT(TRIM(N840),"00000")="89123", TEXT(TRIM(N840),"00000")="89169", TEXT(TRIM(N840),"00000")="89118"), "South/Strip",
  OR(TEXT(TRIM(N840),"00000")="89074", TEXT(TRIM(N840),"00000")="89014", TEXT(TRIM(N840),"00000")="89015", TEXT(TRIM(N840),"00000")="89011", TEXT(TRIM(N840),"00000")="89012"), "Suburban SE",
  OR(TEXT(TRIM(N840),"00000")="89117", TEXT(TRIM(N840),"00000")="89128", TEXT(TRIM(N840),"00000")="89135", TEXT(TRIM(N840),"00000")="89144", TEXT(TRIM(N840),"00000")="89145", TEXT(TRIM(N840),"00000")="89147"), "West Valley",
  TRUE, "Other"
)</f>
        <v>South/Strip</v>
      </c>
      <c r="P840" t="s">
        <v>3298</v>
      </c>
      <c r="Q840" t="str">
        <f t="shared" si="54"/>
        <v>Outdoors/Public</v>
      </c>
      <c r="R840" t="s">
        <v>4798</v>
      </c>
      <c r="S840" t="s">
        <v>5125</v>
      </c>
      <c r="T840" t="str" cm="1">
        <f t="array" ref="T840">_xlfn.IFS(
  TEXT(TRIM(S840),"00000")="NULL", "Missing/Unknown",
  OR(TEXT(TRIM(S840),"00000")="89101", TEXT(TRIM(S840),"00000")="89104", TEXT(TRIM(S840),"00000")="89106", TEXT(TRIM(S840),"00000")="89102", TEXT(TRIM(S840),"00000")="89107", TEXT(TRIM(S840),"00000")="89108"), "Urban Core",
  OR(TEXT(TRIM(S840),"00000")="89110", TEXT(TRIM(S840),"00000")="89115", TEXT(TRIM(S840),"00000")="89121", TEXT(TRIM(S840),"00000")="89122", TEXT(TRIM(S840),"00000")="89142", TEXT(TRIM(S840),"00000")="89156"), "East Valley",
  OR(TEXT(TRIM(S840),"00000")="89030", TEXT(TRIM(S840),"00000")="89031", TEXT(TRIM(S840),"00000")="89032", TEXT(TRIM(S840),"00000")="89086", TEXT(TRIM(S840),"00000")="89084", TEXT(TRIM(S840),"00000")="89081"), "North LV",
  OR(TEXT(TRIM(S840),"00000")="89109", TEXT(TRIM(S840),"00000")="89103", TEXT(TRIM(S840),"00000")="89119", TEXT(TRIM(S840),"00000")="89123", TEXT(TRIM(S840),"00000")="89169", TEXT(TRIM(S840),"00000")="89118"), "South/Strip",
  OR(TEXT(TRIM(S840),"00000")="89074", TEXT(TRIM(S840),"00000")="89014", TEXT(TRIM(S840),"00000")="89015", TEXT(TRIM(S840),"00000")="89011", TEXT(TRIM(S840),"00000")="89012"), "Suburban SE",
  OR(TEXT(TRIM(S840),"00000")="89117", TEXT(TRIM(S840),"00000")="89128", TEXT(TRIM(S840),"00000")="89135", TEXT(TRIM(S840),"00000")="89144", TEXT(TRIM(S840),"00000")="89145", TEXT(TRIM(S840),"00000")="89147"), "West Valley",
  TRUE, "Other"
)</f>
        <v>South/Strip</v>
      </c>
      <c r="U840" t="s">
        <v>3298</v>
      </c>
      <c r="V840" t="str">
        <f t="shared" si="55"/>
        <v>Outdoors/Public</v>
      </c>
    </row>
    <row r="841" spans="1:22">
      <c r="A841" t="s">
        <v>1421</v>
      </c>
      <c r="B841" t="s">
        <v>1422</v>
      </c>
      <c r="C841" s="1">
        <v>44763</v>
      </c>
      <c r="D841" s="4">
        <v>113</v>
      </c>
      <c r="E841">
        <v>30</v>
      </c>
      <c r="F841" t="str">
        <f t="shared" si="52"/>
        <v>30's</v>
      </c>
      <c r="G841" t="str" cm="1">
        <f t="array" ref="G841">_xlfn.IFS(
  F841="10's", "Child (5–12)",
  OR(F841="20's", F841="30's"), "Young Adult (20–39)",
  OR(F841="40's", F841="50's"), "Adult (40–59)",
  OR(F841="60's", F841="70's", F841="80's", F841="90's"), "Senior (60+)",
  TRUE, "Unknown"
)</f>
        <v>Young Adult (20–39)</v>
      </c>
      <c r="H841" t="s">
        <v>841</v>
      </c>
      <c r="I841" t="s">
        <v>4311</v>
      </c>
      <c r="J841" t="str">
        <f t="shared" si="53"/>
        <v>Fentanyl-related</v>
      </c>
      <c r="K841" t="s">
        <v>4251</v>
      </c>
      <c r="L841" t="s">
        <v>250</v>
      </c>
      <c r="M841" t="s">
        <v>4547</v>
      </c>
      <c r="N841" t="s">
        <v>5108</v>
      </c>
      <c r="O841" t="str" cm="1">
        <f t="array" ref="O841">_xlfn.IFS(
  TEXT(TRIM(N841),"00000")="NULL", "Missing/Unknown",
  OR(TEXT(TRIM(N841),"00000")="89101", TEXT(TRIM(N841),"00000")="89104", TEXT(TRIM(N841),"00000")="89106", TEXT(TRIM(N841),"00000")="89102", TEXT(TRIM(N841),"00000")="89107", TEXT(TRIM(N841),"00000")="89108"), "Urban Core",
  OR(TEXT(TRIM(N841),"00000")="89110", TEXT(TRIM(N841),"00000")="89115", TEXT(TRIM(N841),"00000")="89121", TEXT(TRIM(N841),"00000")="89122", TEXT(TRIM(N841),"00000")="89142", TEXT(TRIM(N841),"00000")="89156"), "East Valley",
  OR(TEXT(TRIM(N841),"00000")="89030", TEXT(TRIM(N841),"00000")="89031", TEXT(TRIM(N841),"00000")="89032", TEXT(TRIM(N841),"00000")="89086", TEXT(TRIM(N841),"00000")="89084", TEXT(TRIM(N841),"00000")="89081"), "North LV",
  OR(TEXT(TRIM(N841),"00000")="89109", TEXT(TRIM(N841),"00000")="89103", TEXT(TRIM(N841),"00000")="89119", TEXT(TRIM(N841),"00000")="89123", TEXT(TRIM(N841),"00000")="89169", TEXT(TRIM(N841),"00000")="89118"), "South/Strip",
  OR(TEXT(TRIM(N841),"00000")="89074", TEXT(TRIM(N841),"00000")="89014", TEXT(TRIM(N841),"00000")="89015", TEXT(TRIM(N841),"00000")="89011", TEXT(TRIM(N841),"00000")="89012"), "Suburban SE",
  OR(TEXT(TRIM(N841),"00000")="89117", TEXT(TRIM(N841),"00000")="89128", TEXT(TRIM(N841),"00000")="89135", TEXT(TRIM(N841),"00000")="89144", TEXT(TRIM(N841),"00000")="89145", TEXT(TRIM(N841),"00000")="89147"), "West Valley",
  TRUE, "Other"
)</f>
        <v>East Valley</v>
      </c>
      <c r="P841" t="s">
        <v>3298</v>
      </c>
      <c r="Q841" t="str">
        <f t="shared" si="54"/>
        <v>Outdoors/Public</v>
      </c>
      <c r="R841" t="s">
        <v>4713</v>
      </c>
      <c r="S841" t="s">
        <v>5125</v>
      </c>
      <c r="T841" t="str" cm="1">
        <f t="array" ref="T841">_xlfn.IFS(
  TEXT(TRIM(S841),"00000")="NULL", "Missing/Unknown",
  OR(TEXT(TRIM(S841),"00000")="89101", TEXT(TRIM(S841),"00000")="89104", TEXT(TRIM(S841),"00000")="89106", TEXT(TRIM(S841),"00000")="89102", TEXT(TRIM(S841),"00000")="89107", TEXT(TRIM(S841),"00000")="89108"), "Urban Core",
  OR(TEXT(TRIM(S841),"00000")="89110", TEXT(TRIM(S841),"00000")="89115", TEXT(TRIM(S841),"00000")="89121", TEXT(TRIM(S841),"00000")="89122", TEXT(TRIM(S841),"00000")="89142", TEXT(TRIM(S841),"00000")="89156"), "East Valley",
  OR(TEXT(TRIM(S841),"00000")="89030", TEXT(TRIM(S841),"00000")="89031", TEXT(TRIM(S841),"00000")="89032", TEXT(TRIM(S841),"00000")="89086", TEXT(TRIM(S841),"00000")="89084", TEXT(TRIM(S841),"00000")="89081"), "North LV",
  OR(TEXT(TRIM(S841),"00000")="89109", TEXT(TRIM(S841),"00000")="89103", TEXT(TRIM(S841),"00000")="89119", TEXT(TRIM(S841),"00000")="89123", TEXT(TRIM(S841),"00000")="89169", TEXT(TRIM(S841),"00000")="89118"), "South/Strip",
  OR(TEXT(TRIM(S841),"00000")="89074", TEXT(TRIM(S841),"00000")="89014", TEXT(TRIM(S841),"00000")="89015", TEXT(TRIM(S841),"00000")="89011", TEXT(TRIM(S841),"00000")="89012"), "Suburban SE",
  OR(TEXT(TRIM(S841),"00000")="89117", TEXT(TRIM(S841),"00000")="89128", TEXT(TRIM(S841),"00000")="89135", TEXT(TRIM(S841),"00000")="89144", TEXT(TRIM(S841),"00000")="89145", TEXT(TRIM(S841),"00000")="89147"), "West Valley",
  TRUE, "Other"
)</f>
        <v>South/Strip</v>
      </c>
      <c r="U841" t="s">
        <v>4301</v>
      </c>
      <c r="V841" t="str">
        <f t="shared" si="55"/>
        <v>Medical Facility</v>
      </c>
    </row>
    <row r="842" spans="1:22">
      <c r="A842" t="s">
        <v>1413</v>
      </c>
      <c r="B842" t="s">
        <v>1414</v>
      </c>
      <c r="C842" s="1">
        <v>44762</v>
      </c>
      <c r="D842" s="4">
        <v>109.94</v>
      </c>
      <c r="E842">
        <v>44</v>
      </c>
      <c r="F842" t="str">
        <f t="shared" si="52"/>
        <v>40's</v>
      </c>
      <c r="G842" t="str" cm="1">
        <f t="array" ref="G842">_xlfn.IFS(
  F842="10's", "Child (5–12)",
  OR(F842="20's", F842="30's"), "Young Adult (20–39)",
  OR(F842="40's", F842="50's"), "Adult (40–59)",
  OR(F842="60's", F842="70's", F842="80's", F842="90's"), "Senior (60+)",
  TRUE, "Unknown"
)</f>
        <v>Adult (40–59)</v>
      </c>
      <c r="H842" t="s">
        <v>841</v>
      </c>
      <c r="I842" t="s">
        <v>54</v>
      </c>
      <c r="J842" t="str">
        <f t="shared" si="53"/>
        <v>Environmental Heat</v>
      </c>
      <c r="K842" t="s">
        <v>468</v>
      </c>
      <c r="L842" t="s">
        <v>250</v>
      </c>
      <c r="M842" t="s">
        <v>4803</v>
      </c>
      <c r="N842" t="s">
        <v>5096</v>
      </c>
      <c r="O842" t="str" cm="1">
        <f t="array" ref="O842">_xlfn.IFS(
  TEXT(TRIM(N842),"00000")="NULL", "Missing/Unknown",
  OR(TEXT(TRIM(N842),"00000")="89101", TEXT(TRIM(N842),"00000")="89104", TEXT(TRIM(N842),"00000")="89106", TEXT(TRIM(N842),"00000")="89102", TEXT(TRIM(N842),"00000")="89107", TEXT(TRIM(N842),"00000")="89108"), "Urban Core",
  OR(TEXT(TRIM(N842),"00000")="89110", TEXT(TRIM(N842),"00000")="89115", TEXT(TRIM(N842),"00000")="89121", TEXT(TRIM(N842),"00000")="89122", TEXT(TRIM(N842),"00000")="89142", TEXT(TRIM(N842),"00000")="89156"), "East Valley",
  OR(TEXT(TRIM(N842),"00000")="89030", TEXT(TRIM(N842),"00000")="89031", TEXT(TRIM(N842),"00000")="89032", TEXT(TRIM(N842),"00000")="89086", TEXT(TRIM(N842),"00000")="89084", TEXT(TRIM(N842),"00000")="89081"), "North LV",
  OR(TEXT(TRIM(N842),"00000")="89109", TEXT(TRIM(N842),"00000")="89103", TEXT(TRIM(N842),"00000")="89119", TEXT(TRIM(N842),"00000")="89123", TEXT(TRIM(N842),"00000")="89169", TEXT(TRIM(N842),"00000")="89118"), "South/Strip",
  OR(TEXT(TRIM(N842),"00000")="89074", TEXT(TRIM(N842),"00000")="89014", TEXT(TRIM(N842),"00000")="89015", TEXT(TRIM(N842),"00000")="89011", TEXT(TRIM(N842),"00000")="89012"), "Suburban SE",
  OR(TEXT(TRIM(N842),"00000")="89117", TEXT(TRIM(N842),"00000")="89128", TEXT(TRIM(N842),"00000")="89135", TEXT(TRIM(N842),"00000")="89144", TEXT(TRIM(N842),"00000")="89145", TEXT(TRIM(N842),"00000")="89147"), "West Valley",
  TRUE, "Other"
)</f>
        <v>South/Strip</v>
      </c>
      <c r="P842" t="s">
        <v>3298</v>
      </c>
      <c r="Q842" t="str">
        <f t="shared" si="54"/>
        <v>Outdoors/Public</v>
      </c>
      <c r="R842" t="s">
        <v>4803</v>
      </c>
      <c r="S842" t="s">
        <v>5096</v>
      </c>
      <c r="T842" t="str" cm="1">
        <f t="array" ref="T842">_xlfn.IFS(
  TEXT(TRIM(S842),"00000")="NULL", "Missing/Unknown",
  OR(TEXT(TRIM(S842),"00000")="89101", TEXT(TRIM(S842),"00000")="89104", TEXT(TRIM(S842),"00000")="89106", TEXT(TRIM(S842),"00000")="89102", TEXT(TRIM(S842),"00000")="89107", TEXT(TRIM(S842),"00000")="89108"), "Urban Core",
  OR(TEXT(TRIM(S842),"00000")="89110", TEXT(TRIM(S842),"00000")="89115", TEXT(TRIM(S842),"00000")="89121", TEXT(TRIM(S842),"00000")="89122", TEXT(TRIM(S842),"00000")="89142", TEXT(TRIM(S842),"00000")="89156"), "East Valley",
  OR(TEXT(TRIM(S842),"00000")="89030", TEXT(TRIM(S842),"00000")="89031", TEXT(TRIM(S842),"00000")="89032", TEXT(TRIM(S842),"00000")="89086", TEXT(TRIM(S842),"00000")="89084", TEXT(TRIM(S842),"00000")="89081"), "North LV",
  OR(TEXT(TRIM(S842),"00000")="89109", TEXT(TRIM(S842),"00000")="89103", TEXT(TRIM(S842),"00000")="89119", TEXT(TRIM(S842),"00000")="89123", TEXT(TRIM(S842),"00000")="89169", TEXT(TRIM(S842),"00000")="89118"), "South/Strip",
  OR(TEXT(TRIM(S842),"00000")="89074", TEXT(TRIM(S842),"00000")="89014", TEXT(TRIM(S842),"00000")="89015", TEXT(TRIM(S842),"00000")="89011", TEXT(TRIM(S842),"00000")="89012"), "Suburban SE",
  OR(TEXT(TRIM(S842),"00000")="89117", TEXT(TRIM(S842),"00000")="89128", TEXT(TRIM(S842),"00000")="89135", TEXT(TRIM(S842),"00000")="89144", TEXT(TRIM(S842),"00000")="89145", TEXT(TRIM(S842),"00000")="89147"), "West Valley",
  TRUE, "Other"
)</f>
        <v>South/Strip</v>
      </c>
      <c r="U842" t="s">
        <v>3298</v>
      </c>
      <c r="V842" t="str">
        <f t="shared" si="55"/>
        <v>Outdoors/Public</v>
      </c>
    </row>
    <row r="843" spans="1:22">
      <c r="A843" t="s">
        <v>1405</v>
      </c>
      <c r="B843" t="s">
        <v>1406</v>
      </c>
      <c r="C843" s="1">
        <v>44762</v>
      </c>
      <c r="D843" s="4">
        <v>109.94</v>
      </c>
      <c r="E843">
        <v>58</v>
      </c>
      <c r="F843" t="str">
        <f t="shared" si="52"/>
        <v>50's</v>
      </c>
      <c r="G843" t="str" cm="1">
        <f t="array" ref="G843">_xlfn.IFS(
  F843="10's", "Child (5–12)",
  OR(F843="20's", F843="30's"), "Young Adult (20–39)",
  OR(F843="40's", F843="50's"), "Adult (40–59)",
  OR(F843="60's", F843="70's", F843="80's", F843="90's"), "Senior (60+)",
  TRUE, "Unknown"
)</f>
        <v>Adult (40–59)</v>
      </c>
      <c r="H843" t="s">
        <v>4310</v>
      </c>
      <c r="I843" t="s">
        <v>54</v>
      </c>
      <c r="J843" t="str">
        <f t="shared" si="53"/>
        <v>Environmental Heat</v>
      </c>
      <c r="K843" t="s">
        <v>98</v>
      </c>
      <c r="L843" t="s">
        <v>250</v>
      </c>
      <c r="M843" t="s">
        <v>4801</v>
      </c>
      <c r="N843" t="s">
        <v>5098</v>
      </c>
      <c r="O843" t="str" cm="1">
        <f t="array" ref="O843">_xlfn.IFS(
  TEXT(TRIM(N843),"00000")="NULL", "Missing/Unknown",
  OR(TEXT(TRIM(N843),"00000")="89101", TEXT(TRIM(N843),"00000")="89104", TEXT(TRIM(N843),"00000")="89106", TEXT(TRIM(N843),"00000")="89102", TEXT(TRIM(N843),"00000")="89107", TEXT(TRIM(N843),"00000")="89108"), "Urban Core",
  OR(TEXT(TRIM(N843),"00000")="89110", TEXT(TRIM(N843),"00000")="89115", TEXT(TRIM(N843),"00000")="89121", TEXT(TRIM(N843),"00000")="89122", TEXT(TRIM(N843),"00000")="89142", TEXT(TRIM(N843),"00000")="89156"), "East Valley",
  OR(TEXT(TRIM(N843),"00000")="89030", TEXT(TRIM(N843),"00000")="89031", TEXT(TRIM(N843),"00000")="89032", TEXT(TRIM(N843),"00000")="89086", TEXT(TRIM(N843),"00000")="89084", TEXT(TRIM(N843),"00000")="89081"), "North LV",
  OR(TEXT(TRIM(N843),"00000")="89109", TEXT(TRIM(N843),"00000")="89103", TEXT(TRIM(N843),"00000")="89119", TEXT(TRIM(N843),"00000")="89123", TEXT(TRIM(N843),"00000")="89169", TEXT(TRIM(N843),"00000")="89118"), "South/Strip",
  OR(TEXT(TRIM(N843),"00000")="89074", TEXT(TRIM(N843),"00000")="89014", TEXT(TRIM(N843),"00000")="89015", TEXT(TRIM(N843),"00000")="89011", TEXT(TRIM(N843),"00000")="89012"), "Suburban SE",
  OR(TEXT(TRIM(N843),"00000")="89117", TEXT(TRIM(N843),"00000")="89128", TEXT(TRIM(N843),"00000")="89135", TEXT(TRIM(N843),"00000")="89144", TEXT(TRIM(N843),"00000")="89145", TEXT(TRIM(N843),"00000")="89147"), "West Valley",
  TRUE, "Other"
)</f>
        <v>Urban Core</v>
      </c>
      <c r="P843" t="s">
        <v>3298</v>
      </c>
      <c r="Q843" t="str">
        <f t="shared" si="54"/>
        <v>Outdoors/Public</v>
      </c>
      <c r="R843" t="s">
        <v>4801</v>
      </c>
      <c r="S843" t="s">
        <v>5098</v>
      </c>
      <c r="T843" t="str" cm="1">
        <f t="array" ref="T843">_xlfn.IFS(
  TEXT(TRIM(S843),"00000")="NULL", "Missing/Unknown",
  OR(TEXT(TRIM(S843),"00000")="89101", TEXT(TRIM(S843),"00000")="89104", TEXT(TRIM(S843),"00000")="89106", TEXT(TRIM(S843),"00000")="89102", TEXT(TRIM(S843),"00000")="89107", TEXT(TRIM(S843),"00000")="89108"), "Urban Core",
  OR(TEXT(TRIM(S843),"00000")="89110", TEXT(TRIM(S843),"00000")="89115", TEXT(TRIM(S843),"00000")="89121", TEXT(TRIM(S843),"00000")="89122", TEXT(TRIM(S843),"00000")="89142", TEXT(TRIM(S843),"00000")="89156"), "East Valley",
  OR(TEXT(TRIM(S843),"00000")="89030", TEXT(TRIM(S843),"00000")="89031", TEXT(TRIM(S843),"00000")="89032", TEXT(TRIM(S843),"00000")="89086", TEXT(TRIM(S843),"00000")="89084", TEXT(TRIM(S843),"00000")="89081"), "North LV",
  OR(TEXT(TRIM(S843),"00000")="89109", TEXT(TRIM(S843),"00000")="89103", TEXT(TRIM(S843),"00000")="89119", TEXT(TRIM(S843),"00000")="89123", TEXT(TRIM(S843),"00000")="89169", TEXT(TRIM(S843),"00000")="89118"), "South/Strip",
  OR(TEXT(TRIM(S843),"00000")="89074", TEXT(TRIM(S843),"00000")="89014", TEXT(TRIM(S843),"00000")="89015", TEXT(TRIM(S843),"00000")="89011", TEXT(TRIM(S843),"00000")="89012"), "Suburban SE",
  OR(TEXT(TRIM(S843),"00000")="89117", TEXT(TRIM(S843),"00000")="89128", TEXT(TRIM(S843),"00000")="89135", TEXT(TRIM(S843),"00000")="89144", TEXT(TRIM(S843),"00000")="89145", TEXT(TRIM(S843),"00000")="89147"), "West Valley",
  TRUE, "Other"
)</f>
        <v>Urban Core</v>
      </c>
      <c r="U843" t="s">
        <v>3298</v>
      </c>
      <c r="V843" t="str">
        <f t="shared" si="55"/>
        <v>Outdoors/Public</v>
      </c>
    </row>
    <row r="844" spans="1:22">
      <c r="A844" t="s">
        <v>1399</v>
      </c>
      <c r="B844" t="s">
        <v>1400</v>
      </c>
      <c r="C844" s="1">
        <v>44762</v>
      </c>
      <c r="D844" s="4">
        <v>109.94</v>
      </c>
      <c r="E844">
        <v>76</v>
      </c>
      <c r="F844" t="str">
        <f t="shared" si="52"/>
        <v>70's</v>
      </c>
      <c r="G844" t="str" cm="1">
        <f t="array" ref="G844">_xlfn.IFS(
  F844="10's", "Child (5–12)",
  OR(F844="20's", F844="30's"), "Young Adult (20–39)",
  OR(F844="40's", F844="50's"), "Adult (40–59)",
  OR(F844="60's", F844="70's", F844="80's", F844="90's"), "Senior (60+)",
  TRUE, "Unknown"
)</f>
        <v>Senior (60+)</v>
      </c>
      <c r="H844" t="s">
        <v>27</v>
      </c>
      <c r="I844" t="s">
        <v>54</v>
      </c>
      <c r="J844" t="str">
        <f t="shared" si="53"/>
        <v>Environmental Heat</v>
      </c>
      <c r="K844" t="s">
        <v>28</v>
      </c>
      <c r="L844" t="s">
        <v>250</v>
      </c>
      <c r="M844" t="s">
        <v>4800</v>
      </c>
      <c r="N844" t="s">
        <v>5115</v>
      </c>
      <c r="O844" t="str" cm="1">
        <f t="array" ref="O844">_xlfn.IFS(
  TEXT(TRIM(N844),"00000")="NULL", "Missing/Unknown",
  OR(TEXT(TRIM(N844),"00000")="89101", TEXT(TRIM(N844),"00000")="89104", TEXT(TRIM(N844),"00000")="89106", TEXT(TRIM(N844),"00000")="89102", TEXT(TRIM(N844),"00000")="89107", TEXT(TRIM(N844),"00000")="89108"), "Urban Core",
  OR(TEXT(TRIM(N844),"00000")="89110", TEXT(TRIM(N844),"00000")="89115", TEXT(TRIM(N844),"00000")="89121", TEXT(TRIM(N844),"00000")="89122", TEXT(TRIM(N844),"00000")="89142", TEXT(TRIM(N844),"00000")="89156"), "East Valley",
  OR(TEXT(TRIM(N844),"00000")="89030", TEXT(TRIM(N844),"00000")="89031", TEXT(TRIM(N844),"00000")="89032", TEXT(TRIM(N844),"00000")="89086", TEXT(TRIM(N844),"00000")="89084", TEXT(TRIM(N844),"00000")="89081"), "North LV",
  OR(TEXT(TRIM(N844),"00000")="89109", TEXT(TRIM(N844),"00000")="89103", TEXT(TRIM(N844),"00000")="89119", TEXT(TRIM(N844),"00000")="89123", TEXT(TRIM(N844),"00000")="89169", TEXT(TRIM(N844),"00000")="89118"), "South/Strip",
  OR(TEXT(TRIM(N844),"00000")="89074", TEXT(TRIM(N844),"00000")="89014", TEXT(TRIM(N844),"00000")="89015", TEXT(TRIM(N844),"00000")="89011", TEXT(TRIM(N844),"00000")="89012"), "Suburban SE",
  OR(TEXT(TRIM(N844),"00000")="89117", TEXT(TRIM(N844),"00000")="89128", TEXT(TRIM(N844),"00000")="89135", TEXT(TRIM(N844),"00000")="89144", TEXT(TRIM(N844),"00000")="89145", TEXT(TRIM(N844),"00000")="89147"), "West Valley",
  TRUE, "Other"
)</f>
        <v>Other</v>
      </c>
      <c r="P844" t="s">
        <v>3298</v>
      </c>
      <c r="Q844" t="str">
        <f t="shared" si="54"/>
        <v>Outdoors/Public</v>
      </c>
      <c r="R844" t="s">
        <v>4800</v>
      </c>
      <c r="S844" t="s">
        <v>5115</v>
      </c>
      <c r="T844" t="str" cm="1">
        <f t="array" ref="T844">_xlfn.IFS(
  TEXT(TRIM(S844),"00000")="NULL", "Missing/Unknown",
  OR(TEXT(TRIM(S844),"00000")="89101", TEXT(TRIM(S844),"00000")="89104", TEXT(TRIM(S844),"00000")="89106", TEXT(TRIM(S844),"00000")="89102", TEXT(TRIM(S844),"00000")="89107", TEXT(TRIM(S844),"00000")="89108"), "Urban Core",
  OR(TEXT(TRIM(S844),"00000")="89110", TEXT(TRIM(S844),"00000")="89115", TEXT(TRIM(S844),"00000")="89121", TEXT(TRIM(S844),"00000")="89122", TEXT(TRIM(S844),"00000")="89142", TEXT(TRIM(S844),"00000")="89156"), "East Valley",
  OR(TEXT(TRIM(S844),"00000")="89030", TEXT(TRIM(S844),"00000")="89031", TEXT(TRIM(S844),"00000")="89032", TEXT(TRIM(S844),"00000")="89086", TEXT(TRIM(S844),"00000")="89084", TEXT(TRIM(S844),"00000")="89081"), "North LV",
  OR(TEXT(TRIM(S844),"00000")="89109", TEXT(TRIM(S844),"00000")="89103", TEXT(TRIM(S844),"00000")="89119", TEXT(TRIM(S844),"00000")="89123", TEXT(TRIM(S844),"00000")="89169", TEXT(TRIM(S844),"00000")="89118"), "South/Strip",
  OR(TEXT(TRIM(S844),"00000")="89074", TEXT(TRIM(S844),"00000")="89014", TEXT(TRIM(S844),"00000")="89015", TEXT(TRIM(S844),"00000")="89011", TEXT(TRIM(S844),"00000")="89012"), "Suburban SE",
  OR(TEXT(TRIM(S844),"00000")="89117", TEXT(TRIM(S844),"00000")="89128", TEXT(TRIM(S844),"00000")="89135", TEXT(TRIM(S844),"00000")="89144", TEXT(TRIM(S844),"00000")="89145", TEXT(TRIM(S844),"00000")="89147"), "West Valley",
  TRUE, "Other"
)</f>
        <v>Other</v>
      </c>
      <c r="U844" t="s">
        <v>3298</v>
      </c>
      <c r="V844" t="str">
        <f t="shared" si="55"/>
        <v>Outdoors/Public</v>
      </c>
    </row>
    <row r="845" spans="1:22">
      <c r="A845" t="s">
        <v>1408</v>
      </c>
      <c r="B845" t="s">
        <v>1409</v>
      </c>
      <c r="C845" s="1">
        <v>44762</v>
      </c>
      <c r="D845" s="4">
        <v>109.94</v>
      </c>
      <c r="E845">
        <v>52</v>
      </c>
      <c r="F845" t="str">
        <f t="shared" si="52"/>
        <v>50's</v>
      </c>
      <c r="G845" t="str" cm="1">
        <f t="array" ref="G845">_xlfn.IFS(
  F845="10's", "Child (5–12)",
  OR(F845="20's", F845="30's"), "Young Adult (20–39)",
  OR(F845="40's", F845="50's"), "Adult (40–59)",
  OR(F845="60's", F845="70's", F845="80's", F845="90's"), "Senior (60+)",
  TRUE, "Unknown"
)</f>
        <v>Adult (40–59)</v>
      </c>
      <c r="H845" t="s">
        <v>841</v>
      </c>
      <c r="I845" t="s">
        <v>54</v>
      </c>
      <c r="J845" t="str">
        <f t="shared" si="53"/>
        <v>Environmental Heat</v>
      </c>
      <c r="K845" t="s">
        <v>1411</v>
      </c>
      <c r="L845" t="s">
        <v>250</v>
      </c>
      <c r="M845" t="s">
        <v>4802</v>
      </c>
      <c r="N845" t="s">
        <v>5125</v>
      </c>
      <c r="O845" t="str" cm="1">
        <f t="array" ref="O845">_xlfn.IFS(
  TEXT(TRIM(N845),"00000")="NULL", "Missing/Unknown",
  OR(TEXT(TRIM(N845),"00000")="89101", TEXT(TRIM(N845),"00000")="89104", TEXT(TRIM(N845),"00000")="89106", TEXT(TRIM(N845),"00000")="89102", TEXT(TRIM(N845),"00000")="89107", TEXT(TRIM(N845),"00000")="89108"), "Urban Core",
  OR(TEXT(TRIM(N845),"00000")="89110", TEXT(TRIM(N845),"00000")="89115", TEXT(TRIM(N845),"00000")="89121", TEXT(TRIM(N845),"00000")="89122", TEXT(TRIM(N845),"00000")="89142", TEXT(TRIM(N845),"00000")="89156"), "East Valley",
  OR(TEXT(TRIM(N845),"00000")="89030", TEXT(TRIM(N845),"00000")="89031", TEXT(TRIM(N845),"00000")="89032", TEXT(TRIM(N845),"00000")="89086", TEXT(TRIM(N845),"00000")="89084", TEXT(TRIM(N845),"00000")="89081"), "North LV",
  OR(TEXT(TRIM(N845),"00000")="89109", TEXT(TRIM(N845),"00000")="89103", TEXT(TRIM(N845),"00000")="89119", TEXT(TRIM(N845),"00000")="89123", TEXT(TRIM(N845),"00000")="89169", TEXT(TRIM(N845),"00000")="89118"), "South/Strip",
  OR(TEXT(TRIM(N845),"00000")="89074", TEXT(TRIM(N845),"00000")="89014", TEXT(TRIM(N845),"00000")="89015", TEXT(TRIM(N845),"00000")="89011", TEXT(TRIM(N845),"00000")="89012"), "Suburban SE",
  OR(TEXT(TRIM(N845),"00000")="89117", TEXT(TRIM(N845),"00000")="89128", TEXT(TRIM(N845),"00000")="89135", TEXT(TRIM(N845),"00000")="89144", TEXT(TRIM(N845),"00000")="89145", TEXT(TRIM(N845),"00000")="89147"), "West Valley",
  TRUE, "Other"
)</f>
        <v>South/Strip</v>
      </c>
      <c r="P845" t="s">
        <v>3298</v>
      </c>
      <c r="Q845" t="str">
        <f t="shared" si="54"/>
        <v>Outdoors/Public</v>
      </c>
      <c r="R845" t="s">
        <v>4802</v>
      </c>
      <c r="S845" t="s">
        <v>5125</v>
      </c>
      <c r="T845" t="str" cm="1">
        <f t="array" ref="T845">_xlfn.IFS(
  TEXT(TRIM(S845),"00000")="NULL", "Missing/Unknown",
  OR(TEXT(TRIM(S845),"00000")="89101", TEXT(TRIM(S845),"00000")="89104", TEXT(TRIM(S845),"00000")="89106", TEXT(TRIM(S845),"00000")="89102", TEXT(TRIM(S845),"00000")="89107", TEXT(TRIM(S845),"00000")="89108"), "Urban Core",
  OR(TEXT(TRIM(S845),"00000")="89110", TEXT(TRIM(S845),"00000")="89115", TEXT(TRIM(S845),"00000")="89121", TEXT(TRIM(S845),"00000")="89122", TEXT(TRIM(S845),"00000")="89142", TEXT(TRIM(S845),"00000")="89156"), "East Valley",
  OR(TEXT(TRIM(S845),"00000")="89030", TEXT(TRIM(S845),"00000")="89031", TEXT(TRIM(S845),"00000")="89032", TEXT(TRIM(S845),"00000")="89086", TEXT(TRIM(S845),"00000")="89084", TEXT(TRIM(S845),"00000")="89081"), "North LV",
  OR(TEXT(TRIM(S845),"00000")="89109", TEXT(TRIM(S845),"00000")="89103", TEXT(TRIM(S845),"00000")="89119", TEXT(TRIM(S845),"00000")="89123", TEXT(TRIM(S845),"00000")="89169", TEXT(TRIM(S845),"00000")="89118"), "South/Strip",
  OR(TEXT(TRIM(S845),"00000")="89074", TEXT(TRIM(S845),"00000")="89014", TEXT(TRIM(S845),"00000")="89015", TEXT(TRIM(S845),"00000")="89011", TEXT(TRIM(S845),"00000")="89012"), "Suburban SE",
  OR(TEXT(TRIM(S845),"00000")="89117", TEXT(TRIM(S845),"00000")="89128", TEXT(TRIM(S845),"00000")="89135", TEXT(TRIM(S845),"00000")="89144", TEXT(TRIM(S845),"00000")="89145", TEXT(TRIM(S845),"00000")="89147"), "West Valley",
  TRUE, "Other"
)</f>
        <v>South/Strip</v>
      </c>
      <c r="U845" t="s">
        <v>3298</v>
      </c>
      <c r="V845" t="str">
        <f t="shared" si="55"/>
        <v>Outdoors/Public</v>
      </c>
    </row>
    <row r="846" spans="1:22">
      <c r="A846" t="s">
        <v>1416</v>
      </c>
      <c r="B846" t="s">
        <v>1417</v>
      </c>
      <c r="C846" s="1">
        <v>44762</v>
      </c>
      <c r="D846" s="4">
        <v>109.94</v>
      </c>
      <c r="E846">
        <v>71</v>
      </c>
      <c r="F846" t="str">
        <f t="shared" si="52"/>
        <v>70's</v>
      </c>
      <c r="G846" t="str" cm="1">
        <f t="array" ref="G846">_xlfn.IFS(
  F846="10's", "Child (5–12)",
  OR(F846="20's", F846="30's"), "Young Adult (20–39)",
  OR(F846="40's", F846="50's"), "Adult (40–59)",
  OR(F846="60's", F846="70's", F846="80's", F846="90's"), "Senior (60+)",
  TRUE, "Unknown"
)</f>
        <v>Senior (60+)</v>
      </c>
      <c r="H846" t="s">
        <v>4309</v>
      </c>
      <c r="I846" t="s">
        <v>63</v>
      </c>
      <c r="J846" t="str">
        <f t="shared" si="53"/>
        <v>Cardiovascular Disease</v>
      </c>
      <c r="K846" t="s">
        <v>54</v>
      </c>
      <c r="L846" t="s">
        <v>1071</v>
      </c>
      <c r="M846" t="s">
        <v>4439</v>
      </c>
      <c r="N846" t="s">
        <v>5161</v>
      </c>
      <c r="O846" t="str" cm="1">
        <f t="array" ref="O846">_xlfn.IFS(
  TEXT(TRIM(N846),"00000")="NULL", "Missing/Unknown",
  OR(TEXT(TRIM(N846),"00000")="89101", TEXT(TRIM(N846),"00000")="89104", TEXT(TRIM(N846),"00000")="89106", TEXT(TRIM(N846),"00000")="89102", TEXT(TRIM(N846),"00000")="89107", TEXT(TRIM(N846),"00000")="89108"), "Urban Core",
  OR(TEXT(TRIM(N846),"00000")="89110", TEXT(TRIM(N846),"00000")="89115", TEXT(TRIM(N846),"00000")="89121", TEXT(TRIM(N846),"00000")="89122", TEXT(TRIM(N846),"00000")="89142", TEXT(TRIM(N846),"00000")="89156"), "East Valley",
  OR(TEXT(TRIM(N846),"00000")="89030", TEXT(TRIM(N846),"00000")="89031", TEXT(TRIM(N846),"00000")="89032", TEXT(TRIM(N846),"00000")="89086", TEXT(TRIM(N846),"00000")="89084", TEXT(TRIM(N846),"00000")="89081"), "North LV",
  OR(TEXT(TRIM(N846),"00000")="89109", TEXT(TRIM(N846),"00000")="89103", TEXT(TRIM(N846),"00000")="89119", TEXT(TRIM(N846),"00000")="89123", TEXT(TRIM(N846),"00000")="89169", TEXT(TRIM(N846),"00000")="89118"), "South/Strip",
  OR(TEXT(TRIM(N846),"00000")="89074", TEXT(TRIM(N846),"00000")="89014", TEXT(TRIM(N846),"00000")="89015", TEXT(TRIM(N846),"00000")="89011", TEXT(TRIM(N846),"00000")="89012"), "Suburban SE",
  OR(TEXT(TRIM(N846),"00000")="89117", TEXT(TRIM(N846),"00000")="89128", TEXT(TRIM(N846),"00000")="89135", TEXT(TRIM(N846),"00000")="89144", TEXT(TRIM(N846),"00000")="89145", TEXT(TRIM(N846),"00000")="89147"), "West Valley",
  TRUE, "Other"
)</f>
        <v>Other</v>
      </c>
      <c r="P846" t="s">
        <v>38</v>
      </c>
      <c r="Q846" t="str">
        <f t="shared" si="54"/>
        <v>Home/Residence</v>
      </c>
      <c r="R846" t="s">
        <v>4439</v>
      </c>
      <c r="S846" t="s">
        <v>5161</v>
      </c>
      <c r="T846" t="str" cm="1">
        <f t="array" ref="T846">_xlfn.IFS(
  TEXT(TRIM(S846),"00000")="NULL", "Missing/Unknown",
  OR(TEXT(TRIM(S846),"00000")="89101", TEXT(TRIM(S846),"00000")="89104", TEXT(TRIM(S846),"00000")="89106", TEXT(TRIM(S846),"00000")="89102", TEXT(TRIM(S846),"00000")="89107", TEXT(TRIM(S846),"00000")="89108"), "Urban Core",
  OR(TEXT(TRIM(S846),"00000")="89110", TEXT(TRIM(S846),"00000")="89115", TEXT(TRIM(S846),"00000")="89121", TEXT(TRIM(S846),"00000")="89122", TEXT(TRIM(S846),"00000")="89142", TEXT(TRIM(S846),"00000")="89156"), "East Valley",
  OR(TEXT(TRIM(S846),"00000")="89030", TEXT(TRIM(S846),"00000")="89031", TEXT(TRIM(S846),"00000")="89032", TEXT(TRIM(S846),"00000")="89086", TEXT(TRIM(S846),"00000")="89084", TEXT(TRIM(S846),"00000")="89081"), "North LV",
  OR(TEXT(TRIM(S846),"00000")="89109", TEXT(TRIM(S846),"00000")="89103", TEXT(TRIM(S846),"00000")="89119", TEXT(TRIM(S846),"00000")="89123", TEXT(TRIM(S846),"00000")="89169", TEXT(TRIM(S846),"00000")="89118"), "South/Strip",
  OR(TEXT(TRIM(S846),"00000")="89074", TEXT(TRIM(S846),"00000")="89014", TEXT(TRIM(S846),"00000")="89015", TEXT(TRIM(S846),"00000")="89011", TEXT(TRIM(S846),"00000")="89012"), "Suburban SE",
  OR(TEXT(TRIM(S846),"00000")="89117", TEXT(TRIM(S846),"00000")="89128", TEXT(TRIM(S846),"00000")="89135", TEXT(TRIM(S846),"00000")="89144", TEXT(TRIM(S846),"00000")="89145", TEXT(TRIM(S846),"00000")="89147"), "West Valley",
  TRUE, "Other"
)</f>
        <v>Other</v>
      </c>
      <c r="U846" t="s">
        <v>38</v>
      </c>
      <c r="V846" t="str">
        <f t="shared" si="55"/>
        <v>Home/Residence</v>
      </c>
    </row>
    <row r="847" spans="1:22">
      <c r="A847" t="s">
        <v>1395</v>
      </c>
      <c r="B847" t="s">
        <v>1396</v>
      </c>
      <c r="C847" s="1">
        <v>44762</v>
      </c>
      <c r="D847" s="4">
        <v>109.94</v>
      </c>
      <c r="E847">
        <v>74</v>
      </c>
      <c r="F847" t="str">
        <f t="shared" si="52"/>
        <v>70's</v>
      </c>
      <c r="G847" t="str" cm="1">
        <f t="array" ref="G847">_xlfn.IFS(
  F847="10's", "Child (5–12)",
  OR(F847="20's", F847="30's"), "Young Adult (20–39)",
  OR(F847="40's", F847="50's"), "Adult (40–59)",
  OR(F847="60's", F847="70's", F847="80's", F847="90's"), "Senior (60+)",
  TRUE, "Unknown"
)</f>
        <v>Senior (60+)</v>
      </c>
      <c r="H847" t="s">
        <v>841</v>
      </c>
      <c r="I847" t="s">
        <v>54</v>
      </c>
      <c r="J847" t="str">
        <f t="shared" si="53"/>
        <v>Environmental Heat</v>
      </c>
      <c r="K847" t="s">
        <v>1397</v>
      </c>
      <c r="L847" t="s">
        <v>1071</v>
      </c>
      <c r="M847" t="s">
        <v>4799</v>
      </c>
      <c r="N847" t="s">
        <v>5141</v>
      </c>
      <c r="O847" t="str" cm="1">
        <f t="array" ref="O847">_xlfn.IFS(
  TEXT(TRIM(N847),"00000")="NULL", "Missing/Unknown",
  OR(TEXT(TRIM(N847),"00000")="89101", TEXT(TRIM(N847),"00000")="89104", TEXT(TRIM(N847),"00000")="89106", TEXT(TRIM(N847),"00000")="89102", TEXT(TRIM(N847),"00000")="89107", TEXT(TRIM(N847),"00000")="89108"), "Urban Core",
  OR(TEXT(TRIM(N847),"00000")="89110", TEXT(TRIM(N847),"00000")="89115", TEXT(TRIM(N847),"00000")="89121", TEXT(TRIM(N847),"00000")="89122", TEXT(TRIM(N847),"00000")="89142", TEXT(TRIM(N847),"00000")="89156"), "East Valley",
  OR(TEXT(TRIM(N847),"00000")="89030", TEXT(TRIM(N847),"00000")="89031", TEXT(TRIM(N847),"00000")="89032", TEXT(TRIM(N847),"00000")="89086", TEXT(TRIM(N847),"00000")="89084", TEXT(TRIM(N847),"00000")="89081"), "North LV",
  OR(TEXT(TRIM(N847),"00000")="89109", TEXT(TRIM(N847),"00000")="89103", TEXT(TRIM(N847),"00000")="89119", TEXT(TRIM(N847),"00000")="89123", TEXT(TRIM(N847),"00000")="89169", TEXT(TRIM(N847),"00000")="89118"), "South/Strip",
  OR(TEXT(TRIM(N847),"00000")="89074", TEXT(TRIM(N847),"00000")="89014", TEXT(TRIM(N847),"00000")="89015", TEXT(TRIM(N847),"00000")="89011", TEXT(TRIM(N847),"00000")="89012"), "Suburban SE",
  OR(TEXT(TRIM(N847),"00000")="89117", TEXT(TRIM(N847),"00000")="89128", TEXT(TRIM(N847),"00000")="89135", TEXT(TRIM(N847),"00000")="89144", TEXT(TRIM(N847),"00000")="89145", TEXT(TRIM(N847),"00000")="89147"), "West Valley",
  TRUE, "Other"
)</f>
        <v>Other</v>
      </c>
      <c r="P847" t="s">
        <v>3298</v>
      </c>
      <c r="Q847" t="str">
        <f t="shared" si="54"/>
        <v>Outdoors/Public</v>
      </c>
      <c r="R847" t="s">
        <v>4799</v>
      </c>
      <c r="S847" t="s">
        <v>5141</v>
      </c>
      <c r="T847" t="str" cm="1">
        <f t="array" ref="T847">_xlfn.IFS(
  TEXT(TRIM(S847),"00000")="NULL", "Missing/Unknown",
  OR(TEXT(TRIM(S847),"00000")="89101", TEXT(TRIM(S847),"00000")="89104", TEXT(TRIM(S847),"00000")="89106", TEXT(TRIM(S847),"00000")="89102", TEXT(TRIM(S847),"00000")="89107", TEXT(TRIM(S847),"00000")="89108"), "Urban Core",
  OR(TEXT(TRIM(S847),"00000")="89110", TEXT(TRIM(S847),"00000")="89115", TEXT(TRIM(S847),"00000")="89121", TEXT(TRIM(S847),"00000")="89122", TEXT(TRIM(S847),"00000")="89142", TEXT(TRIM(S847),"00000")="89156"), "East Valley",
  OR(TEXT(TRIM(S847),"00000")="89030", TEXT(TRIM(S847),"00000")="89031", TEXT(TRIM(S847),"00000")="89032", TEXT(TRIM(S847),"00000")="89086", TEXT(TRIM(S847),"00000")="89084", TEXT(TRIM(S847),"00000")="89081"), "North LV",
  OR(TEXT(TRIM(S847),"00000")="89109", TEXT(TRIM(S847),"00000")="89103", TEXT(TRIM(S847),"00000")="89119", TEXT(TRIM(S847),"00000")="89123", TEXT(TRIM(S847),"00000")="89169", TEXT(TRIM(S847),"00000")="89118"), "South/Strip",
  OR(TEXT(TRIM(S847),"00000")="89074", TEXT(TRIM(S847),"00000")="89014", TEXT(TRIM(S847),"00000")="89015", TEXT(TRIM(S847),"00000")="89011", TEXT(TRIM(S847),"00000")="89012"), "Suburban SE",
  OR(TEXT(TRIM(S847),"00000")="89117", TEXT(TRIM(S847),"00000")="89128", TEXT(TRIM(S847),"00000")="89135", TEXT(TRIM(S847),"00000")="89144", TEXT(TRIM(S847),"00000")="89145", TEXT(TRIM(S847),"00000")="89147"), "West Valley",
  TRUE, "Other"
)</f>
        <v>Other</v>
      </c>
      <c r="U847" t="s">
        <v>3298</v>
      </c>
      <c r="V847" t="str">
        <f t="shared" si="55"/>
        <v>Outdoors/Public</v>
      </c>
    </row>
    <row r="848" spans="1:22">
      <c r="A848" t="s">
        <v>1403</v>
      </c>
      <c r="B848" t="s">
        <v>1404</v>
      </c>
      <c r="C848" s="1">
        <v>44762</v>
      </c>
      <c r="D848" s="4">
        <v>109.94</v>
      </c>
      <c r="E848">
        <v>36</v>
      </c>
      <c r="F848" t="str">
        <f t="shared" si="52"/>
        <v>30's</v>
      </c>
      <c r="G848" t="str" cm="1">
        <f t="array" ref="G848">_xlfn.IFS(
  F848="10's", "Child (5–12)",
  OR(F848="20's", F848="30's"), "Young Adult (20–39)",
  OR(F848="40's", F848="50's"), "Adult (40–59)",
  OR(F848="60's", F848="70's", F848="80's", F848="90's"), "Senior (60+)",
  TRUE, "Unknown"
)</f>
        <v>Young Adult (20–39)</v>
      </c>
      <c r="H848" t="s">
        <v>778</v>
      </c>
      <c r="I848" t="s">
        <v>34</v>
      </c>
      <c r="J848" t="str">
        <f t="shared" si="53"/>
        <v>Methamphetamine-related</v>
      </c>
      <c r="K848" t="s">
        <v>54</v>
      </c>
      <c r="L848" t="s">
        <v>250</v>
      </c>
      <c r="N848" t="s">
        <v>5095</v>
      </c>
      <c r="O848" t="str" cm="1">
        <f t="array" ref="O848">_xlfn.IFS(
  TEXT(TRIM(N848),"00000")="NULL", "Missing/Unknown",
  OR(TEXT(TRIM(N848),"00000")="89101", TEXT(TRIM(N848),"00000")="89104", TEXT(TRIM(N848),"00000")="89106", TEXT(TRIM(N848),"00000")="89102", TEXT(TRIM(N848),"00000")="89107", TEXT(TRIM(N848),"00000")="89108"), "Urban Core",
  OR(TEXT(TRIM(N848),"00000")="89110", TEXT(TRIM(N848),"00000")="89115", TEXT(TRIM(N848),"00000")="89121", TEXT(TRIM(N848),"00000")="89122", TEXT(TRIM(N848),"00000")="89142", TEXT(TRIM(N848),"00000")="89156"), "East Valley",
  OR(TEXT(TRIM(N848),"00000")="89030", TEXT(TRIM(N848),"00000")="89031", TEXT(TRIM(N848),"00000")="89032", TEXT(TRIM(N848),"00000")="89086", TEXT(TRIM(N848),"00000")="89084", TEXT(TRIM(N848),"00000")="89081"), "North LV",
  OR(TEXT(TRIM(N848),"00000")="89109", TEXT(TRIM(N848),"00000")="89103", TEXT(TRIM(N848),"00000")="89119", TEXT(TRIM(N848),"00000")="89123", TEXT(TRIM(N848),"00000")="89169", TEXT(TRIM(N848),"00000")="89118"), "South/Strip",
  OR(TEXT(TRIM(N848),"00000")="89074", TEXT(TRIM(N848),"00000")="89014", TEXT(TRIM(N848),"00000")="89015", TEXT(TRIM(N848),"00000")="89011", TEXT(TRIM(N848),"00000")="89012"), "Suburban SE",
  OR(TEXT(TRIM(N848),"00000")="89117", TEXT(TRIM(N848),"00000")="89128", TEXT(TRIM(N848),"00000")="89135", TEXT(TRIM(N848),"00000")="89144", TEXT(TRIM(N848),"00000")="89145", TEXT(TRIM(N848),"00000")="89147"), "West Valley",
  TRUE, "Other"
)</f>
        <v>Missing/Unknown</v>
      </c>
      <c r="P848" t="s">
        <v>3298</v>
      </c>
      <c r="Q848" t="str">
        <f t="shared" si="54"/>
        <v>Outdoors/Public</v>
      </c>
      <c r="S848" t="s">
        <v>5095</v>
      </c>
      <c r="T848" t="str" cm="1">
        <f t="array" ref="T848">_xlfn.IFS(
  TEXT(TRIM(S848),"00000")="NULL", "Missing/Unknown",
  OR(TEXT(TRIM(S848),"00000")="89101", TEXT(TRIM(S848),"00000")="89104", TEXT(TRIM(S848),"00000")="89106", TEXT(TRIM(S848),"00000")="89102", TEXT(TRIM(S848),"00000")="89107", TEXT(TRIM(S848),"00000")="89108"), "Urban Core",
  OR(TEXT(TRIM(S848),"00000")="89110", TEXT(TRIM(S848),"00000")="89115", TEXT(TRIM(S848),"00000")="89121", TEXT(TRIM(S848),"00000")="89122", TEXT(TRIM(S848),"00000")="89142", TEXT(TRIM(S848),"00000")="89156"), "East Valley",
  OR(TEXT(TRIM(S848),"00000")="89030", TEXT(TRIM(S848),"00000")="89031", TEXT(TRIM(S848),"00000")="89032", TEXT(TRIM(S848),"00000")="89086", TEXT(TRIM(S848),"00000")="89084", TEXT(TRIM(S848),"00000")="89081"), "North LV",
  OR(TEXT(TRIM(S848),"00000")="89109", TEXT(TRIM(S848),"00000")="89103", TEXT(TRIM(S848),"00000")="89119", TEXT(TRIM(S848),"00000")="89123", TEXT(TRIM(S848),"00000")="89169", TEXT(TRIM(S848),"00000")="89118"), "South/Strip",
  OR(TEXT(TRIM(S848),"00000")="89074", TEXT(TRIM(S848),"00000")="89014", TEXT(TRIM(S848),"00000")="89015", TEXT(TRIM(S848),"00000")="89011", TEXT(TRIM(S848),"00000")="89012"), "Suburban SE",
  OR(TEXT(TRIM(S848),"00000")="89117", TEXT(TRIM(S848),"00000")="89128", TEXT(TRIM(S848),"00000")="89135", TEXT(TRIM(S848),"00000")="89144", TEXT(TRIM(S848),"00000")="89145", TEXT(TRIM(S848),"00000")="89147"), "West Valley",
  TRUE, "Other"
)</f>
        <v>Missing/Unknown</v>
      </c>
      <c r="U848" t="s">
        <v>3298</v>
      </c>
      <c r="V848" t="str">
        <f t="shared" si="55"/>
        <v>Outdoors/Public</v>
      </c>
    </row>
    <row r="849" spans="1:22">
      <c r="A849" t="s">
        <v>1391</v>
      </c>
      <c r="B849" t="s">
        <v>1392</v>
      </c>
      <c r="C849" s="1">
        <v>44761</v>
      </c>
      <c r="D849" s="4">
        <v>109.94</v>
      </c>
      <c r="E849">
        <v>57</v>
      </c>
      <c r="F849" t="str">
        <f t="shared" si="52"/>
        <v>50's</v>
      </c>
      <c r="G849" t="str" cm="1">
        <f t="array" ref="G849">_xlfn.IFS(
  F849="10's", "Child (5–12)",
  OR(F849="20's", F849="30's"), "Young Adult (20–39)",
  OR(F849="40's", F849="50's"), "Adult (40–59)",
  OR(F849="60's", F849="70's", F849="80's", F849="90's"), "Senior (60+)",
  TRUE, "Unknown"
)</f>
        <v>Adult (40–59)</v>
      </c>
      <c r="H849" t="s">
        <v>27</v>
      </c>
      <c r="I849" t="s">
        <v>54</v>
      </c>
      <c r="J849" t="str">
        <f t="shared" si="53"/>
        <v>Environmental Heat</v>
      </c>
      <c r="K849" t="s">
        <v>1393</v>
      </c>
      <c r="L849" t="s">
        <v>250</v>
      </c>
      <c r="M849" t="s">
        <v>4804</v>
      </c>
      <c r="N849" t="s">
        <v>5101</v>
      </c>
      <c r="O849" t="str" cm="1">
        <f t="array" ref="O849">_xlfn.IFS(
  TEXT(TRIM(N849),"00000")="NULL", "Missing/Unknown",
  OR(TEXT(TRIM(N849),"00000")="89101", TEXT(TRIM(N849),"00000")="89104", TEXT(TRIM(N849),"00000")="89106", TEXT(TRIM(N849),"00000")="89102", TEXT(TRIM(N849),"00000")="89107", TEXT(TRIM(N849),"00000")="89108"), "Urban Core",
  OR(TEXT(TRIM(N849),"00000")="89110", TEXT(TRIM(N849),"00000")="89115", TEXT(TRIM(N849),"00000")="89121", TEXT(TRIM(N849),"00000")="89122", TEXT(TRIM(N849),"00000")="89142", TEXT(TRIM(N849),"00000")="89156"), "East Valley",
  OR(TEXT(TRIM(N849),"00000")="89030", TEXT(TRIM(N849),"00000")="89031", TEXT(TRIM(N849),"00000")="89032", TEXT(TRIM(N849),"00000")="89086", TEXT(TRIM(N849),"00000")="89084", TEXT(TRIM(N849),"00000")="89081"), "North LV",
  OR(TEXT(TRIM(N849),"00000")="89109", TEXT(TRIM(N849),"00000")="89103", TEXT(TRIM(N849),"00000")="89119", TEXT(TRIM(N849),"00000")="89123", TEXT(TRIM(N849),"00000")="89169", TEXT(TRIM(N849),"00000")="89118"), "South/Strip",
  OR(TEXT(TRIM(N849),"00000")="89074", TEXT(TRIM(N849),"00000")="89014", TEXT(TRIM(N849),"00000")="89015", TEXT(TRIM(N849),"00000")="89011", TEXT(TRIM(N849),"00000")="89012"), "Suburban SE",
  OR(TEXT(TRIM(N849),"00000")="89117", TEXT(TRIM(N849),"00000")="89128", TEXT(TRIM(N849),"00000")="89135", TEXT(TRIM(N849),"00000")="89144", TEXT(TRIM(N849),"00000")="89145", TEXT(TRIM(N849),"00000")="89147"), "West Valley",
  TRUE, "Other"
)</f>
        <v>Urban Core</v>
      </c>
      <c r="P849" t="s">
        <v>3298</v>
      </c>
      <c r="Q849" t="str">
        <f t="shared" si="54"/>
        <v>Outdoors/Public</v>
      </c>
      <c r="R849" t="s">
        <v>4804</v>
      </c>
      <c r="S849" t="s">
        <v>5101</v>
      </c>
      <c r="T849" t="str" cm="1">
        <f t="array" ref="T849">_xlfn.IFS(
  TEXT(TRIM(S849),"00000")="NULL", "Missing/Unknown",
  OR(TEXT(TRIM(S849),"00000")="89101", TEXT(TRIM(S849),"00000")="89104", TEXT(TRIM(S849),"00000")="89106", TEXT(TRIM(S849),"00000")="89102", TEXT(TRIM(S849),"00000")="89107", TEXT(TRIM(S849),"00000")="89108"), "Urban Core",
  OR(TEXT(TRIM(S849),"00000")="89110", TEXT(TRIM(S849),"00000")="89115", TEXT(TRIM(S849),"00000")="89121", TEXT(TRIM(S849),"00000")="89122", TEXT(TRIM(S849),"00000")="89142", TEXT(TRIM(S849),"00000")="89156"), "East Valley",
  OR(TEXT(TRIM(S849),"00000")="89030", TEXT(TRIM(S849),"00000")="89031", TEXT(TRIM(S849),"00000")="89032", TEXT(TRIM(S849),"00000")="89086", TEXT(TRIM(S849),"00000")="89084", TEXT(TRIM(S849),"00000")="89081"), "North LV",
  OR(TEXT(TRIM(S849),"00000")="89109", TEXT(TRIM(S849),"00000")="89103", TEXT(TRIM(S849),"00000")="89119", TEXT(TRIM(S849),"00000")="89123", TEXT(TRIM(S849),"00000")="89169", TEXT(TRIM(S849),"00000")="89118"), "South/Strip",
  OR(TEXT(TRIM(S849),"00000")="89074", TEXT(TRIM(S849),"00000")="89014", TEXT(TRIM(S849),"00000")="89015", TEXT(TRIM(S849),"00000")="89011", TEXT(TRIM(S849),"00000")="89012"), "Suburban SE",
  OR(TEXT(TRIM(S849),"00000")="89117", TEXT(TRIM(S849),"00000")="89128", TEXT(TRIM(S849),"00000")="89135", TEXT(TRIM(S849),"00000")="89144", TEXT(TRIM(S849),"00000")="89145", TEXT(TRIM(S849),"00000")="89147"), "West Valley",
  TRUE, "Other"
)</f>
        <v>Urban Core</v>
      </c>
      <c r="U849" t="s">
        <v>3298</v>
      </c>
      <c r="V849" t="str">
        <f t="shared" si="55"/>
        <v>Outdoors/Public</v>
      </c>
    </row>
    <row r="850" spans="1:22">
      <c r="A850" t="s">
        <v>1387</v>
      </c>
      <c r="B850" t="s">
        <v>1388</v>
      </c>
      <c r="C850" s="1">
        <v>44761</v>
      </c>
      <c r="D850" s="4">
        <v>109.94</v>
      </c>
      <c r="E850">
        <v>92</v>
      </c>
      <c r="F850" t="str">
        <f t="shared" si="52"/>
        <v>90's</v>
      </c>
      <c r="G850" t="str" cm="1">
        <f t="array" ref="G850">_xlfn.IFS(
  F850="10's", "Child (5–12)",
  OR(F850="20's", F850="30's"), "Young Adult (20–39)",
  OR(F850="40's", F850="50's"), "Adult (40–59)",
  OR(F850="60's", F850="70's", F850="80's", F850="90's"), "Senior (60+)",
  TRUE, "Unknown"
)</f>
        <v>Senior (60+)</v>
      </c>
      <c r="H850" t="s">
        <v>841</v>
      </c>
      <c r="I850" t="s">
        <v>54</v>
      </c>
      <c r="J850" t="str">
        <f t="shared" si="53"/>
        <v>Environmental Heat</v>
      </c>
      <c r="K850" t="s">
        <v>1389</v>
      </c>
      <c r="L850" t="s">
        <v>1071</v>
      </c>
      <c r="M850" t="s">
        <v>4440</v>
      </c>
      <c r="N850" t="s">
        <v>5120</v>
      </c>
      <c r="O850" t="str" cm="1">
        <f t="array" ref="O850">_xlfn.IFS(
  TEXT(TRIM(N850),"00000")="NULL", "Missing/Unknown",
  OR(TEXT(TRIM(N850),"00000")="89101", TEXT(TRIM(N850),"00000")="89104", TEXT(TRIM(N850),"00000")="89106", TEXT(TRIM(N850),"00000")="89102", TEXT(TRIM(N850),"00000")="89107", TEXT(TRIM(N850),"00000")="89108"), "Urban Core",
  OR(TEXT(TRIM(N850),"00000")="89110", TEXT(TRIM(N850),"00000")="89115", TEXT(TRIM(N850),"00000")="89121", TEXT(TRIM(N850),"00000")="89122", TEXT(TRIM(N850),"00000")="89142", TEXT(TRIM(N850),"00000")="89156"), "East Valley",
  OR(TEXT(TRIM(N850),"00000")="89030", TEXT(TRIM(N850),"00000")="89031", TEXT(TRIM(N850),"00000")="89032", TEXT(TRIM(N850),"00000")="89086", TEXT(TRIM(N850),"00000")="89084", TEXT(TRIM(N850),"00000")="89081"), "North LV",
  OR(TEXT(TRIM(N850),"00000")="89109", TEXT(TRIM(N850),"00000")="89103", TEXT(TRIM(N850),"00000")="89119", TEXT(TRIM(N850),"00000")="89123", TEXT(TRIM(N850),"00000")="89169", TEXT(TRIM(N850),"00000")="89118"), "South/Strip",
  OR(TEXT(TRIM(N850),"00000")="89074", TEXT(TRIM(N850),"00000")="89014", TEXT(TRIM(N850),"00000")="89015", TEXT(TRIM(N850),"00000")="89011", TEXT(TRIM(N850),"00000")="89012"), "Suburban SE",
  OR(TEXT(TRIM(N850),"00000")="89117", TEXT(TRIM(N850),"00000")="89128", TEXT(TRIM(N850),"00000")="89135", TEXT(TRIM(N850),"00000")="89144", TEXT(TRIM(N850),"00000")="89145", TEXT(TRIM(N850),"00000")="89147"), "West Valley",
  TRUE, "Other"
)</f>
        <v>Suburban SE</v>
      </c>
      <c r="P850" t="s">
        <v>38</v>
      </c>
      <c r="Q850" t="str">
        <f t="shared" si="54"/>
        <v>Home/Residence</v>
      </c>
      <c r="R850" t="s">
        <v>4440</v>
      </c>
      <c r="S850" t="s">
        <v>5120</v>
      </c>
      <c r="T850" t="str" cm="1">
        <f t="array" ref="T850">_xlfn.IFS(
  TEXT(TRIM(S850),"00000")="NULL", "Missing/Unknown",
  OR(TEXT(TRIM(S850),"00000")="89101", TEXT(TRIM(S850),"00000")="89104", TEXT(TRIM(S850),"00000")="89106", TEXT(TRIM(S850),"00000")="89102", TEXT(TRIM(S850),"00000")="89107", TEXT(TRIM(S850),"00000")="89108"), "Urban Core",
  OR(TEXT(TRIM(S850),"00000")="89110", TEXT(TRIM(S850),"00000")="89115", TEXT(TRIM(S850),"00000")="89121", TEXT(TRIM(S850),"00000")="89122", TEXT(TRIM(S850),"00000")="89142", TEXT(TRIM(S850),"00000")="89156"), "East Valley",
  OR(TEXT(TRIM(S850),"00000")="89030", TEXT(TRIM(S850),"00000")="89031", TEXT(TRIM(S850),"00000")="89032", TEXT(TRIM(S850),"00000")="89086", TEXT(TRIM(S850),"00000")="89084", TEXT(TRIM(S850),"00000")="89081"), "North LV",
  OR(TEXT(TRIM(S850),"00000")="89109", TEXT(TRIM(S850),"00000")="89103", TEXT(TRIM(S850),"00000")="89119", TEXT(TRIM(S850),"00000")="89123", TEXT(TRIM(S850),"00000")="89169", TEXT(TRIM(S850),"00000")="89118"), "South/Strip",
  OR(TEXT(TRIM(S850),"00000")="89074", TEXT(TRIM(S850),"00000")="89014", TEXT(TRIM(S850),"00000")="89015", TEXT(TRIM(S850),"00000")="89011", TEXT(TRIM(S850),"00000")="89012"), "Suburban SE",
  OR(TEXT(TRIM(S850),"00000")="89117", TEXT(TRIM(S850),"00000")="89128", TEXT(TRIM(S850),"00000")="89135", TEXT(TRIM(S850),"00000")="89144", TEXT(TRIM(S850),"00000")="89145", TEXT(TRIM(S850),"00000")="89147"), "West Valley",
  TRUE, "Other"
)</f>
        <v>Suburban SE</v>
      </c>
      <c r="U850" t="s">
        <v>38</v>
      </c>
      <c r="V850" t="str">
        <f t="shared" si="55"/>
        <v>Home/Residence</v>
      </c>
    </row>
    <row r="851" spans="1:22">
      <c r="A851" t="s">
        <v>1374</v>
      </c>
      <c r="B851" t="s">
        <v>1375</v>
      </c>
      <c r="C851" s="1">
        <v>44760</v>
      </c>
      <c r="D851" s="4">
        <v>105.08</v>
      </c>
      <c r="E851">
        <v>34</v>
      </c>
      <c r="F851" t="str">
        <f t="shared" si="52"/>
        <v>30's</v>
      </c>
      <c r="G851" t="str" cm="1">
        <f t="array" ref="G851">_xlfn.IFS(
  F851="10's", "Child (5–12)",
  OR(F851="20's", F851="30's"), "Young Adult (20–39)",
  OR(F851="40's", F851="50's"), "Adult (40–59)",
  OR(F851="60's", F851="70's", F851="80's", F851="90's"), "Senior (60+)",
  TRUE, "Unknown"
)</f>
        <v>Young Adult (20–39)</v>
      </c>
      <c r="H851" t="s">
        <v>778</v>
      </c>
      <c r="I851" t="s">
        <v>1376</v>
      </c>
      <c r="J851" t="str">
        <f t="shared" si="53"/>
        <v>Other / Unknown</v>
      </c>
      <c r="K851" t="s">
        <v>1378</v>
      </c>
      <c r="L851" t="s">
        <v>1071</v>
      </c>
      <c r="N851" t="s">
        <v>5095</v>
      </c>
      <c r="O851" t="str" cm="1">
        <f t="array" ref="O851">_xlfn.IFS(
  TEXT(TRIM(N851),"00000")="NULL", "Missing/Unknown",
  OR(TEXT(TRIM(N851),"00000")="89101", TEXT(TRIM(N851),"00000")="89104", TEXT(TRIM(N851),"00000")="89106", TEXT(TRIM(N851),"00000")="89102", TEXT(TRIM(N851),"00000")="89107", TEXT(TRIM(N851),"00000")="89108"), "Urban Core",
  OR(TEXT(TRIM(N851),"00000")="89110", TEXT(TRIM(N851),"00000")="89115", TEXT(TRIM(N851),"00000")="89121", TEXT(TRIM(N851),"00000")="89122", TEXT(TRIM(N851),"00000")="89142", TEXT(TRIM(N851),"00000")="89156"), "East Valley",
  OR(TEXT(TRIM(N851),"00000")="89030", TEXT(TRIM(N851),"00000")="89031", TEXT(TRIM(N851),"00000")="89032", TEXT(TRIM(N851),"00000")="89086", TEXT(TRIM(N851),"00000")="89084", TEXT(TRIM(N851),"00000")="89081"), "North LV",
  OR(TEXT(TRIM(N851),"00000")="89109", TEXT(TRIM(N851),"00000")="89103", TEXT(TRIM(N851),"00000")="89119", TEXT(TRIM(N851),"00000")="89123", TEXT(TRIM(N851),"00000")="89169", TEXT(TRIM(N851),"00000")="89118"), "South/Strip",
  OR(TEXT(TRIM(N851),"00000")="89074", TEXT(TRIM(N851),"00000")="89014", TEXT(TRIM(N851),"00000")="89015", TEXT(TRIM(N851),"00000")="89011", TEXT(TRIM(N851),"00000")="89012"), "Suburban SE",
  OR(TEXT(TRIM(N851),"00000")="89117", TEXT(TRIM(N851),"00000")="89128", TEXT(TRIM(N851),"00000")="89135", TEXT(TRIM(N851),"00000")="89144", TEXT(TRIM(N851),"00000")="89145", TEXT(TRIM(N851),"00000")="89147"), "West Valley",
  TRUE, "Other"
)</f>
        <v>Missing/Unknown</v>
      </c>
      <c r="P851" t="s">
        <v>3298</v>
      </c>
      <c r="Q851" t="str">
        <f t="shared" si="54"/>
        <v>Outdoors/Public</v>
      </c>
      <c r="R851" t="s">
        <v>4341</v>
      </c>
      <c r="S851" t="s">
        <v>5100</v>
      </c>
      <c r="T851" t="str" cm="1">
        <f t="array" ref="T851">_xlfn.IFS(
  TEXT(TRIM(S851),"00000")="NULL", "Missing/Unknown",
  OR(TEXT(TRIM(S851),"00000")="89101", TEXT(TRIM(S851),"00000")="89104", TEXT(TRIM(S851),"00000")="89106", TEXT(TRIM(S851),"00000")="89102", TEXT(TRIM(S851),"00000")="89107", TEXT(TRIM(S851),"00000")="89108"), "Urban Core",
  OR(TEXT(TRIM(S851),"00000")="89110", TEXT(TRIM(S851),"00000")="89115", TEXT(TRIM(S851),"00000")="89121", TEXT(TRIM(S851),"00000")="89122", TEXT(TRIM(S851),"00000")="89142", TEXT(TRIM(S851),"00000")="89156"), "East Valley",
  OR(TEXT(TRIM(S851),"00000")="89030", TEXT(TRIM(S851),"00000")="89031", TEXT(TRIM(S851),"00000")="89032", TEXT(TRIM(S851),"00000")="89086", TEXT(TRIM(S851),"00000")="89084", TEXT(TRIM(S851),"00000")="89081"), "North LV",
  OR(TEXT(TRIM(S851),"00000")="89109", TEXT(TRIM(S851),"00000")="89103", TEXT(TRIM(S851),"00000")="89119", TEXT(TRIM(S851),"00000")="89123", TEXT(TRIM(S851),"00000")="89169", TEXT(TRIM(S851),"00000")="89118"), "South/Strip",
  OR(TEXT(TRIM(S851),"00000")="89074", TEXT(TRIM(S851),"00000")="89014", TEXT(TRIM(S851),"00000")="89015", TEXT(TRIM(S851),"00000")="89011", TEXT(TRIM(S851),"00000")="89012"), "Suburban SE",
  OR(TEXT(TRIM(S851),"00000")="89117", TEXT(TRIM(S851),"00000")="89128", TEXT(TRIM(S851),"00000")="89135", TEXT(TRIM(S851),"00000")="89144", TEXT(TRIM(S851),"00000")="89145", TEXT(TRIM(S851),"00000")="89147"), "West Valley",
  TRUE, "Other"
)</f>
        <v>North LV</v>
      </c>
      <c r="U851" t="s">
        <v>4305</v>
      </c>
      <c r="V851" t="str">
        <f t="shared" si="55"/>
        <v>Medical Facility</v>
      </c>
    </row>
    <row r="852" spans="1:22">
      <c r="A852" t="s">
        <v>1382</v>
      </c>
      <c r="B852" t="s">
        <v>1383</v>
      </c>
      <c r="C852" s="1">
        <v>44760</v>
      </c>
      <c r="D852" s="4">
        <v>105.08</v>
      </c>
      <c r="E852">
        <v>45</v>
      </c>
      <c r="F852" t="str">
        <f t="shared" si="52"/>
        <v>40's</v>
      </c>
      <c r="G852" t="str" cm="1">
        <f t="array" ref="G852">_xlfn.IFS(
  F852="10's", "Child (5–12)",
  OR(F852="20's", F852="30's"), "Young Adult (20–39)",
  OR(F852="40's", F852="50's"), "Adult (40–59)",
  OR(F852="60's", F852="70's", F852="80's", F852="90's"), "Senior (60+)",
  TRUE, "Unknown"
)</f>
        <v>Adult (40–59)</v>
      </c>
      <c r="H852" t="s">
        <v>778</v>
      </c>
      <c r="I852" t="s">
        <v>54</v>
      </c>
      <c r="J852" t="str">
        <f t="shared" si="53"/>
        <v>Environmental Heat</v>
      </c>
      <c r="K852" t="s">
        <v>98</v>
      </c>
      <c r="L852" t="s">
        <v>250</v>
      </c>
      <c r="M852" t="s">
        <v>4805</v>
      </c>
      <c r="N852" t="s">
        <v>5108</v>
      </c>
      <c r="O852" t="str" cm="1">
        <f t="array" ref="O852">_xlfn.IFS(
  TEXT(TRIM(N852),"00000")="NULL", "Missing/Unknown",
  OR(TEXT(TRIM(N852),"00000")="89101", TEXT(TRIM(N852),"00000")="89104", TEXT(TRIM(N852),"00000")="89106", TEXT(TRIM(N852),"00000")="89102", TEXT(TRIM(N852),"00000")="89107", TEXT(TRIM(N852),"00000")="89108"), "Urban Core",
  OR(TEXT(TRIM(N852),"00000")="89110", TEXT(TRIM(N852),"00000")="89115", TEXT(TRIM(N852),"00000")="89121", TEXT(TRIM(N852),"00000")="89122", TEXT(TRIM(N852),"00000")="89142", TEXT(TRIM(N852),"00000")="89156"), "East Valley",
  OR(TEXT(TRIM(N852),"00000")="89030", TEXT(TRIM(N852),"00000")="89031", TEXT(TRIM(N852),"00000")="89032", TEXT(TRIM(N852),"00000")="89086", TEXT(TRIM(N852),"00000")="89084", TEXT(TRIM(N852),"00000")="89081"), "North LV",
  OR(TEXT(TRIM(N852),"00000")="89109", TEXT(TRIM(N852),"00000")="89103", TEXT(TRIM(N852),"00000")="89119", TEXT(TRIM(N852),"00000")="89123", TEXT(TRIM(N852),"00000")="89169", TEXT(TRIM(N852),"00000")="89118"), "South/Strip",
  OR(TEXT(TRIM(N852),"00000")="89074", TEXT(TRIM(N852),"00000")="89014", TEXT(TRIM(N852),"00000")="89015", TEXT(TRIM(N852),"00000")="89011", TEXT(TRIM(N852),"00000")="89012"), "Suburban SE",
  OR(TEXT(TRIM(N852),"00000")="89117", TEXT(TRIM(N852),"00000")="89128", TEXT(TRIM(N852),"00000")="89135", TEXT(TRIM(N852),"00000")="89144", TEXT(TRIM(N852),"00000")="89145", TEXT(TRIM(N852),"00000")="89147"), "West Valley",
  TRUE, "Other"
)</f>
        <v>East Valley</v>
      </c>
      <c r="P852" t="s">
        <v>3298</v>
      </c>
      <c r="Q852" t="str">
        <f t="shared" si="54"/>
        <v>Outdoors/Public</v>
      </c>
      <c r="R852" t="s">
        <v>4805</v>
      </c>
      <c r="S852" t="s">
        <v>5108</v>
      </c>
      <c r="T852" t="str" cm="1">
        <f t="array" ref="T852">_xlfn.IFS(
  TEXT(TRIM(S852),"00000")="NULL", "Missing/Unknown",
  OR(TEXT(TRIM(S852),"00000")="89101", TEXT(TRIM(S852),"00000")="89104", TEXT(TRIM(S852),"00000")="89106", TEXT(TRIM(S852),"00000")="89102", TEXT(TRIM(S852),"00000")="89107", TEXT(TRIM(S852),"00000")="89108"), "Urban Core",
  OR(TEXT(TRIM(S852),"00000")="89110", TEXT(TRIM(S852),"00000")="89115", TEXT(TRIM(S852),"00000")="89121", TEXT(TRIM(S852),"00000")="89122", TEXT(TRIM(S852),"00000")="89142", TEXT(TRIM(S852),"00000")="89156"), "East Valley",
  OR(TEXT(TRIM(S852),"00000")="89030", TEXT(TRIM(S852),"00000")="89031", TEXT(TRIM(S852),"00000")="89032", TEXT(TRIM(S852),"00000")="89086", TEXT(TRIM(S852),"00000")="89084", TEXT(TRIM(S852),"00000")="89081"), "North LV",
  OR(TEXT(TRIM(S852),"00000")="89109", TEXT(TRIM(S852),"00000")="89103", TEXT(TRIM(S852),"00000")="89119", TEXT(TRIM(S852),"00000")="89123", TEXT(TRIM(S852),"00000")="89169", TEXT(TRIM(S852),"00000")="89118"), "South/Strip",
  OR(TEXT(TRIM(S852),"00000")="89074", TEXT(TRIM(S852),"00000")="89014", TEXT(TRIM(S852),"00000")="89015", TEXT(TRIM(S852),"00000")="89011", TEXT(TRIM(S852),"00000")="89012"), "Suburban SE",
  OR(TEXT(TRIM(S852),"00000")="89117", TEXT(TRIM(S852),"00000")="89128", TEXT(TRIM(S852),"00000")="89135", TEXT(TRIM(S852),"00000")="89144", TEXT(TRIM(S852),"00000")="89145", TEXT(TRIM(S852),"00000")="89147"), "West Valley",
  TRUE, "Other"
)</f>
        <v>East Valley</v>
      </c>
      <c r="U852" t="s">
        <v>3298</v>
      </c>
      <c r="V852" t="str">
        <f t="shared" si="55"/>
        <v>Outdoors/Public</v>
      </c>
    </row>
    <row r="853" spans="1:22">
      <c r="A853" t="s">
        <v>1370</v>
      </c>
      <c r="B853" t="s">
        <v>1371</v>
      </c>
      <c r="C853" s="1">
        <v>44760</v>
      </c>
      <c r="D853" s="4">
        <v>105.08</v>
      </c>
      <c r="E853">
        <v>31</v>
      </c>
      <c r="F853" t="str">
        <f t="shared" si="52"/>
        <v>30's</v>
      </c>
      <c r="G853" t="str" cm="1">
        <f t="array" ref="G853">_xlfn.IFS(
  F853="10's", "Child (5–12)",
  OR(F853="20's", F853="30's"), "Young Adult (20–39)",
  OR(F853="40's", F853="50's"), "Adult (40–59)",
  OR(F853="60's", F853="70's", F853="80's", F853="90's"), "Senior (60+)",
  TRUE, "Unknown"
)</f>
        <v>Young Adult (20–39)</v>
      </c>
      <c r="H853" t="s">
        <v>841</v>
      </c>
      <c r="I853" t="s">
        <v>4104</v>
      </c>
      <c r="J853" t="str">
        <f t="shared" si="53"/>
        <v>Methamphetamine-related</v>
      </c>
      <c r="K853" t="s">
        <v>54</v>
      </c>
      <c r="L853" t="s">
        <v>250</v>
      </c>
      <c r="M853" t="s">
        <v>4322</v>
      </c>
      <c r="N853" t="s">
        <v>5127</v>
      </c>
      <c r="O853" t="str" cm="1">
        <f t="array" ref="O853">_xlfn.IFS(
  TEXT(TRIM(N853),"00000")="NULL", "Missing/Unknown",
  OR(TEXT(TRIM(N853),"00000")="89101", TEXT(TRIM(N853),"00000")="89104", TEXT(TRIM(N853),"00000")="89106", TEXT(TRIM(N853),"00000")="89102", TEXT(TRIM(N853),"00000")="89107", TEXT(TRIM(N853),"00000")="89108"), "Urban Core",
  OR(TEXT(TRIM(N853),"00000")="89110", TEXT(TRIM(N853),"00000")="89115", TEXT(TRIM(N853),"00000")="89121", TEXT(TRIM(N853),"00000")="89122", TEXT(TRIM(N853),"00000")="89142", TEXT(TRIM(N853),"00000")="89156"), "East Valley",
  OR(TEXT(TRIM(N853),"00000")="89030", TEXT(TRIM(N853),"00000")="89031", TEXT(TRIM(N853),"00000")="89032", TEXT(TRIM(N853),"00000")="89086", TEXT(TRIM(N853),"00000")="89084", TEXT(TRIM(N853),"00000")="89081"), "North LV",
  OR(TEXT(TRIM(N853),"00000")="89109", TEXT(TRIM(N853),"00000")="89103", TEXT(TRIM(N853),"00000")="89119", TEXT(TRIM(N853),"00000")="89123", TEXT(TRIM(N853),"00000")="89169", TEXT(TRIM(N853),"00000")="89118"), "South/Strip",
  OR(TEXT(TRIM(N853),"00000")="89074", TEXT(TRIM(N853),"00000")="89014", TEXT(TRIM(N853),"00000")="89015", TEXT(TRIM(N853),"00000")="89011", TEXT(TRIM(N853),"00000")="89012"), "Suburban SE",
  OR(TEXT(TRIM(N853),"00000")="89117", TEXT(TRIM(N853),"00000")="89128", TEXT(TRIM(N853),"00000")="89135", TEXT(TRIM(N853),"00000")="89144", TEXT(TRIM(N853),"00000")="89145", TEXT(TRIM(N853),"00000")="89147"), "West Valley",
  TRUE, "Other"
)</f>
        <v>Other</v>
      </c>
      <c r="P853" t="s">
        <v>132</v>
      </c>
      <c r="Q853" t="str">
        <f t="shared" si="54"/>
        <v>Outdoors/Public</v>
      </c>
      <c r="R853" t="s">
        <v>4322</v>
      </c>
      <c r="S853" t="s">
        <v>5127</v>
      </c>
      <c r="T853" t="str" cm="1">
        <f t="array" ref="T853">_xlfn.IFS(
  TEXT(TRIM(S853),"00000")="NULL", "Missing/Unknown",
  OR(TEXT(TRIM(S853),"00000")="89101", TEXT(TRIM(S853),"00000")="89104", TEXT(TRIM(S853),"00000")="89106", TEXT(TRIM(S853),"00000")="89102", TEXT(TRIM(S853),"00000")="89107", TEXT(TRIM(S853),"00000")="89108"), "Urban Core",
  OR(TEXT(TRIM(S853),"00000")="89110", TEXT(TRIM(S853),"00000")="89115", TEXT(TRIM(S853),"00000")="89121", TEXT(TRIM(S853),"00000")="89122", TEXT(TRIM(S853),"00000")="89142", TEXT(TRIM(S853),"00000")="89156"), "East Valley",
  OR(TEXT(TRIM(S853),"00000")="89030", TEXT(TRIM(S853),"00000")="89031", TEXT(TRIM(S853),"00000")="89032", TEXT(TRIM(S853),"00000")="89086", TEXT(TRIM(S853),"00000")="89084", TEXT(TRIM(S853),"00000")="89081"), "North LV",
  OR(TEXT(TRIM(S853),"00000")="89109", TEXT(TRIM(S853),"00000")="89103", TEXT(TRIM(S853),"00000")="89119", TEXT(TRIM(S853),"00000")="89123", TEXT(TRIM(S853),"00000")="89169", TEXT(TRIM(S853),"00000")="89118"), "South/Strip",
  OR(TEXT(TRIM(S853),"00000")="89074", TEXT(TRIM(S853),"00000")="89014", TEXT(TRIM(S853),"00000")="89015", TEXT(TRIM(S853),"00000")="89011", TEXT(TRIM(S853),"00000")="89012"), "Suburban SE",
  OR(TEXT(TRIM(S853),"00000")="89117", TEXT(TRIM(S853),"00000")="89128", TEXT(TRIM(S853),"00000")="89135", TEXT(TRIM(S853),"00000")="89144", TEXT(TRIM(S853),"00000")="89145", TEXT(TRIM(S853),"00000")="89147"), "West Valley",
  TRUE, "Other"
)</f>
        <v>Other</v>
      </c>
      <c r="U853" t="s">
        <v>132</v>
      </c>
      <c r="V853" t="str">
        <f t="shared" si="55"/>
        <v>Outdoors/Public</v>
      </c>
    </row>
    <row r="854" spans="1:22">
      <c r="A854" t="s">
        <v>1379</v>
      </c>
      <c r="B854" t="s">
        <v>1380</v>
      </c>
      <c r="C854" s="1">
        <v>44760</v>
      </c>
      <c r="D854" s="4">
        <v>105.08</v>
      </c>
      <c r="E854">
        <v>75</v>
      </c>
      <c r="F854" t="str">
        <f t="shared" si="52"/>
        <v>70's</v>
      </c>
      <c r="G854" t="str" cm="1">
        <f t="array" ref="G854">_xlfn.IFS(
  F854="10's", "Child (5–12)",
  OR(F854="20's", F854="30's"), "Young Adult (20–39)",
  OR(F854="40's", F854="50's"), "Adult (40–59)",
  OR(F854="60's", F854="70's", F854="80's", F854="90's"), "Senior (60+)",
  TRUE, "Unknown"
)</f>
        <v>Senior (60+)</v>
      </c>
      <c r="H854" t="s">
        <v>841</v>
      </c>
      <c r="I854" t="s">
        <v>181</v>
      </c>
      <c r="J854" t="str">
        <f t="shared" si="53"/>
        <v>Other / Unknown</v>
      </c>
      <c r="K854" t="s">
        <v>54</v>
      </c>
      <c r="L854" t="s">
        <v>1071</v>
      </c>
      <c r="M854" t="s">
        <v>4441</v>
      </c>
      <c r="N854" t="s">
        <v>5122</v>
      </c>
      <c r="O854" t="str" cm="1">
        <f t="array" ref="O854">_xlfn.IFS(
  TEXT(TRIM(N854),"00000")="NULL", "Missing/Unknown",
  OR(TEXT(TRIM(N854),"00000")="89101", TEXT(TRIM(N854),"00000")="89104", TEXT(TRIM(N854),"00000")="89106", TEXT(TRIM(N854),"00000")="89102", TEXT(TRIM(N854),"00000")="89107", TEXT(TRIM(N854),"00000")="89108"), "Urban Core",
  OR(TEXT(TRIM(N854),"00000")="89110", TEXT(TRIM(N854),"00000")="89115", TEXT(TRIM(N854),"00000")="89121", TEXT(TRIM(N854),"00000")="89122", TEXT(TRIM(N854),"00000")="89142", TEXT(TRIM(N854),"00000")="89156"), "East Valley",
  OR(TEXT(TRIM(N854),"00000")="89030", TEXT(TRIM(N854),"00000")="89031", TEXT(TRIM(N854),"00000")="89032", TEXT(TRIM(N854),"00000")="89086", TEXT(TRIM(N854),"00000")="89084", TEXT(TRIM(N854),"00000")="89081"), "North LV",
  OR(TEXT(TRIM(N854),"00000")="89109", TEXT(TRIM(N854),"00000")="89103", TEXT(TRIM(N854),"00000")="89119", TEXT(TRIM(N854),"00000")="89123", TEXT(TRIM(N854),"00000")="89169", TEXT(TRIM(N854),"00000")="89118"), "South/Strip",
  OR(TEXT(TRIM(N854),"00000")="89074", TEXT(TRIM(N854),"00000")="89014", TEXT(TRIM(N854),"00000")="89015", TEXT(TRIM(N854),"00000")="89011", TEXT(TRIM(N854),"00000")="89012"), "Suburban SE",
  OR(TEXT(TRIM(N854),"00000")="89117", TEXT(TRIM(N854),"00000")="89128", TEXT(TRIM(N854),"00000")="89135", TEXT(TRIM(N854),"00000")="89144", TEXT(TRIM(N854),"00000")="89145", TEXT(TRIM(N854),"00000")="89147"), "West Valley",
  TRUE, "Other"
)</f>
        <v>East Valley</v>
      </c>
      <c r="P854" t="s">
        <v>38</v>
      </c>
      <c r="Q854" t="str">
        <f t="shared" si="54"/>
        <v>Home/Residence</v>
      </c>
      <c r="R854" t="s">
        <v>4441</v>
      </c>
      <c r="S854" t="s">
        <v>5122</v>
      </c>
      <c r="T854" t="str" cm="1">
        <f t="array" ref="T854">_xlfn.IFS(
  TEXT(TRIM(S854),"00000")="NULL", "Missing/Unknown",
  OR(TEXT(TRIM(S854),"00000")="89101", TEXT(TRIM(S854),"00000")="89104", TEXT(TRIM(S854),"00000")="89106", TEXT(TRIM(S854),"00000")="89102", TEXT(TRIM(S854),"00000")="89107", TEXT(TRIM(S854),"00000")="89108"), "Urban Core",
  OR(TEXT(TRIM(S854),"00000")="89110", TEXT(TRIM(S854),"00000")="89115", TEXT(TRIM(S854),"00000")="89121", TEXT(TRIM(S854),"00000")="89122", TEXT(TRIM(S854),"00000")="89142", TEXT(TRIM(S854),"00000")="89156"), "East Valley",
  OR(TEXT(TRIM(S854),"00000")="89030", TEXT(TRIM(S854),"00000")="89031", TEXT(TRIM(S854),"00000")="89032", TEXT(TRIM(S854),"00000")="89086", TEXT(TRIM(S854),"00000")="89084", TEXT(TRIM(S854),"00000")="89081"), "North LV",
  OR(TEXT(TRIM(S854),"00000")="89109", TEXT(TRIM(S854),"00000")="89103", TEXT(TRIM(S854),"00000")="89119", TEXT(TRIM(S854),"00000")="89123", TEXT(TRIM(S854),"00000")="89169", TEXT(TRIM(S854),"00000")="89118"), "South/Strip",
  OR(TEXT(TRIM(S854),"00000")="89074", TEXT(TRIM(S854),"00000")="89014", TEXT(TRIM(S854),"00000")="89015", TEXT(TRIM(S854),"00000")="89011", TEXT(TRIM(S854),"00000")="89012"), "Suburban SE",
  OR(TEXT(TRIM(S854),"00000")="89117", TEXT(TRIM(S854),"00000")="89128", TEXT(TRIM(S854),"00000")="89135", TEXT(TRIM(S854),"00000")="89144", TEXT(TRIM(S854),"00000")="89145", TEXT(TRIM(S854),"00000")="89147"), "West Valley",
  TRUE, "Other"
)</f>
        <v>East Valley</v>
      </c>
      <c r="U854" t="s">
        <v>38</v>
      </c>
      <c r="V854" t="str">
        <f t="shared" si="55"/>
        <v>Home/Residence</v>
      </c>
    </row>
    <row r="855" spans="1:22">
      <c r="A855" t="s">
        <v>1385</v>
      </c>
      <c r="B855" t="s">
        <v>1386</v>
      </c>
      <c r="C855" s="1">
        <v>44760</v>
      </c>
      <c r="D855" s="4">
        <v>105.08</v>
      </c>
      <c r="E855">
        <v>47</v>
      </c>
      <c r="F855" t="str">
        <f t="shared" si="52"/>
        <v>40's</v>
      </c>
      <c r="G855" t="str" cm="1">
        <f t="array" ref="G855">_xlfn.IFS(
  F855="10's", "Child (5–12)",
  OR(F855="20's", F855="30's"), "Young Adult (20–39)",
  OR(F855="40's", F855="50's"), "Adult (40–59)",
  OR(F855="60's", F855="70's", F855="80's", F855="90's"), "Senior (60+)",
  TRUE, "Unknown"
)</f>
        <v>Adult (40–59)</v>
      </c>
      <c r="H855" t="s">
        <v>841</v>
      </c>
      <c r="I855" t="s">
        <v>54</v>
      </c>
      <c r="J855" t="str">
        <f t="shared" si="53"/>
        <v>Environmental Heat</v>
      </c>
      <c r="K855" t="s">
        <v>63</v>
      </c>
      <c r="L855" t="s">
        <v>250</v>
      </c>
      <c r="N855" t="s">
        <v>5095</v>
      </c>
      <c r="O855" t="str" cm="1">
        <f t="array" ref="O855">_xlfn.IFS(
  TEXT(TRIM(N855),"00000")="NULL", "Missing/Unknown",
  OR(TEXT(TRIM(N855),"00000")="89101", TEXT(TRIM(N855),"00000")="89104", TEXT(TRIM(N855),"00000")="89106", TEXT(TRIM(N855),"00000")="89102", TEXT(TRIM(N855),"00000")="89107", TEXT(TRIM(N855),"00000")="89108"), "Urban Core",
  OR(TEXT(TRIM(N855),"00000")="89110", TEXT(TRIM(N855),"00000")="89115", TEXT(TRIM(N855),"00000")="89121", TEXT(TRIM(N855),"00000")="89122", TEXT(TRIM(N855),"00000")="89142", TEXT(TRIM(N855),"00000")="89156"), "East Valley",
  OR(TEXT(TRIM(N855),"00000")="89030", TEXT(TRIM(N855),"00000")="89031", TEXT(TRIM(N855),"00000")="89032", TEXT(TRIM(N855),"00000")="89086", TEXT(TRIM(N855),"00000")="89084", TEXT(TRIM(N855),"00000")="89081"), "North LV",
  OR(TEXT(TRIM(N855),"00000")="89109", TEXT(TRIM(N855),"00000")="89103", TEXT(TRIM(N855),"00000")="89119", TEXT(TRIM(N855),"00000")="89123", TEXT(TRIM(N855),"00000")="89169", TEXT(TRIM(N855),"00000")="89118"), "South/Strip",
  OR(TEXT(TRIM(N855),"00000")="89074", TEXT(TRIM(N855),"00000")="89014", TEXT(TRIM(N855),"00000")="89015", TEXT(TRIM(N855),"00000")="89011", TEXT(TRIM(N855),"00000")="89012"), "Suburban SE",
  OR(TEXT(TRIM(N855),"00000")="89117", TEXT(TRIM(N855),"00000")="89128", TEXT(TRIM(N855),"00000")="89135", TEXT(TRIM(N855),"00000")="89144", TEXT(TRIM(N855),"00000")="89145", TEXT(TRIM(N855),"00000")="89147"), "West Valley",
  TRUE, "Other"
)</f>
        <v>Missing/Unknown</v>
      </c>
      <c r="P855" t="s">
        <v>3298</v>
      </c>
      <c r="Q855" t="str">
        <f t="shared" si="54"/>
        <v>Outdoors/Public</v>
      </c>
      <c r="S855" t="s">
        <v>5095</v>
      </c>
      <c r="T855" t="str" cm="1">
        <f t="array" ref="T855">_xlfn.IFS(
  TEXT(TRIM(S855),"00000")="NULL", "Missing/Unknown",
  OR(TEXT(TRIM(S855),"00000")="89101", TEXT(TRIM(S855),"00000")="89104", TEXT(TRIM(S855),"00000")="89106", TEXT(TRIM(S855),"00000")="89102", TEXT(TRIM(S855),"00000")="89107", TEXT(TRIM(S855),"00000")="89108"), "Urban Core",
  OR(TEXT(TRIM(S855),"00000")="89110", TEXT(TRIM(S855),"00000")="89115", TEXT(TRIM(S855),"00000")="89121", TEXT(TRIM(S855),"00000")="89122", TEXT(TRIM(S855),"00000")="89142", TEXT(TRIM(S855),"00000")="89156"), "East Valley",
  OR(TEXT(TRIM(S855),"00000")="89030", TEXT(TRIM(S855),"00000")="89031", TEXT(TRIM(S855),"00000")="89032", TEXT(TRIM(S855),"00000")="89086", TEXT(TRIM(S855),"00000")="89084", TEXT(TRIM(S855),"00000")="89081"), "North LV",
  OR(TEXT(TRIM(S855),"00000")="89109", TEXT(TRIM(S855),"00000")="89103", TEXT(TRIM(S855),"00000")="89119", TEXT(TRIM(S855),"00000")="89123", TEXT(TRIM(S855),"00000")="89169", TEXT(TRIM(S855),"00000")="89118"), "South/Strip",
  OR(TEXT(TRIM(S855),"00000")="89074", TEXT(TRIM(S855),"00000")="89014", TEXT(TRIM(S855),"00000")="89015", TEXT(TRIM(S855),"00000")="89011", TEXT(TRIM(S855),"00000")="89012"), "Suburban SE",
  OR(TEXT(TRIM(S855),"00000")="89117", TEXT(TRIM(S855),"00000")="89128", TEXT(TRIM(S855),"00000")="89135", TEXT(TRIM(S855),"00000")="89144", TEXT(TRIM(S855),"00000")="89145", TEXT(TRIM(S855),"00000")="89147"), "West Valley",
  TRUE, "Other"
)</f>
        <v>Missing/Unknown</v>
      </c>
      <c r="U855" t="s">
        <v>3298</v>
      </c>
      <c r="V855" t="str">
        <f t="shared" si="55"/>
        <v>Outdoors/Public</v>
      </c>
    </row>
    <row r="856" spans="1:22">
      <c r="A856" t="s">
        <v>1364</v>
      </c>
      <c r="B856" t="s">
        <v>1365</v>
      </c>
      <c r="C856" s="1">
        <v>44759</v>
      </c>
      <c r="D856" s="4">
        <v>109.04</v>
      </c>
      <c r="E856">
        <v>44</v>
      </c>
      <c r="F856" t="str">
        <f t="shared" si="52"/>
        <v>40's</v>
      </c>
      <c r="G856" t="str" cm="1">
        <f t="array" ref="G856">_xlfn.IFS(
  F856="10's", "Child (5–12)",
  OR(F856="20's", F856="30's"), "Young Adult (20–39)",
  OR(F856="40's", F856="50's"), "Adult (40–59)",
  OR(F856="60's", F856="70's", F856="80's", F856="90's"), "Senior (60+)",
  TRUE, "Unknown"
)</f>
        <v>Adult (40–59)</v>
      </c>
      <c r="H856" t="s">
        <v>841</v>
      </c>
      <c r="I856" t="s">
        <v>97</v>
      </c>
      <c r="J856" t="str">
        <f t="shared" si="53"/>
        <v>Environmental Heat</v>
      </c>
      <c r="K856" t="s">
        <v>379</v>
      </c>
      <c r="L856" t="s">
        <v>250</v>
      </c>
      <c r="M856" t="s">
        <v>4548</v>
      </c>
      <c r="N856" t="s">
        <v>5096</v>
      </c>
      <c r="O856" t="str" cm="1">
        <f t="array" ref="O856">_xlfn.IFS(
  TEXT(TRIM(N856),"00000")="NULL", "Missing/Unknown",
  OR(TEXT(TRIM(N856),"00000")="89101", TEXT(TRIM(N856),"00000")="89104", TEXT(TRIM(N856),"00000")="89106", TEXT(TRIM(N856),"00000")="89102", TEXT(TRIM(N856),"00000")="89107", TEXT(TRIM(N856),"00000")="89108"), "Urban Core",
  OR(TEXT(TRIM(N856),"00000")="89110", TEXT(TRIM(N856),"00000")="89115", TEXT(TRIM(N856),"00000")="89121", TEXT(TRIM(N856),"00000")="89122", TEXT(TRIM(N856),"00000")="89142", TEXT(TRIM(N856),"00000")="89156"), "East Valley",
  OR(TEXT(TRIM(N856),"00000")="89030", TEXT(TRIM(N856),"00000")="89031", TEXT(TRIM(N856),"00000")="89032", TEXT(TRIM(N856),"00000")="89086", TEXT(TRIM(N856),"00000")="89084", TEXT(TRIM(N856),"00000")="89081"), "North LV",
  OR(TEXT(TRIM(N856),"00000")="89109", TEXT(TRIM(N856),"00000")="89103", TEXT(TRIM(N856),"00000")="89119", TEXT(TRIM(N856),"00000")="89123", TEXT(TRIM(N856),"00000")="89169", TEXT(TRIM(N856),"00000")="89118"), "South/Strip",
  OR(TEXT(TRIM(N856),"00000")="89074", TEXT(TRIM(N856),"00000")="89014", TEXT(TRIM(N856),"00000")="89015", TEXT(TRIM(N856),"00000")="89011", TEXT(TRIM(N856),"00000")="89012"), "Suburban SE",
  OR(TEXT(TRIM(N856),"00000")="89117", TEXT(TRIM(N856),"00000")="89128", TEXT(TRIM(N856),"00000")="89135", TEXT(TRIM(N856),"00000")="89144", TEXT(TRIM(N856),"00000")="89145", TEXT(TRIM(N856),"00000")="89147"), "West Valley",
  TRUE, "Other"
)</f>
        <v>South/Strip</v>
      </c>
      <c r="P856" t="s">
        <v>3298</v>
      </c>
      <c r="Q856" t="str">
        <f t="shared" si="54"/>
        <v>Outdoors/Public</v>
      </c>
      <c r="R856" t="s">
        <v>4713</v>
      </c>
      <c r="S856" t="s">
        <v>5125</v>
      </c>
      <c r="T856" t="str" cm="1">
        <f t="array" ref="T856">_xlfn.IFS(
  TEXT(TRIM(S856),"00000")="NULL", "Missing/Unknown",
  OR(TEXT(TRIM(S856),"00000")="89101", TEXT(TRIM(S856),"00000")="89104", TEXT(TRIM(S856),"00000")="89106", TEXT(TRIM(S856),"00000")="89102", TEXT(TRIM(S856),"00000")="89107", TEXT(TRIM(S856),"00000")="89108"), "Urban Core",
  OR(TEXT(TRIM(S856),"00000")="89110", TEXT(TRIM(S856),"00000")="89115", TEXT(TRIM(S856),"00000")="89121", TEXT(TRIM(S856),"00000")="89122", TEXT(TRIM(S856),"00000")="89142", TEXT(TRIM(S856),"00000")="89156"), "East Valley",
  OR(TEXT(TRIM(S856),"00000")="89030", TEXT(TRIM(S856),"00000")="89031", TEXT(TRIM(S856),"00000")="89032", TEXT(TRIM(S856),"00000")="89086", TEXT(TRIM(S856),"00000")="89084", TEXT(TRIM(S856),"00000")="89081"), "North LV",
  OR(TEXT(TRIM(S856),"00000")="89109", TEXT(TRIM(S856),"00000")="89103", TEXT(TRIM(S856),"00000")="89119", TEXT(TRIM(S856),"00000")="89123", TEXT(TRIM(S856),"00000")="89169", TEXT(TRIM(S856),"00000")="89118"), "South/Strip",
  OR(TEXT(TRIM(S856),"00000")="89074", TEXT(TRIM(S856),"00000")="89014", TEXT(TRIM(S856),"00000")="89015", TEXT(TRIM(S856),"00000")="89011", TEXT(TRIM(S856),"00000")="89012"), "Suburban SE",
  OR(TEXT(TRIM(S856),"00000")="89117", TEXT(TRIM(S856),"00000")="89128", TEXT(TRIM(S856),"00000")="89135", TEXT(TRIM(S856),"00000")="89144", TEXT(TRIM(S856),"00000")="89145", TEXT(TRIM(S856),"00000")="89147"), "West Valley",
  TRUE, "Other"
)</f>
        <v>South/Strip</v>
      </c>
      <c r="U856" t="s">
        <v>4301</v>
      </c>
      <c r="V856" t="str">
        <f t="shared" si="55"/>
        <v>Medical Facility</v>
      </c>
    </row>
    <row r="857" spans="1:22">
      <c r="A857" t="s">
        <v>1367</v>
      </c>
      <c r="B857" t="s">
        <v>1368</v>
      </c>
      <c r="C857" s="1">
        <v>44759</v>
      </c>
      <c r="D857" s="4">
        <v>109.04</v>
      </c>
      <c r="E857">
        <v>60</v>
      </c>
      <c r="F857" t="str">
        <f t="shared" si="52"/>
        <v>60's</v>
      </c>
      <c r="G857" t="str" cm="1">
        <f t="array" ref="G857">_xlfn.IFS(
  F857="10's", "Child (5–12)",
  OR(F857="20's", F857="30's"), "Young Adult (20–39)",
  OR(F857="40's", F857="50's"), "Adult (40–59)",
  OR(F857="60's", F857="70's", F857="80's", F857="90's"), "Senior (60+)",
  TRUE, "Unknown"
)</f>
        <v>Senior (60+)</v>
      </c>
      <c r="H857" t="s">
        <v>841</v>
      </c>
      <c r="I857" t="s">
        <v>181</v>
      </c>
      <c r="J857" t="str">
        <f t="shared" si="53"/>
        <v>Other / Unknown</v>
      </c>
      <c r="K857" t="s">
        <v>54</v>
      </c>
      <c r="L857" t="s">
        <v>1071</v>
      </c>
      <c r="M857" t="s">
        <v>4442</v>
      </c>
      <c r="N857" t="s">
        <v>5151</v>
      </c>
      <c r="O857" t="str" cm="1">
        <f t="array" ref="O857">_xlfn.IFS(
  TEXT(TRIM(N857),"00000")="NULL", "Missing/Unknown",
  OR(TEXT(TRIM(N857),"00000")="89101", TEXT(TRIM(N857),"00000")="89104", TEXT(TRIM(N857),"00000")="89106", TEXT(TRIM(N857),"00000")="89102", TEXT(TRIM(N857),"00000")="89107", TEXT(TRIM(N857),"00000")="89108"), "Urban Core",
  OR(TEXT(TRIM(N857),"00000")="89110", TEXT(TRIM(N857),"00000")="89115", TEXT(TRIM(N857),"00000")="89121", TEXT(TRIM(N857),"00000")="89122", TEXT(TRIM(N857),"00000")="89142", TEXT(TRIM(N857),"00000")="89156"), "East Valley",
  OR(TEXT(TRIM(N857),"00000")="89030", TEXT(TRIM(N857),"00000")="89031", TEXT(TRIM(N857),"00000")="89032", TEXT(TRIM(N857),"00000")="89086", TEXT(TRIM(N857),"00000")="89084", TEXT(TRIM(N857),"00000")="89081"), "North LV",
  OR(TEXT(TRIM(N857),"00000")="89109", TEXT(TRIM(N857),"00000")="89103", TEXT(TRIM(N857),"00000")="89119", TEXT(TRIM(N857),"00000")="89123", TEXT(TRIM(N857),"00000")="89169", TEXT(TRIM(N857),"00000")="89118"), "South/Strip",
  OR(TEXT(TRIM(N857),"00000")="89074", TEXT(TRIM(N857),"00000")="89014", TEXT(TRIM(N857),"00000")="89015", TEXT(TRIM(N857),"00000")="89011", TEXT(TRIM(N857),"00000")="89012"), "Suburban SE",
  OR(TEXT(TRIM(N857),"00000")="89117", TEXT(TRIM(N857),"00000")="89128", TEXT(TRIM(N857),"00000")="89135", TEXT(TRIM(N857),"00000")="89144", TEXT(TRIM(N857),"00000")="89145", TEXT(TRIM(N857),"00000")="89147"), "West Valley",
  TRUE, "Other"
)</f>
        <v>Other</v>
      </c>
      <c r="P857" t="s">
        <v>38</v>
      </c>
      <c r="Q857" t="str">
        <f t="shared" si="54"/>
        <v>Home/Residence</v>
      </c>
      <c r="R857" t="s">
        <v>4442</v>
      </c>
      <c r="S857" t="s">
        <v>5151</v>
      </c>
      <c r="T857" t="str" cm="1">
        <f t="array" ref="T857">_xlfn.IFS(
  TEXT(TRIM(S857),"00000")="NULL", "Missing/Unknown",
  OR(TEXT(TRIM(S857),"00000")="89101", TEXT(TRIM(S857),"00000")="89104", TEXT(TRIM(S857),"00000")="89106", TEXT(TRIM(S857),"00000")="89102", TEXT(TRIM(S857),"00000")="89107", TEXT(TRIM(S857),"00000")="89108"), "Urban Core",
  OR(TEXT(TRIM(S857),"00000")="89110", TEXT(TRIM(S857),"00000")="89115", TEXT(TRIM(S857),"00000")="89121", TEXT(TRIM(S857),"00000")="89122", TEXT(TRIM(S857),"00000")="89142", TEXT(TRIM(S857),"00000")="89156"), "East Valley",
  OR(TEXT(TRIM(S857),"00000")="89030", TEXT(TRIM(S857),"00000")="89031", TEXT(TRIM(S857),"00000")="89032", TEXT(TRIM(S857),"00000")="89086", TEXT(TRIM(S857),"00000")="89084", TEXT(TRIM(S857),"00000")="89081"), "North LV",
  OR(TEXT(TRIM(S857),"00000")="89109", TEXT(TRIM(S857),"00000")="89103", TEXT(TRIM(S857),"00000")="89119", TEXT(TRIM(S857),"00000")="89123", TEXT(TRIM(S857),"00000")="89169", TEXT(TRIM(S857),"00000")="89118"), "South/Strip",
  OR(TEXT(TRIM(S857),"00000")="89074", TEXT(TRIM(S857),"00000")="89014", TEXT(TRIM(S857),"00000")="89015", TEXT(TRIM(S857),"00000")="89011", TEXT(TRIM(S857),"00000")="89012"), "Suburban SE",
  OR(TEXT(TRIM(S857),"00000")="89117", TEXT(TRIM(S857),"00000")="89128", TEXT(TRIM(S857),"00000")="89135", TEXT(TRIM(S857),"00000")="89144", TEXT(TRIM(S857),"00000")="89145", TEXT(TRIM(S857),"00000")="89147"), "West Valley",
  TRUE, "Other"
)</f>
        <v>Other</v>
      </c>
      <c r="U857" t="s">
        <v>38</v>
      </c>
      <c r="V857" t="str">
        <f t="shared" si="55"/>
        <v>Home/Residence</v>
      </c>
    </row>
    <row r="858" spans="1:22">
      <c r="A858" t="s">
        <v>1360</v>
      </c>
      <c r="B858" t="s">
        <v>1361</v>
      </c>
      <c r="C858" s="1">
        <v>44757</v>
      </c>
      <c r="D858" s="4">
        <v>105.98</v>
      </c>
      <c r="E858">
        <v>60</v>
      </c>
      <c r="F858" t="str">
        <f t="shared" si="52"/>
        <v>60's</v>
      </c>
      <c r="G858" t="str" cm="1">
        <f t="array" ref="G858">_xlfn.IFS(
  F858="10's", "Child (5–12)",
  OR(F858="20's", F858="30's"), "Young Adult (20–39)",
  OR(F858="40's", F858="50's"), "Adult (40–59)",
  OR(F858="60's", F858="70's", F858="80's", F858="90's"), "Senior (60+)",
  TRUE, "Unknown"
)</f>
        <v>Senior (60+)</v>
      </c>
      <c r="H858" t="s">
        <v>841</v>
      </c>
      <c r="I858" t="s">
        <v>172</v>
      </c>
      <c r="J858" t="str">
        <f t="shared" si="53"/>
        <v>Methamphetamine-related</v>
      </c>
      <c r="K858" t="s">
        <v>1362</v>
      </c>
      <c r="L858" t="s">
        <v>250</v>
      </c>
      <c r="M858" t="s">
        <v>4806</v>
      </c>
      <c r="N858" t="s">
        <v>5105</v>
      </c>
      <c r="O858" t="str" cm="1">
        <f t="array" ref="O858">_xlfn.IFS(
  TEXT(TRIM(N858),"00000")="NULL", "Missing/Unknown",
  OR(TEXT(TRIM(N858),"00000")="89101", TEXT(TRIM(N858),"00000")="89104", TEXT(TRIM(N858),"00000")="89106", TEXT(TRIM(N858),"00000")="89102", TEXT(TRIM(N858),"00000")="89107", TEXT(TRIM(N858),"00000")="89108"), "Urban Core",
  OR(TEXT(TRIM(N858),"00000")="89110", TEXT(TRIM(N858),"00000")="89115", TEXT(TRIM(N858),"00000")="89121", TEXT(TRIM(N858),"00000")="89122", TEXT(TRIM(N858),"00000")="89142", TEXT(TRIM(N858),"00000")="89156"), "East Valley",
  OR(TEXT(TRIM(N858),"00000")="89030", TEXT(TRIM(N858),"00000")="89031", TEXT(TRIM(N858),"00000")="89032", TEXT(TRIM(N858),"00000")="89086", TEXT(TRIM(N858),"00000")="89084", TEXT(TRIM(N858),"00000")="89081"), "North LV",
  OR(TEXT(TRIM(N858),"00000")="89109", TEXT(TRIM(N858),"00000")="89103", TEXT(TRIM(N858),"00000")="89119", TEXT(TRIM(N858),"00000")="89123", TEXT(TRIM(N858),"00000")="89169", TEXT(TRIM(N858),"00000")="89118"), "South/Strip",
  OR(TEXT(TRIM(N858),"00000")="89074", TEXT(TRIM(N858),"00000")="89014", TEXT(TRIM(N858),"00000")="89015", TEXT(TRIM(N858),"00000")="89011", TEXT(TRIM(N858),"00000")="89012"), "Suburban SE",
  OR(TEXT(TRIM(N858),"00000")="89117", TEXT(TRIM(N858),"00000")="89128", TEXT(TRIM(N858),"00000")="89135", TEXT(TRIM(N858),"00000")="89144", TEXT(TRIM(N858),"00000")="89145", TEXT(TRIM(N858),"00000")="89147"), "West Valley",
  TRUE, "Other"
)</f>
        <v>East Valley</v>
      </c>
      <c r="P858" t="s">
        <v>3298</v>
      </c>
      <c r="Q858" t="str">
        <f t="shared" si="54"/>
        <v>Outdoors/Public</v>
      </c>
      <c r="R858" t="s">
        <v>4806</v>
      </c>
      <c r="S858" t="s">
        <v>5105</v>
      </c>
      <c r="T858" t="str" cm="1">
        <f t="array" ref="T858">_xlfn.IFS(
  TEXT(TRIM(S858),"00000")="NULL", "Missing/Unknown",
  OR(TEXT(TRIM(S858),"00000")="89101", TEXT(TRIM(S858),"00000")="89104", TEXT(TRIM(S858),"00000")="89106", TEXT(TRIM(S858),"00000")="89102", TEXT(TRIM(S858),"00000")="89107", TEXT(TRIM(S858),"00000")="89108"), "Urban Core",
  OR(TEXT(TRIM(S858),"00000")="89110", TEXT(TRIM(S858),"00000")="89115", TEXT(TRIM(S858),"00000")="89121", TEXT(TRIM(S858),"00000")="89122", TEXT(TRIM(S858),"00000")="89142", TEXT(TRIM(S858),"00000")="89156"), "East Valley",
  OR(TEXT(TRIM(S858),"00000")="89030", TEXT(TRIM(S858),"00000")="89031", TEXT(TRIM(S858),"00000")="89032", TEXT(TRIM(S858),"00000")="89086", TEXT(TRIM(S858),"00000")="89084", TEXT(TRIM(S858),"00000")="89081"), "North LV",
  OR(TEXT(TRIM(S858),"00000")="89109", TEXT(TRIM(S858),"00000")="89103", TEXT(TRIM(S858),"00000")="89119", TEXT(TRIM(S858),"00000")="89123", TEXT(TRIM(S858),"00000")="89169", TEXT(TRIM(S858),"00000")="89118"), "South/Strip",
  OR(TEXT(TRIM(S858),"00000")="89074", TEXT(TRIM(S858),"00000")="89014", TEXT(TRIM(S858),"00000")="89015", TEXT(TRIM(S858),"00000")="89011", TEXT(TRIM(S858),"00000")="89012"), "Suburban SE",
  OR(TEXT(TRIM(S858),"00000")="89117", TEXT(TRIM(S858),"00000")="89128", TEXT(TRIM(S858),"00000")="89135", TEXT(TRIM(S858),"00000")="89144", TEXT(TRIM(S858),"00000")="89145", TEXT(TRIM(S858),"00000")="89147"), "West Valley",
  TRUE, "Other"
)</f>
        <v>East Valley</v>
      </c>
      <c r="U858" t="s">
        <v>3298</v>
      </c>
      <c r="V858" t="str">
        <f t="shared" si="55"/>
        <v>Outdoors/Public</v>
      </c>
    </row>
    <row r="859" spans="1:22">
      <c r="A859" t="s">
        <v>1352</v>
      </c>
      <c r="B859" t="s">
        <v>1353</v>
      </c>
      <c r="C859" s="1">
        <v>44756</v>
      </c>
      <c r="D859" s="4">
        <v>107.96</v>
      </c>
      <c r="E859">
        <v>56</v>
      </c>
      <c r="F859" t="str">
        <f t="shared" si="52"/>
        <v>50's</v>
      </c>
      <c r="G859" t="str" cm="1">
        <f t="array" ref="G859">_xlfn.IFS(
  F859="10's", "Child (5–12)",
  OR(F859="20's", F859="30's"), "Young Adult (20–39)",
  OR(F859="40's", F859="50's"), "Adult (40–59)",
  OR(F859="60's", F859="70's", F859="80's", F859="90's"), "Senior (60+)",
  TRUE, "Unknown"
)</f>
        <v>Adult (40–59)</v>
      </c>
      <c r="H859" t="s">
        <v>841</v>
      </c>
      <c r="I859" t="s">
        <v>172</v>
      </c>
      <c r="J859" t="str">
        <f t="shared" si="53"/>
        <v>Methamphetamine-related</v>
      </c>
      <c r="K859" t="s">
        <v>54</v>
      </c>
      <c r="L859" t="s">
        <v>250</v>
      </c>
      <c r="M859" t="s">
        <v>4807</v>
      </c>
      <c r="N859" t="s">
        <v>5100</v>
      </c>
      <c r="O859" t="str" cm="1">
        <f t="array" ref="O859">_xlfn.IFS(
  TEXT(TRIM(N859),"00000")="NULL", "Missing/Unknown",
  OR(TEXT(TRIM(N859),"00000")="89101", TEXT(TRIM(N859),"00000")="89104", TEXT(TRIM(N859),"00000")="89106", TEXT(TRIM(N859),"00000")="89102", TEXT(TRIM(N859),"00000")="89107", TEXT(TRIM(N859),"00000")="89108"), "Urban Core",
  OR(TEXT(TRIM(N859),"00000")="89110", TEXT(TRIM(N859),"00000")="89115", TEXT(TRIM(N859),"00000")="89121", TEXT(TRIM(N859),"00000")="89122", TEXT(TRIM(N859),"00000")="89142", TEXT(TRIM(N859),"00000")="89156"), "East Valley",
  OR(TEXT(TRIM(N859),"00000")="89030", TEXT(TRIM(N859),"00000")="89031", TEXT(TRIM(N859),"00000")="89032", TEXT(TRIM(N859),"00000")="89086", TEXT(TRIM(N859),"00000")="89084", TEXT(TRIM(N859),"00000")="89081"), "North LV",
  OR(TEXT(TRIM(N859),"00000")="89109", TEXT(TRIM(N859),"00000")="89103", TEXT(TRIM(N859),"00000")="89119", TEXT(TRIM(N859),"00000")="89123", TEXT(TRIM(N859),"00000")="89169", TEXT(TRIM(N859),"00000")="89118"), "South/Strip",
  OR(TEXT(TRIM(N859),"00000")="89074", TEXT(TRIM(N859),"00000")="89014", TEXT(TRIM(N859),"00000")="89015", TEXT(TRIM(N859),"00000")="89011", TEXT(TRIM(N859),"00000")="89012"), "Suburban SE",
  OR(TEXT(TRIM(N859),"00000")="89117", TEXT(TRIM(N859),"00000")="89128", TEXT(TRIM(N859),"00000")="89135", TEXT(TRIM(N859),"00000")="89144", TEXT(TRIM(N859),"00000")="89145", TEXT(TRIM(N859),"00000")="89147"), "West Valley",
  TRUE, "Other"
)</f>
        <v>North LV</v>
      </c>
      <c r="P859" t="s">
        <v>3298</v>
      </c>
      <c r="Q859" t="str">
        <f t="shared" si="54"/>
        <v>Outdoors/Public</v>
      </c>
      <c r="R859" t="s">
        <v>4807</v>
      </c>
      <c r="S859" t="s">
        <v>5100</v>
      </c>
      <c r="T859" t="str" cm="1">
        <f t="array" ref="T859">_xlfn.IFS(
  TEXT(TRIM(S859),"00000")="NULL", "Missing/Unknown",
  OR(TEXT(TRIM(S859),"00000")="89101", TEXT(TRIM(S859),"00000")="89104", TEXT(TRIM(S859),"00000")="89106", TEXT(TRIM(S859),"00000")="89102", TEXT(TRIM(S859),"00000")="89107", TEXT(TRIM(S859),"00000")="89108"), "Urban Core",
  OR(TEXT(TRIM(S859),"00000")="89110", TEXT(TRIM(S859),"00000")="89115", TEXT(TRIM(S859),"00000")="89121", TEXT(TRIM(S859),"00000")="89122", TEXT(TRIM(S859),"00000")="89142", TEXT(TRIM(S859),"00000")="89156"), "East Valley",
  OR(TEXT(TRIM(S859),"00000")="89030", TEXT(TRIM(S859),"00000")="89031", TEXT(TRIM(S859),"00000")="89032", TEXT(TRIM(S859),"00000")="89086", TEXT(TRIM(S859),"00000")="89084", TEXT(TRIM(S859),"00000")="89081"), "North LV",
  OR(TEXT(TRIM(S859),"00000")="89109", TEXT(TRIM(S859),"00000")="89103", TEXT(TRIM(S859),"00000")="89119", TEXT(TRIM(S859),"00000")="89123", TEXT(TRIM(S859),"00000")="89169", TEXT(TRIM(S859),"00000")="89118"), "South/Strip",
  OR(TEXT(TRIM(S859),"00000")="89074", TEXT(TRIM(S859),"00000")="89014", TEXT(TRIM(S859),"00000")="89015", TEXT(TRIM(S859),"00000")="89011", TEXT(TRIM(S859),"00000")="89012"), "Suburban SE",
  OR(TEXT(TRIM(S859),"00000")="89117", TEXT(TRIM(S859),"00000")="89128", TEXT(TRIM(S859),"00000")="89135", TEXT(TRIM(S859),"00000")="89144", TEXT(TRIM(S859),"00000")="89145", TEXT(TRIM(S859),"00000")="89147"), "West Valley",
  TRUE, "Other"
)</f>
        <v>North LV</v>
      </c>
      <c r="U859" t="s">
        <v>3298</v>
      </c>
      <c r="V859" t="str">
        <f t="shared" si="55"/>
        <v>Outdoors/Public</v>
      </c>
    </row>
    <row r="860" spans="1:22">
      <c r="A860" t="s">
        <v>1349</v>
      </c>
      <c r="B860" t="s">
        <v>1350</v>
      </c>
      <c r="C860" s="1">
        <v>44756</v>
      </c>
      <c r="D860" s="4">
        <v>107.96</v>
      </c>
      <c r="E860">
        <v>48</v>
      </c>
      <c r="F860" t="str">
        <f t="shared" si="52"/>
        <v>40's</v>
      </c>
      <c r="G860" t="str" cm="1">
        <f t="array" ref="G860">_xlfn.IFS(
  F860="10's", "Child (5–12)",
  OR(F860="20's", F860="30's"), "Young Adult (20–39)",
  OR(F860="40's", F860="50's"), "Adult (40–59)",
  OR(F860="60's", F860="70's", F860="80's", F860="90's"), "Senior (60+)",
  TRUE, "Unknown"
)</f>
        <v>Adult (40–59)</v>
      </c>
      <c r="H860" t="s">
        <v>778</v>
      </c>
      <c r="I860" t="s">
        <v>35</v>
      </c>
      <c r="J860" t="str">
        <f t="shared" si="53"/>
        <v>Environmental Heat</v>
      </c>
      <c r="K860" t="s">
        <v>28</v>
      </c>
      <c r="L860" t="s">
        <v>250</v>
      </c>
      <c r="M860" t="s">
        <v>4721</v>
      </c>
      <c r="N860" t="s">
        <v>5115</v>
      </c>
      <c r="O860" t="str" cm="1">
        <f t="array" ref="O860">_xlfn.IFS(
  TEXT(TRIM(N860),"00000")="NULL", "Missing/Unknown",
  OR(TEXT(TRIM(N860),"00000")="89101", TEXT(TRIM(N860),"00000")="89104", TEXT(TRIM(N860),"00000")="89106", TEXT(TRIM(N860),"00000")="89102", TEXT(TRIM(N860),"00000")="89107", TEXT(TRIM(N860),"00000")="89108"), "Urban Core",
  OR(TEXT(TRIM(N860),"00000")="89110", TEXT(TRIM(N860),"00000")="89115", TEXT(TRIM(N860),"00000")="89121", TEXT(TRIM(N860),"00000")="89122", TEXT(TRIM(N860),"00000")="89142", TEXT(TRIM(N860),"00000")="89156"), "East Valley",
  OR(TEXT(TRIM(N860),"00000")="89030", TEXT(TRIM(N860),"00000")="89031", TEXT(TRIM(N860),"00000")="89032", TEXT(TRIM(N860),"00000")="89086", TEXT(TRIM(N860),"00000")="89084", TEXT(TRIM(N860),"00000")="89081"), "North LV",
  OR(TEXT(TRIM(N860),"00000")="89109", TEXT(TRIM(N860),"00000")="89103", TEXT(TRIM(N860),"00000")="89119", TEXT(TRIM(N860),"00000")="89123", TEXT(TRIM(N860),"00000")="89169", TEXT(TRIM(N860),"00000")="89118"), "South/Strip",
  OR(TEXT(TRIM(N860),"00000")="89074", TEXT(TRIM(N860),"00000")="89014", TEXT(TRIM(N860),"00000")="89015", TEXT(TRIM(N860),"00000")="89011", TEXT(TRIM(N860),"00000")="89012"), "Suburban SE",
  OR(TEXT(TRIM(N860),"00000")="89117", TEXT(TRIM(N860),"00000")="89128", TEXT(TRIM(N860),"00000")="89135", TEXT(TRIM(N860),"00000")="89144", TEXT(TRIM(N860),"00000")="89145", TEXT(TRIM(N860),"00000")="89147"), "West Valley",
  TRUE, "Other"
)</f>
        <v>Other</v>
      </c>
      <c r="P860" t="s">
        <v>3298</v>
      </c>
      <c r="Q860" t="str">
        <f t="shared" si="54"/>
        <v>Outdoors/Public</v>
      </c>
      <c r="R860" t="s">
        <v>4721</v>
      </c>
      <c r="S860" t="s">
        <v>5115</v>
      </c>
      <c r="T860" t="str" cm="1">
        <f t="array" ref="T860">_xlfn.IFS(
  TEXT(TRIM(S860),"00000")="NULL", "Missing/Unknown",
  OR(TEXT(TRIM(S860),"00000")="89101", TEXT(TRIM(S860),"00000")="89104", TEXT(TRIM(S860),"00000")="89106", TEXT(TRIM(S860),"00000")="89102", TEXT(TRIM(S860),"00000")="89107", TEXT(TRIM(S860),"00000")="89108"), "Urban Core",
  OR(TEXT(TRIM(S860),"00000")="89110", TEXT(TRIM(S860),"00000")="89115", TEXT(TRIM(S860),"00000")="89121", TEXT(TRIM(S860),"00000")="89122", TEXT(TRIM(S860),"00000")="89142", TEXT(TRIM(S860),"00000")="89156"), "East Valley",
  OR(TEXT(TRIM(S860),"00000")="89030", TEXT(TRIM(S860),"00000")="89031", TEXT(TRIM(S860),"00000")="89032", TEXT(TRIM(S860),"00000")="89086", TEXT(TRIM(S860),"00000")="89084", TEXT(TRIM(S860),"00000")="89081"), "North LV",
  OR(TEXT(TRIM(S860),"00000")="89109", TEXT(TRIM(S860),"00000")="89103", TEXT(TRIM(S860),"00000")="89119", TEXT(TRIM(S860),"00000")="89123", TEXT(TRIM(S860),"00000")="89169", TEXT(TRIM(S860),"00000")="89118"), "South/Strip",
  OR(TEXT(TRIM(S860),"00000")="89074", TEXT(TRIM(S860),"00000")="89014", TEXT(TRIM(S860),"00000")="89015", TEXT(TRIM(S860),"00000")="89011", TEXT(TRIM(S860),"00000")="89012"), "Suburban SE",
  OR(TEXT(TRIM(S860),"00000")="89117", TEXT(TRIM(S860),"00000")="89128", TEXT(TRIM(S860),"00000")="89135", TEXT(TRIM(S860),"00000")="89144", TEXT(TRIM(S860),"00000")="89145", TEXT(TRIM(S860),"00000")="89147"), "West Valley",
  TRUE, "Other"
)</f>
        <v>Other</v>
      </c>
      <c r="U860" t="s">
        <v>3298</v>
      </c>
      <c r="V860" t="str">
        <f t="shared" si="55"/>
        <v>Outdoors/Public</v>
      </c>
    </row>
    <row r="861" spans="1:22">
      <c r="A861" t="s">
        <v>1355</v>
      </c>
      <c r="B861" t="s">
        <v>1356</v>
      </c>
      <c r="C861" s="1">
        <v>44756</v>
      </c>
      <c r="D861" s="4">
        <v>107.96</v>
      </c>
      <c r="E861">
        <v>41</v>
      </c>
      <c r="F861" t="str">
        <f t="shared" si="52"/>
        <v>40's</v>
      </c>
      <c r="G861" t="str" cm="1">
        <f t="array" ref="G861">_xlfn.IFS(
  F861="10's", "Child (5–12)",
  OR(F861="20's", F861="30's"), "Young Adult (20–39)",
  OR(F861="40's", F861="50's"), "Adult (40–59)",
  OR(F861="60's", F861="70's", F861="80's", F861="90's"), "Senior (60+)",
  TRUE, "Unknown"
)</f>
        <v>Adult (40–59)</v>
      </c>
      <c r="H861" t="s">
        <v>841</v>
      </c>
      <c r="I861" t="s">
        <v>135</v>
      </c>
      <c r="J861" t="str">
        <f t="shared" si="53"/>
        <v>Methamphetamine-related</v>
      </c>
      <c r="K861" t="s">
        <v>35</v>
      </c>
      <c r="L861" t="s">
        <v>250</v>
      </c>
      <c r="M861" t="s">
        <v>4566</v>
      </c>
      <c r="N861" t="s">
        <v>5102</v>
      </c>
      <c r="O861" t="str" cm="1">
        <f t="array" ref="O861">_xlfn.IFS(
  TEXT(TRIM(N861),"00000")="NULL", "Missing/Unknown",
  OR(TEXT(TRIM(N861),"00000")="89101", TEXT(TRIM(N861),"00000")="89104", TEXT(TRIM(N861),"00000")="89106", TEXT(TRIM(N861),"00000")="89102", TEXT(TRIM(N861),"00000")="89107", TEXT(TRIM(N861),"00000")="89108"), "Urban Core",
  OR(TEXT(TRIM(N861),"00000")="89110", TEXT(TRIM(N861),"00000")="89115", TEXT(TRIM(N861),"00000")="89121", TEXT(TRIM(N861),"00000")="89122", TEXT(TRIM(N861),"00000")="89142", TEXT(TRIM(N861),"00000")="89156"), "East Valley",
  OR(TEXT(TRIM(N861),"00000")="89030", TEXT(TRIM(N861),"00000")="89031", TEXT(TRIM(N861),"00000")="89032", TEXT(TRIM(N861),"00000")="89086", TEXT(TRIM(N861),"00000")="89084", TEXT(TRIM(N861),"00000")="89081"), "North LV",
  OR(TEXT(TRIM(N861),"00000")="89109", TEXT(TRIM(N861),"00000")="89103", TEXT(TRIM(N861),"00000")="89119", TEXT(TRIM(N861),"00000")="89123", TEXT(TRIM(N861),"00000")="89169", TEXT(TRIM(N861),"00000")="89118"), "South/Strip",
  OR(TEXT(TRIM(N861),"00000")="89074", TEXT(TRIM(N861),"00000")="89014", TEXT(TRIM(N861),"00000")="89015", TEXT(TRIM(N861),"00000")="89011", TEXT(TRIM(N861),"00000")="89012"), "Suburban SE",
  OR(TEXT(TRIM(N861),"00000")="89117", TEXT(TRIM(N861),"00000")="89128", TEXT(TRIM(N861),"00000")="89135", TEXT(TRIM(N861),"00000")="89144", TEXT(TRIM(N861),"00000")="89145", TEXT(TRIM(N861),"00000")="89147"), "West Valley",
  TRUE, "Other"
)</f>
        <v>Urban Core</v>
      </c>
      <c r="P861" t="s">
        <v>24</v>
      </c>
      <c r="Q861" t="str">
        <f t="shared" si="54"/>
        <v>Outdoors/Public</v>
      </c>
      <c r="R861" t="s">
        <v>4500</v>
      </c>
      <c r="S861" t="s">
        <v>5116</v>
      </c>
      <c r="T861" t="str" cm="1">
        <f t="array" ref="T861">_xlfn.IFS(
  TEXT(TRIM(S861),"00000")="NULL", "Missing/Unknown",
  OR(TEXT(TRIM(S861),"00000")="89101", TEXT(TRIM(S861),"00000")="89104", TEXT(TRIM(S861),"00000")="89106", TEXT(TRIM(S861),"00000")="89102", TEXT(TRIM(S861),"00000")="89107", TEXT(TRIM(S861),"00000")="89108"), "Urban Core",
  OR(TEXT(TRIM(S861),"00000")="89110", TEXT(TRIM(S861),"00000")="89115", TEXT(TRIM(S861),"00000")="89121", TEXT(TRIM(S861),"00000")="89122", TEXT(TRIM(S861),"00000")="89142", TEXT(TRIM(S861),"00000")="89156"), "East Valley",
  OR(TEXT(TRIM(S861),"00000")="89030", TEXT(TRIM(S861),"00000")="89031", TEXT(TRIM(S861),"00000")="89032", TEXT(TRIM(S861),"00000")="89086", TEXT(TRIM(S861),"00000")="89084", TEXT(TRIM(S861),"00000")="89081"), "North LV",
  OR(TEXT(TRIM(S861),"00000")="89109", TEXT(TRIM(S861),"00000")="89103", TEXT(TRIM(S861),"00000")="89119", TEXT(TRIM(S861),"00000")="89123", TEXT(TRIM(S861),"00000")="89169", TEXT(TRIM(S861),"00000")="89118"), "South/Strip",
  OR(TEXT(TRIM(S861),"00000")="89074", TEXT(TRIM(S861),"00000")="89014", TEXT(TRIM(S861),"00000")="89015", TEXT(TRIM(S861),"00000")="89011", TEXT(TRIM(S861),"00000")="89012"), "Suburban SE",
  OR(TEXT(TRIM(S861),"00000")="89117", TEXT(TRIM(S861),"00000")="89128", TEXT(TRIM(S861),"00000")="89135", TEXT(TRIM(S861),"00000")="89144", TEXT(TRIM(S861),"00000")="89145", TEXT(TRIM(S861),"00000")="89147"), "West Valley",
  TRUE, "Other"
)</f>
        <v>West Valley</v>
      </c>
      <c r="U861" t="s">
        <v>4301</v>
      </c>
      <c r="V861" t="str">
        <f t="shared" si="55"/>
        <v>Medical Facility</v>
      </c>
    </row>
    <row r="862" spans="1:22">
      <c r="A862" t="s">
        <v>1358</v>
      </c>
      <c r="B862" t="s">
        <v>1359</v>
      </c>
      <c r="C862" s="1">
        <v>44756</v>
      </c>
      <c r="D862" s="4">
        <v>107.96</v>
      </c>
      <c r="E862">
        <v>56</v>
      </c>
      <c r="F862" t="str">
        <f t="shared" si="52"/>
        <v>50's</v>
      </c>
      <c r="G862" t="str" cm="1">
        <f t="array" ref="G862">_xlfn.IFS(
  F862="10's", "Child (5–12)",
  OR(F862="20's", F862="30's"), "Young Adult (20–39)",
  OR(F862="40's", F862="50's"), "Adult (40–59)",
  OR(F862="60's", F862="70's", F862="80's", F862="90's"), "Senior (60+)",
  TRUE, "Unknown"
)</f>
        <v>Adult (40–59)</v>
      </c>
      <c r="H862" t="s">
        <v>841</v>
      </c>
      <c r="I862" t="s">
        <v>34</v>
      </c>
      <c r="J862" t="str">
        <f t="shared" si="53"/>
        <v>Methamphetamine-related</v>
      </c>
      <c r="K862" t="s">
        <v>54</v>
      </c>
      <c r="L862" t="s">
        <v>250</v>
      </c>
      <c r="N862" t="s">
        <v>5095</v>
      </c>
      <c r="O862" t="str" cm="1">
        <f t="array" ref="O862">_xlfn.IFS(
  TEXT(TRIM(N862),"00000")="NULL", "Missing/Unknown",
  OR(TEXT(TRIM(N862),"00000")="89101", TEXT(TRIM(N862),"00000")="89104", TEXT(TRIM(N862),"00000")="89106", TEXT(TRIM(N862),"00000")="89102", TEXT(TRIM(N862),"00000")="89107", TEXT(TRIM(N862),"00000")="89108"), "Urban Core",
  OR(TEXT(TRIM(N862),"00000")="89110", TEXT(TRIM(N862),"00000")="89115", TEXT(TRIM(N862),"00000")="89121", TEXT(TRIM(N862),"00000")="89122", TEXT(TRIM(N862),"00000")="89142", TEXT(TRIM(N862),"00000")="89156"), "East Valley",
  OR(TEXT(TRIM(N862),"00000")="89030", TEXT(TRIM(N862),"00000")="89031", TEXT(TRIM(N862),"00000")="89032", TEXT(TRIM(N862),"00000")="89086", TEXT(TRIM(N862),"00000")="89084", TEXT(TRIM(N862),"00000")="89081"), "North LV",
  OR(TEXT(TRIM(N862),"00000")="89109", TEXT(TRIM(N862),"00000")="89103", TEXT(TRIM(N862),"00000")="89119", TEXT(TRIM(N862),"00000")="89123", TEXT(TRIM(N862),"00000")="89169", TEXT(TRIM(N862),"00000")="89118"), "South/Strip",
  OR(TEXT(TRIM(N862),"00000")="89074", TEXT(TRIM(N862),"00000")="89014", TEXT(TRIM(N862),"00000")="89015", TEXT(TRIM(N862),"00000")="89011", TEXT(TRIM(N862),"00000")="89012"), "Suburban SE",
  OR(TEXT(TRIM(N862),"00000")="89117", TEXT(TRIM(N862),"00000")="89128", TEXT(TRIM(N862),"00000")="89135", TEXT(TRIM(N862),"00000")="89144", TEXT(TRIM(N862),"00000")="89145", TEXT(TRIM(N862),"00000")="89147"), "West Valley",
  TRUE, "Other"
)</f>
        <v>Missing/Unknown</v>
      </c>
      <c r="P862" t="s">
        <v>3298</v>
      </c>
      <c r="Q862" t="str">
        <f t="shared" si="54"/>
        <v>Outdoors/Public</v>
      </c>
      <c r="S862" t="s">
        <v>5095</v>
      </c>
      <c r="T862" t="str" cm="1">
        <f t="array" ref="T862">_xlfn.IFS(
  TEXT(TRIM(S862),"00000")="NULL", "Missing/Unknown",
  OR(TEXT(TRIM(S862),"00000")="89101", TEXT(TRIM(S862),"00000")="89104", TEXT(TRIM(S862),"00000")="89106", TEXT(TRIM(S862),"00000")="89102", TEXT(TRIM(S862),"00000")="89107", TEXT(TRIM(S862),"00000")="89108"), "Urban Core",
  OR(TEXT(TRIM(S862),"00000")="89110", TEXT(TRIM(S862),"00000")="89115", TEXT(TRIM(S862),"00000")="89121", TEXT(TRIM(S862),"00000")="89122", TEXT(TRIM(S862),"00000")="89142", TEXT(TRIM(S862),"00000")="89156"), "East Valley",
  OR(TEXT(TRIM(S862),"00000")="89030", TEXT(TRIM(S862),"00000")="89031", TEXT(TRIM(S862),"00000")="89032", TEXT(TRIM(S862),"00000")="89086", TEXT(TRIM(S862),"00000")="89084", TEXT(TRIM(S862),"00000")="89081"), "North LV",
  OR(TEXT(TRIM(S862),"00000")="89109", TEXT(TRIM(S862),"00000")="89103", TEXT(TRIM(S862),"00000")="89119", TEXT(TRIM(S862),"00000")="89123", TEXT(TRIM(S862),"00000")="89169", TEXT(TRIM(S862),"00000")="89118"), "South/Strip",
  OR(TEXT(TRIM(S862),"00000")="89074", TEXT(TRIM(S862),"00000")="89014", TEXT(TRIM(S862),"00000")="89015", TEXT(TRIM(S862),"00000")="89011", TEXT(TRIM(S862),"00000")="89012"), "Suburban SE",
  OR(TEXT(TRIM(S862),"00000")="89117", TEXT(TRIM(S862),"00000")="89128", TEXT(TRIM(S862),"00000")="89135", TEXT(TRIM(S862),"00000")="89144", TEXT(TRIM(S862),"00000")="89145", TEXT(TRIM(S862),"00000")="89147"), "West Valley",
  TRUE, "Other"
)</f>
        <v>Missing/Unknown</v>
      </c>
      <c r="U862" t="s">
        <v>3298</v>
      </c>
      <c r="V862" t="str">
        <f t="shared" si="55"/>
        <v>Outdoors/Public</v>
      </c>
    </row>
    <row r="863" spans="1:22">
      <c r="A863" t="s">
        <v>1346</v>
      </c>
      <c r="B863" t="s">
        <v>1347</v>
      </c>
      <c r="C863" s="1">
        <v>44755</v>
      </c>
      <c r="D863" s="4">
        <v>111.02</v>
      </c>
      <c r="E863">
        <v>63</v>
      </c>
      <c r="F863" t="str">
        <f t="shared" si="52"/>
        <v>60's</v>
      </c>
      <c r="G863" t="str" cm="1">
        <f t="array" ref="G863">_xlfn.IFS(
  F863="10's", "Child (5–12)",
  OR(F863="20's", F863="30's"), "Young Adult (20–39)",
  OR(F863="40's", F863="50's"), "Adult (40–59)",
  OR(F863="60's", F863="70's", F863="80's", F863="90's"), "Senior (60+)",
  TRUE, "Unknown"
)</f>
        <v>Senior (60+)</v>
      </c>
      <c r="H863" t="s">
        <v>841</v>
      </c>
      <c r="I863" t="s">
        <v>172</v>
      </c>
      <c r="J863" t="str">
        <f t="shared" si="53"/>
        <v>Methamphetamine-related</v>
      </c>
      <c r="K863" t="s">
        <v>48</v>
      </c>
      <c r="L863" t="s">
        <v>250</v>
      </c>
      <c r="M863" t="s">
        <v>4645</v>
      </c>
      <c r="N863" t="s">
        <v>5108</v>
      </c>
      <c r="O863" t="str" cm="1">
        <f t="array" ref="O863">_xlfn.IFS(
  TEXT(TRIM(N863),"00000")="NULL", "Missing/Unknown",
  OR(TEXT(TRIM(N863),"00000")="89101", TEXT(TRIM(N863),"00000")="89104", TEXT(TRIM(N863),"00000")="89106", TEXT(TRIM(N863),"00000")="89102", TEXT(TRIM(N863),"00000")="89107", TEXT(TRIM(N863),"00000")="89108"), "Urban Core",
  OR(TEXT(TRIM(N863),"00000")="89110", TEXT(TRIM(N863),"00000")="89115", TEXT(TRIM(N863),"00000")="89121", TEXT(TRIM(N863),"00000")="89122", TEXT(TRIM(N863),"00000")="89142", TEXT(TRIM(N863),"00000")="89156"), "East Valley",
  OR(TEXT(TRIM(N863),"00000")="89030", TEXT(TRIM(N863),"00000")="89031", TEXT(TRIM(N863),"00000")="89032", TEXT(TRIM(N863),"00000")="89086", TEXT(TRIM(N863),"00000")="89084", TEXT(TRIM(N863),"00000")="89081"), "North LV",
  OR(TEXT(TRIM(N863),"00000")="89109", TEXT(TRIM(N863),"00000")="89103", TEXT(TRIM(N863),"00000")="89119", TEXT(TRIM(N863),"00000")="89123", TEXT(TRIM(N863),"00000")="89169", TEXT(TRIM(N863),"00000")="89118"), "South/Strip",
  OR(TEXT(TRIM(N863),"00000")="89074", TEXT(TRIM(N863),"00000")="89014", TEXT(TRIM(N863),"00000")="89015", TEXT(TRIM(N863),"00000")="89011", TEXT(TRIM(N863),"00000")="89012"), "Suburban SE",
  OR(TEXT(TRIM(N863),"00000")="89117", TEXT(TRIM(N863),"00000")="89128", TEXT(TRIM(N863),"00000")="89135", TEXT(TRIM(N863),"00000")="89144", TEXT(TRIM(N863),"00000")="89145", TEXT(TRIM(N863),"00000")="89147"), "West Valley",
  TRUE, "Other"
)</f>
        <v>East Valley</v>
      </c>
      <c r="P863" t="s">
        <v>3298</v>
      </c>
      <c r="Q863" t="str">
        <f t="shared" si="54"/>
        <v>Outdoors/Public</v>
      </c>
      <c r="R863" t="s">
        <v>4645</v>
      </c>
      <c r="S863" t="s">
        <v>5108</v>
      </c>
      <c r="T863" t="str" cm="1">
        <f t="array" ref="T863">_xlfn.IFS(
  TEXT(TRIM(S863),"00000")="NULL", "Missing/Unknown",
  OR(TEXT(TRIM(S863),"00000")="89101", TEXT(TRIM(S863),"00000")="89104", TEXT(TRIM(S863),"00000")="89106", TEXT(TRIM(S863),"00000")="89102", TEXT(TRIM(S863),"00000")="89107", TEXT(TRIM(S863),"00000")="89108"), "Urban Core",
  OR(TEXT(TRIM(S863),"00000")="89110", TEXT(TRIM(S863),"00000")="89115", TEXT(TRIM(S863),"00000")="89121", TEXT(TRIM(S863),"00000")="89122", TEXT(TRIM(S863),"00000")="89142", TEXT(TRIM(S863),"00000")="89156"), "East Valley",
  OR(TEXT(TRIM(S863),"00000")="89030", TEXT(TRIM(S863),"00000")="89031", TEXT(TRIM(S863),"00000")="89032", TEXT(TRIM(S863),"00000")="89086", TEXT(TRIM(S863),"00000")="89084", TEXT(TRIM(S863),"00000")="89081"), "North LV",
  OR(TEXT(TRIM(S863),"00000")="89109", TEXT(TRIM(S863),"00000")="89103", TEXT(TRIM(S863),"00000")="89119", TEXT(TRIM(S863),"00000")="89123", TEXT(TRIM(S863),"00000")="89169", TEXT(TRIM(S863),"00000")="89118"), "South/Strip",
  OR(TEXT(TRIM(S863),"00000")="89074", TEXT(TRIM(S863),"00000")="89014", TEXT(TRIM(S863),"00000")="89015", TEXT(TRIM(S863),"00000")="89011", TEXT(TRIM(S863),"00000")="89012"), "Suburban SE",
  OR(TEXT(TRIM(S863),"00000")="89117", TEXT(TRIM(S863),"00000")="89128", TEXT(TRIM(S863),"00000")="89135", TEXT(TRIM(S863),"00000")="89144", TEXT(TRIM(S863),"00000")="89145", TEXT(TRIM(S863),"00000")="89147"), "West Valley",
  TRUE, "Other"
)</f>
        <v>East Valley</v>
      </c>
      <c r="U863" t="s">
        <v>3298</v>
      </c>
      <c r="V863" t="str">
        <f t="shared" si="55"/>
        <v>Outdoors/Public</v>
      </c>
    </row>
    <row r="864" spans="1:22">
      <c r="A864" t="s">
        <v>1342</v>
      </c>
      <c r="B864" t="s">
        <v>1343</v>
      </c>
      <c r="C864" s="1">
        <v>44754</v>
      </c>
      <c r="D864" s="4">
        <v>111.92</v>
      </c>
      <c r="E864">
        <v>48</v>
      </c>
      <c r="F864" t="str">
        <f t="shared" si="52"/>
        <v>40's</v>
      </c>
      <c r="G864" t="str" cm="1">
        <f t="array" ref="G864">_xlfn.IFS(
  F864="10's", "Child (5–12)",
  OR(F864="20's", F864="30's"), "Young Adult (20–39)",
  OR(F864="40's", F864="50's"), "Adult (40–59)",
  OR(F864="60's", F864="70's", F864="80's", F864="90's"), "Senior (60+)",
  TRUE, "Unknown"
)</f>
        <v>Adult (40–59)</v>
      </c>
      <c r="H864" t="s">
        <v>841</v>
      </c>
      <c r="I864" t="s">
        <v>4105</v>
      </c>
      <c r="J864" t="str">
        <f t="shared" si="53"/>
        <v>Environmental Heat</v>
      </c>
      <c r="K864" t="s">
        <v>63</v>
      </c>
      <c r="L864" t="s">
        <v>250</v>
      </c>
      <c r="M864" t="s">
        <v>4808</v>
      </c>
      <c r="N864" t="s">
        <v>5098</v>
      </c>
      <c r="O864" t="str" cm="1">
        <f t="array" ref="O864">_xlfn.IFS(
  TEXT(TRIM(N864),"00000")="NULL", "Missing/Unknown",
  OR(TEXT(TRIM(N864),"00000")="89101", TEXT(TRIM(N864),"00000")="89104", TEXT(TRIM(N864),"00000")="89106", TEXT(TRIM(N864),"00000")="89102", TEXT(TRIM(N864),"00000")="89107", TEXT(TRIM(N864),"00000")="89108"), "Urban Core",
  OR(TEXT(TRIM(N864),"00000")="89110", TEXT(TRIM(N864),"00000")="89115", TEXT(TRIM(N864),"00000")="89121", TEXT(TRIM(N864),"00000")="89122", TEXT(TRIM(N864),"00000")="89142", TEXT(TRIM(N864),"00000")="89156"), "East Valley",
  OR(TEXT(TRIM(N864),"00000")="89030", TEXT(TRIM(N864),"00000")="89031", TEXT(TRIM(N864),"00000")="89032", TEXT(TRIM(N864),"00000")="89086", TEXT(TRIM(N864),"00000")="89084", TEXT(TRIM(N864),"00000")="89081"), "North LV",
  OR(TEXT(TRIM(N864),"00000")="89109", TEXT(TRIM(N864),"00000")="89103", TEXT(TRIM(N864),"00000")="89119", TEXT(TRIM(N864),"00000")="89123", TEXT(TRIM(N864),"00000")="89169", TEXT(TRIM(N864),"00000")="89118"), "South/Strip",
  OR(TEXT(TRIM(N864),"00000")="89074", TEXT(TRIM(N864),"00000")="89014", TEXT(TRIM(N864),"00000")="89015", TEXT(TRIM(N864),"00000")="89011", TEXT(TRIM(N864),"00000")="89012"), "Suburban SE",
  OR(TEXT(TRIM(N864),"00000")="89117", TEXT(TRIM(N864),"00000")="89128", TEXT(TRIM(N864),"00000")="89135", TEXT(TRIM(N864),"00000")="89144", TEXT(TRIM(N864),"00000")="89145", TEXT(TRIM(N864),"00000")="89147"), "West Valley",
  TRUE, "Other"
)</f>
        <v>Urban Core</v>
      </c>
      <c r="P864" t="s">
        <v>3298</v>
      </c>
      <c r="Q864" t="str">
        <f t="shared" si="54"/>
        <v>Outdoors/Public</v>
      </c>
      <c r="R864" t="s">
        <v>4808</v>
      </c>
      <c r="S864" t="s">
        <v>5098</v>
      </c>
      <c r="T864" t="str" cm="1">
        <f t="array" ref="T864">_xlfn.IFS(
  TEXT(TRIM(S864),"00000")="NULL", "Missing/Unknown",
  OR(TEXT(TRIM(S864),"00000")="89101", TEXT(TRIM(S864),"00000")="89104", TEXT(TRIM(S864),"00000")="89106", TEXT(TRIM(S864),"00000")="89102", TEXT(TRIM(S864),"00000")="89107", TEXT(TRIM(S864),"00000")="89108"), "Urban Core",
  OR(TEXT(TRIM(S864),"00000")="89110", TEXT(TRIM(S864),"00000")="89115", TEXT(TRIM(S864),"00000")="89121", TEXT(TRIM(S864),"00000")="89122", TEXT(TRIM(S864),"00000")="89142", TEXT(TRIM(S864),"00000")="89156"), "East Valley",
  OR(TEXT(TRIM(S864),"00000")="89030", TEXT(TRIM(S864),"00000")="89031", TEXT(TRIM(S864),"00000")="89032", TEXT(TRIM(S864),"00000")="89086", TEXT(TRIM(S864),"00000")="89084", TEXT(TRIM(S864),"00000")="89081"), "North LV",
  OR(TEXT(TRIM(S864),"00000")="89109", TEXT(TRIM(S864),"00000")="89103", TEXT(TRIM(S864),"00000")="89119", TEXT(TRIM(S864),"00000")="89123", TEXT(TRIM(S864),"00000")="89169", TEXT(TRIM(S864),"00000")="89118"), "South/Strip",
  OR(TEXT(TRIM(S864),"00000")="89074", TEXT(TRIM(S864),"00000")="89014", TEXT(TRIM(S864),"00000")="89015", TEXT(TRIM(S864),"00000")="89011", TEXT(TRIM(S864),"00000")="89012"), "Suburban SE",
  OR(TEXT(TRIM(S864),"00000")="89117", TEXT(TRIM(S864),"00000")="89128", TEXT(TRIM(S864),"00000")="89135", TEXT(TRIM(S864),"00000")="89144", TEXT(TRIM(S864),"00000")="89145", TEXT(TRIM(S864),"00000")="89147"), "West Valley",
  TRUE, "Other"
)</f>
        <v>Urban Core</v>
      </c>
      <c r="U864" t="s">
        <v>3298</v>
      </c>
      <c r="V864" t="str">
        <f t="shared" si="55"/>
        <v>Outdoors/Public</v>
      </c>
    </row>
    <row r="865" spans="1:22">
      <c r="A865" t="s">
        <v>1338</v>
      </c>
      <c r="B865" t="s">
        <v>1339</v>
      </c>
      <c r="C865" s="1">
        <v>44754</v>
      </c>
      <c r="D865" s="4">
        <v>111.92</v>
      </c>
      <c r="E865">
        <v>58</v>
      </c>
      <c r="F865" t="str">
        <f t="shared" si="52"/>
        <v>50's</v>
      </c>
      <c r="G865" t="str" cm="1">
        <f t="array" ref="G865">_xlfn.IFS(
  F865="10's", "Child (5–12)",
  OR(F865="20's", F865="30's"), "Young Adult (20–39)",
  OR(F865="40's", F865="50's"), "Adult (40–59)",
  OR(F865="60's", F865="70's", F865="80's", F865="90's"), "Senior (60+)",
  TRUE, "Unknown"
)</f>
        <v>Adult (40–59)</v>
      </c>
      <c r="H865" t="s">
        <v>841</v>
      </c>
      <c r="I865" t="s">
        <v>54</v>
      </c>
      <c r="J865" t="str">
        <f t="shared" si="53"/>
        <v>Environmental Heat</v>
      </c>
      <c r="K865" t="s">
        <v>1340</v>
      </c>
      <c r="L865" t="s">
        <v>250</v>
      </c>
      <c r="M865" t="s">
        <v>4984</v>
      </c>
      <c r="N865" t="s">
        <v>5105</v>
      </c>
      <c r="O865" t="str" cm="1">
        <f t="array" ref="O865">_xlfn.IFS(
  TEXT(TRIM(N865),"00000")="NULL", "Missing/Unknown",
  OR(TEXT(TRIM(N865),"00000")="89101", TEXT(TRIM(N865),"00000")="89104", TEXT(TRIM(N865),"00000")="89106", TEXT(TRIM(N865),"00000")="89102", TEXT(TRIM(N865),"00000")="89107", TEXT(TRIM(N865),"00000")="89108"), "Urban Core",
  OR(TEXT(TRIM(N865),"00000")="89110", TEXT(TRIM(N865),"00000")="89115", TEXT(TRIM(N865),"00000")="89121", TEXT(TRIM(N865),"00000")="89122", TEXT(TRIM(N865),"00000")="89142", TEXT(TRIM(N865),"00000")="89156"), "East Valley",
  OR(TEXT(TRIM(N865),"00000")="89030", TEXT(TRIM(N865),"00000")="89031", TEXT(TRIM(N865),"00000")="89032", TEXT(TRIM(N865),"00000")="89086", TEXT(TRIM(N865),"00000")="89084", TEXT(TRIM(N865),"00000")="89081"), "North LV",
  OR(TEXT(TRIM(N865),"00000")="89109", TEXT(TRIM(N865),"00000")="89103", TEXT(TRIM(N865),"00000")="89119", TEXT(TRIM(N865),"00000")="89123", TEXT(TRIM(N865),"00000")="89169", TEXT(TRIM(N865),"00000")="89118"), "South/Strip",
  OR(TEXT(TRIM(N865),"00000")="89074", TEXT(TRIM(N865),"00000")="89014", TEXT(TRIM(N865),"00000")="89015", TEXT(TRIM(N865),"00000")="89011", TEXT(TRIM(N865),"00000")="89012"), "Suburban SE",
  OR(TEXT(TRIM(N865),"00000")="89117", TEXT(TRIM(N865),"00000")="89128", TEXT(TRIM(N865),"00000")="89135", TEXT(TRIM(N865),"00000")="89144", TEXT(TRIM(N865),"00000")="89145", TEXT(TRIM(N865),"00000")="89147"), "West Valley",
  TRUE, "Other"
)</f>
        <v>East Valley</v>
      </c>
      <c r="P865" t="s">
        <v>65</v>
      </c>
      <c r="Q865" t="str">
        <f t="shared" si="54"/>
        <v>Vehicle-related</v>
      </c>
      <c r="R865" t="s">
        <v>4984</v>
      </c>
      <c r="S865" t="s">
        <v>5105</v>
      </c>
      <c r="T865" t="str" cm="1">
        <f t="array" ref="T865">_xlfn.IFS(
  TEXT(TRIM(S865),"00000")="NULL", "Missing/Unknown",
  OR(TEXT(TRIM(S865),"00000")="89101", TEXT(TRIM(S865),"00000")="89104", TEXT(TRIM(S865),"00000")="89106", TEXT(TRIM(S865),"00000")="89102", TEXT(TRIM(S865),"00000")="89107", TEXT(TRIM(S865),"00000")="89108"), "Urban Core",
  OR(TEXT(TRIM(S865),"00000")="89110", TEXT(TRIM(S865),"00000")="89115", TEXT(TRIM(S865),"00000")="89121", TEXT(TRIM(S865),"00000")="89122", TEXT(TRIM(S865),"00000")="89142", TEXT(TRIM(S865),"00000")="89156"), "East Valley",
  OR(TEXT(TRIM(S865),"00000")="89030", TEXT(TRIM(S865),"00000")="89031", TEXT(TRIM(S865),"00000")="89032", TEXT(TRIM(S865),"00000")="89086", TEXT(TRIM(S865),"00000")="89084", TEXT(TRIM(S865),"00000")="89081"), "North LV",
  OR(TEXT(TRIM(S865),"00000")="89109", TEXT(TRIM(S865),"00000")="89103", TEXT(TRIM(S865),"00000")="89119", TEXT(TRIM(S865),"00000")="89123", TEXT(TRIM(S865),"00000")="89169", TEXT(TRIM(S865),"00000")="89118"), "South/Strip",
  OR(TEXT(TRIM(S865),"00000")="89074", TEXT(TRIM(S865),"00000")="89014", TEXT(TRIM(S865),"00000")="89015", TEXT(TRIM(S865),"00000")="89011", TEXT(TRIM(S865),"00000")="89012"), "Suburban SE",
  OR(TEXT(TRIM(S865),"00000")="89117", TEXT(TRIM(S865),"00000")="89128", TEXT(TRIM(S865),"00000")="89135", TEXT(TRIM(S865),"00000")="89144", TEXT(TRIM(S865),"00000")="89145", TEXT(TRIM(S865),"00000")="89147"), "West Valley",
  TRUE, "Other"
)</f>
        <v>East Valley</v>
      </c>
      <c r="U865" t="s">
        <v>65</v>
      </c>
      <c r="V865" t="str">
        <f t="shared" si="55"/>
        <v>Vehicle-related</v>
      </c>
    </row>
    <row r="866" spans="1:22">
      <c r="A866" t="s">
        <v>1335</v>
      </c>
      <c r="B866" t="s">
        <v>1336</v>
      </c>
      <c r="C866" s="1">
        <v>44754</v>
      </c>
      <c r="D866" s="4">
        <v>111.92</v>
      </c>
      <c r="E866">
        <v>66</v>
      </c>
      <c r="F866" t="str">
        <f t="shared" si="52"/>
        <v>60's</v>
      </c>
      <c r="G866" t="str" cm="1">
        <f t="array" ref="G866">_xlfn.IFS(
  F866="10's", "Child (5–12)",
  OR(F866="20's", F866="30's"), "Young Adult (20–39)",
  OR(F866="40's", F866="50's"), "Adult (40–59)",
  OR(F866="60's", F866="70's", F866="80's", F866="90's"), "Senior (60+)",
  TRUE, "Unknown"
)</f>
        <v>Senior (60+)</v>
      </c>
      <c r="H866" t="s">
        <v>841</v>
      </c>
      <c r="I866" t="s">
        <v>54</v>
      </c>
      <c r="J866" t="str">
        <f t="shared" si="53"/>
        <v>Environmental Heat</v>
      </c>
      <c r="K866" t="s">
        <v>63</v>
      </c>
      <c r="L866" t="s">
        <v>250</v>
      </c>
      <c r="M866" t="s">
        <v>4586</v>
      </c>
      <c r="N866" t="s">
        <v>5123</v>
      </c>
      <c r="O866" t="str" cm="1">
        <f t="array" ref="O866">_xlfn.IFS(
  TEXT(TRIM(N866),"00000")="NULL", "Missing/Unknown",
  OR(TEXT(TRIM(N866),"00000")="89101", TEXT(TRIM(N866),"00000")="89104", TEXT(TRIM(N866),"00000")="89106", TEXT(TRIM(N866),"00000")="89102", TEXT(TRIM(N866),"00000")="89107", TEXT(TRIM(N866),"00000")="89108"), "Urban Core",
  OR(TEXT(TRIM(N866),"00000")="89110", TEXT(TRIM(N866),"00000")="89115", TEXT(TRIM(N866),"00000")="89121", TEXT(TRIM(N866),"00000")="89122", TEXT(TRIM(N866),"00000")="89142", TEXT(TRIM(N866),"00000")="89156"), "East Valley",
  OR(TEXT(TRIM(N866),"00000")="89030", TEXT(TRIM(N866),"00000")="89031", TEXT(TRIM(N866),"00000")="89032", TEXT(TRIM(N866),"00000")="89086", TEXT(TRIM(N866),"00000")="89084", TEXT(TRIM(N866),"00000")="89081"), "North LV",
  OR(TEXT(TRIM(N866),"00000")="89109", TEXT(TRIM(N866),"00000")="89103", TEXT(TRIM(N866),"00000")="89119", TEXT(TRIM(N866),"00000")="89123", TEXT(TRIM(N866),"00000")="89169", TEXT(TRIM(N866),"00000")="89118"), "South/Strip",
  OR(TEXT(TRIM(N866),"00000")="89074", TEXT(TRIM(N866),"00000")="89014", TEXT(TRIM(N866),"00000")="89015", TEXT(TRIM(N866),"00000")="89011", TEXT(TRIM(N866),"00000")="89012"), "Suburban SE",
  OR(TEXT(TRIM(N866),"00000")="89117", TEXT(TRIM(N866),"00000")="89128", TEXT(TRIM(N866),"00000")="89135", TEXT(TRIM(N866),"00000")="89144", TEXT(TRIM(N866),"00000")="89145", TEXT(TRIM(N866),"00000")="89147"), "West Valley",
  TRUE, "Other"
)</f>
        <v>South/Strip</v>
      </c>
      <c r="P866" t="s">
        <v>3298</v>
      </c>
      <c r="Q866" t="str">
        <f t="shared" si="54"/>
        <v>Outdoors/Public</v>
      </c>
      <c r="R866" t="s">
        <v>4586</v>
      </c>
      <c r="S866" t="s">
        <v>5123</v>
      </c>
      <c r="T866" t="str" cm="1">
        <f t="array" ref="T866">_xlfn.IFS(
  TEXT(TRIM(S866),"00000")="NULL", "Missing/Unknown",
  OR(TEXT(TRIM(S866),"00000")="89101", TEXT(TRIM(S866),"00000")="89104", TEXT(TRIM(S866),"00000")="89106", TEXT(TRIM(S866),"00000")="89102", TEXT(TRIM(S866),"00000")="89107", TEXT(TRIM(S866),"00000")="89108"), "Urban Core",
  OR(TEXT(TRIM(S866),"00000")="89110", TEXT(TRIM(S866),"00000")="89115", TEXT(TRIM(S866),"00000")="89121", TEXT(TRIM(S866),"00000")="89122", TEXT(TRIM(S866),"00000")="89142", TEXT(TRIM(S866),"00000")="89156"), "East Valley",
  OR(TEXT(TRIM(S866),"00000")="89030", TEXT(TRIM(S866),"00000")="89031", TEXT(TRIM(S866),"00000")="89032", TEXT(TRIM(S866),"00000")="89086", TEXT(TRIM(S866),"00000")="89084", TEXT(TRIM(S866),"00000")="89081"), "North LV",
  OR(TEXT(TRIM(S866),"00000")="89109", TEXT(TRIM(S866),"00000")="89103", TEXT(TRIM(S866),"00000")="89119", TEXT(TRIM(S866),"00000")="89123", TEXT(TRIM(S866),"00000")="89169", TEXT(TRIM(S866),"00000")="89118"), "South/Strip",
  OR(TEXT(TRIM(S866),"00000")="89074", TEXT(TRIM(S866),"00000")="89014", TEXT(TRIM(S866),"00000")="89015", TEXT(TRIM(S866),"00000")="89011", TEXT(TRIM(S866),"00000")="89012"), "Suburban SE",
  OR(TEXT(TRIM(S866),"00000")="89117", TEXT(TRIM(S866),"00000")="89128", TEXT(TRIM(S866),"00000")="89135", TEXT(TRIM(S866),"00000")="89144", TEXT(TRIM(S866),"00000")="89145", TEXT(TRIM(S866),"00000")="89147"), "West Valley",
  TRUE, "Other"
)</f>
        <v>South/Strip</v>
      </c>
      <c r="U866" t="s">
        <v>3298</v>
      </c>
      <c r="V866" t="str">
        <f t="shared" si="55"/>
        <v>Outdoors/Public</v>
      </c>
    </row>
    <row r="867" spans="1:22">
      <c r="A867" t="s">
        <v>1326</v>
      </c>
      <c r="B867" t="s">
        <v>1327</v>
      </c>
      <c r="C867" s="1">
        <v>44753</v>
      </c>
      <c r="D867" s="4">
        <v>111.02</v>
      </c>
      <c r="E867">
        <v>37</v>
      </c>
      <c r="F867" t="str">
        <f t="shared" si="52"/>
        <v>30's</v>
      </c>
      <c r="G867" t="str" cm="1">
        <f t="array" ref="G867">_xlfn.IFS(
  F867="10's", "Child (5–12)",
  OR(F867="20's", F867="30's"), "Young Adult (20–39)",
  OR(F867="40's", F867="50's"), "Adult (40–59)",
  OR(F867="60's", F867="70's", F867="80's", F867="90's"), "Senior (60+)",
  TRUE, "Unknown"
)</f>
        <v>Young Adult (20–39)</v>
      </c>
      <c r="H867" t="s">
        <v>27</v>
      </c>
      <c r="I867" t="s">
        <v>660</v>
      </c>
      <c r="J867" t="str">
        <f t="shared" si="53"/>
        <v>Environmental Heat</v>
      </c>
      <c r="K867" t="s">
        <v>98</v>
      </c>
      <c r="L867" t="s">
        <v>3180</v>
      </c>
      <c r="M867" t="s">
        <v>4549</v>
      </c>
      <c r="N867" t="s">
        <v>5162</v>
      </c>
      <c r="O867" t="str" cm="1">
        <f t="array" ref="O867">_xlfn.IFS(
  TEXT(TRIM(N867),"00000")="NULL", "Missing/Unknown",
  OR(TEXT(TRIM(N867),"00000")="89101", TEXT(TRIM(N867),"00000")="89104", TEXT(TRIM(N867),"00000")="89106", TEXT(TRIM(N867),"00000")="89102", TEXT(TRIM(N867),"00000")="89107", TEXT(TRIM(N867),"00000")="89108"), "Urban Core",
  OR(TEXT(TRIM(N867),"00000")="89110", TEXT(TRIM(N867),"00000")="89115", TEXT(TRIM(N867),"00000")="89121", TEXT(TRIM(N867),"00000")="89122", TEXT(TRIM(N867),"00000")="89142", TEXT(TRIM(N867),"00000")="89156"), "East Valley",
  OR(TEXT(TRIM(N867),"00000")="89030", TEXT(TRIM(N867),"00000")="89031", TEXT(TRIM(N867),"00000")="89032", TEXT(TRIM(N867),"00000")="89086", TEXT(TRIM(N867),"00000")="89084", TEXT(TRIM(N867),"00000")="89081"), "North LV",
  OR(TEXT(TRIM(N867),"00000")="89109", TEXT(TRIM(N867),"00000")="89103", TEXT(TRIM(N867),"00000")="89119", TEXT(TRIM(N867),"00000")="89123", TEXT(TRIM(N867),"00000")="89169", TEXT(TRIM(N867),"00000")="89118"), "South/Strip",
  OR(TEXT(TRIM(N867),"00000")="89074", TEXT(TRIM(N867),"00000")="89014", TEXT(TRIM(N867),"00000")="89015", TEXT(TRIM(N867),"00000")="89011", TEXT(TRIM(N867),"00000")="89012"), "Suburban SE",
  OR(TEXT(TRIM(N867),"00000")="89117", TEXT(TRIM(N867),"00000")="89128", TEXT(TRIM(N867),"00000")="89135", TEXT(TRIM(N867),"00000")="89144", TEXT(TRIM(N867),"00000")="89145", TEXT(TRIM(N867),"00000")="89147"), "West Valley",
  TRUE, "Other"
)</f>
        <v>Other</v>
      </c>
      <c r="P867" t="s">
        <v>3298</v>
      </c>
      <c r="Q867" t="str">
        <f t="shared" si="54"/>
        <v>Outdoors/Public</v>
      </c>
      <c r="R867" t="s">
        <v>4868</v>
      </c>
      <c r="S867" t="s">
        <v>5123</v>
      </c>
      <c r="T867" t="str" cm="1">
        <f t="array" ref="T867">_xlfn.IFS(
  TEXT(TRIM(S867),"00000")="NULL", "Missing/Unknown",
  OR(TEXT(TRIM(S867),"00000")="89101", TEXT(TRIM(S867),"00000")="89104", TEXT(TRIM(S867),"00000")="89106", TEXT(TRIM(S867),"00000")="89102", TEXT(TRIM(S867),"00000")="89107", TEXT(TRIM(S867),"00000")="89108"), "Urban Core",
  OR(TEXT(TRIM(S867),"00000")="89110", TEXT(TRIM(S867),"00000")="89115", TEXT(TRIM(S867),"00000")="89121", TEXT(TRIM(S867),"00000")="89122", TEXT(TRIM(S867),"00000")="89142", TEXT(TRIM(S867),"00000")="89156"), "East Valley",
  OR(TEXT(TRIM(S867),"00000")="89030", TEXT(TRIM(S867),"00000")="89031", TEXT(TRIM(S867),"00000")="89032", TEXT(TRIM(S867),"00000")="89086", TEXT(TRIM(S867),"00000")="89084", TEXT(TRIM(S867),"00000")="89081"), "North LV",
  OR(TEXT(TRIM(S867),"00000")="89109", TEXT(TRIM(S867),"00000")="89103", TEXT(TRIM(S867),"00000")="89119", TEXT(TRIM(S867),"00000")="89123", TEXT(TRIM(S867),"00000")="89169", TEXT(TRIM(S867),"00000")="89118"), "South/Strip",
  OR(TEXT(TRIM(S867),"00000")="89074", TEXT(TRIM(S867),"00000")="89014", TEXT(TRIM(S867),"00000")="89015", TEXT(TRIM(S867),"00000")="89011", TEXT(TRIM(S867),"00000")="89012"), "Suburban SE",
  OR(TEXT(TRIM(S867),"00000")="89117", TEXT(TRIM(S867),"00000")="89128", TEXT(TRIM(S867),"00000")="89135", TEXT(TRIM(S867),"00000")="89144", TEXT(TRIM(S867),"00000")="89145", TEXT(TRIM(S867),"00000")="89147"), "West Valley",
  TRUE, "Other"
)</f>
        <v>South/Strip</v>
      </c>
      <c r="U867" t="s">
        <v>4301</v>
      </c>
      <c r="V867" t="str">
        <f t="shared" si="55"/>
        <v>Medical Facility</v>
      </c>
    </row>
    <row r="868" spans="1:22">
      <c r="A868" t="s">
        <v>1331</v>
      </c>
      <c r="B868" t="s">
        <v>1332</v>
      </c>
      <c r="C868" s="1">
        <v>44753</v>
      </c>
      <c r="D868" s="4">
        <v>111.02</v>
      </c>
      <c r="E868">
        <v>72</v>
      </c>
      <c r="F868" t="str">
        <f t="shared" si="52"/>
        <v>70's</v>
      </c>
      <c r="G868" t="str" cm="1">
        <f t="array" ref="G868">_xlfn.IFS(
  F868="10's", "Child (5–12)",
  OR(F868="20's", F868="30's"), "Young Adult (20–39)",
  OR(F868="40's", F868="50's"), "Adult (40–59)",
  OR(F868="60's", F868="70's", F868="80's", F868="90's"), "Senior (60+)",
  TRUE, "Unknown"
)</f>
        <v>Senior (60+)</v>
      </c>
      <c r="H868" t="s">
        <v>841</v>
      </c>
      <c r="I868" t="s">
        <v>4025</v>
      </c>
      <c r="J868" t="str">
        <f t="shared" si="53"/>
        <v>Methamphetamine-related</v>
      </c>
      <c r="K868" t="s">
        <v>4252</v>
      </c>
      <c r="L868" t="s">
        <v>250</v>
      </c>
      <c r="M868" t="s">
        <v>4317</v>
      </c>
      <c r="N868" t="s">
        <v>5100</v>
      </c>
      <c r="O868" t="str" cm="1">
        <f t="array" ref="O868">_xlfn.IFS(
  TEXT(TRIM(N868),"00000")="NULL", "Missing/Unknown",
  OR(TEXT(TRIM(N868),"00000")="89101", TEXT(TRIM(N868),"00000")="89104", TEXT(TRIM(N868),"00000")="89106", TEXT(TRIM(N868),"00000")="89102", TEXT(TRIM(N868),"00000")="89107", TEXT(TRIM(N868),"00000")="89108"), "Urban Core",
  OR(TEXT(TRIM(N868),"00000")="89110", TEXT(TRIM(N868),"00000")="89115", TEXT(TRIM(N868),"00000")="89121", TEXT(TRIM(N868),"00000")="89122", TEXT(TRIM(N868),"00000")="89142", TEXT(TRIM(N868),"00000")="89156"), "East Valley",
  OR(TEXT(TRIM(N868),"00000")="89030", TEXT(TRIM(N868),"00000")="89031", TEXT(TRIM(N868),"00000")="89032", TEXT(TRIM(N868),"00000")="89086", TEXT(TRIM(N868),"00000")="89084", TEXT(TRIM(N868),"00000")="89081"), "North LV",
  OR(TEXT(TRIM(N868),"00000")="89109", TEXT(TRIM(N868),"00000")="89103", TEXT(TRIM(N868),"00000")="89119", TEXT(TRIM(N868),"00000")="89123", TEXT(TRIM(N868),"00000")="89169", TEXT(TRIM(N868),"00000")="89118"), "South/Strip",
  OR(TEXT(TRIM(N868),"00000")="89074", TEXT(TRIM(N868),"00000")="89014", TEXT(TRIM(N868),"00000")="89015", TEXT(TRIM(N868),"00000")="89011", TEXT(TRIM(N868),"00000")="89012"), "Suburban SE",
  OR(TEXT(TRIM(N868),"00000")="89117", TEXT(TRIM(N868),"00000")="89128", TEXT(TRIM(N868),"00000")="89135", TEXT(TRIM(N868),"00000")="89144", TEXT(TRIM(N868),"00000")="89145", TEXT(TRIM(N868),"00000")="89147"), "West Valley",
  TRUE, "Other"
)</f>
        <v>North LV</v>
      </c>
      <c r="P868" t="s">
        <v>3298</v>
      </c>
      <c r="Q868" t="str">
        <f t="shared" si="54"/>
        <v>Outdoors/Public</v>
      </c>
      <c r="R868" t="s">
        <v>4317</v>
      </c>
      <c r="S868" t="s">
        <v>5100</v>
      </c>
      <c r="T868" t="str" cm="1">
        <f t="array" ref="T868">_xlfn.IFS(
  TEXT(TRIM(S868),"00000")="NULL", "Missing/Unknown",
  OR(TEXT(TRIM(S868),"00000")="89101", TEXT(TRIM(S868),"00000")="89104", TEXT(TRIM(S868),"00000")="89106", TEXT(TRIM(S868),"00000")="89102", TEXT(TRIM(S868),"00000")="89107", TEXT(TRIM(S868),"00000")="89108"), "Urban Core",
  OR(TEXT(TRIM(S868),"00000")="89110", TEXT(TRIM(S868),"00000")="89115", TEXT(TRIM(S868),"00000")="89121", TEXT(TRIM(S868),"00000")="89122", TEXT(TRIM(S868),"00000")="89142", TEXT(TRIM(S868),"00000")="89156"), "East Valley",
  OR(TEXT(TRIM(S868),"00000")="89030", TEXT(TRIM(S868),"00000")="89031", TEXT(TRIM(S868),"00000")="89032", TEXT(TRIM(S868),"00000")="89086", TEXT(TRIM(S868),"00000")="89084", TEXT(TRIM(S868),"00000")="89081"), "North LV",
  OR(TEXT(TRIM(S868),"00000")="89109", TEXT(TRIM(S868),"00000")="89103", TEXT(TRIM(S868),"00000")="89119", TEXT(TRIM(S868),"00000")="89123", TEXT(TRIM(S868),"00000")="89169", TEXT(TRIM(S868),"00000")="89118"), "South/Strip",
  OR(TEXT(TRIM(S868),"00000")="89074", TEXT(TRIM(S868),"00000")="89014", TEXT(TRIM(S868),"00000")="89015", TEXT(TRIM(S868),"00000")="89011", TEXT(TRIM(S868),"00000")="89012"), "Suburban SE",
  OR(TEXT(TRIM(S868),"00000")="89117", TEXT(TRIM(S868),"00000")="89128", TEXT(TRIM(S868),"00000")="89135", TEXT(TRIM(S868),"00000")="89144", TEXT(TRIM(S868),"00000")="89145", TEXT(TRIM(S868),"00000")="89147"), "West Valley",
  TRUE, "Other"
)</f>
        <v>North LV</v>
      </c>
      <c r="U868" t="s">
        <v>3298</v>
      </c>
      <c r="V868" t="str">
        <f t="shared" si="55"/>
        <v>Outdoors/Public</v>
      </c>
    </row>
    <row r="869" spans="1:22">
      <c r="A869" t="s">
        <v>1322</v>
      </c>
      <c r="B869" t="s">
        <v>1323</v>
      </c>
      <c r="C869" s="1">
        <v>44753</v>
      </c>
      <c r="D869" s="4">
        <v>111.02</v>
      </c>
      <c r="E869">
        <v>80</v>
      </c>
      <c r="F869" t="str">
        <f t="shared" si="52"/>
        <v>80's</v>
      </c>
      <c r="G869" t="str" cm="1">
        <f t="array" ref="G869">_xlfn.IFS(
  F869="10's", "Child (5–12)",
  OR(F869="20's", F869="30's"), "Young Adult (20–39)",
  OR(F869="40's", F869="50's"), "Adult (40–59)",
  OR(F869="60's", F869="70's", F869="80's", F869="90's"), "Senior (60+)",
  TRUE, "Unknown"
)</f>
        <v>Senior (60+)</v>
      </c>
      <c r="H869" t="s">
        <v>4309</v>
      </c>
      <c r="I869" t="s">
        <v>54</v>
      </c>
      <c r="J869" t="str">
        <f t="shared" si="53"/>
        <v>Environmental Heat</v>
      </c>
      <c r="K869" t="s">
        <v>63</v>
      </c>
      <c r="L869" t="s">
        <v>1071</v>
      </c>
      <c r="N869" t="s">
        <v>5095</v>
      </c>
      <c r="O869" t="str" cm="1">
        <f t="array" ref="O869">_xlfn.IFS(
  TEXT(TRIM(N869),"00000")="NULL", "Missing/Unknown",
  OR(TEXT(TRIM(N869),"00000")="89101", TEXT(TRIM(N869),"00000")="89104", TEXT(TRIM(N869),"00000")="89106", TEXT(TRIM(N869),"00000")="89102", TEXT(TRIM(N869),"00000")="89107", TEXT(TRIM(N869),"00000")="89108"), "Urban Core",
  OR(TEXT(TRIM(N869),"00000")="89110", TEXT(TRIM(N869),"00000")="89115", TEXT(TRIM(N869),"00000")="89121", TEXT(TRIM(N869),"00000")="89122", TEXT(TRIM(N869),"00000")="89142", TEXT(TRIM(N869),"00000")="89156"), "East Valley",
  OR(TEXT(TRIM(N869),"00000")="89030", TEXT(TRIM(N869),"00000")="89031", TEXT(TRIM(N869),"00000")="89032", TEXT(TRIM(N869),"00000")="89086", TEXT(TRIM(N869),"00000")="89084", TEXT(TRIM(N869),"00000")="89081"), "North LV",
  OR(TEXT(TRIM(N869),"00000")="89109", TEXT(TRIM(N869),"00000")="89103", TEXT(TRIM(N869),"00000")="89119", TEXT(TRIM(N869),"00000")="89123", TEXT(TRIM(N869),"00000")="89169", TEXT(TRIM(N869),"00000")="89118"), "South/Strip",
  OR(TEXT(TRIM(N869),"00000")="89074", TEXT(TRIM(N869),"00000")="89014", TEXT(TRIM(N869),"00000")="89015", TEXT(TRIM(N869),"00000")="89011", TEXT(TRIM(N869),"00000")="89012"), "Suburban SE",
  OR(TEXT(TRIM(N869),"00000")="89117", TEXT(TRIM(N869),"00000")="89128", TEXT(TRIM(N869),"00000")="89135", TEXT(TRIM(N869),"00000")="89144", TEXT(TRIM(N869),"00000")="89145", TEXT(TRIM(N869),"00000")="89147"), "West Valley",
  TRUE, "Other"
)</f>
        <v>Missing/Unknown</v>
      </c>
      <c r="P869" t="s">
        <v>3298</v>
      </c>
      <c r="Q869" t="str">
        <f t="shared" si="54"/>
        <v>Outdoors/Public</v>
      </c>
      <c r="S869" t="s">
        <v>5095</v>
      </c>
      <c r="T869" t="str" cm="1">
        <f t="array" ref="T869">_xlfn.IFS(
  TEXT(TRIM(S869),"00000")="NULL", "Missing/Unknown",
  OR(TEXT(TRIM(S869),"00000")="89101", TEXT(TRIM(S869),"00000")="89104", TEXT(TRIM(S869),"00000")="89106", TEXT(TRIM(S869),"00000")="89102", TEXT(TRIM(S869),"00000")="89107", TEXT(TRIM(S869),"00000")="89108"), "Urban Core",
  OR(TEXT(TRIM(S869),"00000")="89110", TEXT(TRIM(S869),"00000")="89115", TEXT(TRIM(S869),"00000")="89121", TEXT(TRIM(S869),"00000")="89122", TEXT(TRIM(S869),"00000")="89142", TEXT(TRIM(S869),"00000")="89156"), "East Valley",
  OR(TEXT(TRIM(S869),"00000")="89030", TEXT(TRIM(S869),"00000")="89031", TEXT(TRIM(S869),"00000")="89032", TEXT(TRIM(S869),"00000")="89086", TEXT(TRIM(S869),"00000")="89084", TEXT(TRIM(S869),"00000")="89081"), "North LV",
  OR(TEXT(TRIM(S869),"00000")="89109", TEXT(TRIM(S869),"00000")="89103", TEXT(TRIM(S869),"00000")="89119", TEXT(TRIM(S869),"00000")="89123", TEXT(TRIM(S869),"00000")="89169", TEXT(TRIM(S869),"00000")="89118"), "South/Strip",
  OR(TEXT(TRIM(S869),"00000")="89074", TEXT(TRIM(S869),"00000")="89014", TEXT(TRIM(S869),"00000")="89015", TEXT(TRIM(S869),"00000")="89011", TEXT(TRIM(S869),"00000")="89012"), "Suburban SE",
  OR(TEXT(TRIM(S869),"00000")="89117", TEXT(TRIM(S869),"00000")="89128", TEXT(TRIM(S869),"00000")="89135", TEXT(TRIM(S869),"00000")="89144", TEXT(TRIM(S869),"00000")="89145", TEXT(TRIM(S869),"00000")="89147"), "West Valley",
  TRUE, "Other"
)</f>
        <v>Missing/Unknown</v>
      </c>
      <c r="U869" t="s">
        <v>3298</v>
      </c>
      <c r="V869" t="str">
        <f t="shared" si="55"/>
        <v>Outdoors/Public</v>
      </c>
    </row>
    <row r="870" spans="1:22">
      <c r="A870" t="s">
        <v>1324</v>
      </c>
      <c r="B870" t="s">
        <v>1325</v>
      </c>
      <c r="C870" s="1">
        <v>44753</v>
      </c>
      <c r="D870" s="4">
        <v>111.02</v>
      </c>
      <c r="E870">
        <v>40</v>
      </c>
      <c r="F870" t="str">
        <f t="shared" si="52"/>
        <v>40's</v>
      </c>
      <c r="G870" t="str" cm="1">
        <f t="array" ref="G870">_xlfn.IFS(
  F870="10's", "Child (5–12)",
  OR(F870="20's", F870="30's"), "Young Adult (20–39)",
  OR(F870="40's", F870="50's"), "Adult (40–59)",
  OR(F870="60's", F870="70's", F870="80's", F870="90's"), "Senior (60+)",
  TRUE, "Unknown"
)</f>
        <v>Adult (40–59)</v>
      </c>
      <c r="H870" t="s">
        <v>841</v>
      </c>
      <c r="I870" t="s">
        <v>135</v>
      </c>
      <c r="J870" t="str">
        <f t="shared" si="53"/>
        <v>Methamphetamine-related</v>
      </c>
      <c r="K870" t="s">
        <v>54</v>
      </c>
      <c r="L870" t="s">
        <v>250</v>
      </c>
      <c r="N870" t="s">
        <v>5095</v>
      </c>
      <c r="O870" t="str" cm="1">
        <f t="array" ref="O870">_xlfn.IFS(
  TEXT(TRIM(N870),"00000")="NULL", "Missing/Unknown",
  OR(TEXT(TRIM(N870),"00000")="89101", TEXT(TRIM(N870),"00000")="89104", TEXT(TRIM(N870),"00000")="89106", TEXT(TRIM(N870),"00000")="89102", TEXT(TRIM(N870),"00000")="89107", TEXT(TRIM(N870),"00000")="89108"), "Urban Core",
  OR(TEXT(TRIM(N870),"00000")="89110", TEXT(TRIM(N870),"00000")="89115", TEXT(TRIM(N870),"00000")="89121", TEXT(TRIM(N870),"00000")="89122", TEXT(TRIM(N870),"00000")="89142", TEXT(TRIM(N870),"00000")="89156"), "East Valley",
  OR(TEXT(TRIM(N870),"00000")="89030", TEXT(TRIM(N870),"00000")="89031", TEXT(TRIM(N870),"00000")="89032", TEXT(TRIM(N870),"00000")="89086", TEXT(TRIM(N870),"00000")="89084", TEXT(TRIM(N870),"00000")="89081"), "North LV",
  OR(TEXT(TRIM(N870),"00000")="89109", TEXT(TRIM(N870),"00000")="89103", TEXT(TRIM(N870),"00000")="89119", TEXT(TRIM(N870),"00000")="89123", TEXT(TRIM(N870),"00000")="89169", TEXT(TRIM(N870),"00000")="89118"), "South/Strip",
  OR(TEXT(TRIM(N870),"00000")="89074", TEXT(TRIM(N870),"00000")="89014", TEXT(TRIM(N870),"00000")="89015", TEXT(TRIM(N870),"00000")="89011", TEXT(TRIM(N870),"00000")="89012"), "Suburban SE",
  OR(TEXT(TRIM(N870),"00000")="89117", TEXT(TRIM(N870),"00000")="89128", TEXT(TRIM(N870),"00000")="89135", TEXT(TRIM(N870),"00000")="89144", TEXT(TRIM(N870),"00000")="89145", TEXT(TRIM(N870),"00000")="89147"), "West Valley",
  TRUE, "Other"
)</f>
        <v>Missing/Unknown</v>
      </c>
      <c r="P870" t="s">
        <v>3298</v>
      </c>
      <c r="Q870" t="str">
        <f t="shared" si="54"/>
        <v>Outdoors/Public</v>
      </c>
      <c r="S870" t="s">
        <v>5095</v>
      </c>
      <c r="T870" t="str" cm="1">
        <f t="array" ref="T870">_xlfn.IFS(
  TEXT(TRIM(S870),"00000")="NULL", "Missing/Unknown",
  OR(TEXT(TRIM(S870),"00000")="89101", TEXT(TRIM(S870),"00000")="89104", TEXT(TRIM(S870),"00000")="89106", TEXT(TRIM(S870),"00000")="89102", TEXT(TRIM(S870),"00000")="89107", TEXT(TRIM(S870),"00000")="89108"), "Urban Core",
  OR(TEXT(TRIM(S870),"00000")="89110", TEXT(TRIM(S870),"00000")="89115", TEXT(TRIM(S870),"00000")="89121", TEXT(TRIM(S870),"00000")="89122", TEXT(TRIM(S870),"00000")="89142", TEXT(TRIM(S870),"00000")="89156"), "East Valley",
  OR(TEXT(TRIM(S870),"00000")="89030", TEXT(TRIM(S870),"00000")="89031", TEXT(TRIM(S870),"00000")="89032", TEXT(TRIM(S870),"00000")="89086", TEXT(TRIM(S870),"00000")="89084", TEXT(TRIM(S870),"00000")="89081"), "North LV",
  OR(TEXT(TRIM(S870),"00000")="89109", TEXT(TRIM(S870),"00000")="89103", TEXT(TRIM(S870),"00000")="89119", TEXT(TRIM(S870),"00000")="89123", TEXT(TRIM(S870),"00000")="89169", TEXT(TRIM(S870),"00000")="89118"), "South/Strip",
  OR(TEXT(TRIM(S870),"00000")="89074", TEXT(TRIM(S870),"00000")="89014", TEXT(TRIM(S870),"00000")="89015", TEXT(TRIM(S870),"00000")="89011", TEXT(TRIM(S870),"00000")="89012"), "Suburban SE",
  OR(TEXT(TRIM(S870),"00000")="89117", TEXT(TRIM(S870),"00000")="89128", TEXT(TRIM(S870),"00000")="89135", TEXT(TRIM(S870),"00000")="89144", TEXT(TRIM(S870),"00000")="89145", TEXT(TRIM(S870),"00000")="89147"), "West Valley",
  TRUE, "Other"
)</f>
        <v>Missing/Unknown</v>
      </c>
      <c r="U870" t="s">
        <v>3298</v>
      </c>
      <c r="V870" t="str">
        <f t="shared" si="55"/>
        <v>Outdoors/Public</v>
      </c>
    </row>
    <row r="871" spans="1:22">
      <c r="A871" t="s">
        <v>1316</v>
      </c>
      <c r="B871" t="s">
        <v>1317</v>
      </c>
      <c r="C871" s="1">
        <v>44752</v>
      </c>
      <c r="D871" s="4">
        <v>109.94</v>
      </c>
      <c r="E871">
        <v>48</v>
      </c>
      <c r="F871" t="str">
        <f t="shared" si="52"/>
        <v>40's</v>
      </c>
      <c r="G871" t="str" cm="1">
        <f t="array" ref="G871">_xlfn.IFS(
  F871="10's", "Child (5–12)",
  OR(F871="20's", F871="30's"), "Young Adult (20–39)",
  OR(F871="40's", F871="50's"), "Adult (40–59)",
  OR(F871="60's", F871="70's", F871="80's", F871="90's"), "Senior (60+)",
  TRUE, "Unknown"
)</f>
        <v>Adult (40–59)</v>
      </c>
      <c r="H871" t="s">
        <v>841</v>
      </c>
      <c r="I871" t="s">
        <v>172</v>
      </c>
      <c r="J871" t="str">
        <f t="shared" si="53"/>
        <v>Methamphetamine-related</v>
      </c>
      <c r="K871" t="s">
        <v>54</v>
      </c>
      <c r="L871" t="s">
        <v>250</v>
      </c>
      <c r="M871" t="s">
        <v>4809</v>
      </c>
      <c r="N871" t="s">
        <v>5131</v>
      </c>
      <c r="O871" t="str" cm="1">
        <f t="array" ref="O871">_xlfn.IFS(
  TEXT(TRIM(N871),"00000")="NULL", "Missing/Unknown",
  OR(TEXT(TRIM(N871),"00000")="89101", TEXT(TRIM(N871),"00000")="89104", TEXT(TRIM(N871),"00000")="89106", TEXT(TRIM(N871),"00000")="89102", TEXT(TRIM(N871),"00000")="89107", TEXT(TRIM(N871),"00000")="89108"), "Urban Core",
  OR(TEXT(TRIM(N871),"00000")="89110", TEXT(TRIM(N871),"00000")="89115", TEXT(TRIM(N871),"00000")="89121", TEXT(TRIM(N871),"00000")="89122", TEXT(TRIM(N871),"00000")="89142", TEXT(TRIM(N871),"00000")="89156"), "East Valley",
  OR(TEXT(TRIM(N871),"00000")="89030", TEXT(TRIM(N871),"00000")="89031", TEXT(TRIM(N871),"00000")="89032", TEXT(TRIM(N871),"00000")="89086", TEXT(TRIM(N871),"00000")="89084", TEXT(TRIM(N871),"00000")="89081"), "North LV",
  OR(TEXT(TRIM(N871),"00000")="89109", TEXT(TRIM(N871),"00000")="89103", TEXT(TRIM(N871),"00000")="89119", TEXT(TRIM(N871),"00000")="89123", TEXT(TRIM(N871),"00000")="89169", TEXT(TRIM(N871),"00000")="89118"), "South/Strip",
  OR(TEXT(TRIM(N871),"00000")="89074", TEXT(TRIM(N871),"00000")="89014", TEXT(TRIM(N871),"00000")="89015", TEXT(TRIM(N871),"00000")="89011", TEXT(TRIM(N871),"00000")="89012"), "Suburban SE",
  OR(TEXT(TRIM(N871),"00000")="89117", TEXT(TRIM(N871),"00000")="89128", TEXT(TRIM(N871),"00000")="89135", TEXT(TRIM(N871),"00000")="89144", TEXT(TRIM(N871),"00000")="89145", TEXT(TRIM(N871),"00000")="89147"), "West Valley",
  TRUE, "Other"
)</f>
        <v>Other</v>
      </c>
      <c r="P871" t="s">
        <v>3298</v>
      </c>
      <c r="Q871" t="str">
        <f t="shared" si="54"/>
        <v>Outdoors/Public</v>
      </c>
      <c r="R871" t="s">
        <v>4809</v>
      </c>
      <c r="S871" t="s">
        <v>5131</v>
      </c>
      <c r="T871" t="str" cm="1">
        <f t="array" ref="T871">_xlfn.IFS(
  TEXT(TRIM(S871),"00000")="NULL", "Missing/Unknown",
  OR(TEXT(TRIM(S871),"00000")="89101", TEXT(TRIM(S871),"00000")="89104", TEXT(TRIM(S871),"00000")="89106", TEXT(TRIM(S871),"00000")="89102", TEXT(TRIM(S871),"00000")="89107", TEXT(TRIM(S871),"00000")="89108"), "Urban Core",
  OR(TEXT(TRIM(S871),"00000")="89110", TEXT(TRIM(S871),"00000")="89115", TEXT(TRIM(S871),"00000")="89121", TEXT(TRIM(S871),"00000")="89122", TEXT(TRIM(S871),"00000")="89142", TEXT(TRIM(S871),"00000")="89156"), "East Valley",
  OR(TEXT(TRIM(S871),"00000")="89030", TEXT(TRIM(S871),"00000")="89031", TEXT(TRIM(S871),"00000")="89032", TEXT(TRIM(S871),"00000")="89086", TEXT(TRIM(S871),"00000")="89084", TEXT(TRIM(S871),"00000")="89081"), "North LV",
  OR(TEXT(TRIM(S871),"00000")="89109", TEXT(TRIM(S871),"00000")="89103", TEXT(TRIM(S871),"00000")="89119", TEXT(TRIM(S871),"00000")="89123", TEXT(TRIM(S871),"00000")="89169", TEXT(TRIM(S871),"00000")="89118"), "South/Strip",
  OR(TEXT(TRIM(S871),"00000")="89074", TEXT(TRIM(S871),"00000")="89014", TEXT(TRIM(S871),"00000")="89015", TEXT(TRIM(S871),"00000")="89011", TEXT(TRIM(S871),"00000")="89012"), "Suburban SE",
  OR(TEXT(TRIM(S871),"00000")="89117", TEXT(TRIM(S871),"00000")="89128", TEXT(TRIM(S871),"00000")="89135", TEXT(TRIM(S871),"00000")="89144", TEXT(TRIM(S871),"00000")="89145", TEXT(TRIM(S871),"00000")="89147"), "West Valley",
  TRUE, "Other"
)</f>
        <v>Other</v>
      </c>
      <c r="U871" t="s">
        <v>3298</v>
      </c>
      <c r="V871" t="str">
        <f t="shared" si="55"/>
        <v>Outdoors/Public</v>
      </c>
    </row>
    <row r="872" spans="1:22">
      <c r="A872" t="s">
        <v>1319</v>
      </c>
      <c r="B872" t="s">
        <v>1320</v>
      </c>
      <c r="C872" s="1">
        <v>44752</v>
      </c>
      <c r="D872" s="4">
        <v>109.94</v>
      </c>
      <c r="E872">
        <v>64</v>
      </c>
      <c r="F872" t="str">
        <f t="shared" si="52"/>
        <v>60's</v>
      </c>
      <c r="G872" t="str" cm="1">
        <f t="array" ref="G872">_xlfn.IFS(
  F872="10's", "Child (5–12)",
  OR(F872="20's", F872="30's"), "Young Adult (20–39)",
  OR(F872="40's", F872="50's"), "Adult (40–59)",
  OR(F872="60's", F872="70's", F872="80's", F872="90's"), "Senior (60+)",
  TRUE, "Unknown"
)</f>
        <v>Senior (60+)</v>
      </c>
      <c r="H872" t="s">
        <v>778</v>
      </c>
      <c r="I872" t="s">
        <v>468</v>
      </c>
      <c r="J872" t="str">
        <f t="shared" si="53"/>
        <v>Ethanol-related</v>
      </c>
      <c r="K872" t="s">
        <v>4173</v>
      </c>
      <c r="L872" t="s">
        <v>1071</v>
      </c>
      <c r="M872" t="s">
        <v>4985</v>
      </c>
      <c r="N872" t="s">
        <v>5100</v>
      </c>
      <c r="O872" t="str" cm="1">
        <f t="array" ref="O872">_xlfn.IFS(
  TEXT(TRIM(N872),"00000")="NULL", "Missing/Unknown",
  OR(TEXT(TRIM(N872),"00000")="89101", TEXT(TRIM(N872),"00000")="89104", TEXT(TRIM(N872),"00000")="89106", TEXT(TRIM(N872),"00000")="89102", TEXT(TRIM(N872),"00000")="89107", TEXT(TRIM(N872),"00000")="89108"), "Urban Core",
  OR(TEXT(TRIM(N872),"00000")="89110", TEXT(TRIM(N872),"00000")="89115", TEXT(TRIM(N872),"00000")="89121", TEXT(TRIM(N872),"00000")="89122", TEXT(TRIM(N872),"00000")="89142", TEXT(TRIM(N872),"00000")="89156"), "East Valley",
  OR(TEXT(TRIM(N872),"00000")="89030", TEXT(TRIM(N872),"00000")="89031", TEXT(TRIM(N872),"00000")="89032", TEXT(TRIM(N872),"00000")="89086", TEXT(TRIM(N872),"00000")="89084", TEXT(TRIM(N872),"00000")="89081"), "North LV",
  OR(TEXT(TRIM(N872),"00000")="89109", TEXT(TRIM(N872),"00000")="89103", TEXT(TRIM(N872),"00000")="89119", TEXT(TRIM(N872),"00000")="89123", TEXT(TRIM(N872),"00000")="89169", TEXT(TRIM(N872),"00000")="89118"), "South/Strip",
  OR(TEXT(TRIM(N872),"00000")="89074", TEXT(TRIM(N872),"00000")="89014", TEXT(TRIM(N872),"00000")="89015", TEXT(TRIM(N872),"00000")="89011", TEXT(TRIM(N872),"00000")="89012"), "Suburban SE",
  OR(TEXT(TRIM(N872),"00000")="89117", TEXT(TRIM(N872),"00000")="89128", TEXT(TRIM(N872),"00000")="89135", TEXT(TRIM(N872),"00000")="89144", TEXT(TRIM(N872),"00000")="89145", TEXT(TRIM(N872),"00000")="89147"), "West Valley",
  TRUE, "Other"
)</f>
        <v>North LV</v>
      </c>
      <c r="P872" t="s">
        <v>65</v>
      </c>
      <c r="Q872" t="str">
        <f t="shared" si="54"/>
        <v>Vehicle-related</v>
      </c>
      <c r="R872" t="s">
        <v>4985</v>
      </c>
      <c r="S872" t="s">
        <v>5100</v>
      </c>
      <c r="T872" t="str" cm="1">
        <f t="array" ref="T872">_xlfn.IFS(
  TEXT(TRIM(S872),"00000")="NULL", "Missing/Unknown",
  OR(TEXT(TRIM(S872),"00000")="89101", TEXT(TRIM(S872),"00000")="89104", TEXT(TRIM(S872),"00000")="89106", TEXT(TRIM(S872),"00000")="89102", TEXT(TRIM(S872),"00000")="89107", TEXT(TRIM(S872),"00000")="89108"), "Urban Core",
  OR(TEXT(TRIM(S872),"00000")="89110", TEXT(TRIM(S872),"00000")="89115", TEXT(TRIM(S872),"00000")="89121", TEXT(TRIM(S872),"00000")="89122", TEXT(TRIM(S872),"00000")="89142", TEXT(TRIM(S872),"00000")="89156"), "East Valley",
  OR(TEXT(TRIM(S872),"00000")="89030", TEXT(TRIM(S872),"00000")="89031", TEXT(TRIM(S872),"00000")="89032", TEXT(TRIM(S872),"00000")="89086", TEXT(TRIM(S872),"00000")="89084", TEXT(TRIM(S872),"00000")="89081"), "North LV",
  OR(TEXT(TRIM(S872),"00000")="89109", TEXT(TRIM(S872),"00000")="89103", TEXT(TRIM(S872),"00000")="89119", TEXT(TRIM(S872),"00000")="89123", TEXT(TRIM(S872),"00000")="89169", TEXT(TRIM(S872),"00000")="89118"), "South/Strip",
  OR(TEXT(TRIM(S872),"00000")="89074", TEXT(TRIM(S872),"00000")="89014", TEXT(TRIM(S872),"00000")="89015", TEXT(TRIM(S872),"00000")="89011", TEXT(TRIM(S872),"00000")="89012"), "Suburban SE",
  OR(TEXT(TRIM(S872),"00000")="89117", TEXT(TRIM(S872),"00000")="89128", TEXT(TRIM(S872),"00000")="89135", TEXT(TRIM(S872),"00000")="89144", TEXT(TRIM(S872),"00000")="89145", TEXT(TRIM(S872),"00000")="89147"), "West Valley",
  TRUE, "Other"
)</f>
        <v>North LV</v>
      </c>
      <c r="U872" t="s">
        <v>65</v>
      </c>
      <c r="V872" t="str">
        <f t="shared" si="55"/>
        <v>Vehicle-related</v>
      </c>
    </row>
    <row r="873" spans="1:22">
      <c r="A873" t="s">
        <v>1313</v>
      </c>
      <c r="B873" t="s">
        <v>1314</v>
      </c>
      <c r="C873" s="1">
        <v>44751</v>
      </c>
      <c r="D873" s="4">
        <v>109.94</v>
      </c>
      <c r="E873">
        <v>42</v>
      </c>
      <c r="F873" t="str">
        <f t="shared" si="52"/>
        <v>40's</v>
      </c>
      <c r="G873" t="str" cm="1">
        <f t="array" ref="G873">_xlfn.IFS(
  F873="10's", "Child (5–12)",
  OR(F873="20's", F873="30's"), "Young Adult (20–39)",
  OR(F873="40's", F873="50's"), "Adult (40–59)",
  OR(F873="60's", F873="70's", F873="80's", F873="90's"), "Senior (60+)",
  TRUE, "Unknown"
)</f>
        <v>Adult (40–59)</v>
      </c>
      <c r="H873" t="s">
        <v>27</v>
      </c>
      <c r="I873" t="s">
        <v>54</v>
      </c>
      <c r="J873" t="str">
        <f t="shared" si="53"/>
        <v>Environmental Heat</v>
      </c>
      <c r="K873" t="s">
        <v>503</v>
      </c>
      <c r="L873" t="s">
        <v>250</v>
      </c>
      <c r="M873" t="s">
        <v>4646</v>
      </c>
      <c r="N873" t="s">
        <v>5101</v>
      </c>
      <c r="O873" t="str" cm="1">
        <f t="array" ref="O873">_xlfn.IFS(
  TEXT(TRIM(N873),"00000")="NULL", "Missing/Unknown",
  OR(TEXT(TRIM(N873),"00000")="89101", TEXT(TRIM(N873),"00000")="89104", TEXT(TRIM(N873),"00000")="89106", TEXT(TRIM(N873),"00000")="89102", TEXT(TRIM(N873),"00000")="89107", TEXT(TRIM(N873),"00000")="89108"), "Urban Core",
  OR(TEXT(TRIM(N873),"00000")="89110", TEXT(TRIM(N873),"00000")="89115", TEXT(TRIM(N873),"00000")="89121", TEXT(TRIM(N873),"00000")="89122", TEXT(TRIM(N873),"00000")="89142", TEXT(TRIM(N873),"00000")="89156"), "East Valley",
  OR(TEXT(TRIM(N873),"00000")="89030", TEXT(TRIM(N873),"00000")="89031", TEXT(TRIM(N873),"00000")="89032", TEXT(TRIM(N873),"00000")="89086", TEXT(TRIM(N873),"00000")="89084", TEXT(TRIM(N873),"00000")="89081"), "North LV",
  OR(TEXT(TRIM(N873),"00000")="89109", TEXT(TRIM(N873),"00000")="89103", TEXT(TRIM(N873),"00000")="89119", TEXT(TRIM(N873),"00000")="89123", TEXT(TRIM(N873),"00000")="89169", TEXT(TRIM(N873),"00000")="89118"), "South/Strip",
  OR(TEXT(TRIM(N873),"00000")="89074", TEXT(TRIM(N873),"00000")="89014", TEXT(TRIM(N873),"00000")="89015", TEXT(TRIM(N873),"00000")="89011", TEXT(TRIM(N873),"00000")="89012"), "Suburban SE",
  OR(TEXT(TRIM(N873),"00000")="89117", TEXT(TRIM(N873),"00000")="89128", TEXT(TRIM(N873),"00000")="89135", TEXT(TRIM(N873),"00000")="89144", TEXT(TRIM(N873),"00000")="89145", TEXT(TRIM(N873),"00000")="89147"), "West Valley",
  TRUE, "Other"
)</f>
        <v>Urban Core</v>
      </c>
      <c r="P873" t="s">
        <v>3298</v>
      </c>
      <c r="Q873" t="str">
        <f t="shared" si="54"/>
        <v>Outdoors/Public</v>
      </c>
      <c r="R873" t="s">
        <v>4646</v>
      </c>
      <c r="S873" t="s">
        <v>5101</v>
      </c>
      <c r="T873" t="str" cm="1">
        <f t="array" ref="T873">_xlfn.IFS(
  TEXT(TRIM(S873),"00000")="NULL", "Missing/Unknown",
  OR(TEXT(TRIM(S873),"00000")="89101", TEXT(TRIM(S873),"00000")="89104", TEXT(TRIM(S873),"00000")="89106", TEXT(TRIM(S873),"00000")="89102", TEXT(TRIM(S873),"00000")="89107", TEXT(TRIM(S873),"00000")="89108"), "Urban Core",
  OR(TEXT(TRIM(S873),"00000")="89110", TEXT(TRIM(S873),"00000")="89115", TEXT(TRIM(S873),"00000")="89121", TEXT(TRIM(S873),"00000")="89122", TEXT(TRIM(S873),"00000")="89142", TEXT(TRIM(S873),"00000")="89156"), "East Valley",
  OR(TEXT(TRIM(S873),"00000")="89030", TEXT(TRIM(S873),"00000")="89031", TEXT(TRIM(S873),"00000")="89032", TEXT(TRIM(S873),"00000")="89086", TEXT(TRIM(S873),"00000")="89084", TEXT(TRIM(S873),"00000")="89081"), "North LV",
  OR(TEXT(TRIM(S873),"00000")="89109", TEXT(TRIM(S873),"00000")="89103", TEXT(TRIM(S873),"00000")="89119", TEXT(TRIM(S873),"00000")="89123", TEXT(TRIM(S873),"00000")="89169", TEXT(TRIM(S873),"00000")="89118"), "South/Strip",
  OR(TEXT(TRIM(S873),"00000")="89074", TEXT(TRIM(S873),"00000")="89014", TEXT(TRIM(S873),"00000")="89015", TEXT(TRIM(S873),"00000")="89011", TEXT(TRIM(S873),"00000")="89012"), "Suburban SE",
  OR(TEXT(TRIM(S873),"00000")="89117", TEXT(TRIM(S873),"00000")="89128", TEXT(TRIM(S873),"00000")="89135", TEXT(TRIM(S873),"00000")="89144", TEXT(TRIM(S873),"00000")="89145", TEXT(TRIM(S873),"00000")="89147"), "West Valley",
  TRUE, "Other"
)</f>
        <v>Urban Core</v>
      </c>
      <c r="U873" t="s">
        <v>3298</v>
      </c>
      <c r="V873" t="str">
        <f t="shared" si="55"/>
        <v>Outdoors/Public</v>
      </c>
    </row>
    <row r="874" spans="1:22">
      <c r="A874" t="s">
        <v>1306</v>
      </c>
      <c r="B874" t="s">
        <v>1307</v>
      </c>
      <c r="C874" s="1">
        <v>44750</v>
      </c>
      <c r="D874" s="4">
        <v>107.06</v>
      </c>
      <c r="E874">
        <v>52</v>
      </c>
      <c r="F874" t="str">
        <f t="shared" si="52"/>
        <v>50's</v>
      </c>
      <c r="G874" t="str" cm="1">
        <f t="array" ref="G874">_xlfn.IFS(
  F874="10's", "Child (5–12)",
  OR(F874="20's", F874="30's"), "Young Adult (20–39)",
  OR(F874="40's", F874="50's"), "Adult (40–59)",
  OR(F874="60's", F874="70's", F874="80's", F874="90's"), "Senior (60+)",
  TRUE, "Unknown"
)</f>
        <v>Adult (40–59)</v>
      </c>
      <c r="H874" t="s">
        <v>27</v>
      </c>
      <c r="I874" t="s">
        <v>54</v>
      </c>
      <c r="J874" t="str">
        <f t="shared" si="53"/>
        <v>Environmental Heat</v>
      </c>
      <c r="K874" t="s">
        <v>4254</v>
      </c>
      <c r="L874" t="s">
        <v>1071</v>
      </c>
      <c r="M874" t="s">
        <v>4810</v>
      </c>
      <c r="N874" t="s">
        <v>5129</v>
      </c>
      <c r="O874" t="str" cm="1">
        <f t="array" ref="O874">_xlfn.IFS(
  TEXT(TRIM(N874),"00000")="NULL", "Missing/Unknown",
  OR(TEXT(TRIM(N874),"00000")="89101", TEXT(TRIM(N874),"00000")="89104", TEXT(TRIM(N874),"00000")="89106", TEXT(TRIM(N874),"00000")="89102", TEXT(TRIM(N874),"00000")="89107", TEXT(TRIM(N874),"00000")="89108"), "Urban Core",
  OR(TEXT(TRIM(N874),"00000")="89110", TEXT(TRIM(N874),"00000")="89115", TEXT(TRIM(N874),"00000")="89121", TEXT(TRIM(N874),"00000")="89122", TEXT(TRIM(N874),"00000")="89142", TEXT(TRIM(N874),"00000")="89156"), "East Valley",
  OR(TEXT(TRIM(N874),"00000")="89030", TEXT(TRIM(N874),"00000")="89031", TEXT(TRIM(N874),"00000")="89032", TEXT(TRIM(N874),"00000")="89086", TEXT(TRIM(N874),"00000")="89084", TEXT(TRIM(N874),"00000")="89081"), "North LV",
  OR(TEXT(TRIM(N874),"00000")="89109", TEXT(TRIM(N874),"00000")="89103", TEXT(TRIM(N874),"00000")="89119", TEXT(TRIM(N874),"00000")="89123", TEXT(TRIM(N874),"00000")="89169", TEXT(TRIM(N874),"00000")="89118"), "South/Strip",
  OR(TEXT(TRIM(N874),"00000")="89074", TEXT(TRIM(N874),"00000")="89014", TEXT(TRIM(N874),"00000")="89015", TEXT(TRIM(N874),"00000")="89011", TEXT(TRIM(N874),"00000")="89012"), "Suburban SE",
  OR(TEXT(TRIM(N874),"00000")="89117", TEXT(TRIM(N874),"00000")="89128", TEXT(TRIM(N874),"00000")="89135", TEXT(TRIM(N874),"00000")="89144", TEXT(TRIM(N874),"00000")="89145", TEXT(TRIM(N874),"00000")="89147"), "West Valley",
  TRUE, "Other"
)</f>
        <v>North LV</v>
      </c>
      <c r="P874" t="s">
        <v>3298</v>
      </c>
      <c r="Q874" t="str">
        <f t="shared" si="54"/>
        <v>Outdoors/Public</v>
      </c>
      <c r="R874" t="s">
        <v>4810</v>
      </c>
      <c r="S874" t="s">
        <v>5129</v>
      </c>
      <c r="T874" t="str" cm="1">
        <f t="array" ref="T874">_xlfn.IFS(
  TEXT(TRIM(S874),"00000")="NULL", "Missing/Unknown",
  OR(TEXT(TRIM(S874),"00000")="89101", TEXT(TRIM(S874),"00000")="89104", TEXT(TRIM(S874),"00000")="89106", TEXT(TRIM(S874),"00000")="89102", TEXT(TRIM(S874),"00000")="89107", TEXT(TRIM(S874),"00000")="89108"), "Urban Core",
  OR(TEXT(TRIM(S874),"00000")="89110", TEXT(TRIM(S874),"00000")="89115", TEXT(TRIM(S874),"00000")="89121", TEXT(TRIM(S874),"00000")="89122", TEXT(TRIM(S874),"00000")="89142", TEXT(TRIM(S874),"00000")="89156"), "East Valley",
  OR(TEXT(TRIM(S874),"00000")="89030", TEXT(TRIM(S874),"00000")="89031", TEXT(TRIM(S874),"00000")="89032", TEXT(TRIM(S874),"00000")="89086", TEXT(TRIM(S874),"00000")="89084", TEXT(TRIM(S874),"00000")="89081"), "North LV",
  OR(TEXT(TRIM(S874),"00000")="89109", TEXT(TRIM(S874),"00000")="89103", TEXT(TRIM(S874),"00000")="89119", TEXT(TRIM(S874),"00000")="89123", TEXT(TRIM(S874),"00000")="89169", TEXT(TRIM(S874),"00000")="89118"), "South/Strip",
  OR(TEXT(TRIM(S874),"00000")="89074", TEXT(TRIM(S874),"00000")="89014", TEXT(TRIM(S874),"00000")="89015", TEXT(TRIM(S874),"00000")="89011", TEXT(TRIM(S874),"00000")="89012"), "Suburban SE",
  OR(TEXT(TRIM(S874),"00000")="89117", TEXT(TRIM(S874),"00000")="89128", TEXT(TRIM(S874),"00000")="89135", TEXT(TRIM(S874),"00000")="89144", TEXT(TRIM(S874),"00000")="89145", TEXT(TRIM(S874),"00000")="89147"), "West Valley",
  TRUE, "Other"
)</f>
        <v>North LV</v>
      </c>
      <c r="U874" t="s">
        <v>3298</v>
      </c>
      <c r="V874" t="str">
        <f t="shared" si="55"/>
        <v>Outdoors/Public</v>
      </c>
    </row>
    <row r="875" spans="1:22">
      <c r="A875" t="s">
        <v>1301</v>
      </c>
      <c r="B875" t="s">
        <v>1302</v>
      </c>
      <c r="C875" s="1">
        <v>44750</v>
      </c>
      <c r="D875" s="4">
        <v>107.06</v>
      </c>
      <c r="E875">
        <v>30</v>
      </c>
      <c r="F875" t="str">
        <f t="shared" si="52"/>
        <v>30's</v>
      </c>
      <c r="G875" t="str" cm="1">
        <f t="array" ref="G875">_xlfn.IFS(
  F875="10's", "Child (5–12)",
  OR(F875="20's", F875="30's"), "Young Adult (20–39)",
  OR(F875="40's", F875="50's"), "Adult (40–59)",
  OR(F875="60's", F875="70's", F875="80's", F875="90's"), "Senior (60+)",
  TRUE, "Unknown"
)</f>
        <v>Young Adult (20–39)</v>
      </c>
      <c r="H875" t="s">
        <v>841</v>
      </c>
      <c r="I875" t="s">
        <v>1303</v>
      </c>
      <c r="J875" t="str">
        <f t="shared" si="53"/>
        <v>Other / Unknown</v>
      </c>
      <c r="K875" t="s">
        <v>4253</v>
      </c>
      <c r="L875" t="s">
        <v>250</v>
      </c>
      <c r="M875" t="s">
        <v>4336</v>
      </c>
      <c r="N875" t="s">
        <v>5101</v>
      </c>
      <c r="O875" t="str" cm="1">
        <f t="array" ref="O875">_xlfn.IFS(
  TEXT(TRIM(N875),"00000")="NULL", "Missing/Unknown",
  OR(TEXT(TRIM(N875),"00000")="89101", TEXT(TRIM(N875),"00000")="89104", TEXT(TRIM(N875),"00000")="89106", TEXT(TRIM(N875),"00000")="89102", TEXT(TRIM(N875),"00000")="89107", TEXT(TRIM(N875),"00000")="89108"), "Urban Core",
  OR(TEXT(TRIM(N875),"00000")="89110", TEXT(TRIM(N875),"00000")="89115", TEXT(TRIM(N875),"00000")="89121", TEXT(TRIM(N875),"00000")="89122", TEXT(TRIM(N875),"00000")="89142", TEXT(TRIM(N875),"00000")="89156"), "East Valley",
  OR(TEXT(TRIM(N875),"00000")="89030", TEXT(TRIM(N875),"00000")="89031", TEXT(TRIM(N875),"00000")="89032", TEXT(TRIM(N875),"00000")="89086", TEXT(TRIM(N875),"00000")="89084", TEXT(TRIM(N875),"00000")="89081"), "North LV",
  OR(TEXT(TRIM(N875),"00000")="89109", TEXT(TRIM(N875),"00000")="89103", TEXT(TRIM(N875),"00000")="89119", TEXT(TRIM(N875),"00000")="89123", TEXT(TRIM(N875),"00000")="89169", TEXT(TRIM(N875),"00000")="89118"), "South/Strip",
  OR(TEXT(TRIM(N875),"00000")="89074", TEXT(TRIM(N875),"00000")="89014", TEXT(TRIM(N875),"00000")="89015", TEXT(TRIM(N875),"00000")="89011", TEXT(TRIM(N875),"00000")="89012"), "Suburban SE",
  OR(TEXT(TRIM(N875),"00000")="89117", TEXT(TRIM(N875),"00000")="89128", TEXT(TRIM(N875),"00000")="89135", TEXT(TRIM(N875),"00000")="89144", TEXT(TRIM(N875),"00000")="89145", TEXT(TRIM(N875),"00000")="89147"), "West Valley",
  TRUE, "Other"
)</f>
        <v>Urban Core</v>
      </c>
      <c r="P875" t="s">
        <v>208</v>
      </c>
      <c r="Q875" t="str">
        <f t="shared" si="54"/>
        <v>Outdoors/Public</v>
      </c>
      <c r="R875" t="s">
        <v>5054</v>
      </c>
      <c r="S875" t="s">
        <v>5097</v>
      </c>
      <c r="T875" t="str" cm="1">
        <f t="array" ref="T875">_xlfn.IFS(
  TEXT(TRIM(S875),"00000")="NULL", "Missing/Unknown",
  OR(TEXT(TRIM(S875),"00000")="89101", TEXT(TRIM(S875),"00000")="89104", TEXT(TRIM(S875),"00000")="89106", TEXT(TRIM(S875),"00000")="89102", TEXT(TRIM(S875),"00000")="89107", TEXT(TRIM(S875),"00000")="89108"), "Urban Core",
  OR(TEXT(TRIM(S875),"00000")="89110", TEXT(TRIM(S875),"00000")="89115", TEXT(TRIM(S875),"00000")="89121", TEXT(TRIM(S875),"00000")="89122", TEXT(TRIM(S875),"00000")="89142", TEXT(TRIM(S875),"00000")="89156"), "East Valley",
  OR(TEXT(TRIM(S875),"00000")="89030", TEXT(TRIM(S875),"00000")="89031", TEXT(TRIM(S875),"00000")="89032", TEXT(TRIM(S875),"00000")="89086", TEXT(TRIM(S875),"00000")="89084", TEXT(TRIM(S875),"00000")="89081"), "North LV",
  OR(TEXT(TRIM(S875),"00000")="89109", TEXT(TRIM(S875),"00000")="89103", TEXT(TRIM(S875),"00000")="89119", TEXT(TRIM(S875),"00000")="89123", TEXT(TRIM(S875),"00000")="89169", TEXT(TRIM(S875),"00000")="89118"), "South/Strip",
  OR(TEXT(TRIM(S875),"00000")="89074", TEXT(TRIM(S875),"00000")="89014", TEXT(TRIM(S875),"00000")="89015", TEXT(TRIM(S875),"00000")="89011", TEXT(TRIM(S875),"00000")="89012"), "Suburban SE",
  OR(TEXT(TRIM(S875),"00000")="89117", TEXT(TRIM(S875),"00000")="89128", TEXT(TRIM(S875),"00000")="89135", TEXT(TRIM(S875),"00000")="89144", TEXT(TRIM(S875),"00000")="89145", TEXT(TRIM(S875),"00000")="89147"), "West Valley",
  TRUE, "Other"
)</f>
        <v>Urban Core</v>
      </c>
      <c r="U875" t="s">
        <v>4305</v>
      </c>
      <c r="V875" t="str">
        <f t="shared" si="55"/>
        <v>Medical Facility</v>
      </c>
    </row>
    <row r="876" spans="1:22">
      <c r="A876" t="s">
        <v>1310</v>
      </c>
      <c r="B876" t="s">
        <v>1311</v>
      </c>
      <c r="C876" s="1">
        <v>44750</v>
      </c>
      <c r="D876" s="4">
        <v>107.06</v>
      </c>
      <c r="E876">
        <v>60</v>
      </c>
      <c r="F876" t="str">
        <f t="shared" si="52"/>
        <v>60's</v>
      </c>
      <c r="G876" t="str" cm="1">
        <f t="array" ref="G876">_xlfn.IFS(
  F876="10's", "Child (5–12)",
  OR(F876="20's", F876="30's"), "Young Adult (20–39)",
  OR(F876="40's", F876="50's"), "Adult (40–59)",
  OR(F876="60's", F876="70's", F876="80's", F876="90's"), "Senior (60+)",
  TRUE, "Unknown"
)</f>
        <v>Senior (60+)</v>
      </c>
      <c r="H876" t="s">
        <v>841</v>
      </c>
      <c r="I876" t="s">
        <v>54</v>
      </c>
      <c r="J876" t="str">
        <f t="shared" si="53"/>
        <v>Environmental Heat</v>
      </c>
      <c r="K876" t="s">
        <v>4255</v>
      </c>
      <c r="L876" t="s">
        <v>250</v>
      </c>
      <c r="N876" t="s">
        <v>5095</v>
      </c>
      <c r="O876" t="str" cm="1">
        <f t="array" ref="O876">_xlfn.IFS(
  TEXT(TRIM(N876),"00000")="NULL", "Missing/Unknown",
  OR(TEXT(TRIM(N876),"00000")="89101", TEXT(TRIM(N876),"00000")="89104", TEXT(TRIM(N876),"00000")="89106", TEXT(TRIM(N876),"00000")="89102", TEXT(TRIM(N876),"00000")="89107", TEXT(TRIM(N876),"00000")="89108"), "Urban Core",
  OR(TEXT(TRIM(N876),"00000")="89110", TEXT(TRIM(N876),"00000")="89115", TEXT(TRIM(N876),"00000")="89121", TEXT(TRIM(N876),"00000")="89122", TEXT(TRIM(N876),"00000")="89142", TEXT(TRIM(N876),"00000")="89156"), "East Valley",
  OR(TEXT(TRIM(N876),"00000")="89030", TEXT(TRIM(N876),"00000")="89031", TEXT(TRIM(N876),"00000")="89032", TEXT(TRIM(N876),"00000")="89086", TEXT(TRIM(N876),"00000")="89084", TEXT(TRIM(N876),"00000")="89081"), "North LV",
  OR(TEXT(TRIM(N876),"00000")="89109", TEXT(TRIM(N876),"00000")="89103", TEXT(TRIM(N876),"00000")="89119", TEXT(TRIM(N876),"00000")="89123", TEXT(TRIM(N876),"00000")="89169", TEXT(TRIM(N876),"00000")="89118"), "South/Strip",
  OR(TEXT(TRIM(N876),"00000")="89074", TEXT(TRIM(N876),"00000")="89014", TEXT(TRIM(N876),"00000")="89015", TEXT(TRIM(N876),"00000")="89011", TEXT(TRIM(N876),"00000")="89012"), "Suburban SE",
  OR(TEXT(TRIM(N876),"00000")="89117", TEXT(TRIM(N876),"00000")="89128", TEXT(TRIM(N876),"00000")="89135", TEXT(TRIM(N876),"00000")="89144", TEXT(TRIM(N876),"00000")="89145", TEXT(TRIM(N876),"00000")="89147"), "West Valley",
  TRUE, "Other"
)</f>
        <v>Missing/Unknown</v>
      </c>
      <c r="P876" t="s">
        <v>3298</v>
      </c>
      <c r="Q876" t="str">
        <f t="shared" si="54"/>
        <v>Outdoors/Public</v>
      </c>
      <c r="S876" t="s">
        <v>5095</v>
      </c>
      <c r="T876" t="str" cm="1">
        <f t="array" ref="T876">_xlfn.IFS(
  TEXT(TRIM(S876),"00000")="NULL", "Missing/Unknown",
  OR(TEXT(TRIM(S876),"00000")="89101", TEXT(TRIM(S876),"00000")="89104", TEXT(TRIM(S876),"00000")="89106", TEXT(TRIM(S876),"00000")="89102", TEXT(TRIM(S876),"00000")="89107", TEXT(TRIM(S876),"00000")="89108"), "Urban Core",
  OR(TEXT(TRIM(S876),"00000")="89110", TEXT(TRIM(S876),"00000")="89115", TEXT(TRIM(S876),"00000")="89121", TEXT(TRIM(S876),"00000")="89122", TEXT(TRIM(S876),"00000")="89142", TEXT(TRIM(S876),"00000")="89156"), "East Valley",
  OR(TEXT(TRIM(S876),"00000")="89030", TEXT(TRIM(S876),"00000")="89031", TEXT(TRIM(S876),"00000")="89032", TEXT(TRIM(S876),"00000")="89086", TEXT(TRIM(S876),"00000")="89084", TEXT(TRIM(S876),"00000")="89081"), "North LV",
  OR(TEXT(TRIM(S876),"00000")="89109", TEXT(TRIM(S876),"00000")="89103", TEXT(TRIM(S876),"00000")="89119", TEXT(TRIM(S876),"00000")="89123", TEXT(TRIM(S876),"00000")="89169", TEXT(TRIM(S876),"00000")="89118"), "South/Strip",
  OR(TEXT(TRIM(S876),"00000")="89074", TEXT(TRIM(S876),"00000")="89014", TEXT(TRIM(S876),"00000")="89015", TEXT(TRIM(S876),"00000")="89011", TEXT(TRIM(S876),"00000")="89012"), "Suburban SE",
  OR(TEXT(TRIM(S876),"00000")="89117", TEXT(TRIM(S876),"00000")="89128", TEXT(TRIM(S876),"00000")="89135", TEXT(TRIM(S876),"00000")="89144", TEXT(TRIM(S876),"00000")="89145", TEXT(TRIM(S876),"00000")="89147"), "West Valley",
  TRUE, "Other"
)</f>
        <v>Missing/Unknown</v>
      </c>
      <c r="U876" t="s">
        <v>3298</v>
      </c>
      <c r="V876" t="str">
        <f t="shared" si="55"/>
        <v>Outdoors/Public</v>
      </c>
    </row>
    <row r="877" spans="1:22">
      <c r="A877" t="s">
        <v>1287</v>
      </c>
      <c r="B877" t="s">
        <v>1288</v>
      </c>
      <c r="C877" s="1">
        <v>44749</v>
      </c>
      <c r="D877" s="4">
        <v>102.92</v>
      </c>
      <c r="E877">
        <v>30</v>
      </c>
      <c r="F877" t="str">
        <f t="shared" si="52"/>
        <v>30's</v>
      </c>
      <c r="G877" t="str" cm="1">
        <f t="array" ref="G877">_xlfn.IFS(
  F877="10's", "Child (5–12)",
  OR(F877="20's", F877="30's"), "Young Adult (20–39)",
  OR(F877="40's", F877="50's"), "Adult (40–59)",
  OR(F877="60's", F877="70's", F877="80's", F877="90's"), "Senior (60+)",
  TRUE, "Unknown"
)</f>
        <v>Young Adult (20–39)</v>
      </c>
      <c r="H877" t="s">
        <v>778</v>
      </c>
      <c r="I877" t="s">
        <v>172</v>
      </c>
      <c r="J877" t="str">
        <f t="shared" si="53"/>
        <v>Methamphetamine-related</v>
      </c>
      <c r="K877" t="s">
        <v>54</v>
      </c>
      <c r="L877" t="s">
        <v>250</v>
      </c>
      <c r="M877" t="s">
        <v>4550</v>
      </c>
      <c r="N877" t="s">
        <v>5105</v>
      </c>
      <c r="O877" t="str" cm="1">
        <f t="array" ref="O877">_xlfn.IFS(
  TEXT(TRIM(N877),"00000")="NULL", "Missing/Unknown",
  OR(TEXT(TRIM(N877),"00000")="89101", TEXT(TRIM(N877),"00000")="89104", TEXT(TRIM(N877),"00000")="89106", TEXT(TRIM(N877),"00000")="89102", TEXT(TRIM(N877),"00000")="89107", TEXT(TRIM(N877),"00000")="89108"), "Urban Core",
  OR(TEXT(TRIM(N877),"00000")="89110", TEXT(TRIM(N877),"00000")="89115", TEXT(TRIM(N877),"00000")="89121", TEXT(TRIM(N877),"00000")="89122", TEXT(TRIM(N877),"00000")="89142", TEXT(TRIM(N877),"00000")="89156"), "East Valley",
  OR(TEXT(TRIM(N877),"00000")="89030", TEXT(TRIM(N877),"00000")="89031", TEXT(TRIM(N877),"00000")="89032", TEXT(TRIM(N877),"00000")="89086", TEXT(TRIM(N877),"00000")="89084", TEXT(TRIM(N877),"00000")="89081"), "North LV",
  OR(TEXT(TRIM(N877),"00000")="89109", TEXT(TRIM(N877),"00000")="89103", TEXT(TRIM(N877),"00000")="89119", TEXT(TRIM(N877),"00000")="89123", TEXT(TRIM(N877),"00000")="89169", TEXT(TRIM(N877),"00000")="89118"), "South/Strip",
  OR(TEXT(TRIM(N877),"00000")="89074", TEXT(TRIM(N877),"00000")="89014", TEXT(TRIM(N877),"00000")="89015", TEXT(TRIM(N877),"00000")="89011", TEXT(TRIM(N877),"00000")="89012"), "Suburban SE",
  OR(TEXT(TRIM(N877),"00000")="89117", TEXT(TRIM(N877),"00000")="89128", TEXT(TRIM(N877),"00000")="89135", TEXT(TRIM(N877),"00000")="89144", TEXT(TRIM(N877),"00000")="89145", TEXT(TRIM(N877),"00000")="89147"), "West Valley",
  TRUE, "Other"
)</f>
        <v>East Valley</v>
      </c>
      <c r="P877" t="s">
        <v>3298</v>
      </c>
      <c r="Q877" t="str">
        <f t="shared" si="54"/>
        <v>Outdoors/Public</v>
      </c>
      <c r="R877" t="s">
        <v>5053</v>
      </c>
      <c r="S877" t="s">
        <v>5110</v>
      </c>
      <c r="T877" t="str" cm="1">
        <f t="array" ref="T877">_xlfn.IFS(
  TEXT(TRIM(S877),"00000")="NULL", "Missing/Unknown",
  OR(TEXT(TRIM(S877),"00000")="89101", TEXT(TRIM(S877),"00000")="89104", TEXT(TRIM(S877),"00000")="89106", TEXT(TRIM(S877),"00000")="89102", TEXT(TRIM(S877),"00000")="89107", TEXT(TRIM(S877),"00000")="89108"), "Urban Core",
  OR(TEXT(TRIM(S877),"00000")="89110", TEXT(TRIM(S877),"00000")="89115", TEXT(TRIM(S877),"00000")="89121", TEXT(TRIM(S877),"00000")="89122", TEXT(TRIM(S877),"00000")="89142", TEXT(TRIM(S877),"00000")="89156"), "East Valley",
  OR(TEXT(TRIM(S877),"00000")="89030", TEXT(TRIM(S877),"00000")="89031", TEXT(TRIM(S877),"00000")="89032", TEXT(TRIM(S877),"00000")="89086", TEXT(TRIM(S877),"00000")="89084", TEXT(TRIM(S877),"00000")="89081"), "North LV",
  OR(TEXT(TRIM(S877),"00000")="89109", TEXT(TRIM(S877),"00000")="89103", TEXT(TRIM(S877),"00000")="89119", TEXT(TRIM(S877),"00000")="89123", TEXT(TRIM(S877),"00000")="89169", TEXT(TRIM(S877),"00000")="89118"), "South/Strip",
  OR(TEXT(TRIM(S877),"00000")="89074", TEXT(TRIM(S877),"00000")="89014", TEXT(TRIM(S877),"00000")="89015", TEXT(TRIM(S877),"00000")="89011", TEXT(TRIM(S877),"00000")="89012"), "Suburban SE",
  OR(TEXT(TRIM(S877),"00000")="89117", TEXT(TRIM(S877),"00000")="89128", TEXT(TRIM(S877),"00000")="89135", TEXT(TRIM(S877),"00000")="89144", TEXT(TRIM(S877),"00000")="89145", TEXT(TRIM(S877),"00000")="89147"), "West Valley",
  TRUE, "Other"
)</f>
        <v>Suburban SE</v>
      </c>
      <c r="U877" t="s">
        <v>4301</v>
      </c>
      <c r="V877" t="str">
        <f t="shared" si="55"/>
        <v>Medical Facility</v>
      </c>
    </row>
    <row r="878" spans="1:22">
      <c r="A878" t="s">
        <v>1290</v>
      </c>
      <c r="B878" t="s">
        <v>1291</v>
      </c>
      <c r="C878" s="1">
        <v>44749</v>
      </c>
      <c r="D878" s="4">
        <v>102.92</v>
      </c>
      <c r="E878">
        <v>52</v>
      </c>
      <c r="F878" t="str">
        <f t="shared" si="52"/>
        <v>50's</v>
      </c>
      <c r="G878" t="str" cm="1">
        <f t="array" ref="G878">_xlfn.IFS(
  F878="10's", "Child (5–12)",
  OR(F878="20's", F878="30's"), "Young Adult (20–39)",
  OR(F878="40's", F878="50's"), "Adult (40–59)",
  OR(F878="60's", F878="70's", F878="80's", F878="90's"), "Senior (60+)",
  TRUE, "Unknown"
)</f>
        <v>Adult (40–59)</v>
      </c>
      <c r="H878" t="s">
        <v>841</v>
      </c>
      <c r="I878" t="s">
        <v>4107</v>
      </c>
      <c r="J878" t="str">
        <f t="shared" si="53"/>
        <v>Fentanyl-related</v>
      </c>
      <c r="K878" t="s">
        <v>4256</v>
      </c>
      <c r="L878" t="s">
        <v>1071</v>
      </c>
      <c r="M878" t="s">
        <v>4811</v>
      </c>
      <c r="N878" t="s">
        <v>5113</v>
      </c>
      <c r="O878" t="str" cm="1">
        <f t="array" ref="O878">_xlfn.IFS(
  TEXT(TRIM(N878),"00000")="NULL", "Missing/Unknown",
  OR(TEXT(TRIM(N878),"00000")="89101", TEXT(TRIM(N878),"00000")="89104", TEXT(TRIM(N878),"00000")="89106", TEXT(TRIM(N878),"00000")="89102", TEXT(TRIM(N878),"00000")="89107", TEXT(TRIM(N878),"00000")="89108"), "Urban Core",
  OR(TEXT(TRIM(N878),"00000")="89110", TEXT(TRIM(N878),"00000")="89115", TEXT(TRIM(N878),"00000")="89121", TEXT(TRIM(N878),"00000")="89122", TEXT(TRIM(N878),"00000")="89142", TEXT(TRIM(N878),"00000")="89156"), "East Valley",
  OR(TEXT(TRIM(N878),"00000")="89030", TEXT(TRIM(N878),"00000")="89031", TEXT(TRIM(N878),"00000")="89032", TEXT(TRIM(N878),"00000")="89086", TEXT(TRIM(N878),"00000")="89084", TEXT(TRIM(N878),"00000")="89081"), "North LV",
  OR(TEXT(TRIM(N878),"00000")="89109", TEXT(TRIM(N878),"00000")="89103", TEXT(TRIM(N878),"00000")="89119", TEXT(TRIM(N878),"00000")="89123", TEXT(TRIM(N878),"00000")="89169", TEXT(TRIM(N878),"00000")="89118"), "South/Strip",
  OR(TEXT(TRIM(N878),"00000")="89074", TEXT(TRIM(N878),"00000")="89014", TEXT(TRIM(N878),"00000")="89015", TEXT(TRIM(N878),"00000")="89011", TEXT(TRIM(N878),"00000")="89012"), "Suburban SE",
  OR(TEXT(TRIM(N878),"00000")="89117", TEXT(TRIM(N878),"00000")="89128", TEXT(TRIM(N878),"00000")="89135", TEXT(TRIM(N878),"00000")="89144", TEXT(TRIM(N878),"00000")="89145", TEXT(TRIM(N878),"00000")="89147"), "West Valley",
  TRUE, "Other"
)</f>
        <v>Suburban SE</v>
      </c>
      <c r="P878" t="s">
        <v>3298</v>
      </c>
      <c r="Q878" t="str">
        <f t="shared" si="54"/>
        <v>Outdoors/Public</v>
      </c>
      <c r="R878" t="s">
        <v>4811</v>
      </c>
      <c r="S878" t="s">
        <v>5113</v>
      </c>
      <c r="T878" t="str" cm="1">
        <f t="array" ref="T878">_xlfn.IFS(
  TEXT(TRIM(S878),"00000")="NULL", "Missing/Unknown",
  OR(TEXT(TRIM(S878),"00000")="89101", TEXT(TRIM(S878),"00000")="89104", TEXT(TRIM(S878),"00000")="89106", TEXT(TRIM(S878),"00000")="89102", TEXT(TRIM(S878),"00000")="89107", TEXT(TRIM(S878),"00000")="89108"), "Urban Core",
  OR(TEXT(TRIM(S878),"00000")="89110", TEXT(TRIM(S878),"00000")="89115", TEXT(TRIM(S878),"00000")="89121", TEXT(TRIM(S878),"00000")="89122", TEXT(TRIM(S878),"00000")="89142", TEXT(TRIM(S878),"00000")="89156"), "East Valley",
  OR(TEXT(TRIM(S878),"00000")="89030", TEXT(TRIM(S878),"00000")="89031", TEXT(TRIM(S878),"00000")="89032", TEXT(TRIM(S878),"00000")="89086", TEXT(TRIM(S878),"00000")="89084", TEXT(TRIM(S878),"00000")="89081"), "North LV",
  OR(TEXT(TRIM(S878),"00000")="89109", TEXT(TRIM(S878),"00000")="89103", TEXT(TRIM(S878),"00000")="89119", TEXT(TRIM(S878),"00000")="89123", TEXT(TRIM(S878),"00000")="89169", TEXT(TRIM(S878),"00000")="89118"), "South/Strip",
  OR(TEXT(TRIM(S878),"00000")="89074", TEXT(TRIM(S878),"00000")="89014", TEXT(TRIM(S878),"00000")="89015", TEXT(TRIM(S878),"00000")="89011", TEXT(TRIM(S878),"00000")="89012"), "Suburban SE",
  OR(TEXT(TRIM(S878),"00000")="89117", TEXT(TRIM(S878),"00000")="89128", TEXT(TRIM(S878),"00000")="89135", TEXT(TRIM(S878),"00000")="89144", TEXT(TRIM(S878),"00000")="89145", TEXT(TRIM(S878),"00000")="89147"), "West Valley",
  TRUE, "Other"
)</f>
        <v>Suburban SE</v>
      </c>
      <c r="U878" t="s">
        <v>3298</v>
      </c>
      <c r="V878" t="str">
        <f t="shared" si="55"/>
        <v>Outdoors/Public</v>
      </c>
    </row>
    <row r="879" spans="1:22">
      <c r="A879" t="s">
        <v>1298</v>
      </c>
      <c r="B879" t="s">
        <v>1299</v>
      </c>
      <c r="C879" s="1">
        <v>44749</v>
      </c>
      <c r="D879" s="4">
        <v>102.92</v>
      </c>
      <c r="E879">
        <v>42</v>
      </c>
      <c r="F879" t="str">
        <f t="shared" si="52"/>
        <v>40's</v>
      </c>
      <c r="G879" t="str" cm="1">
        <f t="array" ref="G879">_xlfn.IFS(
  F879="10's", "Child (5–12)",
  OR(F879="20's", F879="30's"), "Young Adult (20–39)",
  OR(F879="40's", F879="50's"), "Adult (40–59)",
  OR(F879="60's", F879="70's", F879="80's", F879="90's"), "Senior (60+)",
  TRUE, "Unknown"
)</f>
        <v>Adult (40–59)</v>
      </c>
      <c r="H879" t="s">
        <v>4309</v>
      </c>
      <c r="I879" t="s">
        <v>54</v>
      </c>
      <c r="J879" t="str">
        <f t="shared" si="53"/>
        <v>Environmental Heat</v>
      </c>
      <c r="K879" t="s">
        <v>503</v>
      </c>
      <c r="L879" t="s">
        <v>250</v>
      </c>
      <c r="M879" t="s">
        <v>4647</v>
      </c>
      <c r="N879" t="s">
        <v>5098</v>
      </c>
      <c r="O879" t="str" cm="1">
        <f t="array" ref="O879">_xlfn.IFS(
  TEXT(TRIM(N879),"00000")="NULL", "Missing/Unknown",
  OR(TEXT(TRIM(N879),"00000")="89101", TEXT(TRIM(N879),"00000")="89104", TEXT(TRIM(N879),"00000")="89106", TEXT(TRIM(N879),"00000")="89102", TEXT(TRIM(N879),"00000")="89107", TEXT(TRIM(N879),"00000")="89108"), "Urban Core",
  OR(TEXT(TRIM(N879),"00000")="89110", TEXT(TRIM(N879),"00000")="89115", TEXT(TRIM(N879),"00000")="89121", TEXT(TRIM(N879),"00000")="89122", TEXT(TRIM(N879),"00000")="89142", TEXT(TRIM(N879),"00000")="89156"), "East Valley",
  OR(TEXT(TRIM(N879),"00000")="89030", TEXT(TRIM(N879),"00000")="89031", TEXT(TRIM(N879),"00000")="89032", TEXT(TRIM(N879),"00000")="89086", TEXT(TRIM(N879),"00000")="89084", TEXT(TRIM(N879),"00000")="89081"), "North LV",
  OR(TEXT(TRIM(N879),"00000")="89109", TEXT(TRIM(N879),"00000")="89103", TEXT(TRIM(N879),"00000")="89119", TEXT(TRIM(N879),"00000")="89123", TEXT(TRIM(N879),"00000")="89169", TEXT(TRIM(N879),"00000")="89118"), "South/Strip",
  OR(TEXT(TRIM(N879),"00000")="89074", TEXT(TRIM(N879),"00000")="89014", TEXT(TRIM(N879),"00000")="89015", TEXT(TRIM(N879),"00000")="89011", TEXT(TRIM(N879),"00000")="89012"), "Suburban SE",
  OR(TEXT(TRIM(N879),"00000")="89117", TEXT(TRIM(N879),"00000")="89128", TEXT(TRIM(N879),"00000")="89135", TEXT(TRIM(N879),"00000")="89144", TEXT(TRIM(N879),"00000")="89145", TEXT(TRIM(N879),"00000")="89147"), "West Valley",
  TRUE, "Other"
)</f>
        <v>Urban Core</v>
      </c>
      <c r="P879" t="s">
        <v>3298</v>
      </c>
      <c r="Q879" t="str">
        <f t="shared" si="54"/>
        <v>Outdoors/Public</v>
      </c>
      <c r="R879" t="s">
        <v>4647</v>
      </c>
      <c r="S879" t="s">
        <v>5098</v>
      </c>
      <c r="T879" t="str" cm="1">
        <f t="array" ref="T879">_xlfn.IFS(
  TEXT(TRIM(S879),"00000")="NULL", "Missing/Unknown",
  OR(TEXT(TRIM(S879),"00000")="89101", TEXT(TRIM(S879),"00000")="89104", TEXT(TRIM(S879),"00000")="89106", TEXT(TRIM(S879),"00000")="89102", TEXT(TRIM(S879),"00000")="89107", TEXT(TRIM(S879),"00000")="89108"), "Urban Core",
  OR(TEXT(TRIM(S879),"00000")="89110", TEXT(TRIM(S879),"00000")="89115", TEXT(TRIM(S879),"00000")="89121", TEXT(TRIM(S879),"00000")="89122", TEXT(TRIM(S879),"00000")="89142", TEXT(TRIM(S879),"00000")="89156"), "East Valley",
  OR(TEXT(TRIM(S879),"00000")="89030", TEXT(TRIM(S879),"00000")="89031", TEXT(TRIM(S879),"00000")="89032", TEXT(TRIM(S879),"00000")="89086", TEXT(TRIM(S879),"00000")="89084", TEXT(TRIM(S879),"00000")="89081"), "North LV",
  OR(TEXT(TRIM(S879),"00000")="89109", TEXT(TRIM(S879),"00000")="89103", TEXT(TRIM(S879),"00000")="89119", TEXT(TRIM(S879),"00000")="89123", TEXT(TRIM(S879),"00000")="89169", TEXT(TRIM(S879),"00000")="89118"), "South/Strip",
  OR(TEXT(TRIM(S879),"00000")="89074", TEXT(TRIM(S879),"00000")="89014", TEXT(TRIM(S879),"00000")="89015", TEXT(TRIM(S879),"00000")="89011", TEXT(TRIM(S879),"00000")="89012"), "Suburban SE",
  OR(TEXT(TRIM(S879),"00000")="89117", TEXT(TRIM(S879),"00000")="89128", TEXT(TRIM(S879),"00000")="89135", TEXT(TRIM(S879),"00000")="89144", TEXT(TRIM(S879),"00000")="89145", TEXT(TRIM(S879),"00000")="89147"), "West Valley",
  TRUE, "Other"
)</f>
        <v>Urban Core</v>
      </c>
      <c r="U879" t="s">
        <v>3298</v>
      </c>
      <c r="V879" t="str">
        <f t="shared" si="55"/>
        <v>Outdoors/Public</v>
      </c>
    </row>
    <row r="880" spans="1:22">
      <c r="A880" t="s">
        <v>1295</v>
      </c>
      <c r="B880" t="s">
        <v>1296</v>
      </c>
      <c r="C880" s="1">
        <v>44749</v>
      </c>
      <c r="D880" s="4">
        <v>102.92</v>
      </c>
      <c r="E880">
        <v>63</v>
      </c>
      <c r="F880" t="str">
        <f t="shared" si="52"/>
        <v>60's</v>
      </c>
      <c r="G880" t="str" cm="1">
        <f t="array" ref="G880">_xlfn.IFS(
  F880="10's", "Child (5–12)",
  OR(F880="20's", F880="30's"), "Young Adult (20–39)",
  OR(F880="40's", F880="50's"), "Adult (40–59)",
  OR(F880="60's", F880="70's", F880="80's", F880="90's"), "Senior (60+)",
  TRUE, "Unknown"
)</f>
        <v>Senior (60+)</v>
      </c>
      <c r="H880" t="s">
        <v>841</v>
      </c>
      <c r="I880" t="s">
        <v>63</v>
      </c>
      <c r="J880" t="str">
        <f t="shared" si="53"/>
        <v>Cardiovascular Disease</v>
      </c>
      <c r="K880" t="s">
        <v>54</v>
      </c>
      <c r="L880" t="s">
        <v>250</v>
      </c>
      <c r="M880" t="s">
        <v>4529</v>
      </c>
      <c r="N880" t="s">
        <v>5104</v>
      </c>
      <c r="O880" t="str" cm="1">
        <f t="array" ref="O880">_xlfn.IFS(
  TEXT(TRIM(N880),"00000")="NULL", "Missing/Unknown",
  OR(TEXT(TRIM(N880),"00000")="89101", TEXT(TRIM(N880),"00000")="89104", TEXT(TRIM(N880),"00000")="89106", TEXT(TRIM(N880),"00000")="89102", TEXT(TRIM(N880),"00000")="89107", TEXT(TRIM(N880),"00000")="89108"), "Urban Core",
  OR(TEXT(TRIM(N880),"00000")="89110", TEXT(TRIM(N880),"00000")="89115", TEXT(TRIM(N880),"00000")="89121", TEXT(TRIM(N880),"00000")="89122", TEXT(TRIM(N880),"00000")="89142", TEXT(TRIM(N880),"00000")="89156"), "East Valley",
  OR(TEXT(TRIM(N880),"00000")="89030", TEXT(TRIM(N880),"00000")="89031", TEXT(TRIM(N880),"00000")="89032", TEXT(TRIM(N880),"00000")="89086", TEXT(TRIM(N880),"00000")="89084", TEXT(TRIM(N880),"00000")="89081"), "North LV",
  OR(TEXT(TRIM(N880),"00000")="89109", TEXT(TRIM(N880),"00000")="89103", TEXT(TRIM(N880),"00000")="89119", TEXT(TRIM(N880),"00000")="89123", TEXT(TRIM(N880),"00000")="89169", TEXT(TRIM(N880),"00000")="89118"), "South/Strip",
  OR(TEXT(TRIM(N880),"00000")="89074", TEXT(TRIM(N880),"00000")="89014", TEXT(TRIM(N880),"00000")="89015", TEXT(TRIM(N880),"00000")="89011", TEXT(TRIM(N880),"00000")="89012"), "Suburban SE",
  OR(TEXT(TRIM(N880),"00000")="89117", TEXT(TRIM(N880),"00000")="89128", TEXT(TRIM(N880),"00000")="89135", TEXT(TRIM(N880),"00000")="89144", TEXT(TRIM(N880),"00000")="89145", TEXT(TRIM(N880),"00000")="89147"), "West Valley",
  TRUE, "Other"
)</f>
        <v>West Valley</v>
      </c>
      <c r="P880" t="s">
        <v>271</v>
      </c>
      <c r="Q880" t="str">
        <f t="shared" si="54"/>
        <v>Home/Residence</v>
      </c>
      <c r="R880" t="s">
        <v>4794</v>
      </c>
      <c r="S880" t="s">
        <v>5163</v>
      </c>
      <c r="T880" t="str" cm="1">
        <f t="array" ref="T880">_xlfn.IFS(
  TEXT(TRIM(S880),"00000")="NULL", "Missing/Unknown",
  OR(TEXT(TRIM(S880),"00000")="89101", TEXT(TRIM(S880),"00000")="89104", TEXT(TRIM(S880),"00000")="89106", TEXT(TRIM(S880),"00000")="89102", TEXT(TRIM(S880),"00000")="89107", TEXT(TRIM(S880),"00000")="89108"), "Urban Core",
  OR(TEXT(TRIM(S880),"00000")="89110", TEXT(TRIM(S880),"00000")="89115", TEXT(TRIM(S880),"00000")="89121", TEXT(TRIM(S880),"00000")="89122", TEXT(TRIM(S880),"00000")="89142", TEXT(TRIM(S880),"00000")="89156"), "East Valley",
  OR(TEXT(TRIM(S880),"00000")="89030", TEXT(TRIM(S880),"00000")="89031", TEXT(TRIM(S880),"00000")="89032", TEXT(TRIM(S880),"00000")="89086", TEXT(TRIM(S880),"00000")="89084", TEXT(TRIM(S880),"00000")="89081"), "North LV",
  OR(TEXT(TRIM(S880),"00000")="89109", TEXT(TRIM(S880),"00000")="89103", TEXT(TRIM(S880),"00000")="89119", TEXT(TRIM(S880),"00000")="89123", TEXT(TRIM(S880),"00000")="89169", TEXT(TRIM(S880),"00000")="89118"), "South/Strip",
  OR(TEXT(TRIM(S880),"00000")="89074", TEXT(TRIM(S880),"00000")="89014", TEXT(TRIM(S880),"00000")="89015", TEXT(TRIM(S880),"00000")="89011", TEXT(TRIM(S880),"00000")="89012"), "Suburban SE",
  OR(TEXT(TRIM(S880),"00000")="89117", TEXT(TRIM(S880),"00000")="89128", TEXT(TRIM(S880),"00000")="89135", TEXT(TRIM(S880),"00000")="89144", TEXT(TRIM(S880),"00000")="89145", TEXT(TRIM(S880),"00000")="89147"), "West Valley",
  TRUE, "Other"
)</f>
        <v>Other</v>
      </c>
      <c r="U880" t="s">
        <v>4301</v>
      </c>
      <c r="V880" t="str">
        <f t="shared" si="55"/>
        <v>Medical Facility</v>
      </c>
    </row>
    <row r="881" spans="1:22">
      <c r="A881" t="s">
        <v>1658</v>
      </c>
      <c r="B881" t="s">
        <v>1659</v>
      </c>
      <c r="C881" s="1">
        <v>44749</v>
      </c>
      <c r="D881" s="4">
        <v>102.92</v>
      </c>
      <c r="E881">
        <v>59</v>
      </c>
      <c r="F881" t="str">
        <f t="shared" si="52"/>
        <v>50's</v>
      </c>
      <c r="G881" t="str" cm="1">
        <f t="array" ref="G881">_xlfn.IFS(
  F881="10's", "Child (5–12)",
  OR(F881="20's", F881="30's"), "Young Adult (20–39)",
  OR(F881="40's", F881="50's"), "Adult (40–59)",
  OR(F881="60's", F881="70's", F881="80's", F881="90's"), "Senior (60+)",
  TRUE, "Unknown"
)</f>
        <v>Adult (40–59)</v>
      </c>
      <c r="H881" t="s">
        <v>841</v>
      </c>
      <c r="I881" t="s">
        <v>1660</v>
      </c>
      <c r="J881" t="str">
        <f t="shared" si="53"/>
        <v>Environmental Heat</v>
      </c>
      <c r="K881" t="s">
        <v>98</v>
      </c>
      <c r="L881" t="s">
        <v>250</v>
      </c>
      <c r="N881" t="s">
        <v>5095</v>
      </c>
      <c r="O881" t="str" cm="1">
        <f t="array" ref="O881">_xlfn.IFS(
  TEXT(TRIM(N881),"00000")="NULL", "Missing/Unknown",
  OR(TEXT(TRIM(N881),"00000")="89101", TEXT(TRIM(N881),"00000")="89104", TEXT(TRIM(N881),"00000")="89106", TEXT(TRIM(N881),"00000")="89102", TEXT(TRIM(N881),"00000")="89107", TEXT(TRIM(N881),"00000")="89108"), "Urban Core",
  OR(TEXT(TRIM(N881),"00000")="89110", TEXT(TRIM(N881),"00000")="89115", TEXT(TRIM(N881),"00000")="89121", TEXT(TRIM(N881),"00000")="89122", TEXT(TRIM(N881),"00000")="89142", TEXT(TRIM(N881),"00000")="89156"), "East Valley",
  OR(TEXT(TRIM(N881),"00000")="89030", TEXT(TRIM(N881),"00000")="89031", TEXT(TRIM(N881),"00000")="89032", TEXT(TRIM(N881),"00000")="89086", TEXT(TRIM(N881),"00000")="89084", TEXT(TRIM(N881),"00000")="89081"), "North LV",
  OR(TEXT(TRIM(N881),"00000")="89109", TEXT(TRIM(N881),"00000")="89103", TEXT(TRIM(N881),"00000")="89119", TEXT(TRIM(N881),"00000")="89123", TEXT(TRIM(N881),"00000")="89169", TEXT(TRIM(N881),"00000")="89118"), "South/Strip",
  OR(TEXT(TRIM(N881),"00000")="89074", TEXT(TRIM(N881),"00000")="89014", TEXT(TRIM(N881),"00000")="89015", TEXT(TRIM(N881),"00000")="89011", TEXT(TRIM(N881),"00000")="89012"), "Suburban SE",
  OR(TEXT(TRIM(N881),"00000")="89117", TEXT(TRIM(N881),"00000")="89128", TEXT(TRIM(N881),"00000")="89135", TEXT(TRIM(N881),"00000")="89144", TEXT(TRIM(N881),"00000")="89145", TEXT(TRIM(N881),"00000")="89147"), "West Valley",
  TRUE, "Other"
)</f>
        <v>Missing/Unknown</v>
      </c>
      <c r="P881" t="s">
        <v>3298</v>
      </c>
      <c r="Q881" t="str">
        <f t="shared" si="54"/>
        <v>Outdoors/Public</v>
      </c>
      <c r="R881" t="s">
        <v>5054</v>
      </c>
      <c r="S881" t="s">
        <v>5097</v>
      </c>
      <c r="T881" t="str" cm="1">
        <f t="array" ref="T881">_xlfn.IFS(
  TEXT(TRIM(S881),"00000")="NULL", "Missing/Unknown",
  OR(TEXT(TRIM(S881),"00000")="89101", TEXT(TRIM(S881),"00000")="89104", TEXT(TRIM(S881),"00000")="89106", TEXT(TRIM(S881),"00000")="89102", TEXT(TRIM(S881),"00000")="89107", TEXT(TRIM(S881),"00000")="89108"), "Urban Core",
  OR(TEXT(TRIM(S881),"00000")="89110", TEXT(TRIM(S881),"00000")="89115", TEXT(TRIM(S881),"00000")="89121", TEXT(TRIM(S881),"00000")="89122", TEXT(TRIM(S881),"00000")="89142", TEXT(TRIM(S881),"00000")="89156"), "East Valley",
  OR(TEXT(TRIM(S881),"00000")="89030", TEXT(TRIM(S881),"00000")="89031", TEXT(TRIM(S881),"00000")="89032", TEXT(TRIM(S881),"00000")="89086", TEXT(TRIM(S881),"00000")="89084", TEXT(TRIM(S881),"00000")="89081"), "North LV",
  OR(TEXT(TRIM(S881),"00000")="89109", TEXT(TRIM(S881),"00000")="89103", TEXT(TRIM(S881),"00000")="89119", TEXT(TRIM(S881),"00000")="89123", TEXT(TRIM(S881),"00000")="89169", TEXT(TRIM(S881),"00000")="89118"), "South/Strip",
  OR(TEXT(TRIM(S881),"00000")="89074", TEXT(TRIM(S881),"00000")="89014", TEXT(TRIM(S881),"00000")="89015", TEXT(TRIM(S881),"00000")="89011", TEXT(TRIM(S881),"00000")="89012"), "Suburban SE",
  OR(TEXT(TRIM(S881),"00000")="89117", TEXT(TRIM(S881),"00000")="89128", TEXT(TRIM(S881),"00000")="89135", TEXT(TRIM(S881),"00000")="89144", TEXT(TRIM(S881),"00000")="89145", TEXT(TRIM(S881),"00000")="89147"), "West Valley",
  TRUE, "Other"
)</f>
        <v>Urban Core</v>
      </c>
      <c r="U881" t="s">
        <v>228</v>
      </c>
      <c r="V881" t="str">
        <f t="shared" si="55"/>
        <v>Medical Facility</v>
      </c>
    </row>
    <row r="882" spans="1:22">
      <c r="A882" t="s">
        <v>1285</v>
      </c>
      <c r="B882" t="s">
        <v>1286</v>
      </c>
      <c r="C882" s="1">
        <v>44749</v>
      </c>
      <c r="D882" s="4">
        <v>102.92</v>
      </c>
      <c r="E882">
        <v>65</v>
      </c>
      <c r="F882" t="str">
        <f t="shared" si="52"/>
        <v>60's</v>
      </c>
      <c r="G882" t="str" cm="1">
        <f t="array" ref="G882">_xlfn.IFS(
  F882="10's", "Child (5–12)",
  OR(F882="20's", F882="30's"), "Young Adult (20–39)",
  OR(F882="40's", F882="50's"), "Adult (40–59)",
  OR(F882="60's", F882="70's", F882="80's", F882="90's"), "Senior (60+)",
  TRUE, "Unknown"
)</f>
        <v>Senior (60+)</v>
      </c>
      <c r="H882" t="s">
        <v>841</v>
      </c>
      <c r="I882" t="s">
        <v>4106</v>
      </c>
      <c r="J882" t="str">
        <f t="shared" si="53"/>
        <v>Environmental Heat</v>
      </c>
      <c r="K882" t="s">
        <v>199</v>
      </c>
      <c r="L882" t="s">
        <v>250</v>
      </c>
      <c r="N882" t="s">
        <v>5095</v>
      </c>
      <c r="O882" t="str" cm="1">
        <f t="array" ref="O882">_xlfn.IFS(
  TEXT(TRIM(N882),"00000")="NULL", "Missing/Unknown",
  OR(TEXT(TRIM(N882),"00000")="89101", TEXT(TRIM(N882),"00000")="89104", TEXT(TRIM(N882),"00000")="89106", TEXT(TRIM(N882),"00000")="89102", TEXT(TRIM(N882),"00000")="89107", TEXT(TRIM(N882),"00000")="89108"), "Urban Core",
  OR(TEXT(TRIM(N882),"00000")="89110", TEXT(TRIM(N882),"00000")="89115", TEXT(TRIM(N882),"00000")="89121", TEXT(TRIM(N882),"00000")="89122", TEXT(TRIM(N882),"00000")="89142", TEXT(TRIM(N882),"00000")="89156"), "East Valley",
  OR(TEXT(TRIM(N882),"00000")="89030", TEXT(TRIM(N882),"00000")="89031", TEXT(TRIM(N882),"00000")="89032", TEXT(TRIM(N882),"00000")="89086", TEXT(TRIM(N882),"00000")="89084", TEXT(TRIM(N882),"00000")="89081"), "North LV",
  OR(TEXT(TRIM(N882),"00000")="89109", TEXT(TRIM(N882),"00000")="89103", TEXT(TRIM(N882),"00000")="89119", TEXT(TRIM(N882),"00000")="89123", TEXT(TRIM(N882),"00000")="89169", TEXT(TRIM(N882),"00000")="89118"), "South/Strip",
  OR(TEXT(TRIM(N882),"00000")="89074", TEXT(TRIM(N882),"00000")="89014", TEXT(TRIM(N882),"00000")="89015", TEXT(TRIM(N882),"00000")="89011", TEXT(TRIM(N882),"00000")="89012"), "Suburban SE",
  OR(TEXT(TRIM(N882),"00000")="89117", TEXT(TRIM(N882),"00000")="89128", TEXT(TRIM(N882),"00000")="89135", TEXT(TRIM(N882),"00000")="89144", TEXT(TRIM(N882),"00000")="89145", TEXT(TRIM(N882),"00000")="89147"), "West Valley",
  TRUE, "Other"
)</f>
        <v>Missing/Unknown</v>
      </c>
      <c r="P882" t="s">
        <v>3298</v>
      </c>
      <c r="Q882" t="str">
        <f t="shared" si="54"/>
        <v>Outdoors/Public</v>
      </c>
      <c r="S882" t="s">
        <v>5095</v>
      </c>
      <c r="T882" t="str" cm="1">
        <f t="array" ref="T882">_xlfn.IFS(
  TEXT(TRIM(S882),"00000")="NULL", "Missing/Unknown",
  OR(TEXT(TRIM(S882),"00000")="89101", TEXT(TRIM(S882),"00000")="89104", TEXT(TRIM(S882),"00000")="89106", TEXT(TRIM(S882),"00000")="89102", TEXT(TRIM(S882),"00000")="89107", TEXT(TRIM(S882),"00000")="89108"), "Urban Core",
  OR(TEXT(TRIM(S882),"00000")="89110", TEXT(TRIM(S882),"00000")="89115", TEXT(TRIM(S882),"00000")="89121", TEXT(TRIM(S882),"00000")="89122", TEXT(TRIM(S882),"00000")="89142", TEXT(TRIM(S882),"00000")="89156"), "East Valley",
  OR(TEXT(TRIM(S882),"00000")="89030", TEXT(TRIM(S882),"00000")="89031", TEXT(TRIM(S882),"00000")="89032", TEXT(TRIM(S882),"00000")="89086", TEXT(TRIM(S882),"00000")="89084", TEXT(TRIM(S882),"00000")="89081"), "North LV",
  OR(TEXT(TRIM(S882),"00000")="89109", TEXT(TRIM(S882),"00000")="89103", TEXT(TRIM(S882),"00000")="89119", TEXT(TRIM(S882),"00000")="89123", TEXT(TRIM(S882),"00000")="89169", TEXT(TRIM(S882),"00000")="89118"), "South/Strip",
  OR(TEXT(TRIM(S882),"00000")="89074", TEXT(TRIM(S882),"00000")="89014", TEXT(TRIM(S882),"00000")="89015", TEXT(TRIM(S882),"00000")="89011", TEXT(TRIM(S882),"00000")="89012"), "Suburban SE",
  OR(TEXT(TRIM(S882),"00000")="89117", TEXT(TRIM(S882),"00000")="89128", TEXT(TRIM(S882),"00000")="89135", TEXT(TRIM(S882),"00000")="89144", TEXT(TRIM(S882),"00000")="89145", TEXT(TRIM(S882),"00000")="89147"), "West Valley",
  TRUE, "Other"
)</f>
        <v>Missing/Unknown</v>
      </c>
      <c r="U882" t="s">
        <v>3298</v>
      </c>
      <c r="V882" t="str">
        <f t="shared" si="55"/>
        <v>Outdoors/Public</v>
      </c>
    </row>
    <row r="883" spans="1:22">
      <c r="A883" t="s">
        <v>1279</v>
      </c>
      <c r="B883" t="s">
        <v>1280</v>
      </c>
      <c r="C883" s="1">
        <v>44748</v>
      </c>
      <c r="D883" s="4">
        <v>102.02</v>
      </c>
      <c r="E883">
        <v>35</v>
      </c>
      <c r="F883" t="str">
        <f t="shared" si="52"/>
        <v>30's</v>
      </c>
      <c r="G883" t="str" cm="1">
        <f t="array" ref="G883">_xlfn.IFS(
  F883="10's", "Child (5–12)",
  OR(F883="20's", F883="30's"), "Young Adult (20–39)",
  OR(F883="40's", F883="50's"), "Adult (40–59)",
  OR(F883="60's", F883="70's", F883="80's", F883="90's"), "Senior (60+)",
  TRUE, "Unknown"
)</f>
        <v>Young Adult (20–39)</v>
      </c>
      <c r="H883" t="s">
        <v>841</v>
      </c>
      <c r="I883" t="s">
        <v>4108</v>
      </c>
      <c r="J883" t="str">
        <f t="shared" si="53"/>
        <v>Methamphetamine-related</v>
      </c>
      <c r="K883" t="s">
        <v>54</v>
      </c>
      <c r="L883" t="s">
        <v>250</v>
      </c>
      <c r="M883" t="s">
        <v>4882</v>
      </c>
      <c r="N883" t="s">
        <v>5101</v>
      </c>
      <c r="O883" t="str" cm="1">
        <f t="array" ref="O883">_xlfn.IFS(
  TEXT(TRIM(N883),"00000")="NULL", "Missing/Unknown",
  OR(TEXT(TRIM(N883),"00000")="89101", TEXT(TRIM(N883),"00000")="89104", TEXT(TRIM(N883),"00000")="89106", TEXT(TRIM(N883),"00000")="89102", TEXT(TRIM(N883),"00000")="89107", TEXT(TRIM(N883),"00000")="89108"), "Urban Core",
  OR(TEXT(TRIM(N883),"00000")="89110", TEXT(TRIM(N883),"00000")="89115", TEXT(TRIM(N883),"00000")="89121", TEXT(TRIM(N883),"00000")="89122", TEXT(TRIM(N883),"00000")="89142", TEXT(TRIM(N883),"00000")="89156"), "East Valley",
  OR(TEXT(TRIM(N883),"00000")="89030", TEXT(TRIM(N883),"00000")="89031", TEXT(TRIM(N883),"00000")="89032", TEXT(TRIM(N883),"00000")="89086", TEXT(TRIM(N883),"00000")="89084", TEXT(TRIM(N883),"00000")="89081"), "North LV",
  OR(TEXT(TRIM(N883),"00000")="89109", TEXT(TRIM(N883),"00000")="89103", TEXT(TRIM(N883),"00000")="89119", TEXT(TRIM(N883),"00000")="89123", TEXT(TRIM(N883),"00000")="89169", TEXT(TRIM(N883),"00000")="89118"), "South/Strip",
  OR(TEXT(TRIM(N883),"00000")="89074", TEXT(TRIM(N883),"00000")="89014", TEXT(TRIM(N883),"00000")="89015", TEXT(TRIM(N883),"00000")="89011", TEXT(TRIM(N883),"00000")="89012"), "Suburban SE",
  OR(TEXT(TRIM(N883),"00000")="89117", TEXT(TRIM(N883),"00000")="89128", TEXT(TRIM(N883),"00000")="89135", TEXT(TRIM(N883),"00000")="89144", TEXT(TRIM(N883),"00000")="89145", TEXT(TRIM(N883),"00000")="89147"), "West Valley",
  TRUE, "Other"
)</f>
        <v>Urban Core</v>
      </c>
      <c r="P883" t="s">
        <v>24</v>
      </c>
      <c r="Q883" t="str">
        <f t="shared" si="54"/>
        <v>Outdoors/Public</v>
      </c>
      <c r="R883" t="s">
        <v>4882</v>
      </c>
      <c r="S883" t="s">
        <v>5101</v>
      </c>
      <c r="T883" t="str" cm="1">
        <f t="array" ref="T883">_xlfn.IFS(
  TEXT(TRIM(S883),"00000")="NULL", "Missing/Unknown",
  OR(TEXT(TRIM(S883),"00000")="89101", TEXT(TRIM(S883),"00000")="89104", TEXT(TRIM(S883),"00000")="89106", TEXT(TRIM(S883),"00000")="89102", TEXT(TRIM(S883),"00000")="89107", TEXT(TRIM(S883),"00000")="89108"), "Urban Core",
  OR(TEXT(TRIM(S883),"00000")="89110", TEXT(TRIM(S883),"00000")="89115", TEXT(TRIM(S883),"00000")="89121", TEXT(TRIM(S883),"00000")="89122", TEXT(TRIM(S883),"00000")="89142", TEXT(TRIM(S883),"00000")="89156"), "East Valley",
  OR(TEXT(TRIM(S883),"00000")="89030", TEXT(TRIM(S883),"00000")="89031", TEXT(TRIM(S883),"00000")="89032", TEXT(TRIM(S883),"00000")="89086", TEXT(TRIM(S883),"00000")="89084", TEXT(TRIM(S883),"00000")="89081"), "North LV",
  OR(TEXT(TRIM(S883),"00000")="89109", TEXT(TRIM(S883),"00000")="89103", TEXT(TRIM(S883),"00000")="89119", TEXT(TRIM(S883),"00000")="89123", TEXT(TRIM(S883),"00000")="89169", TEXT(TRIM(S883),"00000")="89118"), "South/Strip",
  OR(TEXT(TRIM(S883),"00000")="89074", TEXT(TRIM(S883),"00000")="89014", TEXT(TRIM(S883),"00000")="89015", TEXT(TRIM(S883),"00000")="89011", TEXT(TRIM(S883),"00000")="89012"), "Suburban SE",
  OR(TEXT(TRIM(S883),"00000")="89117", TEXT(TRIM(S883),"00000")="89128", TEXT(TRIM(S883),"00000")="89135", TEXT(TRIM(S883),"00000")="89144", TEXT(TRIM(S883),"00000")="89145", TEXT(TRIM(S883),"00000")="89147"), "West Valley",
  TRUE, "Other"
)</f>
        <v>Urban Core</v>
      </c>
      <c r="U883" t="s">
        <v>24</v>
      </c>
      <c r="V883" t="str">
        <f t="shared" si="55"/>
        <v>Outdoors/Public</v>
      </c>
    </row>
    <row r="884" spans="1:22">
      <c r="A884" t="s">
        <v>1283</v>
      </c>
      <c r="B884" t="s">
        <v>1284</v>
      </c>
      <c r="C884" s="1">
        <v>44748</v>
      </c>
      <c r="D884" s="4">
        <v>102.02</v>
      </c>
      <c r="E884">
        <v>57</v>
      </c>
      <c r="F884" t="str">
        <f t="shared" si="52"/>
        <v>50's</v>
      </c>
      <c r="G884" t="str" cm="1">
        <f t="array" ref="G884">_xlfn.IFS(
  F884="10's", "Child (5–12)",
  OR(F884="20's", F884="30's"), "Young Adult (20–39)",
  OR(F884="40's", F884="50's"), "Adult (40–59)",
  OR(F884="60's", F884="70's", F884="80's", F884="90's"), "Senior (60+)",
  TRUE, "Unknown"
)</f>
        <v>Adult (40–59)</v>
      </c>
      <c r="H884" t="s">
        <v>841</v>
      </c>
      <c r="I884" t="s">
        <v>54</v>
      </c>
      <c r="J884" t="str">
        <f t="shared" si="53"/>
        <v>Environmental Heat</v>
      </c>
      <c r="K884" t="s">
        <v>63</v>
      </c>
      <c r="L884" t="s">
        <v>2693</v>
      </c>
      <c r="N884" t="s">
        <v>5095</v>
      </c>
      <c r="O884" t="str" cm="1">
        <f t="array" ref="O884">_xlfn.IFS(
  TEXT(TRIM(N884),"00000")="NULL", "Missing/Unknown",
  OR(TEXT(TRIM(N884),"00000")="89101", TEXT(TRIM(N884),"00000")="89104", TEXT(TRIM(N884),"00000")="89106", TEXT(TRIM(N884),"00000")="89102", TEXT(TRIM(N884),"00000")="89107", TEXT(TRIM(N884),"00000")="89108"), "Urban Core",
  OR(TEXT(TRIM(N884),"00000")="89110", TEXT(TRIM(N884),"00000")="89115", TEXT(TRIM(N884),"00000")="89121", TEXT(TRIM(N884),"00000")="89122", TEXT(TRIM(N884),"00000")="89142", TEXT(TRIM(N884),"00000")="89156"), "East Valley",
  OR(TEXT(TRIM(N884),"00000")="89030", TEXT(TRIM(N884),"00000")="89031", TEXT(TRIM(N884),"00000")="89032", TEXT(TRIM(N884),"00000")="89086", TEXT(TRIM(N884),"00000")="89084", TEXT(TRIM(N884),"00000")="89081"), "North LV",
  OR(TEXT(TRIM(N884),"00000")="89109", TEXT(TRIM(N884),"00000")="89103", TEXT(TRIM(N884),"00000")="89119", TEXT(TRIM(N884),"00000")="89123", TEXT(TRIM(N884),"00000")="89169", TEXT(TRIM(N884),"00000")="89118"), "South/Strip",
  OR(TEXT(TRIM(N884),"00000")="89074", TEXT(TRIM(N884),"00000")="89014", TEXT(TRIM(N884),"00000")="89015", TEXT(TRIM(N884),"00000")="89011", TEXT(TRIM(N884),"00000")="89012"), "Suburban SE",
  OR(TEXT(TRIM(N884),"00000")="89117", TEXT(TRIM(N884),"00000")="89128", TEXT(TRIM(N884),"00000")="89135", TEXT(TRIM(N884),"00000")="89144", TEXT(TRIM(N884),"00000")="89145", TEXT(TRIM(N884),"00000")="89147"), "West Valley",
  TRUE, "Other"
)</f>
        <v>Missing/Unknown</v>
      </c>
      <c r="P884" t="s">
        <v>3298</v>
      </c>
      <c r="Q884" t="str">
        <f t="shared" si="54"/>
        <v>Outdoors/Public</v>
      </c>
      <c r="S884" t="s">
        <v>5095</v>
      </c>
      <c r="T884" t="str" cm="1">
        <f t="array" ref="T884">_xlfn.IFS(
  TEXT(TRIM(S884),"00000")="NULL", "Missing/Unknown",
  OR(TEXT(TRIM(S884),"00000")="89101", TEXT(TRIM(S884),"00000")="89104", TEXT(TRIM(S884),"00000")="89106", TEXT(TRIM(S884),"00000")="89102", TEXT(TRIM(S884),"00000")="89107", TEXT(TRIM(S884),"00000")="89108"), "Urban Core",
  OR(TEXT(TRIM(S884),"00000")="89110", TEXT(TRIM(S884),"00000")="89115", TEXT(TRIM(S884),"00000")="89121", TEXT(TRIM(S884),"00000")="89122", TEXT(TRIM(S884),"00000")="89142", TEXT(TRIM(S884),"00000")="89156"), "East Valley",
  OR(TEXT(TRIM(S884),"00000")="89030", TEXT(TRIM(S884),"00000")="89031", TEXT(TRIM(S884),"00000")="89032", TEXT(TRIM(S884),"00000")="89086", TEXT(TRIM(S884),"00000")="89084", TEXT(TRIM(S884),"00000")="89081"), "North LV",
  OR(TEXT(TRIM(S884),"00000")="89109", TEXT(TRIM(S884),"00000")="89103", TEXT(TRIM(S884),"00000")="89119", TEXT(TRIM(S884),"00000")="89123", TEXT(TRIM(S884),"00000")="89169", TEXT(TRIM(S884),"00000")="89118"), "South/Strip",
  OR(TEXT(TRIM(S884),"00000")="89074", TEXT(TRIM(S884),"00000")="89014", TEXT(TRIM(S884),"00000")="89015", TEXT(TRIM(S884),"00000")="89011", TEXT(TRIM(S884),"00000")="89012"), "Suburban SE",
  OR(TEXT(TRIM(S884),"00000")="89117", TEXT(TRIM(S884),"00000")="89128", TEXT(TRIM(S884),"00000")="89135", TEXT(TRIM(S884),"00000")="89144", TEXT(TRIM(S884),"00000")="89145", TEXT(TRIM(S884),"00000")="89147"), "West Valley",
  TRUE, "Other"
)</f>
        <v>Missing/Unknown</v>
      </c>
      <c r="U884" t="s">
        <v>3298</v>
      </c>
      <c r="V884" t="str">
        <f t="shared" si="55"/>
        <v>Outdoors/Public</v>
      </c>
    </row>
    <row r="885" spans="1:22">
      <c r="A885" t="s">
        <v>1273</v>
      </c>
      <c r="B885" t="s">
        <v>1274</v>
      </c>
      <c r="C885" s="1">
        <v>44747</v>
      </c>
      <c r="D885" s="4">
        <v>100.94</v>
      </c>
      <c r="E885">
        <v>52</v>
      </c>
      <c r="F885" t="str">
        <f t="shared" si="52"/>
        <v>50's</v>
      </c>
      <c r="G885" t="str" cm="1">
        <f t="array" ref="G885">_xlfn.IFS(
  F885="10's", "Child (5–12)",
  OR(F885="20's", F885="30's"), "Young Adult (20–39)",
  OR(F885="40's", F885="50's"), "Adult (40–59)",
  OR(F885="60's", F885="70's", F885="80's", F885="90's"), "Senior (60+)",
  TRUE, "Unknown"
)</f>
        <v>Adult (40–59)</v>
      </c>
      <c r="H885" t="s">
        <v>841</v>
      </c>
      <c r="I885" t="s">
        <v>181</v>
      </c>
      <c r="J885" t="str">
        <f t="shared" si="53"/>
        <v>Other / Unknown</v>
      </c>
      <c r="K885" t="s">
        <v>4235</v>
      </c>
      <c r="L885" t="s">
        <v>1071</v>
      </c>
      <c r="M885" t="s">
        <v>4812</v>
      </c>
      <c r="N885" t="s">
        <v>5142</v>
      </c>
      <c r="O885" t="str" cm="1">
        <f t="array" ref="O885">_xlfn.IFS(
  TEXT(TRIM(N885),"00000")="NULL", "Missing/Unknown",
  OR(TEXT(TRIM(N885),"00000")="89101", TEXT(TRIM(N885),"00000")="89104", TEXT(TRIM(N885),"00000")="89106", TEXT(TRIM(N885),"00000")="89102", TEXT(TRIM(N885),"00000")="89107", TEXT(TRIM(N885),"00000")="89108"), "Urban Core",
  OR(TEXT(TRIM(N885),"00000")="89110", TEXT(TRIM(N885),"00000")="89115", TEXT(TRIM(N885),"00000")="89121", TEXT(TRIM(N885),"00000")="89122", TEXT(TRIM(N885),"00000")="89142", TEXT(TRIM(N885),"00000")="89156"), "East Valley",
  OR(TEXT(TRIM(N885),"00000")="89030", TEXT(TRIM(N885),"00000")="89031", TEXT(TRIM(N885),"00000")="89032", TEXT(TRIM(N885),"00000")="89086", TEXT(TRIM(N885),"00000")="89084", TEXT(TRIM(N885),"00000")="89081"), "North LV",
  OR(TEXT(TRIM(N885),"00000")="89109", TEXT(TRIM(N885),"00000")="89103", TEXT(TRIM(N885),"00000")="89119", TEXT(TRIM(N885),"00000")="89123", TEXT(TRIM(N885),"00000")="89169", TEXT(TRIM(N885),"00000")="89118"), "South/Strip",
  OR(TEXT(TRIM(N885),"00000")="89074", TEXT(TRIM(N885),"00000")="89014", TEXT(TRIM(N885),"00000")="89015", TEXT(TRIM(N885),"00000")="89011", TEXT(TRIM(N885),"00000")="89012"), "Suburban SE",
  OR(TEXT(TRIM(N885),"00000")="89117", TEXT(TRIM(N885),"00000")="89128", TEXT(TRIM(N885),"00000")="89135", TEXT(TRIM(N885),"00000")="89144", TEXT(TRIM(N885),"00000")="89145", TEXT(TRIM(N885),"00000")="89147"), "West Valley",
  TRUE, "Other"
)</f>
        <v>Suburban SE</v>
      </c>
      <c r="P885" t="s">
        <v>3298</v>
      </c>
      <c r="Q885" t="str">
        <f t="shared" si="54"/>
        <v>Outdoors/Public</v>
      </c>
      <c r="R885" t="s">
        <v>4812</v>
      </c>
      <c r="S885" t="s">
        <v>5142</v>
      </c>
      <c r="T885" t="str" cm="1">
        <f t="array" ref="T885">_xlfn.IFS(
  TEXT(TRIM(S885),"00000")="NULL", "Missing/Unknown",
  OR(TEXT(TRIM(S885),"00000")="89101", TEXT(TRIM(S885),"00000")="89104", TEXT(TRIM(S885),"00000")="89106", TEXT(TRIM(S885),"00000")="89102", TEXT(TRIM(S885),"00000")="89107", TEXT(TRIM(S885),"00000")="89108"), "Urban Core",
  OR(TEXT(TRIM(S885),"00000")="89110", TEXT(TRIM(S885),"00000")="89115", TEXT(TRIM(S885),"00000")="89121", TEXT(TRIM(S885),"00000")="89122", TEXT(TRIM(S885),"00000")="89142", TEXT(TRIM(S885),"00000")="89156"), "East Valley",
  OR(TEXT(TRIM(S885),"00000")="89030", TEXT(TRIM(S885),"00000")="89031", TEXT(TRIM(S885),"00000")="89032", TEXT(TRIM(S885),"00000")="89086", TEXT(TRIM(S885),"00000")="89084", TEXT(TRIM(S885),"00000")="89081"), "North LV",
  OR(TEXT(TRIM(S885),"00000")="89109", TEXT(TRIM(S885),"00000")="89103", TEXT(TRIM(S885),"00000")="89119", TEXT(TRIM(S885),"00000")="89123", TEXT(TRIM(S885),"00000")="89169", TEXT(TRIM(S885),"00000")="89118"), "South/Strip",
  OR(TEXT(TRIM(S885),"00000")="89074", TEXT(TRIM(S885),"00000")="89014", TEXT(TRIM(S885),"00000")="89015", TEXT(TRIM(S885),"00000")="89011", TEXT(TRIM(S885),"00000")="89012"), "Suburban SE",
  OR(TEXT(TRIM(S885),"00000")="89117", TEXT(TRIM(S885),"00000")="89128", TEXT(TRIM(S885),"00000")="89135", TEXT(TRIM(S885),"00000")="89144", TEXT(TRIM(S885),"00000")="89145", TEXT(TRIM(S885),"00000")="89147"), "West Valley",
  TRUE, "Other"
)</f>
        <v>Suburban SE</v>
      </c>
      <c r="U885" t="s">
        <v>3298</v>
      </c>
      <c r="V885" t="str">
        <f t="shared" si="55"/>
        <v>Outdoors/Public</v>
      </c>
    </row>
    <row r="886" spans="1:22">
      <c r="A886" t="s">
        <v>1269</v>
      </c>
      <c r="B886" t="s">
        <v>1270</v>
      </c>
      <c r="C886" s="1">
        <v>44747</v>
      </c>
      <c r="D886" s="4">
        <v>100.94</v>
      </c>
      <c r="E886">
        <v>80</v>
      </c>
      <c r="F886" t="str">
        <f t="shared" si="52"/>
        <v>80's</v>
      </c>
      <c r="G886" t="str" cm="1">
        <f t="array" ref="G886">_xlfn.IFS(
  F886="10's", "Child (5–12)",
  OR(F886="20's", F886="30's"), "Young Adult (20–39)",
  OR(F886="40's", F886="50's"), "Adult (40–59)",
  OR(F886="60's", F886="70's", F886="80's", F886="90's"), "Senior (60+)",
  TRUE, "Unknown"
)</f>
        <v>Senior (60+)</v>
      </c>
      <c r="H886" t="s">
        <v>841</v>
      </c>
      <c r="I886" t="s">
        <v>54</v>
      </c>
      <c r="J886" t="str">
        <f t="shared" si="53"/>
        <v>Environmental Heat</v>
      </c>
      <c r="K886" t="s">
        <v>299</v>
      </c>
      <c r="L886" t="s">
        <v>1071</v>
      </c>
      <c r="M886" t="s">
        <v>4443</v>
      </c>
      <c r="N886" t="s">
        <v>5108</v>
      </c>
      <c r="O886" t="str" cm="1">
        <f t="array" ref="O886">_xlfn.IFS(
  TEXT(TRIM(N886),"00000")="NULL", "Missing/Unknown",
  OR(TEXT(TRIM(N886),"00000")="89101", TEXT(TRIM(N886),"00000")="89104", TEXT(TRIM(N886),"00000")="89106", TEXT(TRIM(N886),"00000")="89102", TEXT(TRIM(N886),"00000")="89107", TEXT(TRIM(N886),"00000")="89108"), "Urban Core",
  OR(TEXT(TRIM(N886),"00000")="89110", TEXT(TRIM(N886),"00000")="89115", TEXT(TRIM(N886),"00000")="89121", TEXT(TRIM(N886),"00000")="89122", TEXT(TRIM(N886),"00000")="89142", TEXT(TRIM(N886),"00000")="89156"), "East Valley",
  OR(TEXT(TRIM(N886),"00000")="89030", TEXT(TRIM(N886),"00000")="89031", TEXT(TRIM(N886),"00000")="89032", TEXT(TRIM(N886),"00000")="89086", TEXT(TRIM(N886),"00000")="89084", TEXT(TRIM(N886),"00000")="89081"), "North LV",
  OR(TEXT(TRIM(N886),"00000")="89109", TEXT(TRIM(N886),"00000")="89103", TEXT(TRIM(N886),"00000")="89119", TEXT(TRIM(N886),"00000")="89123", TEXT(TRIM(N886),"00000")="89169", TEXT(TRIM(N886),"00000")="89118"), "South/Strip",
  OR(TEXT(TRIM(N886),"00000")="89074", TEXT(TRIM(N886),"00000")="89014", TEXT(TRIM(N886),"00000")="89015", TEXT(TRIM(N886),"00000")="89011", TEXT(TRIM(N886),"00000")="89012"), "Suburban SE",
  OR(TEXT(TRIM(N886),"00000")="89117", TEXT(TRIM(N886),"00000")="89128", TEXT(TRIM(N886),"00000")="89135", TEXT(TRIM(N886),"00000")="89144", TEXT(TRIM(N886),"00000")="89145", TEXT(TRIM(N886),"00000")="89147"), "West Valley",
  TRUE, "Other"
)</f>
        <v>East Valley</v>
      </c>
      <c r="P886" t="s">
        <v>38</v>
      </c>
      <c r="Q886" t="str">
        <f t="shared" si="54"/>
        <v>Home/Residence</v>
      </c>
      <c r="R886" t="s">
        <v>4443</v>
      </c>
      <c r="S886" t="s">
        <v>5108</v>
      </c>
      <c r="T886" t="str" cm="1">
        <f t="array" ref="T886">_xlfn.IFS(
  TEXT(TRIM(S886),"00000")="NULL", "Missing/Unknown",
  OR(TEXT(TRIM(S886),"00000")="89101", TEXT(TRIM(S886),"00000")="89104", TEXT(TRIM(S886),"00000")="89106", TEXT(TRIM(S886),"00000")="89102", TEXT(TRIM(S886),"00000")="89107", TEXT(TRIM(S886),"00000")="89108"), "Urban Core",
  OR(TEXT(TRIM(S886),"00000")="89110", TEXT(TRIM(S886),"00000")="89115", TEXT(TRIM(S886),"00000")="89121", TEXT(TRIM(S886),"00000")="89122", TEXT(TRIM(S886),"00000")="89142", TEXT(TRIM(S886),"00000")="89156"), "East Valley",
  OR(TEXT(TRIM(S886),"00000")="89030", TEXT(TRIM(S886),"00000")="89031", TEXT(TRIM(S886),"00000")="89032", TEXT(TRIM(S886),"00000")="89086", TEXT(TRIM(S886),"00000")="89084", TEXT(TRIM(S886),"00000")="89081"), "North LV",
  OR(TEXT(TRIM(S886),"00000")="89109", TEXT(TRIM(S886),"00000")="89103", TEXT(TRIM(S886),"00000")="89119", TEXT(TRIM(S886),"00000")="89123", TEXT(TRIM(S886),"00000")="89169", TEXT(TRIM(S886),"00000")="89118"), "South/Strip",
  OR(TEXT(TRIM(S886),"00000")="89074", TEXT(TRIM(S886),"00000")="89014", TEXT(TRIM(S886),"00000")="89015", TEXT(TRIM(S886),"00000")="89011", TEXT(TRIM(S886),"00000")="89012"), "Suburban SE",
  OR(TEXT(TRIM(S886),"00000")="89117", TEXT(TRIM(S886),"00000")="89128", TEXT(TRIM(S886),"00000")="89135", TEXT(TRIM(S886),"00000")="89144", TEXT(TRIM(S886),"00000")="89145", TEXT(TRIM(S886),"00000")="89147"), "West Valley",
  TRUE, "Other"
)</f>
        <v>East Valley</v>
      </c>
      <c r="U886" t="s">
        <v>38</v>
      </c>
      <c r="V886" t="str">
        <f t="shared" si="55"/>
        <v>Home/Residence</v>
      </c>
    </row>
    <row r="887" spans="1:22">
      <c r="A887" t="s">
        <v>1276</v>
      </c>
      <c r="B887" t="s">
        <v>1277</v>
      </c>
      <c r="C887" s="1">
        <v>44747</v>
      </c>
      <c r="D887" s="4">
        <v>100.94</v>
      </c>
      <c r="E887">
        <v>69</v>
      </c>
      <c r="F887" t="str">
        <f t="shared" si="52"/>
        <v>60's</v>
      </c>
      <c r="G887" t="str" cm="1">
        <f t="array" ref="G887">_xlfn.IFS(
  F887="10's", "Child (5–12)",
  OR(F887="20's", F887="30's"), "Young Adult (20–39)",
  OR(F887="40's", F887="50's"), "Adult (40–59)",
  OR(F887="60's", F887="70's", F887="80's", F887="90's"), "Senior (60+)",
  TRUE, "Unknown"
)</f>
        <v>Senior (60+)</v>
      </c>
      <c r="H887" t="s">
        <v>841</v>
      </c>
      <c r="I887" t="s">
        <v>4089</v>
      </c>
      <c r="J887" t="str">
        <f t="shared" si="53"/>
        <v>Other / Unknown</v>
      </c>
      <c r="K887" t="s">
        <v>54</v>
      </c>
      <c r="L887" t="s">
        <v>1071</v>
      </c>
      <c r="M887" t="s">
        <v>4444</v>
      </c>
      <c r="N887" t="s">
        <v>5117</v>
      </c>
      <c r="O887" t="str" cm="1">
        <f t="array" ref="O887">_xlfn.IFS(
  TEXT(TRIM(N887),"00000")="NULL", "Missing/Unknown",
  OR(TEXT(TRIM(N887),"00000")="89101", TEXT(TRIM(N887),"00000")="89104", TEXT(TRIM(N887),"00000")="89106", TEXT(TRIM(N887),"00000")="89102", TEXT(TRIM(N887),"00000")="89107", TEXT(TRIM(N887),"00000")="89108"), "Urban Core",
  OR(TEXT(TRIM(N887),"00000")="89110", TEXT(TRIM(N887),"00000")="89115", TEXT(TRIM(N887),"00000")="89121", TEXT(TRIM(N887),"00000")="89122", TEXT(TRIM(N887),"00000")="89142", TEXT(TRIM(N887),"00000")="89156"), "East Valley",
  OR(TEXT(TRIM(N887),"00000")="89030", TEXT(TRIM(N887),"00000")="89031", TEXT(TRIM(N887),"00000")="89032", TEXT(TRIM(N887),"00000")="89086", TEXT(TRIM(N887),"00000")="89084", TEXT(TRIM(N887),"00000")="89081"), "North LV",
  OR(TEXT(TRIM(N887),"00000")="89109", TEXT(TRIM(N887),"00000")="89103", TEXT(TRIM(N887),"00000")="89119", TEXT(TRIM(N887),"00000")="89123", TEXT(TRIM(N887),"00000")="89169", TEXT(TRIM(N887),"00000")="89118"), "South/Strip",
  OR(TEXT(TRIM(N887),"00000")="89074", TEXT(TRIM(N887),"00000")="89014", TEXT(TRIM(N887),"00000")="89015", TEXT(TRIM(N887),"00000")="89011", TEXT(TRIM(N887),"00000")="89012"), "Suburban SE",
  OR(TEXT(TRIM(N887),"00000")="89117", TEXT(TRIM(N887),"00000")="89128", TEXT(TRIM(N887),"00000")="89135", TEXT(TRIM(N887),"00000")="89144", TEXT(TRIM(N887),"00000")="89145", TEXT(TRIM(N887),"00000")="89147"), "West Valley",
  TRUE, "Other"
)</f>
        <v>North LV</v>
      </c>
      <c r="P887" t="s">
        <v>38</v>
      </c>
      <c r="Q887" t="str">
        <f t="shared" si="54"/>
        <v>Home/Residence</v>
      </c>
      <c r="R887" t="s">
        <v>4444</v>
      </c>
      <c r="S887" t="s">
        <v>5117</v>
      </c>
      <c r="T887" t="str" cm="1">
        <f t="array" ref="T887">_xlfn.IFS(
  TEXT(TRIM(S887),"00000")="NULL", "Missing/Unknown",
  OR(TEXT(TRIM(S887),"00000")="89101", TEXT(TRIM(S887),"00000")="89104", TEXT(TRIM(S887),"00000")="89106", TEXT(TRIM(S887),"00000")="89102", TEXT(TRIM(S887),"00000")="89107", TEXT(TRIM(S887),"00000")="89108"), "Urban Core",
  OR(TEXT(TRIM(S887),"00000")="89110", TEXT(TRIM(S887),"00000")="89115", TEXT(TRIM(S887),"00000")="89121", TEXT(TRIM(S887),"00000")="89122", TEXT(TRIM(S887),"00000")="89142", TEXT(TRIM(S887),"00000")="89156"), "East Valley",
  OR(TEXT(TRIM(S887),"00000")="89030", TEXT(TRIM(S887),"00000")="89031", TEXT(TRIM(S887),"00000")="89032", TEXT(TRIM(S887),"00000")="89086", TEXT(TRIM(S887),"00000")="89084", TEXT(TRIM(S887),"00000")="89081"), "North LV",
  OR(TEXT(TRIM(S887),"00000")="89109", TEXT(TRIM(S887),"00000")="89103", TEXT(TRIM(S887),"00000")="89119", TEXT(TRIM(S887),"00000")="89123", TEXT(TRIM(S887),"00000")="89169", TEXT(TRIM(S887),"00000")="89118"), "South/Strip",
  OR(TEXT(TRIM(S887),"00000")="89074", TEXT(TRIM(S887),"00000")="89014", TEXT(TRIM(S887),"00000")="89015", TEXT(TRIM(S887),"00000")="89011", TEXT(TRIM(S887),"00000")="89012"), "Suburban SE",
  OR(TEXT(TRIM(S887),"00000")="89117", TEXT(TRIM(S887),"00000")="89128", TEXT(TRIM(S887),"00000")="89135", TEXT(TRIM(S887),"00000")="89144", TEXT(TRIM(S887),"00000")="89145", TEXT(TRIM(S887),"00000")="89147"), "West Valley",
  TRUE, "Other"
)</f>
        <v>North LV</v>
      </c>
      <c r="U887" t="s">
        <v>38</v>
      </c>
      <c r="V887" t="str">
        <f t="shared" si="55"/>
        <v>Home/Residence</v>
      </c>
    </row>
    <row r="888" spans="1:22">
      <c r="A888" t="s">
        <v>1265</v>
      </c>
      <c r="B888" t="s">
        <v>1266</v>
      </c>
      <c r="C888" s="1">
        <v>44746</v>
      </c>
      <c r="D888" s="4">
        <v>100.94</v>
      </c>
      <c r="E888">
        <v>56</v>
      </c>
      <c r="F888" t="str">
        <f t="shared" si="52"/>
        <v>50's</v>
      </c>
      <c r="G888" t="str" cm="1">
        <f t="array" ref="G888">_xlfn.IFS(
  F888="10's", "Child (5–12)",
  OR(F888="20's", F888="30's"), "Young Adult (20–39)",
  OR(F888="40's", F888="50's"), "Adult (40–59)",
  OR(F888="60's", F888="70's", F888="80's", F888="90's"), "Senior (60+)",
  TRUE, "Unknown"
)</f>
        <v>Adult (40–59)</v>
      </c>
      <c r="H888" t="s">
        <v>841</v>
      </c>
      <c r="I888" t="s">
        <v>135</v>
      </c>
      <c r="J888" t="str">
        <f t="shared" si="53"/>
        <v>Methamphetamine-related</v>
      </c>
      <c r="K888" t="s">
        <v>1267</v>
      </c>
      <c r="L888" t="s">
        <v>250</v>
      </c>
      <c r="M888" t="s">
        <v>4813</v>
      </c>
      <c r="N888" t="s">
        <v>5101</v>
      </c>
      <c r="O888" t="str" cm="1">
        <f t="array" ref="O888">_xlfn.IFS(
  TEXT(TRIM(N888),"00000")="NULL", "Missing/Unknown",
  OR(TEXT(TRIM(N888),"00000")="89101", TEXT(TRIM(N888),"00000")="89104", TEXT(TRIM(N888),"00000")="89106", TEXT(TRIM(N888),"00000")="89102", TEXT(TRIM(N888),"00000")="89107", TEXT(TRIM(N888),"00000")="89108"), "Urban Core",
  OR(TEXT(TRIM(N888),"00000")="89110", TEXT(TRIM(N888),"00000")="89115", TEXT(TRIM(N888),"00000")="89121", TEXT(TRIM(N888),"00000")="89122", TEXT(TRIM(N888),"00000")="89142", TEXT(TRIM(N888),"00000")="89156"), "East Valley",
  OR(TEXT(TRIM(N888),"00000")="89030", TEXT(TRIM(N888),"00000")="89031", TEXT(TRIM(N888),"00000")="89032", TEXT(TRIM(N888),"00000")="89086", TEXT(TRIM(N888),"00000")="89084", TEXT(TRIM(N888),"00000")="89081"), "North LV",
  OR(TEXT(TRIM(N888),"00000")="89109", TEXT(TRIM(N888),"00000")="89103", TEXT(TRIM(N888),"00000")="89119", TEXT(TRIM(N888),"00000")="89123", TEXT(TRIM(N888),"00000")="89169", TEXT(TRIM(N888),"00000")="89118"), "South/Strip",
  OR(TEXT(TRIM(N888),"00000")="89074", TEXT(TRIM(N888),"00000")="89014", TEXT(TRIM(N888),"00000")="89015", TEXT(TRIM(N888),"00000")="89011", TEXT(TRIM(N888),"00000")="89012"), "Suburban SE",
  OR(TEXT(TRIM(N888),"00000")="89117", TEXT(TRIM(N888),"00000")="89128", TEXT(TRIM(N888),"00000")="89135", TEXT(TRIM(N888),"00000")="89144", TEXT(TRIM(N888),"00000")="89145", TEXT(TRIM(N888),"00000")="89147"), "West Valley",
  TRUE, "Other"
)</f>
        <v>Urban Core</v>
      </c>
      <c r="P888" t="s">
        <v>3298</v>
      </c>
      <c r="Q888" t="str">
        <f t="shared" si="54"/>
        <v>Outdoors/Public</v>
      </c>
      <c r="R888" t="s">
        <v>4813</v>
      </c>
      <c r="S888" t="s">
        <v>5101</v>
      </c>
      <c r="T888" t="str" cm="1">
        <f t="array" ref="T888">_xlfn.IFS(
  TEXT(TRIM(S888),"00000")="NULL", "Missing/Unknown",
  OR(TEXT(TRIM(S888),"00000")="89101", TEXT(TRIM(S888),"00000")="89104", TEXT(TRIM(S888),"00000")="89106", TEXT(TRIM(S888),"00000")="89102", TEXT(TRIM(S888),"00000")="89107", TEXT(TRIM(S888),"00000")="89108"), "Urban Core",
  OR(TEXT(TRIM(S888),"00000")="89110", TEXT(TRIM(S888),"00000")="89115", TEXT(TRIM(S888),"00000")="89121", TEXT(TRIM(S888),"00000")="89122", TEXT(TRIM(S888),"00000")="89142", TEXT(TRIM(S888),"00000")="89156"), "East Valley",
  OR(TEXT(TRIM(S888),"00000")="89030", TEXT(TRIM(S888),"00000")="89031", TEXT(TRIM(S888),"00000")="89032", TEXT(TRIM(S888),"00000")="89086", TEXT(TRIM(S888),"00000")="89084", TEXT(TRIM(S888),"00000")="89081"), "North LV",
  OR(TEXT(TRIM(S888),"00000")="89109", TEXT(TRIM(S888),"00000")="89103", TEXT(TRIM(S888),"00000")="89119", TEXT(TRIM(S888),"00000")="89123", TEXT(TRIM(S888),"00000")="89169", TEXT(TRIM(S888),"00000")="89118"), "South/Strip",
  OR(TEXT(TRIM(S888),"00000")="89074", TEXT(TRIM(S888),"00000")="89014", TEXT(TRIM(S888),"00000")="89015", TEXT(TRIM(S888),"00000")="89011", TEXT(TRIM(S888),"00000")="89012"), "Suburban SE",
  OR(TEXT(TRIM(S888),"00000")="89117", TEXT(TRIM(S888),"00000")="89128", TEXT(TRIM(S888),"00000")="89135", TEXT(TRIM(S888),"00000")="89144", TEXT(TRIM(S888),"00000")="89145", TEXT(TRIM(S888),"00000")="89147"), "West Valley",
  TRUE, "Other"
)</f>
        <v>Urban Core</v>
      </c>
      <c r="U888" t="s">
        <v>3298</v>
      </c>
      <c r="V888" t="str">
        <f t="shared" si="55"/>
        <v>Outdoors/Public</v>
      </c>
    </row>
    <row r="889" spans="1:22">
      <c r="A889" t="s">
        <v>1261</v>
      </c>
      <c r="B889" t="s">
        <v>1262</v>
      </c>
      <c r="C889" s="1">
        <v>44745</v>
      </c>
      <c r="D889" s="4">
        <v>100.04</v>
      </c>
      <c r="E889">
        <v>76</v>
      </c>
      <c r="F889" t="str">
        <f t="shared" si="52"/>
        <v>70's</v>
      </c>
      <c r="G889" t="str" cm="1">
        <f t="array" ref="G889">_xlfn.IFS(
  F889="10's", "Child (5–12)",
  OR(F889="20's", F889="30's"), "Young Adult (20–39)",
  OR(F889="40's", F889="50's"), "Adult (40–59)",
  OR(F889="60's", F889="70's", F889="80's", F889="90's"), "Senior (60+)",
  TRUE, "Unknown"
)</f>
        <v>Senior (60+)</v>
      </c>
      <c r="H889" t="s">
        <v>841</v>
      </c>
      <c r="I889" t="s">
        <v>54</v>
      </c>
      <c r="J889" t="str">
        <f t="shared" si="53"/>
        <v>Environmental Heat</v>
      </c>
      <c r="K889" t="s">
        <v>4191</v>
      </c>
      <c r="L889" t="s">
        <v>1071</v>
      </c>
      <c r="M889" t="s">
        <v>4445</v>
      </c>
      <c r="N889" t="s">
        <v>5115</v>
      </c>
      <c r="O889" t="str" cm="1">
        <f t="array" ref="O889">_xlfn.IFS(
  TEXT(TRIM(N889),"00000")="NULL", "Missing/Unknown",
  OR(TEXT(TRIM(N889),"00000")="89101", TEXT(TRIM(N889),"00000")="89104", TEXT(TRIM(N889),"00000")="89106", TEXT(TRIM(N889),"00000")="89102", TEXT(TRIM(N889),"00000")="89107", TEXT(TRIM(N889),"00000")="89108"), "Urban Core",
  OR(TEXT(TRIM(N889),"00000")="89110", TEXT(TRIM(N889),"00000")="89115", TEXT(TRIM(N889),"00000")="89121", TEXT(TRIM(N889),"00000")="89122", TEXT(TRIM(N889),"00000")="89142", TEXT(TRIM(N889),"00000")="89156"), "East Valley",
  OR(TEXT(TRIM(N889),"00000")="89030", TEXT(TRIM(N889),"00000")="89031", TEXT(TRIM(N889),"00000")="89032", TEXT(TRIM(N889),"00000")="89086", TEXT(TRIM(N889),"00000")="89084", TEXT(TRIM(N889),"00000")="89081"), "North LV",
  OR(TEXT(TRIM(N889),"00000")="89109", TEXT(TRIM(N889),"00000")="89103", TEXT(TRIM(N889),"00000")="89119", TEXT(TRIM(N889),"00000")="89123", TEXT(TRIM(N889),"00000")="89169", TEXT(TRIM(N889),"00000")="89118"), "South/Strip",
  OR(TEXT(TRIM(N889),"00000")="89074", TEXT(TRIM(N889),"00000")="89014", TEXT(TRIM(N889),"00000")="89015", TEXT(TRIM(N889),"00000")="89011", TEXT(TRIM(N889),"00000")="89012"), "Suburban SE",
  OR(TEXT(TRIM(N889),"00000")="89117", TEXT(TRIM(N889),"00000")="89128", TEXT(TRIM(N889),"00000")="89135", TEXT(TRIM(N889),"00000")="89144", TEXT(TRIM(N889),"00000")="89145", TEXT(TRIM(N889),"00000")="89147"), "West Valley",
  TRUE, "Other"
)</f>
        <v>Other</v>
      </c>
      <c r="P889" t="s">
        <v>38</v>
      </c>
      <c r="Q889" t="str">
        <f t="shared" si="54"/>
        <v>Home/Residence</v>
      </c>
      <c r="R889" t="s">
        <v>4445</v>
      </c>
      <c r="S889" t="s">
        <v>5115</v>
      </c>
      <c r="T889" t="str" cm="1">
        <f t="array" ref="T889">_xlfn.IFS(
  TEXT(TRIM(S889),"00000")="NULL", "Missing/Unknown",
  OR(TEXT(TRIM(S889),"00000")="89101", TEXT(TRIM(S889),"00000")="89104", TEXT(TRIM(S889),"00000")="89106", TEXT(TRIM(S889),"00000")="89102", TEXT(TRIM(S889),"00000")="89107", TEXT(TRIM(S889),"00000")="89108"), "Urban Core",
  OR(TEXT(TRIM(S889),"00000")="89110", TEXT(TRIM(S889),"00000")="89115", TEXT(TRIM(S889),"00000")="89121", TEXT(TRIM(S889),"00000")="89122", TEXT(TRIM(S889),"00000")="89142", TEXT(TRIM(S889),"00000")="89156"), "East Valley",
  OR(TEXT(TRIM(S889),"00000")="89030", TEXT(TRIM(S889),"00000")="89031", TEXT(TRIM(S889),"00000")="89032", TEXT(TRIM(S889),"00000")="89086", TEXT(TRIM(S889),"00000")="89084", TEXT(TRIM(S889),"00000")="89081"), "North LV",
  OR(TEXT(TRIM(S889),"00000")="89109", TEXT(TRIM(S889),"00000")="89103", TEXT(TRIM(S889),"00000")="89119", TEXT(TRIM(S889),"00000")="89123", TEXT(TRIM(S889),"00000")="89169", TEXT(TRIM(S889),"00000")="89118"), "South/Strip",
  OR(TEXT(TRIM(S889),"00000")="89074", TEXT(TRIM(S889),"00000")="89014", TEXT(TRIM(S889),"00000")="89015", TEXT(TRIM(S889),"00000")="89011", TEXT(TRIM(S889),"00000")="89012"), "Suburban SE",
  OR(TEXT(TRIM(S889),"00000")="89117", TEXT(TRIM(S889),"00000")="89128", TEXT(TRIM(S889),"00000")="89135", TEXT(TRIM(S889),"00000")="89144", TEXT(TRIM(S889),"00000")="89145", TEXT(TRIM(S889),"00000")="89147"), "West Valley",
  TRUE, "Other"
)</f>
        <v>Other</v>
      </c>
      <c r="U889" t="s">
        <v>38</v>
      </c>
      <c r="V889" t="str">
        <f t="shared" si="55"/>
        <v>Home/Residence</v>
      </c>
    </row>
    <row r="890" spans="1:22">
      <c r="A890" t="s">
        <v>1258</v>
      </c>
      <c r="B890" t="s">
        <v>1259</v>
      </c>
      <c r="C890" s="1">
        <v>44743</v>
      </c>
      <c r="D890" s="4">
        <v>105.98</v>
      </c>
      <c r="E890">
        <v>49</v>
      </c>
      <c r="F890" t="str">
        <f t="shared" si="52"/>
        <v>40's</v>
      </c>
      <c r="G890" t="str" cm="1">
        <f t="array" ref="G890">_xlfn.IFS(
  F890="10's", "Child (5–12)",
  OR(F890="20's", F890="30's"), "Young Adult (20–39)",
  OR(F890="40's", F890="50's"), "Adult (40–59)",
  OR(F890="60's", F890="70's", F890="80's", F890="90's"), "Senior (60+)",
  TRUE, "Unknown"
)</f>
        <v>Adult (40–59)</v>
      </c>
      <c r="H890" t="s">
        <v>841</v>
      </c>
      <c r="I890" t="s">
        <v>35</v>
      </c>
      <c r="J890" t="str">
        <f t="shared" si="53"/>
        <v>Environmental Heat</v>
      </c>
      <c r="K890" t="s">
        <v>28</v>
      </c>
      <c r="L890" t="s">
        <v>1071</v>
      </c>
      <c r="M890" t="s">
        <v>4973</v>
      </c>
      <c r="N890" t="s">
        <v>5120</v>
      </c>
      <c r="O890" t="str" cm="1">
        <f t="array" ref="O890">_xlfn.IFS(
  TEXT(TRIM(N890),"00000")="NULL", "Missing/Unknown",
  OR(TEXT(TRIM(N890),"00000")="89101", TEXT(TRIM(N890),"00000")="89104", TEXT(TRIM(N890),"00000")="89106", TEXT(TRIM(N890),"00000")="89102", TEXT(TRIM(N890),"00000")="89107", TEXT(TRIM(N890),"00000")="89108"), "Urban Core",
  OR(TEXT(TRIM(N890),"00000")="89110", TEXT(TRIM(N890),"00000")="89115", TEXT(TRIM(N890),"00000")="89121", TEXT(TRIM(N890),"00000")="89122", TEXT(TRIM(N890),"00000")="89142", TEXT(TRIM(N890),"00000")="89156"), "East Valley",
  OR(TEXT(TRIM(N890),"00000")="89030", TEXT(TRIM(N890),"00000")="89031", TEXT(TRIM(N890),"00000")="89032", TEXT(TRIM(N890),"00000")="89086", TEXT(TRIM(N890),"00000")="89084", TEXT(TRIM(N890),"00000")="89081"), "North LV",
  OR(TEXT(TRIM(N890),"00000")="89109", TEXT(TRIM(N890),"00000")="89103", TEXT(TRIM(N890),"00000")="89119", TEXT(TRIM(N890),"00000")="89123", TEXT(TRIM(N890),"00000")="89169", TEXT(TRIM(N890),"00000")="89118"), "South/Strip",
  OR(TEXT(TRIM(N890),"00000")="89074", TEXT(TRIM(N890),"00000")="89014", TEXT(TRIM(N890),"00000")="89015", TEXT(TRIM(N890),"00000")="89011", TEXT(TRIM(N890),"00000")="89012"), "Suburban SE",
  OR(TEXT(TRIM(N890),"00000")="89117", TEXT(TRIM(N890),"00000")="89128", TEXT(TRIM(N890),"00000")="89135", TEXT(TRIM(N890),"00000")="89144", TEXT(TRIM(N890),"00000")="89145", TEXT(TRIM(N890),"00000")="89147"), "West Valley",
  TRUE, "Other"
)</f>
        <v>Suburban SE</v>
      </c>
      <c r="P890" t="s">
        <v>65</v>
      </c>
      <c r="Q890" t="str">
        <f t="shared" si="54"/>
        <v>Vehicle-related</v>
      </c>
      <c r="R890" t="s">
        <v>4973</v>
      </c>
      <c r="S890" t="s">
        <v>5120</v>
      </c>
      <c r="T890" t="str" cm="1">
        <f t="array" ref="T890">_xlfn.IFS(
  TEXT(TRIM(S890),"00000")="NULL", "Missing/Unknown",
  OR(TEXT(TRIM(S890),"00000")="89101", TEXT(TRIM(S890),"00000")="89104", TEXT(TRIM(S890),"00000")="89106", TEXT(TRIM(S890),"00000")="89102", TEXT(TRIM(S890),"00000")="89107", TEXT(TRIM(S890),"00000")="89108"), "Urban Core",
  OR(TEXT(TRIM(S890),"00000")="89110", TEXT(TRIM(S890),"00000")="89115", TEXT(TRIM(S890),"00000")="89121", TEXT(TRIM(S890),"00000")="89122", TEXT(TRIM(S890),"00000")="89142", TEXT(TRIM(S890),"00000")="89156"), "East Valley",
  OR(TEXT(TRIM(S890),"00000")="89030", TEXT(TRIM(S890),"00000")="89031", TEXT(TRIM(S890),"00000")="89032", TEXT(TRIM(S890),"00000")="89086", TEXT(TRIM(S890),"00000")="89084", TEXT(TRIM(S890),"00000")="89081"), "North LV",
  OR(TEXT(TRIM(S890),"00000")="89109", TEXT(TRIM(S890),"00000")="89103", TEXT(TRIM(S890),"00000")="89119", TEXT(TRIM(S890),"00000")="89123", TEXT(TRIM(S890),"00000")="89169", TEXT(TRIM(S890),"00000")="89118"), "South/Strip",
  OR(TEXT(TRIM(S890),"00000")="89074", TEXT(TRIM(S890),"00000")="89014", TEXT(TRIM(S890),"00000")="89015", TEXT(TRIM(S890),"00000")="89011", TEXT(TRIM(S890),"00000")="89012"), "Suburban SE",
  OR(TEXT(TRIM(S890),"00000")="89117", TEXT(TRIM(S890),"00000")="89128", TEXT(TRIM(S890),"00000")="89135", TEXT(TRIM(S890),"00000")="89144", TEXT(TRIM(S890),"00000")="89145", TEXT(TRIM(S890),"00000")="89147"), "West Valley",
  TRUE, "Other"
)</f>
        <v>Suburban SE</v>
      </c>
      <c r="U890" t="s">
        <v>65</v>
      </c>
      <c r="V890" t="str">
        <f t="shared" si="55"/>
        <v>Vehicle-related</v>
      </c>
    </row>
    <row r="891" spans="1:22">
      <c r="A891" t="s">
        <v>1255</v>
      </c>
      <c r="B891" t="s">
        <v>1256</v>
      </c>
      <c r="C891" s="1">
        <v>44742</v>
      </c>
      <c r="D891" s="4">
        <v>105.08</v>
      </c>
      <c r="E891">
        <v>37</v>
      </c>
      <c r="F891" t="str">
        <f t="shared" si="52"/>
        <v>30's</v>
      </c>
      <c r="G891" t="str" cm="1">
        <f t="array" ref="G891">_xlfn.IFS(
  F891="10's", "Child (5–12)",
  OR(F891="20's", F891="30's"), "Young Adult (20–39)",
  OR(F891="40's", F891="50's"), "Adult (40–59)",
  OR(F891="60's", F891="70's", F891="80's", F891="90's"), "Senior (60+)",
  TRUE, "Unknown"
)</f>
        <v>Young Adult (20–39)</v>
      </c>
      <c r="H891" t="s">
        <v>27</v>
      </c>
      <c r="I891" t="s">
        <v>97</v>
      </c>
      <c r="J891" t="str">
        <f t="shared" si="53"/>
        <v>Environmental Heat</v>
      </c>
      <c r="K891" t="s">
        <v>4257</v>
      </c>
      <c r="L891" t="s">
        <v>250</v>
      </c>
      <c r="N891" t="s">
        <v>5095</v>
      </c>
      <c r="O891" t="str" cm="1">
        <f t="array" ref="O891">_xlfn.IFS(
  TEXT(TRIM(N891),"00000")="NULL", "Missing/Unknown",
  OR(TEXT(TRIM(N891),"00000")="89101", TEXT(TRIM(N891),"00000")="89104", TEXT(TRIM(N891),"00000")="89106", TEXT(TRIM(N891),"00000")="89102", TEXT(TRIM(N891),"00000")="89107", TEXT(TRIM(N891),"00000")="89108"), "Urban Core",
  OR(TEXT(TRIM(N891),"00000")="89110", TEXT(TRIM(N891),"00000")="89115", TEXT(TRIM(N891),"00000")="89121", TEXT(TRIM(N891),"00000")="89122", TEXT(TRIM(N891),"00000")="89142", TEXT(TRIM(N891),"00000")="89156"), "East Valley",
  OR(TEXT(TRIM(N891),"00000")="89030", TEXT(TRIM(N891),"00000")="89031", TEXT(TRIM(N891),"00000")="89032", TEXT(TRIM(N891),"00000")="89086", TEXT(TRIM(N891),"00000")="89084", TEXT(TRIM(N891),"00000")="89081"), "North LV",
  OR(TEXT(TRIM(N891),"00000")="89109", TEXT(TRIM(N891),"00000")="89103", TEXT(TRIM(N891),"00000")="89119", TEXT(TRIM(N891),"00000")="89123", TEXT(TRIM(N891),"00000")="89169", TEXT(TRIM(N891),"00000")="89118"), "South/Strip",
  OR(TEXT(TRIM(N891),"00000")="89074", TEXT(TRIM(N891),"00000")="89014", TEXT(TRIM(N891),"00000")="89015", TEXT(TRIM(N891),"00000")="89011", TEXT(TRIM(N891),"00000")="89012"), "Suburban SE",
  OR(TEXT(TRIM(N891),"00000")="89117", TEXT(TRIM(N891),"00000")="89128", TEXT(TRIM(N891),"00000")="89135", TEXT(TRIM(N891),"00000")="89144", TEXT(TRIM(N891),"00000")="89145", TEXT(TRIM(N891),"00000")="89147"), "West Valley",
  TRUE, "Other"
)</f>
        <v>Missing/Unknown</v>
      </c>
      <c r="P891" t="s">
        <v>38</v>
      </c>
      <c r="Q891" t="str">
        <f t="shared" si="54"/>
        <v>Home/Residence</v>
      </c>
      <c r="R891" t="s">
        <v>4713</v>
      </c>
      <c r="S891" t="s">
        <v>5125</v>
      </c>
      <c r="T891" t="str" cm="1">
        <f t="array" ref="T891">_xlfn.IFS(
  TEXT(TRIM(S891),"00000")="NULL", "Missing/Unknown",
  OR(TEXT(TRIM(S891),"00000")="89101", TEXT(TRIM(S891),"00000")="89104", TEXT(TRIM(S891),"00000")="89106", TEXT(TRIM(S891),"00000")="89102", TEXT(TRIM(S891),"00000")="89107", TEXT(TRIM(S891),"00000")="89108"), "Urban Core",
  OR(TEXT(TRIM(S891),"00000")="89110", TEXT(TRIM(S891),"00000")="89115", TEXT(TRIM(S891),"00000")="89121", TEXT(TRIM(S891),"00000")="89122", TEXT(TRIM(S891),"00000")="89142", TEXT(TRIM(S891),"00000")="89156"), "East Valley",
  OR(TEXT(TRIM(S891),"00000")="89030", TEXT(TRIM(S891),"00000")="89031", TEXT(TRIM(S891),"00000")="89032", TEXT(TRIM(S891),"00000")="89086", TEXT(TRIM(S891),"00000")="89084", TEXT(TRIM(S891),"00000")="89081"), "North LV",
  OR(TEXT(TRIM(S891),"00000")="89109", TEXT(TRIM(S891),"00000")="89103", TEXT(TRIM(S891),"00000")="89119", TEXT(TRIM(S891),"00000")="89123", TEXT(TRIM(S891),"00000")="89169", TEXT(TRIM(S891),"00000")="89118"), "South/Strip",
  OR(TEXT(TRIM(S891),"00000")="89074", TEXT(TRIM(S891),"00000")="89014", TEXT(TRIM(S891),"00000")="89015", TEXT(TRIM(S891),"00000")="89011", TEXT(TRIM(S891),"00000")="89012"), "Suburban SE",
  OR(TEXT(TRIM(S891),"00000")="89117", TEXT(TRIM(S891),"00000")="89128", TEXT(TRIM(S891),"00000")="89135", TEXT(TRIM(S891),"00000")="89144", TEXT(TRIM(S891),"00000")="89145", TEXT(TRIM(S891),"00000")="89147"), "West Valley",
  TRUE, "Other"
)</f>
        <v>South/Strip</v>
      </c>
      <c r="U891" t="s">
        <v>4305</v>
      </c>
      <c r="V891" t="str">
        <f t="shared" si="55"/>
        <v>Medical Facility</v>
      </c>
    </row>
    <row r="892" spans="1:22">
      <c r="A892" t="s">
        <v>1252</v>
      </c>
      <c r="B892" t="s">
        <v>1253</v>
      </c>
      <c r="C892" s="1">
        <v>44742</v>
      </c>
      <c r="D892" s="4">
        <v>105.08</v>
      </c>
      <c r="E892">
        <v>39</v>
      </c>
      <c r="F892" t="str">
        <f t="shared" si="52"/>
        <v>30's</v>
      </c>
      <c r="G892" t="str" cm="1">
        <f t="array" ref="G892">_xlfn.IFS(
  F892="10's", "Child (5–12)",
  OR(F892="20's", F892="30's"), "Young Adult (20–39)",
  OR(F892="40's", F892="50's"), "Adult (40–59)",
  OR(F892="60's", F892="70's", F892="80's", F892="90's"), "Senior (60+)",
  TRUE, "Unknown"
)</f>
        <v>Young Adult (20–39)</v>
      </c>
      <c r="H892" t="s">
        <v>778</v>
      </c>
      <c r="I892" t="s">
        <v>54</v>
      </c>
      <c r="J892" t="str">
        <f t="shared" si="53"/>
        <v>Environmental Heat</v>
      </c>
      <c r="K892" t="s">
        <v>1254</v>
      </c>
      <c r="L892" t="s">
        <v>250</v>
      </c>
      <c r="N892" t="s">
        <v>5095</v>
      </c>
      <c r="O892" t="str" cm="1">
        <f t="array" ref="O892">_xlfn.IFS(
  TEXT(TRIM(N892),"00000")="NULL", "Missing/Unknown",
  OR(TEXT(TRIM(N892),"00000")="89101", TEXT(TRIM(N892),"00000")="89104", TEXT(TRIM(N892),"00000")="89106", TEXT(TRIM(N892),"00000")="89102", TEXT(TRIM(N892),"00000")="89107", TEXT(TRIM(N892),"00000")="89108"), "Urban Core",
  OR(TEXT(TRIM(N892),"00000")="89110", TEXT(TRIM(N892),"00000")="89115", TEXT(TRIM(N892),"00000")="89121", TEXT(TRIM(N892),"00000")="89122", TEXT(TRIM(N892),"00000")="89142", TEXT(TRIM(N892),"00000")="89156"), "East Valley",
  OR(TEXT(TRIM(N892),"00000")="89030", TEXT(TRIM(N892),"00000")="89031", TEXT(TRIM(N892),"00000")="89032", TEXT(TRIM(N892),"00000")="89086", TEXT(TRIM(N892),"00000")="89084", TEXT(TRIM(N892),"00000")="89081"), "North LV",
  OR(TEXT(TRIM(N892),"00000")="89109", TEXT(TRIM(N892),"00000")="89103", TEXT(TRIM(N892),"00000")="89119", TEXT(TRIM(N892),"00000")="89123", TEXT(TRIM(N892),"00000")="89169", TEXT(TRIM(N892),"00000")="89118"), "South/Strip",
  OR(TEXT(TRIM(N892),"00000")="89074", TEXT(TRIM(N892),"00000")="89014", TEXT(TRIM(N892),"00000")="89015", TEXT(TRIM(N892),"00000")="89011", TEXT(TRIM(N892),"00000")="89012"), "Suburban SE",
  OR(TEXT(TRIM(N892),"00000")="89117", TEXT(TRIM(N892),"00000")="89128", TEXT(TRIM(N892),"00000")="89135", TEXT(TRIM(N892),"00000")="89144", TEXT(TRIM(N892),"00000")="89145", TEXT(TRIM(N892),"00000")="89147"), "West Valley",
  TRUE, "Other"
)</f>
        <v>Missing/Unknown</v>
      </c>
      <c r="P892" t="s">
        <v>38</v>
      </c>
      <c r="Q892" t="str">
        <f t="shared" si="54"/>
        <v>Home/Residence</v>
      </c>
      <c r="R892" t="s">
        <v>5055</v>
      </c>
      <c r="S892" t="s">
        <v>5119</v>
      </c>
      <c r="T892" t="str" cm="1">
        <f t="array" ref="T892">_xlfn.IFS(
  TEXT(TRIM(S892),"00000")="NULL", "Missing/Unknown",
  OR(TEXT(TRIM(S892),"00000")="89101", TEXT(TRIM(S892),"00000")="89104", TEXT(TRIM(S892),"00000")="89106", TEXT(TRIM(S892),"00000")="89102", TEXT(TRIM(S892),"00000")="89107", TEXT(TRIM(S892),"00000")="89108"), "Urban Core",
  OR(TEXT(TRIM(S892),"00000")="89110", TEXT(TRIM(S892),"00000")="89115", TEXT(TRIM(S892),"00000")="89121", TEXT(TRIM(S892),"00000")="89122", TEXT(TRIM(S892),"00000")="89142", TEXT(TRIM(S892),"00000")="89156"), "East Valley",
  OR(TEXT(TRIM(S892),"00000")="89030", TEXT(TRIM(S892),"00000")="89031", TEXT(TRIM(S892),"00000")="89032", TEXT(TRIM(S892),"00000")="89086", TEXT(TRIM(S892),"00000")="89084", TEXT(TRIM(S892),"00000")="89081"), "North LV",
  OR(TEXT(TRIM(S892),"00000")="89109", TEXT(TRIM(S892),"00000")="89103", TEXT(TRIM(S892),"00000")="89119", TEXT(TRIM(S892),"00000")="89123", TEXT(TRIM(S892),"00000")="89169", TEXT(TRIM(S892),"00000")="89118"), "South/Strip",
  OR(TEXT(TRIM(S892),"00000")="89074", TEXT(TRIM(S892),"00000")="89014", TEXT(TRIM(S892),"00000")="89015", TEXT(TRIM(S892),"00000")="89011", TEXT(TRIM(S892),"00000")="89012"), "Suburban SE",
  OR(TEXT(TRIM(S892),"00000")="89117", TEXT(TRIM(S892),"00000")="89128", TEXT(TRIM(S892),"00000")="89135", TEXT(TRIM(S892),"00000")="89144", TEXT(TRIM(S892),"00000")="89145", TEXT(TRIM(S892),"00000")="89147"), "West Valley",
  TRUE, "Other"
)</f>
        <v>Urban Core</v>
      </c>
      <c r="U892" t="s">
        <v>855</v>
      </c>
      <c r="V892" t="str">
        <f t="shared" si="55"/>
        <v>Medical Facility</v>
      </c>
    </row>
    <row r="893" spans="1:22">
      <c r="A893" t="s">
        <v>1247</v>
      </c>
      <c r="B893" t="s">
        <v>1248</v>
      </c>
      <c r="C893" s="1">
        <v>44741</v>
      </c>
      <c r="D893" s="4">
        <v>107.96</v>
      </c>
      <c r="E893">
        <v>48</v>
      </c>
      <c r="F893" t="str">
        <f t="shared" si="52"/>
        <v>40's</v>
      </c>
      <c r="G893" t="str" cm="1">
        <f t="array" ref="G893">_xlfn.IFS(
  F893="10's", "Child (5–12)",
  OR(F893="20's", F893="30's"), "Young Adult (20–39)",
  OR(F893="40's", F893="50's"), "Adult (40–59)",
  OR(F893="60's", F893="70's", F893="80's", F893="90's"), "Senior (60+)",
  TRUE, "Unknown"
)</f>
        <v>Adult (40–59)</v>
      </c>
      <c r="H893" t="s">
        <v>841</v>
      </c>
      <c r="I893" t="s">
        <v>4106</v>
      </c>
      <c r="J893" t="str">
        <f t="shared" si="53"/>
        <v>Environmental Heat</v>
      </c>
      <c r="K893" t="s">
        <v>1250</v>
      </c>
      <c r="L893" t="s">
        <v>250</v>
      </c>
      <c r="M893" t="s">
        <v>4815</v>
      </c>
      <c r="N893" t="s">
        <v>5101</v>
      </c>
      <c r="O893" t="str" cm="1">
        <f t="array" ref="O893">_xlfn.IFS(
  TEXT(TRIM(N893),"00000")="NULL", "Missing/Unknown",
  OR(TEXT(TRIM(N893),"00000")="89101", TEXT(TRIM(N893),"00000")="89104", TEXT(TRIM(N893),"00000")="89106", TEXT(TRIM(N893),"00000")="89102", TEXT(TRIM(N893),"00000")="89107", TEXT(TRIM(N893),"00000")="89108"), "Urban Core",
  OR(TEXT(TRIM(N893),"00000")="89110", TEXT(TRIM(N893),"00000")="89115", TEXT(TRIM(N893),"00000")="89121", TEXT(TRIM(N893),"00000")="89122", TEXT(TRIM(N893),"00000")="89142", TEXT(TRIM(N893),"00000")="89156"), "East Valley",
  OR(TEXT(TRIM(N893),"00000")="89030", TEXT(TRIM(N893),"00000")="89031", TEXT(TRIM(N893),"00000")="89032", TEXT(TRIM(N893),"00000")="89086", TEXT(TRIM(N893),"00000")="89084", TEXT(TRIM(N893),"00000")="89081"), "North LV",
  OR(TEXT(TRIM(N893),"00000")="89109", TEXT(TRIM(N893),"00000")="89103", TEXT(TRIM(N893),"00000")="89119", TEXT(TRIM(N893),"00000")="89123", TEXT(TRIM(N893),"00000")="89169", TEXT(TRIM(N893),"00000")="89118"), "South/Strip",
  OR(TEXT(TRIM(N893),"00000")="89074", TEXT(TRIM(N893),"00000")="89014", TEXT(TRIM(N893),"00000")="89015", TEXT(TRIM(N893),"00000")="89011", TEXT(TRIM(N893),"00000")="89012"), "Suburban SE",
  OR(TEXT(TRIM(N893),"00000")="89117", TEXT(TRIM(N893),"00000")="89128", TEXT(TRIM(N893),"00000")="89135", TEXT(TRIM(N893),"00000")="89144", TEXT(TRIM(N893),"00000")="89145", TEXT(TRIM(N893),"00000")="89147"), "West Valley",
  TRUE, "Other"
)</f>
        <v>Urban Core</v>
      </c>
      <c r="P893" t="s">
        <v>3298</v>
      </c>
      <c r="Q893" t="str">
        <f t="shared" si="54"/>
        <v>Outdoors/Public</v>
      </c>
      <c r="R893" t="s">
        <v>4815</v>
      </c>
      <c r="S893" t="s">
        <v>5101</v>
      </c>
      <c r="T893" t="str" cm="1">
        <f t="array" ref="T893">_xlfn.IFS(
  TEXT(TRIM(S893),"00000")="NULL", "Missing/Unknown",
  OR(TEXT(TRIM(S893),"00000")="89101", TEXT(TRIM(S893),"00000")="89104", TEXT(TRIM(S893),"00000")="89106", TEXT(TRIM(S893),"00000")="89102", TEXT(TRIM(S893),"00000")="89107", TEXT(TRIM(S893),"00000")="89108"), "Urban Core",
  OR(TEXT(TRIM(S893),"00000")="89110", TEXT(TRIM(S893),"00000")="89115", TEXT(TRIM(S893),"00000")="89121", TEXT(TRIM(S893),"00000")="89122", TEXT(TRIM(S893),"00000")="89142", TEXT(TRIM(S893),"00000")="89156"), "East Valley",
  OR(TEXT(TRIM(S893),"00000")="89030", TEXT(TRIM(S893),"00000")="89031", TEXT(TRIM(S893),"00000")="89032", TEXT(TRIM(S893),"00000")="89086", TEXT(TRIM(S893),"00000")="89084", TEXT(TRIM(S893),"00000")="89081"), "North LV",
  OR(TEXT(TRIM(S893),"00000")="89109", TEXT(TRIM(S893),"00000")="89103", TEXT(TRIM(S893),"00000")="89119", TEXT(TRIM(S893),"00000")="89123", TEXT(TRIM(S893),"00000")="89169", TEXT(TRIM(S893),"00000")="89118"), "South/Strip",
  OR(TEXT(TRIM(S893),"00000")="89074", TEXT(TRIM(S893),"00000")="89014", TEXT(TRIM(S893),"00000")="89015", TEXT(TRIM(S893),"00000")="89011", TEXT(TRIM(S893),"00000")="89012"), "Suburban SE",
  OR(TEXT(TRIM(S893),"00000")="89117", TEXT(TRIM(S893),"00000")="89128", TEXT(TRIM(S893),"00000")="89135", TEXT(TRIM(S893),"00000")="89144", TEXT(TRIM(S893),"00000")="89145", TEXT(TRIM(S893),"00000")="89147"), "West Valley",
  TRUE, "Other"
)</f>
        <v>Urban Core</v>
      </c>
      <c r="U893" t="s">
        <v>3298</v>
      </c>
      <c r="V893" t="str">
        <f t="shared" si="55"/>
        <v>Outdoors/Public</v>
      </c>
    </row>
    <row r="894" spans="1:22">
      <c r="A894" t="s">
        <v>1243</v>
      </c>
      <c r="B894" t="s">
        <v>1244</v>
      </c>
      <c r="C894" s="1">
        <v>44741</v>
      </c>
      <c r="D894" s="4">
        <v>107.96</v>
      </c>
      <c r="E894">
        <v>86</v>
      </c>
      <c r="F894" t="str">
        <f t="shared" si="52"/>
        <v>80's</v>
      </c>
      <c r="G894" t="str" cm="1">
        <f t="array" ref="G894">_xlfn.IFS(
  F894="10's", "Child (5–12)",
  OR(F894="20's", F894="30's"), "Young Adult (20–39)",
  OR(F894="40's", F894="50's"), "Adult (40–59)",
  OR(F894="60's", F894="70's", F894="80's", F894="90's"), "Senior (60+)",
  TRUE, "Unknown"
)</f>
        <v>Senior (60+)</v>
      </c>
      <c r="H894" t="s">
        <v>4309</v>
      </c>
      <c r="I894" t="s">
        <v>4012</v>
      </c>
      <c r="J894" t="str">
        <f t="shared" si="53"/>
        <v>Cardiovascular Disease</v>
      </c>
      <c r="K894" t="s">
        <v>4258</v>
      </c>
      <c r="L894" t="s">
        <v>1071</v>
      </c>
      <c r="M894" t="s">
        <v>4648</v>
      </c>
      <c r="N894" t="s">
        <v>5139</v>
      </c>
      <c r="O894" t="str" cm="1">
        <f t="array" ref="O894">_xlfn.IFS(
  TEXT(TRIM(N894),"00000")="NULL", "Missing/Unknown",
  OR(TEXT(TRIM(N894),"00000")="89101", TEXT(TRIM(N894),"00000")="89104", TEXT(TRIM(N894),"00000")="89106", TEXT(TRIM(N894),"00000")="89102", TEXT(TRIM(N894),"00000")="89107", TEXT(TRIM(N894),"00000")="89108"), "Urban Core",
  OR(TEXT(TRIM(N894),"00000")="89110", TEXT(TRIM(N894),"00000")="89115", TEXT(TRIM(N894),"00000")="89121", TEXT(TRIM(N894),"00000")="89122", TEXT(TRIM(N894),"00000")="89142", TEXT(TRIM(N894),"00000")="89156"), "East Valley",
  OR(TEXT(TRIM(N894),"00000")="89030", TEXT(TRIM(N894),"00000")="89031", TEXT(TRIM(N894),"00000")="89032", TEXT(TRIM(N894),"00000")="89086", TEXT(TRIM(N894),"00000")="89084", TEXT(TRIM(N894),"00000")="89081"), "North LV",
  OR(TEXT(TRIM(N894),"00000")="89109", TEXT(TRIM(N894),"00000")="89103", TEXT(TRIM(N894),"00000")="89119", TEXT(TRIM(N894),"00000")="89123", TEXT(TRIM(N894),"00000")="89169", TEXT(TRIM(N894),"00000")="89118"), "South/Strip",
  OR(TEXT(TRIM(N894),"00000")="89074", TEXT(TRIM(N894),"00000")="89014", TEXT(TRIM(N894),"00000")="89015", TEXT(TRIM(N894),"00000")="89011", TEXT(TRIM(N894),"00000")="89012"), "Suburban SE",
  OR(TEXT(TRIM(N894),"00000")="89117", TEXT(TRIM(N894),"00000")="89128", TEXT(TRIM(N894),"00000")="89135", TEXT(TRIM(N894),"00000")="89144", TEXT(TRIM(N894),"00000")="89145", TEXT(TRIM(N894),"00000")="89147"), "West Valley",
  TRUE, "Other"
)</f>
        <v>Other</v>
      </c>
      <c r="P894" t="s">
        <v>3298</v>
      </c>
      <c r="Q894" t="str">
        <f t="shared" si="54"/>
        <v>Outdoors/Public</v>
      </c>
      <c r="R894" t="s">
        <v>4648</v>
      </c>
      <c r="S894" t="s">
        <v>5139</v>
      </c>
      <c r="T894" t="str" cm="1">
        <f t="array" ref="T894">_xlfn.IFS(
  TEXT(TRIM(S894),"00000")="NULL", "Missing/Unknown",
  OR(TEXT(TRIM(S894),"00000")="89101", TEXT(TRIM(S894),"00000")="89104", TEXT(TRIM(S894),"00000")="89106", TEXT(TRIM(S894),"00000")="89102", TEXT(TRIM(S894),"00000")="89107", TEXT(TRIM(S894),"00000")="89108"), "Urban Core",
  OR(TEXT(TRIM(S894),"00000")="89110", TEXT(TRIM(S894),"00000")="89115", TEXT(TRIM(S894),"00000")="89121", TEXT(TRIM(S894),"00000")="89122", TEXT(TRIM(S894),"00000")="89142", TEXT(TRIM(S894),"00000")="89156"), "East Valley",
  OR(TEXT(TRIM(S894),"00000")="89030", TEXT(TRIM(S894),"00000")="89031", TEXT(TRIM(S894),"00000")="89032", TEXT(TRIM(S894),"00000")="89086", TEXT(TRIM(S894),"00000")="89084", TEXT(TRIM(S894),"00000")="89081"), "North LV",
  OR(TEXT(TRIM(S894),"00000")="89109", TEXT(TRIM(S894),"00000")="89103", TEXT(TRIM(S894),"00000")="89119", TEXT(TRIM(S894),"00000")="89123", TEXT(TRIM(S894),"00000")="89169", TEXT(TRIM(S894),"00000")="89118"), "South/Strip",
  OR(TEXT(TRIM(S894),"00000")="89074", TEXT(TRIM(S894),"00000")="89014", TEXT(TRIM(S894),"00000")="89015", TEXT(TRIM(S894),"00000")="89011", TEXT(TRIM(S894),"00000")="89012"), "Suburban SE",
  OR(TEXT(TRIM(S894),"00000")="89117", TEXT(TRIM(S894),"00000")="89128", TEXT(TRIM(S894),"00000")="89135", TEXT(TRIM(S894),"00000")="89144", TEXT(TRIM(S894),"00000")="89145", TEXT(TRIM(S894),"00000")="89147"), "West Valley",
  TRUE, "Other"
)</f>
        <v>Other</v>
      </c>
      <c r="U894" t="s">
        <v>3298</v>
      </c>
      <c r="V894" t="str">
        <f t="shared" si="55"/>
        <v>Outdoors/Public</v>
      </c>
    </row>
    <row r="895" spans="1:22">
      <c r="A895" t="s">
        <v>1239</v>
      </c>
      <c r="B895" t="s">
        <v>1240</v>
      </c>
      <c r="C895" s="1">
        <v>44740</v>
      </c>
      <c r="D895" s="4">
        <v>107.96</v>
      </c>
      <c r="E895">
        <v>76</v>
      </c>
      <c r="F895" t="str">
        <f t="shared" si="52"/>
        <v>70's</v>
      </c>
      <c r="G895" t="str" cm="1">
        <f t="array" ref="G895">_xlfn.IFS(
  F895="10's", "Child (5–12)",
  OR(F895="20's", F895="30's"), "Young Adult (20–39)",
  OR(F895="40's", F895="50's"), "Adult (40–59)",
  OR(F895="60's", F895="70's", F895="80's", F895="90's"), "Senior (60+)",
  TRUE, "Unknown"
)</f>
        <v>Senior (60+)</v>
      </c>
      <c r="H895" t="s">
        <v>27</v>
      </c>
      <c r="I895" t="s">
        <v>4086</v>
      </c>
      <c r="J895" t="str">
        <f t="shared" si="53"/>
        <v>Other / Unknown</v>
      </c>
      <c r="K895" t="s">
        <v>1241</v>
      </c>
      <c r="L895" t="s">
        <v>1071</v>
      </c>
      <c r="M895" t="s">
        <v>4649</v>
      </c>
      <c r="N895" t="s">
        <v>5132</v>
      </c>
      <c r="O895" t="str" cm="1">
        <f t="array" ref="O895">_xlfn.IFS(
  TEXT(TRIM(N895),"00000")="NULL", "Missing/Unknown",
  OR(TEXT(TRIM(N895),"00000")="89101", TEXT(TRIM(N895),"00000")="89104", TEXT(TRIM(N895),"00000")="89106", TEXT(TRIM(N895),"00000")="89102", TEXT(TRIM(N895),"00000")="89107", TEXT(TRIM(N895),"00000")="89108"), "Urban Core",
  OR(TEXT(TRIM(N895),"00000")="89110", TEXT(TRIM(N895),"00000")="89115", TEXT(TRIM(N895),"00000")="89121", TEXT(TRIM(N895),"00000")="89122", TEXT(TRIM(N895),"00000")="89142", TEXT(TRIM(N895),"00000")="89156"), "East Valley",
  OR(TEXT(TRIM(N895),"00000")="89030", TEXT(TRIM(N895),"00000")="89031", TEXT(TRIM(N895),"00000")="89032", TEXT(TRIM(N895),"00000")="89086", TEXT(TRIM(N895),"00000")="89084", TEXT(TRIM(N895),"00000")="89081"), "North LV",
  OR(TEXT(TRIM(N895),"00000")="89109", TEXT(TRIM(N895),"00000")="89103", TEXT(TRIM(N895),"00000")="89119", TEXT(TRIM(N895),"00000")="89123", TEXT(TRIM(N895),"00000")="89169", TEXT(TRIM(N895),"00000")="89118"), "South/Strip",
  OR(TEXT(TRIM(N895),"00000")="89074", TEXT(TRIM(N895),"00000")="89014", TEXT(TRIM(N895),"00000")="89015", TEXT(TRIM(N895),"00000")="89011", TEXT(TRIM(N895),"00000")="89012"), "Suburban SE",
  OR(TEXT(TRIM(N895),"00000")="89117", TEXT(TRIM(N895),"00000")="89128", TEXT(TRIM(N895),"00000")="89135", TEXT(TRIM(N895),"00000")="89144", TEXT(TRIM(N895),"00000")="89145", TEXT(TRIM(N895),"00000")="89147"), "West Valley",
  TRUE, "Other"
)</f>
        <v>Other</v>
      </c>
      <c r="P895" t="s">
        <v>3298</v>
      </c>
      <c r="Q895" t="str">
        <f t="shared" si="54"/>
        <v>Outdoors/Public</v>
      </c>
      <c r="R895" t="s">
        <v>4649</v>
      </c>
      <c r="S895" t="s">
        <v>5132</v>
      </c>
      <c r="T895" t="str" cm="1">
        <f t="array" ref="T895">_xlfn.IFS(
  TEXT(TRIM(S895),"00000")="NULL", "Missing/Unknown",
  OR(TEXT(TRIM(S895),"00000")="89101", TEXT(TRIM(S895),"00000")="89104", TEXT(TRIM(S895),"00000")="89106", TEXT(TRIM(S895),"00000")="89102", TEXT(TRIM(S895),"00000")="89107", TEXT(TRIM(S895),"00000")="89108"), "Urban Core",
  OR(TEXT(TRIM(S895),"00000")="89110", TEXT(TRIM(S895),"00000")="89115", TEXT(TRIM(S895),"00000")="89121", TEXT(TRIM(S895),"00000")="89122", TEXT(TRIM(S895),"00000")="89142", TEXT(TRIM(S895),"00000")="89156"), "East Valley",
  OR(TEXT(TRIM(S895),"00000")="89030", TEXT(TRIM(S895),"00000")="89031", TEXT(TRIM(S895),"00000")="89032", TEXT(TRIM(S895),"00000")="89086", TEXT(TRIM(S895),"00000")="89084", TEXT(TRIM(S895),"00000")="89081"), "North LV",
  OR(TEXT(TRIM(S895),"00000")="89109", TEXT(TRIM(S895),"00000")="89103", TEXT(TRIM(S895),"00000")="89119", TEXT(TRIM(S895),"00000")="89123", TEXT(TRIM(S895),"00000")="89169", TEXT(TRIM(S895),"00000")="89118"), "South/Strip",
  OR(TEXT(TRIM(S895),"00000")="89074", TEXT(TRIM(S895),"00000")="89014", TEXT(TRIM(S895),"00000")="89015", TEXT(TRIM(S895),"00000")="89011", TEXT(TRIM(S895),"00000")="89012"), "Suburban SE",
  OR(TEXT(TRIM(S895),"00000")="89117", TEXT(TRIM(S895),"00000")="89128", TEXT(TRIM(S895),"00000")="89135", TEXT(TRIM(S895),"00000")="89144", TEXT(TRIM(S895),"00000")="89145", TEXT(TRIM(S895),"00000")="89147"), "West Valley",
  TRUE, "Other"
)</f>
        <v>Other</v>
      </c>
      <c r="U895" t="s">
        <v>3298</v>
      </c>
      <c r="V895" t="str">
        <f t="shared" si="55"/>
        <v>Outdoors/Public</v>
      </c>
    </row>
    <row r="896" spans="1:22">
      <c r="A896" t="s">
        <v>1235</v>
      </c>
      <c r="B896" t="s">
        <v>1236</v>
      </c>
      <c r="C896" s="1">
        <v>44740</v>
      </c>
      <c r="D896" s="4">
        <v>107.96</v>
      </c>
      <c r="E896">
        <v>34</v>
      </c>
      <c r="F896" t="str">
        <f t="shared" si="52"/>
        <v>30's</v>
      </c>
      <c r="G896" t="str" cm="1">
        <f t="array" ref="G896">_xlfn.IFS(
  F896="10's", "Child (5–12)",
  OR(F896="20's", F896="30's"), "Young Adult (20–39)",
  OR(F896="40's", F896="50's"), "Adult (40–59)",
  OR(F896="60's", F896="70's", F896="80's", F896="90's"), "Senior (60+)",
  TRUE, "Unknown"
)</f>
        <v>Young Adult (20–39)</v>
      </c>
      <c r="H896" t="s">
        <v>778</v>
      </c>
      <c r="I896" t="s">
        <v>1237</v>
      </c>
      <c r="J896" t="str">
        <f t="shared" si="53"/>
        <v>Environmental Heat</v>
      </c>
      <c r="K896" t="s">
        <v>54</v>
      </c>
      <c r="L896" t="s">
        <v>250</v>
      </c>
      <c r="M896" t="s">
        <v>4317</v>
      </c>
      <c r="N896" t="s">
        <v>5100</v>
      </c>
      <c r="O896" t="str" cm="1">
        <f t="array" ref="O896">_xlfn.IFS(
  TEXT(TRIM(N896),"00000")="NULL", "Missing/Unknown",
  OR(TEXT(TRIM(N896),"00000")="89101", TEXT(TRIM(N896),"00000")="89104", TEXT(TRIM(N896),"00000")="89106", TEXT(TRIM(N896),"00000")="89102", TEXT(TRIM(N896),"00000")="89107", TEXT(TRIM(N896),"00000")="89108"), "Urban Core",
  OR(TEXT(TRIM(N896),"00000")="89110", TEXT(TRIM(N896),"00000")="89115", TEXT(TRIM(N896),"00000")="89121", TEXT(TRIM(N896),"00000")="89122", TEXT(TRIM(N896),"00000")="89142", TEXT(TRIM(N896),"00000")="89156"), "East Valley",
  OR(TEXT(TRIM(N896),"00000")="89030", TEXT(TRIM(N896),"00000")="89031", TEXT(TRIM(N896),"00000")="89032", TEXT(TRIM(N896),"00000")="89086", TEXT(TRIM(N896),"00000")="89084", TEXT(TRIM(N896),"00000")="89081"), "North LV",
  OR(TEXT(TRIM(N896),"00000")="89109", TEXT(TRIM(N896),"00000")="89103", TEXT(TRIM(N896),"00000")="89119", TEXT(TRIM(N896),"00000")="89123", TEXT(TRIM(N896),"00000")="89169", TEXT(TRIM(N896),"00000")="89118"), "South/Strip",
  OR(TEXT(TRIM(N896),"00000")="89074", TEXT(TRIM(N896),"00000")="89014", TEXT(TRIM(N896),"00000")="89015", TEXT(TRIM(N896),"00000")="89011", TEXT(TRIM(N896),"00000")="89012"), "Suburban SE",
  OR(TEXT(TRIM(N896),"00000")="89117", TEXT(TRIM(N896),"00000")="89128", TEXT(TRIM(N896),"00000")="89135", TEXT(TRIM(N896),"00000")="89144", TEXT(TRIM(N896),"00000")="89145", TEXT(TRIM(N896),"00000")="89147"), "West Valley",
  TRUE, "Other"
)</f>
        <v>North LV</v>
      </c>
      <c r="P896" t="s">
        <v>3298</v>
      </c>
      <c r="Q896" t="str">
        <f t="shared" si="54"/>
        <v>Outdoors/Public</v>
      </c>
      <c r="R896" t="s">
        <v>4317</v>
      </c>
      <c r="S896" t="s">
        <v>5100</v>
      </c>
      <c r="T896" t="str" cm="1">
        <f t="array" ref="T896">_xlfn.IFS(
  TEXT(TRIM(S896),"00000")="NULL", "Missing/Unknown",
  OR(TEXT(TRIM(S896),"00000")="89101", TEXT(TRIM(S896),"00000")="89104", TEXT(TRIM(S896),"00000")="89106", TEXT(TRIM(S896),"00000")="89102", TEXT(TRIM(S896),"00000")="89107", TEXT(TRIM(S896),"00000")="89108"), "Urban Core",
  OR(TEXT(TRIM(S896),"00000")="89110", TEXT(TRIM(S896),"00000")="89115", TEXT(TRIM(S896),"00000")="89121", TEXT(TRIM(S896),"00000")="89122", TEXT(TRIM(S896),"00000")="89142", TEXT(TRIM(S896),"00000")="89156"), "East Valley",
  OR(TEXT(TRIM(S896),"00000")="89030", TEXT(TRIM(S896),"00000")="89031", TEXT(TRIM(S896),"00000")="89032", TEXT(TRIM(S896),"00000")="89086", TEXT(TRIM(S896),"00000")="89084", TEXT(TRIM(S896),"00000")="89081"), "North LV",
  OR(TEXT(TRIM(S896),"00000")="89109", TEXT(TRIM(S896),"00000")="89103", TEXT(TRIM(S896),"00000")="89119", TEXT(TRIM(S896),"00000")="89123", TEXT(TRIM(S896),"00000")="89169", TEXT(TRIM(S896),"00000")="89118"), "South/Strip",
  OR(TEXT(TRIM(S896),"00000")="89074", TEXT(TRIM(S896),"00000")="89014", TEXT(TRIM(S896),"00000")="89015", TEXT(TRIM(S896),"00000")="89011", TEXT(TRIM(S896),"00000")="89012"), "Suburban SE",
  OR(TEXT(TRIM(S896),"00000")="89117", TEXT(TRIM(S896),"00000")="89128", TEXT(TRIM(S896),"00000")="89135", TEXT(TRIM(S896),"00000")="89144", TEXT(TRIM(S896),"00000")="89145", TEXT(TRIM(S896),"00000")="89147"), "West Valley",
  TRUE, "Other"
)</f>
        <v>North LV</v>
      </c>
      <c r="U896" t="s">
        <v>3298</v>
      </c>
      <c r="V896" t="str">
        <f t="shared" si="55"/>
        <v>Outdoors/Public</v>
      </c>
    </row>
    <row r="897" spans="1:22">
      <c r="A897" t="s">
        <v>1231</v>
      </c>
      <c r="B897" t="s">
        <v>1232</v>
      </c>
      <c r="C897" s="1">
        <v>44739</v>
      </c>
      <c r="D897" s="4">
        <v>105.98</v>
      </c>
      <c r="E897">
        <v>59</v>
      </c>
      <c r="F897" t="str">
        <f t="shared" si="52"/>
        <v>50's</v>
      </c>
      <c r="G897" t="str" cm="1">
        <f t="array" ref="G897">_xlfn.IFS(
  F897="10's", "Child (5–12)",
  OR(F897="20's", F897="30's"), "Young Adult (20–39)",
  OR(F897="40's", F897="50's"), "Adult (40–59)",
  OR(F897="60's", F897="70's", F897="80's", F897="90's"), "Senior (60+)",
  TRUE, "Unknown"
)</f>
        <v>Adult (40–59)</v>
      </c>
      <c r="H897" t="s">
        <v>778</v>
      </c>
      <c r="I897" t="s">
        <v>1233</v>
      </c>
      <c r="J897" t="str">
        <f t="shared" si="53"/>
        <v>Cardiovascular Disease</v>
      </c>
      <c r="K897" t="s">
        <v>54</v>
      </c>
      <c r="L897" t="s">
        <v>1071</v>
      </c>
      <c r="M897" t="s">
        <v>4446</v>
      </c>
      <c r="N897" t="s">
        <v>5097</v>
      </c>
      <c r="O897" t="str" cm="1">
        <f t="array" ref="O897">_xlfn.IFS(
  TEXT(TRIM(N897),"00000")="NULL", "Missing/Unknown",
  OR(TEXT(TRIM(N897),"00000")="89101", TEXT(TRIM(N897),"00000")="89104", TEXT(TRIM(N897),"00000")="89106", TEXT(TRIM(N897),"00000")="89102", TEXT(TRIM(N897),"00000")="89107", TEXT(TRIM(N897),"00000")="89108"), "Urban Core",
  OR(TEXT(TRIM(N897),"00000")="89110", TEXT(TRIM(N897),"00000")="89115", TEXT(TRIM(N897),"00000")="89121", TEXT(TRIM(N897),"00000")="89122", TEXT(TRIM(N897),"00000")="89142", TEXT(TRIM(N897),"00000")="89156"), "East Valley",
  OR(TEXT(TRIM(N897),"00000")="89030", TEXT(TRIM(N897),"00000")="89031", TEXT(TRIM(N897),"00000")="89032", TEXT(TRIM(N897),"00000")="89086", TEXT(TRIM(N897),"00000")="89084", TEXT(TRIM(N897),"00000")="89081"), "North LV",
  OR(TEXT(TRIM(N897),"00000")="89109", TEXT(TRIM(N897),"00000")="89103", TEXT(TRIM(N897),"00000")="89119", TEXT(TRIM(N897),"00000")="89123", TEXT(TRIM(N897),"00000")="89169", TEXT(TRIM(N897),"00000")="89118"), "South/Strip",
  OR(TEXT(TRIM(N897),"00000")="89074", TEXT(TRIM(N897),"00000")="89014", TEXT(TRIM(N897),"00000")="89015", TEXT(TRIM(N897),"00000")="89011", TEXT(TRIM(N897),"00000")="89012"), "Suburban SE",
  OR(TEXT(TRIM(N897),"00000")="89117", TEXT(TRIM(N897),"00000")="89128", TEXT(TRIM(N897),"00000")="89135", TEXT(TRIM(N897),"00000")="89144", TEXT(TRIM(N897),"00000")="89145", TEXT(TRIM(N897),"00000")="89147"), "West Valley",
  TRUE, "Other"
)</f>
        <v>Urban Core</v>
      </c>
      <c r="P897" t="s">
        <v>38</v>
      </c>
      <c r="Q897" t="str">
        <f t="shared" si="54"/>
        <v>Home/Residence</v>
      </c>
      <c r="R897" t="s">
        <v>4446</v>
      </c>
      <c r="S897" t="s">
        <v>5097</v>
      </c>
      <c r="T897" t="str" cm="1">
        <f t="array" ref="T897">_xlfn.IFS(
  TEXT(TRIM(S897),"00000")="NULL", "Missing/Unknown",
  OR(TEXT(TRIM(S897),"00000")="89101", TEXT(TRIM(S897),"00000")="89104", TEXT(TRIM(S897),"00000")="89106", TEXT(TRIM(S897),"00000")="89102", TEXT(TRIM(S897),"00000")="89107", TEXT(TRIM(S897),"00000")="89108"), "Urban Core",
  OR(TEXT(TRIM(S897),"00000")="89110", TEXT(TRIM(S897),"00000")="89115", TEXT(TRIM(S897),"00000")="89121", TEXT(TRIM(S897),"00000")="89122", TEXT(TRIM(S897),"00000")="89142", TEXT(TRIM(S897),"00000")="89156"), "East Valley",
  OR(TEXT(TRIM(S897),"00000")="89030", TEXT(TRIM(S897),"00000")="89031", TEXT(TRIM(S897),"00000")="89032", TEXT(TRIM(S897),"00000")="89086", TEXT(TRIM(S897),"00000")="89084", TEXT(TRIM(S897),"00000")="89081"), "North LV",
  OR(TEXT(TRIM(S897),"00000")="89109", TEXT(TRIM(S897),"00000")="89103", TEXT(TRIM(S897),"00000")="89119", TEXT(TRIM(S897),"00000")="89123", TEXT(TRIM(S897),"00000")="89169", TEXT(TRIM(S897),"00000")="89118"), "South/Strip",
  OR(TEXT(TRIM(S897),"00000")="89074", TEXT(TRIM(S897),"00000")="89014", TEXT(TRIM(S897),"00000")="89015", TEXT(TRIM(S897),"00000")="89011", TEXT(TRIM(S897),"00000")="89012"), "Suburban SE",
  OR(TEXT(TRIM(S897),"00000")="89117", TEXT(TRIM(S897),"00000")="89128", TEXT(TRIM(S897),"00000")="89135", TEXT(TRIM(S897),"00000")="89144", TEXT(TRIM(S897),"00000")="89145", TEXT(TRIM(S897),"00000")="89147"), "West Valley",
  TRUE, "Other"
)</f>
        <v>Urban Core</v>
      </c>
      <c r="U897" t="s">
        <v>38</v>
      </c>
      <c r="V897" t="str">
        <f t="shared" si="55"/>
        <v>Home/Residence</v>
      </c>
    </row>
    <row r="898" spans="1:22">
      <c r="A898" t="s">
        <v>1227</v>
      </c>
      <c r="B898" t="s">
        <v>1228</v>
      </c>
      <c r="C898" s="1">
        <v>44738</v>
      </c>
      <c r="D898" s="4">
        <v>107.06</v>
      </c>
      <c r="E898">
        <v>55</v>
      </c>
      <c r="F898" t="str">
        <f t="shared" ref="F898:F961" si="56">_xlfn.CONCAT(INT(E898/10)*10, "'s")</f>
        <v>50's</v>
      </c>
      <c r="G898" t="str" cm="1">
        <f t="array" ref="G898">_xlfn.IFS(
  F898="10's", "Child (5–12)",
  OR(F898="20's", F898="30's"), "Young Adult (20–39)",
  OR(F898="40's", F898="50's"), "Adult (40–59)",
  OR(F898="60's", F898="70's", F898="80's", F898="90's"), "Senior (60+)",
  TRUE, "Unknown"
)</f>
        <v>Adult (40–59)</v>
      </c>
      <c r="H898" t="s">
        <v>841</v>
      </c>
      <c r="I898" t="s">
        <v>28</v>
      </c>
      <c r="J898" t="str">
        <f t="shared" ref="J898:J961" si="57">IF(ISNUMBER(SEARCH("heat", I898)) + ISNUMBER(SEARCH("hyperthermia", I898)) + ISNUMBER(SEARCH("heat stroke", I898)) + ISNUMBER(SEARCH("environmental", I898)), "Environmental Heat",
IF(ISNUMBER(SEARCH("meth", I898)), "Methamphetamine-related",
IF(ISNUMBER(SEARCH("fentanyl", I898)), "Fentanyl-related",
IF(ISNUMBER(SEARCH("cardio", I898)) + ISNUMBER(SEARCH("heart", I898)) + ISNUMBER(SEARCH("atherosclerotic", I898)) + ISNUMBER(SEARCH("hypertensive", I898)) + ISNUMBER(SEARCH("myocardial", I898)) + ISNUMBER(SEARCH("infarction", I898)), "Cardiovascular Disease",
IF(ISNUMBER(SEARCH("ethanol", I898)) + ISNUMBER(SEARCH("alcohol", I898)), "Ethanol-related",
IF(ISNUMBER(SEARCH("dehydration", I898)) + ISNUMBER(SEARCH("hypernatrem", I898)) + ISNUMBER(SEARCH("hyponatrem", I898)), "Dehydration / Electrolyte",
IF(ISNUMBER(SEARCH("intoxication", I898)) + ISNUMBER(SEARCH("toxicity", I898)) + ISNUMBER(SEARCH("overdose", I898)), "Mixed Drug Toxicity",
"Other / Unknown")))))))</f>
        <v>Cardiovascular Disease</v>
      </c>
      <c r="K898" t="s">
        <v>1229</v>
      </c>
      <c r="L898" t="s">
        <v>1071</v>
      </c>
      <c r="M898" t="s">
        <v>4448</v>
      </c>
      <c r="N898" t="s">
        <v>5106</v>
      </c>
      <c r="O898" t="str" cm="1">
        <f t="array" ref="O898">_xlfn.IFS(
  TEXT(TRIM(N898),"00000")="NULL", "Missing/Unknown",
  OR(TEXT(TRIM(N898),"00000")="89101", TEXT(TRIM(N898),"00000")="89104", TEXT(TRIM(N898),"00000")="89106", TEXT(TRIM(N898),"00000")="89102", TEXT(TRIM(N898),"00000")="89107", TEXT(TRIM(N898),"00000")="89108"), "Urban Core",
  OR(TEXT(TRIM(N898),"00000")="89110", TEXT(TRIM(N898),"00000")="89115", TEXT(TRIM(N898),"00000")="89121", TEXT(TRIM(N898),"00000")="89122", TEXT(TRIM(N898),"00000")="89142", TEXT(TRIM(N898),"00000")="89156"), "East Valley",
  OR(TEXT(TRIM(N898),"00000")="89030", TEXT(TRIM(N898),"00000")="89031", TEXT(TRIM(N898),"00000")="89032", TEXT(TRIM(N898),"00000")="89086", TEXT(TRIM(N898),"00000")="89084", TEXT(TRIM(N898),"00000")="89081"), "North LV",
  OR(TEXT(TRIM(N898),"00000")="89109", TEXT(TRIM(N898),"00000")="89103", TEXT(TRIM(N898),"00000")="89119", TEXT(TRIM(N898),"00000")="89123", TEXT(TRIM(N898),"00000")="89169", TEXT(TRIM(N898),"00000")="89118"), "South/Strip",
  OR(TEXT(TRIM(N898),"00000")="89074", TEXT(TRIM(N898),"00000")="89014", TEXT(TRIM(N898),"00000")="89015", TEXT(TRIM(N898),"00000")="89011", TEXT(TRIM(N898),"00000")="89012"), "Suburban SE",
  OR(TEXT(TRIM(N898),"00000")="89117", TEXT(TRIM(N898),"00000")="89128", TEXT(TRIM(N898),"00000")="89135", TEXT(TRIM(N898),"00000")="89144", TEXT(TRIM(N898),"00000")="89145", TEXT(TRIM(N898),"00000")="89147"), "West Valley",
  TRUE, "Other"
)</f>
        <v>East Valley</v>
      </c>
      <c r="P898" t="s">
        <v>38</v>
      </c>
      <c r="Q898" t="str">
        <f t="shared" ref="Q898:Q961" si="58">IF(OR(ISNUMBER(SEARCH("outdoor", P898)), ISNUMBER(SEARCH("park", P898)), ISNUMBER(SEARCH("road", P898)), ISNUMBER(SEARCH("sidewalk", P898)), ISNUMBER(SEARCH("desert", P898)), ISNUMBER(SEARCH("tunnel", P898)), ISNUMBER(SEARCH("lot", P898)), ISNUMBER(SEARCH("lake", P898)), ISNUMBER(SEARCH("bus", P898)), ISNUMBER(SEARCH("shed", P898)), ISNUMBER(SEARCH("amusement", P898))), "Outdoors/Public",
IF(OR(ISNUMBER(SEARCH("home", P898)), ISNUMBER(SEARCH("residence", P898)), ISNUMBER(SEARCH("rv", P898)), ISNUMBER(SEARCH("tent", P898)), ISNUMBER(SEARCH("bedroom", P898)), ISNUMBER(SEARCH("garage", P898)), ISNUMBER(SEARCH("trailer", P898)), ISNUMBER(SEARCH("backyard", P898))), "Home/Residence",
IF(OR(ISNUMBER(SEARCH("vehicle", P898)), ISNUMBER(SEARCH("car", P898)), ISNUMBER(SEARCH("wash", P898))), "Vehicle-related",
IF(OR(ISNUMBER(SEARCH("business", P898)), ISNUMBER(SEARCH("school", P898)), ISNUMBER(SEARCH("hotel", P898)), ISNUMBER(SEARCH("construction", P898)), ISNUMBER(SEARCH("furniture", P898)), ISNUMBER(SEARCH("public", P898))), "Business/Commercial",
IF(OR(ISNUMBER(SEARCH("hospital", P898)), ISNUMBER(SEARCH("assisted", P898)), ISNUMBER(SEARCH("residential care", P898))), "Medical Facility",
IF(OR(ISNUMBER(SEARCH("shelter", P898)), ISNUMBER(SEARCH("jail", P898))), "Shelter/Temporary Housing",
"Other / Unknown"))))))</f>
        <v>Home/Residence</v>
      </c>
      <c r="R898" t="s">
        <v>4448</v>
      </c>
      <c r="S898" t="s">
        <v>5106</v>
      </c>
      <c r="T898" t="str" cm="1">
        <f t="array" ref="T898">_xlfn.IFS(
  TEXT(TRIM(S898),"00000")="NULL", "Missing/Unknown",
  OR(TEXT(TRIM(S898),"00000")="89101", TEXT(TRIM(S898),"00000")="89104", TEXT(TRIM(S898),"00000")="89106", TEXT(TRIM(S898),"00000")="89102", TEXT(TRIM(S898),"00000")="89107", TEXT(TRIM(S898),"00000")="89108"), "Urban Core",
  OR(TEXT(TRIM(S898),"00000")="89110", TEXT(TRIM(S898),"00000")="89115", TEXT(TRIM(S898),"00000")="89121", TEXT(TRIM(S898),"00000")="89122", TEXT(TRIM(S898),"00000")="89142", TEXT(TRIM(S898),"00000")="89156"), "East Valley",
  OR(TEXT(TRIM(S898),"00000")="89030", TEXT(TRIM(S898),"00000")="89031", TEXT(TRIM(S898),"00000")="89032", TEXT(TRIM(S898),"00000")="89086", TEXT(TRIM(S898),"00000")="89084", TEXT(TRIM(S898),"00000")="89081"), "North LV",
  OR(TEXT(TRIM(S898),"00000")="89109", TEXT(TRIM(S898),"00000")="89103", TEXT(TRIM(S898),"00000")="89119", TEXT(TRIM(S898),"00000")="89123", TEXT(TRIM(S898),"00000")="89169", TEXT(TRIM(S898),"00000")="89118"), "South/Strip",
  OR(TEXT(TRIM(S898),"00000")="89074", TEXT(TRIM(S898),"00000")="89014", TEXT(TRIM(S898),"00000")="89015", TEXT(TRIM(S898),"00000")="89011", TEXT(TRIM(S898),"00000")="89012"), "Suburban SE",
  OR(TEXT(TRIM(S898),"00000")="89117", TEXT(TRIM(S898),"00000")="89128", TEXT(TRIM(S898),"00000")="89135", TEXT(TRIM(S898),"00000")="89144", TEXT(TRIM(S898),"00000")="89145", TEXT(TRIM(S898),"00000")="89147"), "West Valley",
  TRUE, "Other"
)</f>
        <v>East Valley</v>
      </c>
      <c r="U898" t="s">
        <v>38</v>
      </c>
      <c r="V898" t="str">
        <f t="shared" ref="V898:V961" si="59">IF(OR(ISNUMBER(SEARCH("outdoor", U898)), ISNUMBER(SEARCH("park", U898)), ISNUMBER(SEARCH("road", U898)), ISNUMBER(SEARCH("sidewalk", U898)), ISNUMBER(SEARCH("desert", U898)), ISNUMBER(SEARCH("tunnel", U898)), ISNUMBER(SEARCH("lot", U898)), ISNUMBER(SEARCH("lake", U898)), ISNUMBER(SEARCH("bus", U898)), ISNUMBER(SEARCH("shed", U898)), ISNUMBER(SEARCH("amusement", U898))), "Outdoors/Public",
IF(OR(ISNUMBER(SEARCH("home", U898)), ISNUMBER(SEARCH("residence", U898)), ISNUMBER(SEARCH("rv", U898)), ISNUMBER(SEARCH("tent", U898)), ISNUMBER(SEARCH("bedroom", U898)), ISNUMBER(SEARCH("garage", U898)), ISNUMBER(SEARCH("trailer", U898)), ISNUMBER(SEARCH("backyard", U898))), "Home/Residence",
IF(OR(ISNUMBER(SEARCH("vehicle", U898)), ISNUMBER(SEARCH("wash", U898))), "Vehicle-related",
IF(OR(ISNUMBER(SEARCH("business", U898)), ISNUMBER(SEARCH("school", U898)), ISNUMBER(SEARCH("hotel", U898)), ISNUMBER(SEARCH("construction", U898)), ISNUMBER(SEARCH("furniture", U898)), ISNUMBER(SEARCH("public", U898))), "Business/Commercial",
IF(OR(ISNUMBER(SEARCH("hospital", U898)), ISNUMBER(SEARCH("assisted", U898)), ISNUMBER(SEARCH("residential care", U898)), ISNUMBER(SEARCH("emergency room", U898)), ISNUMBER(SEARCH("emergency", U898)), ISNUMBER(SEARCH("intensive care unit", U898)), ISNUMBER(SEARCH("icu", U898))), "Medical Facility",
IF(OR(ISNUMBER(SEARCH("shelter", U898)), ISNUMBER(SEARCH("jail", U898))), "Shelter/Temporary Housing",
"Other / Unknown"))))))</f>
        <v>Home/Residence</v>
      </c>
    </row>
    <row r="899" spans="1:22">
      <c r="A899" t="s">
        <v>1222</v>
      </c>
      <c r="B899" t="s">
        <v>1223</v>
      </c>
      <c r="C899" s="1">
        <v>44738</v>
      </c>
      <c r="D899" s="4">
        <v>107.06</v>
      </c>
      <c r="E899">
        <v>46</v>
      </c>
      <c r="F899" t="str">
        <f t="shared" si="56"/>
        <v>40's</v>
      </c>
      <c r="G899" t="str" cm="1">
        <f t="array" ref="G899">_xlfn.IFS(
  F899="10's", "Child (5–12)",
  OR(F899="20's", F899="30's"), "Young Adult (20–39)",
  OR(F899="40's", F899="50's"), "Adult (40–59)",
  OR(F899="60's", F899="70's", F899="80's", F899="90's"), "Senior (60+)",
  TRUE, "Unknown"
)</f>
        <v>Adult (40–59)</v>
      </c>
      <c r="H899" t="s">
        <v>841</v>
      </c>
      <c r="I899" t="s">
        <v>97</v>
      </c>
      <c r="J899" t="str">
        <f t="shared" si="57"/>
        <v>Environmental Heat</v>
      </c>
      <c r="K899" t="s">
        <v>98</v>
      </c>
      <c r="L899" t="s">
        <v>250</v>
      </c>
      <c r="N899" t="s">
        <v>5095</v>
      </c>
      <c r="O899" t="str" cm="1">
        <f t="array" ref="O899">_xlfn.IFS(
  TEXT(TRIM(N899),"00000")="NULL", "Missing/Unknown",
  OR(TEXT(TRIM(N899),"00000")="89101", TEXT(TRIM(N899),"00000")="89104", TEXT(TRIM(N899),"00000")="89106", TEXT(TRIM(N899),"00000")="89102", TEXT(TRIM(N899),"00000")="89107", TEXT(TRIM(N899),"00000")="89108"), "Urban Core",
  OR(TEXT(TRIM(N899),"00000")="89110", TEXT(TRIM(N899),"00000")="89115", TEXT(TRIM(N899),"00000")="89121", TEXT(TRIM(N899),"00000")="89122", TEXT(TRIM(N899),"00000")="89142", TEXT(TRIM(N899),"00000")="89156"), "East Valley",
  OR(TEXT(TRIM(N899),"00000")="89030", TEXT(TRIM(N899),"00000")="89031", TEXT(TRIM(N899),"00000")="89032", TEXT(TRIM(N899),"00000")="89086", TEXT(TRIM(N899),"00000")="89084", TEXT(TRIM(N899),"00000")="89081"), "North LV",
  OR(TEXT(TRIM(N899),"00000")="89109", TEXT(TRIM(N899),"00000")="89103", TEXT(TRIM(N899),"00000")="89119", TEXT(TRIM(N899),"00000")="89123", TEXT(TRIM(N899),"00000")="89169", TEXT(TRIM(N899),"00000")="89118"), "South/Strip",
  OR(TEXT(TRIM(N899),"00000")="89074", TEXT(TRIM(N899),"00000")="89014", TEXT(TRIM(N899),"00000")="89015", TEXT(TRIM(N899),"00000")="89011", TEXT(TRIM(N899),"00000")="89012"), "Suburban SE",
  OR(TEXT(TRIM(N899),"00000")="89117", TEXT(TRIM(N899),"00000")="89128", TEXT(TRIM(N899),"00000")="89135", TEXT(TRIM(N899),"00000")="89144", TEXT(TRIM(N899),"00000")="89145", TEXT(TRIM(N899),"00000")="89147"), "West Valley",
  TRUE, "Other"
)</f>
        <v>Missing/Unknown</v>
      </c>
      <c r="P899" t="s">
        <v>208</v>
      </c>
      <c r="Q899" t="str">
        <f t="shared" si="58"/>
        <v>Outdoors/Public</v>
      </c>
      <c r="R899" t="s">
        <v>4576</v>
      </c>
      <c r="S899" t="s">
        <v>5118</v>
      </c>
      <c r="T899" t="str" cm="1">
        <f t="array" ref="T899">_xlfn.IFS(
  TEXT(TRIM(S899),"00000")="NULL", "Missing/Unknown",
  OR(TEXT(TRIM(S899),"00000")="89101", TEXT(TRIM(S899),"00000")="89104", TEXT(TRIM(S899),"00000")="89106", TEXT(TRIM(S899),"00000")="89102", TEXT(TRIM(S899),"00000")="89107", TEXT(TRIM(S899),"00000")="89108"), "Urban Core",
  OR(TEXT(TRIM(S899),"00000")="89110", TEXT(TRIM(S899),"00000")="89115", TEXT(TRIM(S899),"00000")="89121", TEXT(TRIM(S899),"00000")="89122", TEXT(TRIM(S899),"00000")="89142", TEXT(TRIM(S899),"00000")="89156"), "East Valley",
  OR(TEXT(TRIM(S899),"00000")="89030", TEXT(TRIM(S899),"00000")="89031", TEXT(TRIM(S899),"00000")="89032", TEXT(TRIM(S899),"00000")="89086", TEXT(TRIM(S899),"00000")="89084", TEXT(TRIM(S899),"00000")="89081"), "North LV",
  OR(TEXT(TRIM(S899),"00000")="89109", TEXT(TRIM(S899),"00000")="89103", TEXT(TRIM(S899),"00000")="89119", TEXT(TRIM(S899),"00000")="89123", TEXT(TRIM(S899),"00000")="89169", TEXT(TRIM(S899),"00000")="89118"), "South/Strip",
  OR(TEXT(TRIM(S899),"00000")="89074", TEXT(TRIM(S899),"00000")="89014", TEXT(TRIM(S899),"00000")="89015", TEXT(TRIM(S899),"00000")="89011", TEXT(TRIM(S899),"00000")="89012"), "Suburban SE",
  OR(TEXT(TRIM(S899),"00000")="89117", TEXT(TRIM(S899),"00000")="89128", TEXT(TRIM(S899),"00000")="89135", TEXT(TRIM(S899),"00000")="89144", TEXT(TRIM(S899),"00000")="89145", TEXT(TRIM(S899),"00000")="89147"), "West Valley",
  TRUE, "Other"
)</f>
        <v>South/Strip</v>
      </c>
      <c r="U899" t="s">
        <v>4305</v>
      </c>
      <c r="V899" t="str">
        <f t="shared" si="59"/>
        <v>Medical Facility</v>
      </c>
    </row>
    <row r="900" spans="1:22">
      <c r="A900" t="s">
        <v>1224</v>
      </c>
      <c r="B900" t="s">
        <v>1225</v>
      </c>
      <c r="C900" s="1">
        <v>44738</v>
      </c>
      <c r="D900" s="4">
        <v>107.06</v>
      </c>
      <c r="E900">
        <v>59</v>
      </c>
      <c r="F900" t="str">
        <f t="shared" si="56"/>
        <v>50's</v>
      </c>
      <c r="G900" t="str" cm="1">
        <f t="array" ref="G900">_xlfn.IFS(
  F900="10's", "Child (5–12)",
  OR(F900="20's", F900="30's"), "Young Adult (20–39)",
  OR(F900="40's", F900="50's"), "Adult (40–59)",
  OR(F900="60's", F900="70's", F900="80's", F900="90's"), "Senior (60+)",
  TRUE, "Unknown"
)</f>
        <v>Adult (40–59)</v>
      </c>
      <c r="H900" t="s">
        <v>841</v>
      </c>
      <c r="I900" t="s">
        <v>54</v>
      </c>
      <c r="J900" t="str">
        <f t="shared" si="57"/>
        <v>Environmental Heat</v>
      </c>
      <c r="K900" t="s">
        <v>63</v>
      </c>
      <c r="L900" t="s">
        <v>250</v>
      </c>
      <c r="M900" t="s">
        <v>4731</v>
      </c>
      <c r="N900" t="s">
        <v>5115</v>
      </c>
      <c r="O900" t="str" cm="1">
        <f t="array" ref="O900">_xlfn.IFS(
  TEXT(TRIM(N900),"00000")="NULL", "Missing/Unknown",
  OR(TEXT(TRIM(N900),"00000")="89101", TEXT(TRIM(N900),"00000")="89104", TEXT(TRIM(N900),"00000")="89106", TEXT(TRIM(N900),"00000")="89102", TEXT(TRIM(N900),"00000")="89107", TEXT(TRIM(N900),"00000")="89108"), "Urban Core",
  OR(TEXT(TRIM(N900),"00000")="89110", TEXT(TRIM(N900),"00000")="89115", TEXT(TRIM(N900),"00000")="89121", TEXT(TRIM(N900),"00000")="89122", TEXT(TRIM(N900),"00000")="89142", TEXT(TRIM(N900),"00000")="89156"), "East Valley",
  OR(TEXT(TRIM(N900),"00000")="89030", TEXT(TRIM(N900),"00000")="89031", TEXT(TRIM(N900),"00000")="89032", TEXT(TRIM(N900),"00000")="89086", TEXT(TRIM(N900),"00000")="89084", TEXT(TRIM(N900),"00000")="89081"), "North LV",
  OR(TEXT(TRIM(N900),"00000")="89109", TEXT(TRIM(N900),"00000")="89103", TEXT(TRIM(N900),"00000")="89119", TEXT(TRIM(N900),"00000")="89123", TEXT(TRIM(N900),"00000")="89169", TEXT(TRIM(N900),"00000")="89118"), "South/Strip",
  OR(TEXT(TRIM(N900),"00000")="89074", TEXT(TRIM(N900),"00000")="89014", TEXT(TRIM(N900),"00000")="89015", TEXT(TRIM(N900),"00000")="89011", TEXT(TRIM(N900),"00000")="89012"), "Suburban SE",
  OR(TEXT(TRIM(N900),"00000")="89117", TEXT(TRIM(N900),"00000")="89128", TEXT(TRIM(N900),"00000")="89135", TEXT(TRIM(N900),"00000")="89144", TEXT(TRIM(N900),"00000")="89145", TEXT(TRIM(N900),"00000")="89147"), "West Valley",
  TRUE, "Other"
)</f>
        <v>Other</v>
      </c>
      <c r="P900" t="s">
        <v>3298</v>
      </c>
      <c r="Q900" t="str">
        <f t="shared" si="58"/>
        <v>Outdoors/Public</v>
      </c>
      <c r="R900" t="s">
        <v>4731</v>
      </c>
      <c r="S900" t="s">
        <v>5115</v>
      </c>
      <c r="T900" t="str" cm="1">
        <f t="array" ref="T900">_xlfn.IFS(
  TEXT(TRIM(S900),"00000")="NULL", "Missing/Unknown",
  OR(TEXT(TRIM(S900),"00000")="89101", TEXT(TRIM(S900),"00000")="89104", TEXT(TRIM(S900),"00000")="89106", TEXT(TRIM(S900),"00000")="89102", TEXT(TRIM(S900),"00000")="89107", TEXT(TRIM(S900),"00000")="89108"), "Urban Core",
  OR(TEXT(TRIM(S900),"00000")="89110", TEXT(TRIM(S900),"00000")="89115", TEXT(TRIM(S900),"00000")="89121", TEXT(TRIM(S900),"00000")="89122", TEXT(TRIM(S900),"00000")="89142", TEXT(TRIM(S900),"00000")="89156"), "East Valley",
  OR(TEXT(TRIM(S900),"00000")="89030", TEXT(TRIM(S900),"00000")="89031", TEXT(TRIM(S900),"00000")="89032", TEXT(TRIM(S900),"00000")="89086", TEXT(TRIM(S900),"00000")="89084", TEXT(TRIM(S900),"00000")="89081"), "North LV",
  OR(TEXT(TRIM(S900),"00000")="89109", TEXT(TRIM(S900),"00000")="89103", TEXT(TRIM(S900),"00000")="89119", TEXT(TRIM(S900),"00000")="89123", TEXT(TRIM(S900),"00000")="89169", TEXT(TRIM(S900),"00000")="89118"), "South/Strip",
  OR(TEXT(TRIM(S900),"00000")="89074", TEXT(TRIM(S900),"00000")="89014", TEXT(TRIM(S900),"00000")="89015", TEXT(TRIM(S900),"00000")="89011", TEXT(TRIM(S900),"00000")="89012"), "Suburban SE",
  OR(TEXT(TRIM(S900),"00000")="89117", TEXT(TRIM(S900),"00000")="89128", TEXT(TRIM(S900),"00000")="89135", TEXT(TRIM(S900),"00000")="89144", TEXT(TRIM(S900),"00000")="89145", TEXT(TRIM(S900),"00000")="89147"), "West Valley",
  TRUE, "Other"
)</f>
        <v>Other</v>
      </c>
      <c r="U900" t="s">
        <v>3298</v>
      </c>
      <c r="V900" t="str">
        <f t="shared" si="59"/>
        <v>Outdoors/Public</v>
      </c>
    </row>
    <row r="901" spans="1:22">
      <c r="A901" t="s">
        <v>1218</v>
      </c>
      <c r="B901" t="s">
        <v>1219</v>
      </c>
      <c r="C901" s="1">
        <v>44737</v>
      </c>
      <c r="D901" s="4">
        <v>104</v>
      </c>
      <c r="E901">
        <v>72</v>
      </c>
      <c r="F901" t="str">
        <f t="shared" si="56"/>
        <v>70's</v>
      </c>
      <c r="G901" t="str" cm="1">
        <f t="array" ref="G901">_xlfn.IFS(
  F901="10's", "Child (5–12)",
  OR(F901="20's", F901="30's"), "Young Adult (20–39)",
  OR(F901="40's", F901="50's"), "Adult (40–59)",
  OR(F901="60's", F901="70's", F901="80's", F901="90's"), "Senior (60+)",
  TRUE, "Unknown"
)</f>
        <v>Senior (60+)</v>
      </c>
      <c r="H901" t="s">
        <v>841</v>
      </c>
      <c r="I901" t="s">
        <v>4051</v>
      </c>
      <c r="J901" t="str">
        <f t="shared" si="57"/>
        <v>Cardiovascular Disease</v>
      </c>
      <c r="K901" t="s">
        <v>54</v>
      </c>
      <c r="L901" t="s">
        <v>250</v>
      </c>
      <c r="M901" t="s">
        <v>4551</v>
      </c>
      <c r="N901" t="s">
        <v>5143</v>
      </c>
      <c r="O901" t="str" cm="1">
        <f t="array" ref="O901">_xlfn.IFS(
  TEXT(TRIM(N901),"00000")="NULL", "Missing/Unknown",
  OR(TEXT(TRIM(N901),"00000")="89101", TEXT(TRIM(N901),"00000")="89104", TEXT(TRIM(N901),"00000")="89106", TEXT(TRIM(N901),"00000")="89102", TEXT(TRIM(N901),"00000")="89107", TEXT(TRIM(N901),"00000")="89108"), "Urban Core",
  OR(TEXT(TRIM(N901),"00000")="89110", TEXT(TRIM(N901),"00000")="89115", TEXT(TRIM(N901),"00000")="89121", TEXT(TRIM(N901),"00000")="89122", TEXT(TRIM(N901),"00000")="89142", TEXT(TRIM(N901),"00000")="89156"), "East Valley",
  OR(TEXT(TRIM(N901),"00000")="89030", TEXT(TRIM(N901),"00000")="89031", TEXT(TRIM(N901),"00000")="89032", TEXT(TRIM(N901),"00000")="89086", TEXT(TRIM(N901),"00000")="89084", TEXT(TRIM(N901),"00000")="89081"), "North LV",
  OR(TEXT(TRIM(N901),"00000")="89109", TEXT(TRIM(N901),"00000")="89103", TEXT(TRIM(N901),"00000")="89119", TEXT(TRIM(N901),"00000")="89123", TEXT(TRIM(N901),"00000")="89169", TEXT(TRIM(N901),"00000")="89118"), "South/Strip",
  OR(TEXT(TRIM(N901),"00000")="89074", TEXT(TRIM(N901),"00000")="89014", TEXT(TRIM(N901),"00000")="89015", TEXT(TRIM(N901),"00000")="89011", TEXT(TRIM(N901),"00000")="89012"), "Suburban SE",
  OR(TEXT(TRIM(N901),"00000")="89117", TEXT(TRIM(N901),"00000")="89128", TEXT(TRIM(N901),"00000")="89135", TEXT(TRIM(N901),"00000")="89144", TEXT(TRIM(N901),"00000")="89145", TEXT(TRIM(N901),"00000")="89147"), "West Valley",
  TRUE, "Other"
)</f>
        <v>West Valley</v>
      </c>
      <c r="P901" t="s">
        <v>3298</v>
      </c>
      <c r="Q901" t="str">
        <f t="shared" si="58"/>
        <v>Outdoors/Public</v>
      </c>
      <c r="R901" t="s">
        <v>4794</v>
      </c>
      <c r="S901" t="s">
        <v>5163</v>
      </c>
      <c r="T901" t="str" cm="1">
        <f t="array" ref="T901">_xlfn.IFS(
  TEXT(TRIM(S901),"00000")="NULL", "Missing/Unknown",
  OR(TEXT(TRIM(S901),"00000")="89101", TEXT(TRIM(S901),"00000")="89104", TEXT(TRIM(S901),"00000")="89106", TEXT(TRIM(S901),"00000")="89102", TEXT(TRIM(S901),"00000")="89107", TEXT(TRIM(S901),"00000")="89108"), "Urban Core",
  OR(TEXT(TRIM(S901),"00000")="89110", TEXT(TRIM(S901),"00000")="89115", TEXT(TRIM(S901),"00000")="89121", TEXT(TRIM(S901),"00000")="89122", TEXT(TRIM(S901),"00000")="89142", TEXT(TRIM(S901),"00000")="89156"), "East Valley",
  OR(TEXT(TRIM(S901),"00000")="89030", TEXT(TRIM(S901),"00000")="89031", TEXT(TRIM(S901),"00000")="89032", TEXT(TRIM(S901),"00000")="89086", TEXT(TRIM(S901),"00000")="89084", TEXT(TRIM(S901),"00000")="89081"), "North LV",
  OR(TEXT(TRIM(S901),"00000")="89109", TEXT(TRIM(S901),"00000")="89103", TEXT(TRIM(S901),"00000")="89119", TEXT(TRIM(S901),"00000")="89123", TEXT(TRIM(S901),"00000")="89169", TEXT(TRIM(S901),"00000")="89118"), "South/Strip",
  OR(TEXT(TRIM(S901),"00000")="89074", TEXT(TRIM(S901),"00000")="89014", TEXT(TRIM(S901),"00000")="89015", TEXT(TRIM(S901),"00000")="89011", TEXT(TRIM(S901),"00000")="89012"), "Suburban SE",
  OR(TEXT(TRIM(S901),"00000")="89117", TEXT(TRIM(S901),"00000")="89128", TEXT(TRIM(S901),"00000")="89135", TEXT(TRIM(S901),"00000")="89144", TEXT(TRIM(S901),"00000")="89145", TEXT(TRIM(S901),"00000")="89147"), "West Valley",
  TRUE, "Other"
)</f>
        <v>Other</v>
      </c>
      <c r="U901" t="s">
        <v>4301</v>
      </c>
      <c r="V901" t="str">
        <f t="shared" si="59"/>
        <v>Medical Facility</v>
      </c>
    </row>
    <row r="902" spans="1:22">
      <c r="A902" t="s">
        <v>1213</v>
      </c>
      <c r="B902" t="s">
        <v>1214</v>
      </c>
      <c r="C902" s="1">
        <v>44736</v>
      </c>
      <c r="D902" s="4">
        <v>102.92</v>
      </c>
      <c r="E902">
        <v>75</v>
      </c>
      <c r="F902" t="str">
        <f t="shared" si="56"/>
        <v>70's</v>
      </c>
      <c r="G902" t="str" cm="1">
        <f t="array" ref="G902">_xlfn.IFS(
  F902="10's", "Child (5–12)",
  OR(F902="20's", F902="30's"), "Young Adult (20–39)",
  OR(F902="40's", F902="50's"), "Adult (40–59)",
  OR(F902="60's", F902="70's", F902="80's", F902="90's"), "Senior (60+)",
  TRUE, "Unknown"
)</f>
        <v>Senior (60+)</v>
      </c>
      <c r="H902" t="s">
        <v>841</v>
      </c>
      <c r="I902" t="s">
        <v>28</v>
      </c>
      <c r="J902" t="str">
        <f t="shared" si="57"/>
        <v>Cardiovascular Disease</v>
      </c>
      <c r="K902" t="s">
        <v>4259</v>
      </c>
      <c r="L902" t="s">
        <v>1071</v>
      </c>
      <c r="M902" t="s">
        <v>4883</v>
      </c>
      <c r="N902" t="s">
        <v>5116</v>
      </c>
      <c r="O902" t="str" cm="1">
        <f t="array" ref="O902">_xlfn.IFS(
  TEXT(TRIM(N902),"00000")="NULL", "Missing/Unknown",
  OR(TEXT(TRIM(N902),"00000")="89101", TEXT(TRIM(N902),"00000")="89104", TEXT(TRIM(N902),"00000")="89106", TEXT(TRIM(N902),"00000")="89102", TEXT(TRIM(N902),"00000")="89107", TEXT(TRIM(N902),"00000")="89108"), "Urban Core",
  OR(TEXT(TRIM(N902),"00000")="89110", TEXT(TRIM(N902),"00000")="89115", TEXT(TRIM(N902),"00000")="89121", TEXT(TRIM(N902),"00000")="89122", TEXT(TRIM(N902),"00000")="89142", TEXT(TRIM(N902),"00000")="89156"), "East Valley",
  OR(TEXT(TRIM(N902),"00000")="89030", TEXT(TRIM(N902),"00000")="89031", TEXT(TRIM(N902),"00000")="89032", TEXT(TRIM(N902),"00000")="89086", TEXT(TRIM(N902),"00000")="89084", TEXT(TRIM(N902),"00000")="89081"), "North LV",
  OR(TEXT(TRIM(N902),"00000")="89109", TEXT(TRIM(N902),"00000")="89103", TEXT(TRIM(N902),"00000")="89119", TEXT(TRIM(N902),"00000")="89123", TEXT(TRIM(N902),"00000")="89169", TEXT(TRIM(N902),"00000")="89118"), "South/Strip",
  OR(TEXT(TRIM(N902),"00000")="89074", TEXT(TRIM(N902),"00000")="89014", TEXT(TRIM(N902),"00000")="89015", TEXT(TRIM(N902),"00000")="89011", TEXT(TRIM(N902),"00000")="89012"), "Suburban SE",
  OR(TEXT(TRIM(N902),"00000")="89117", TEXT(TRIM(N902),"00000")="89128", TEXT(TRIM(N902),"00000")="89135", TEXT(TRIM(N902),"00000")="89144", TEXT(TRIM(N902),"00000")="89145", TEXT(TRIM(N902),"00000")="89147"), "West Valley",
  TRUE, "Other"
)</f>
        <v>West Valley</v>
      </c>
      <c r="P902" t="s">
        <v>24</v>
      </c>
      <c r="Q902" t="str">
        <f t="shared" si="58"/>
        <v>Outdoors/Public</v>
      </c>
      <c r="R902" t="s">
        <v>4883</v>
      </c>
      <c r="S902" t="s">
        <v>5116</v>
      </c>
      <c r="T902" t="str" cm="1">
        <f t="array" ref="T902">_xlfn.IFS(
  TEXT(TRIM(S902),"00000")="NULL", "Missing/Unknown",
  OR(TEXT(TRIM(S902),"00000")="89101", TEXT(TRIM(S902),"00000")="89104", TEXT(TRIM(S902),"00000")="89106", TEXT(TRIM(S902),"00000")="89102", TEXT(TRIM(S902),"00000")="89107", TEXT(TRIM(S902),"00000")="89108"), "Urban Core",
  OR(TEXT(TRIM(S902),"00000")="89110", TEXT(TRIM(S902),"00000")="89115", TEXT(TRIM(S902),"00000")="89121", TEXT(TRIM(S902),"00000")="89122", TEXT(TRIM(S902),"00000")="89142", TEXT(TRIM(S902),"00000")="89156"), "East Valley",
  OR(TEXT(TRIM(S902),"00000")="89030", TEXT(TRIM(S902),"00000")="89031", TEXT(TRIM(S902),"00000")="89032", TEXT(TRIM(S902),"00000")="89086", TEXT(TRIM(S902),"00000")="89084", TEXT(TRIM(S902),"00000")="89081"), "North LV",
  OR(TEXT(TRIM(S902),"00000")="89109", TEXT(TRIM(S902),"00000")="89103", TEXT(TRIM(S902),"00000")="89119", TEXT(TRIM(S902),"00000")="89123", TEXT(TRIM(S902),"00000")="89169", TEXT(TRIM(S902),"00000")="89118"), "South/Strip",
  OR(TEXT(TRIM(S902),"00000")="89074", TEXT(TRIM(S902),"00000")="89014", TEXT(TRIM(S902),"00000")="89015", TEXT(TRIM(S902),"00000")="89011", TEXT(TRIM(S902),"00000")="89012"), "Suburban SE",
  OR(TEXT(TRIM(S902),"00000")="89117", TEXT(TRIM(S902),"00000")="89128", TEXT(TRIM(S902),"00000")="89135", TEXT(TRIM(S902),"00000")="89144", TEXT(TRIM(S902),"00000")="89145", TEXT(TRIM(S902),"00000")="89147"), "West Valley",
  TRUE, "Other"
)</f>
        <v>West Valley</v>
      </c>
      <c r="U902" t="s">
        <v>24</v>
      </c>
      <c r="V902" t="str">
        <f t="shared" si="59"/>
        <v>Outdoors/Public</v>
      </c>
    </row>
    <row r="903" spans="1:22">
      <c r="A903" t="s">
        <v>1210</v>
      </c>
      <c r="B903" t="s">
        <v>1211</v>
      </c>
      <c r="C903" s="1">
        <v>44734</v>
      </c>
      <c r="D903" s="4">
        <v>93.919999999999987</v>
      </c>
      <c r="E903">
        <v>75</v>
      </c>
      <c r="F903" t="str">
        <f t="shared" si="56"/>
        <v>70's</v>
      </c>
      <c r="G903" t="str" cm="1">
        <f t="array" ref="G903">_xlfn.IFS(
  F903="10's", "Child (5–12)",
  OR(F903="20's", F903="30's"), "Young Adult (20–39)",
  OR(F903="40's", F903="50's"), "Adult (40–59)",
  OR(F903="60's", F903="70's", F903="80's", F903="90's"), "Senior (60+)",
  TRUE, "Unknown"
)</f>
        <v>Senior (60+)</v>
      </c>
      <c r="H903" t="s">
        <v>27</v>
      </c>
      <c r="I903" t="s">
        <v>54</v>
      </c>
      <c r="J903" t="str">
        <f t="shared" si="57"/>
        <v>Environmental Heat</v>
      </c>
      <c r="K903" t="s">
        <v>1212</v>
      </c>
      <c r="L903" t="s">
        <v>1071</v>
      </c>
      <c r="N903" t="s">
        <v>5095</v>
      </c>
      <c r="O903" t="str" cm="1">
        <f t="array" ref="O903">_xlfn.IFS(
  TEXT(TRIM(N903),"00000")="NULL", "Missing/Unknown",
  OR(TEXT(TRIM(N903),"00000")="89101", TEXT(TRIM(N903),"00000")="89104", TEXT(TRIM(N903),"00000")="89106", TEXT(TRIM(N903),"00000")="89102", TEXT(TRIM(N903),"00000")="89107", TEXT(TRIM(N903),"00000")="89108"), "Urban Core",
  OR(TEXT(TRIM(N903),"00000")="89110", TEXT(TRIM(N903),"00000")="89115", TEXT(TRIM(N903),"00000")="89121", TEXT(TRIM(N903),"00000")="89122", TEXT(TRIM(N903),"00000")="89142", TEXT(TRIM(N903),"00000")="89156"), "East Valley",
  OR(TEXT(TRIM(N903),"00000")="89030", TEXT(TRIM(N903),"00000")="89031", TEXT(TRIM(N903),"00000")="89032", TEXT(TRIM(N903),"00000")="89086", TEXT(TRIM(N903),"00000")="89084", TEXT(TRIM(N903),"00000")="89081"), "North LV",
  OR(TEXT(TRIM(N903),"00000")="89109", TEXT(TRIM(N903),"00000")="89103", TEXT(TRIM(N903),"00000")="89119", TEXT(TRIM(N903),"00000")="89123", TEXT(TRIM(N903),"00000")="89169", TEXT(TRIM(N903),"00000")="89118"), "South/Strip",
  OR(TEXT(TRIM(N903),"00000")="89074", TEXT(TRIM(N903),"00000")="89014", TEXT(TRIM(N903),"00000")="89015", TEXT(TRIM(N903),"00000")="89011", TEXT(TRIM(N903),"00000")="89012"), "Suburban SE",
  OR(TEXT(TRIM(N903),"00000")="89117", TEXT(TRIM(N903),"00000")="89128", TEXT(TRIM(N903),"00000")="89135", TEXT(TRIM(N903),"00000")="89144", TEXT(TRIM(N903),"00000")="89145", TEXT(TRIM(N903),"00000")="89147"), "West Valley",
  TRUE, "Other"
)</f>
        <v>Missing/Unknown</v>
      </c>
      <c r="P903" t="s">
        <v>3298</v>
      </c>
      <c r="Q903" t="str">
        <f t="shared" si="58"/>
        <v>Outdoors/Public</v>
      </c>
      <c r="S903" t="s">
        <v>5095</v>
      </c>
      <c r="T903" t="str" cm="1">
        <f t="array" ref="T903">_xlfn.IFS(
  TEXT(TRIM(S903),"00000")="NULL", "Missing/Unknown",
  OR(TEXT(TRIM(S903),"00000")="89101", TEXT(TRIM(S903),"00000")="89104", TEXT(TRIM(S903),"00000")="89106", TEXT(TRIM(S903),"00000")="89102", TEXT(TRIM(S903),"00000")="89107", TEXT(TRIM(S903),"00000")="89108"), "Urban Core",
  OR(TEXT(TRIM(S903),"00000")="89110", TEXT(TRIM(S903),"00000")="89115", TEXT(TRIM(S903),"00000")="89121", TEXT(TRIM(S903),"00000")="89122", TEXT(TRIM(S903),"00000")="89142", TEXT(TRIM(S903),"00000")="89156"), "East Valley",
  OR(TEXT(TRIM(S903),"00000")="89030", TEXT(TRIM(S903),"00000")="89031", TEXT(TRIM(S903),"00000")="89032", TEXT(TRIM(S903),"00000")="89086", TEXT(TRIM(S903),"00000")="89084", TEXT(TRIM(S903),"00000")="89081"), "North LV",
  OR(TEXT(TRIM(S903),"00000")="89109", TEXT(TRIM(S903),"00000")="89103", TEXT(TRIM(S903),"00000")="89119", TEXT(TRIM(S903),"00000")="89123", TEXT(TRIM(S903),"00000")="89169", TEXT(TRIM(S903),"00000")="89118"), "South/Strip",
  OR(TEXT(TRIM(S903),"00000")="89074", TEXT(TRIM(S903),"00000")="89014", TEXT(TRIM(S903),"00000")="89015", TEXT(TRIM(S903),"00000")="89011", TEXT(TRIM(S903),"00000")="89012"), "Suburban SE",
  OR(TEXT(TRIM(S903),"00000")="89117", TEXT(TRIM(S903),"00000")="89128", TEXT(TRIM(S903),"00000")="89135", TEXT(TRIM(S903),"00000")="89144", TEXT(TRIM(S903),"00000")="89145", TEXT(TRIM(S903),"00000")="89147"), "West Valley",
  TRUE, "Other"
)</f>
        <v>Missing/Unknown</v>
      </c>
      <c r="U903" t="s">
        <v>3298</v>
      </c>
      <c r="V903" t="str">
        <f t="shared" si="59"/>
        <v>Outdoors/Public</v>
      </c>
    </row>
    <row r="904" spans="1:22">
      <c r="A904" t="s">
        <v>1207</v>
      </c>
      <c r="B904" t="s">
        <v>1208</v>
      </c>
      <c r="C904" s="1">
        <v>44729</v>
      </c>
      <c r="D904" s="4">
        <v>104</v>
      </c>
      <c r="E904">
        <v>47</v>
      </c>
      <c r="F904" t="str">
        <f t="shared" si="56"/>
        <v>40's</v>
      </c>
      <c r="G904" t="str" cm="1">
        <f t="array" ref="G904">_xlfn.IFS(
  F904="10's", "Child (5–12)",
  OR(F904="20's", F904="30's"), "Young Adult (20–39)",
  OR(F904="40's", F904="50's"), "Adult (40–59)",
  OR(F904="60's", F904="70's", F904="80's", F904="90's"), "Senior (60+)",
  TRUE, "Unknown"
)</f>
        <v>Adult (40–59)</v>
      </c>
      <c r="H904" t="s">
        <v>841</v>
      </c>
      <c r="I904" t="s">
        <v>34</v>
      </c>
      <c r="J904" t="str">
        <f t="shared" si="57"/>
        <v>Methamphetamine-related</v>
      </c>
      <c r="K904" t="s">
        <v>54</v>
      </c>
      <c r="L904" t="s">
        <v>250</v>
      </c>
      <c r="M904" t="s">
        <v>4567</v>
      </c>
      <c r="N904" t="s">
        <v>5118</v>
      </c>
      <c r="O904" t="str" cm="1">
        <f t="array" ref="O904">_xlfn.IFS(
  TEXT(TRIM(N904),"00000")="NULL", "Missing/Unknown",
  OR(TEXT(TRIM(N904),"00000")="89101", TEXT(TRIM(N904),"00000")="89104", TEXT(TRIM(N904),"00000")="89106", TEXT(TRIM(N904),"00000")="89102", TEXT(TRIM(N904),"00000")="89107", TEXT(TRIM(N904),"00000")="89108"), "Urban Core",
  OR(TEXT(TRIM(N904),"00000")="89110", TEXT(TRIM(N904),"00000")="89115", TEXT(TRIM(N904),"00000")="89121", TEXT(TRIM(N904),"00000")="89122", TEXT(TRIM(N904),"00000")="89142", TEXT(TRIM(N904),"00000")="89156"), "East Valley",
  OR(TEXT(TRIM(N904),"00000")="89030", TEXT(TRIM(N904),"00000")="89031", TEXT(TRIM(N904),"00000")="89032", TEXT(TRIM(N904),"00000")="89086", TEXT(TRIM(N904),"00000")="89084", TEXT(TRIM(N904),"00000")="89081"), "North LV",
  OR(TEXT(TRIM(N904),"00000")="89109", TEXT(TRIM(N904),"00000")="89103", TEXT(TRIM(N904),"00000")="89119", TEXT(TRIM(N904),"00000")="89123", TEXT(TRIM(N904),"00000")="89169", TEXT(TRIM(N904),"00000")="89118"), "South/Strip",
  OR(TEXT(TRIM(N904),"00000")="89074", TEXT(TRIM(N904),"00000")="89014", TEXT(TRIM(N904),"00000")="89015", TEXT(TRIM(N904),"00000")="89011", TEXT(TRIM(N904),"00000")="89012"), "Suburban SE",
  OR(TEXT(TRIM(N904),"00000")="89117", TEXT(TRIM(N904),"00000")="89128", TEXT(TRIM(N904),"00000")="89135", TEXT(TRIM(N904),"00000")="89144", TEXT(TRIM(N904),"00000")="89145", TEXT(TRIM(N904),"00000")="89147"), "West Valley",
  TRUE, "Other"
)</f>
        <v>South/Strip</v>
      </c>
      <c r="P904" t="s">
        <v>24</v>
      </c>
      <c r="Q904" t="str">
        <f t="shared" si="58"/>
        <v>Outdoors/Public</v>
      </c>
      <c r="R904" t="s">
        <v>4576</v>
      </c>
      <c r="S904" t="s">
        <v>5118</v>
      </c>
      <c r="T904" t="str" cm="1">
        <f t="array" ref="T904">_xlfn.IFS(
  TEXT(TRIM(S904),"00000")="NULL", "Missing/Unknown",
  OR(TEXT(TRIM(S904),"00000")="89101", TEXT(TRIM(S904),"00000")="89104", TEXT(TRIM(S904),"00000")="89106", TEXT(TRIM(S904),"00000")="89102", TEXT(TRIM(S904),"00000")="89107", TEXT(TRIM(S904),"00000")="89108"), "Urban Core",
  OR(TEXT(TRIM(S904),"00000")="89110", TEXT(TRIM(S904),"00000")="89115", TEXT(TRIM(S904),"00000")="89121", TEXT(TRIM(S904),"00000")="89122", TEXT(TRIM(S904),"00000")="89142", TEXT(TRIM(S904),"00000")="89156"), "East Valley",
  OR(TEXT(TRIM(S904),"00000")="89030", TEXT(TRIM(S904),"00000")="89031", TEXT(TRIM(S904),"00000")="89032", TEXT(TRIM(S904),"00000")="89086", TEXT(TRIM(S904),"00000")="89084", TEXT(TRIM(S904),"00000")="89081"), "North LV",
  OR(TEXT(TRIM(S904),"00000")="89109", TEXT(TRIM(S904),"00000")="89103", TEXT(TRIM(S904),"00000")="89119", TEXT(TRIM(S904),"00000")="89123", TEXT(TRIM(S904),"00000")="89169", TEXT(TRIM(S904),"00000")="89118"), "South/Strip",
  OR(TEXT(TRIM(S904),"00000")="89074", TEXT(TRIM(S904),"00000")="89014", TEXT(TRIM(S904),"00000")="89015", TEXT(TRIM(S904),"00000")="89011", TEXT(TRIM(S904),"00000")="89012"), "Suburban SE",
  OR(TEXT(TRIM(S904),"00000")="89117", TEXT(TRIM(S904),"00000")="89128", TEXT(TRIM(S904),"00000")="89135", TEXT(TRIM(S904),"00000")="89144", TEXT(TRIM(S904),"00000")="89145", TEXT(TRIM(S904),"00000")="89147"), "West Valley",
  TRUE, "Other"
)</f>
        <v>South/Strip</v>
      </c>
      <c r="U904" t="s">
        <v>4301</v>
      </c>
      <c r="V904" t="str">
        <f t="shared" si="59"/>
        <v>Medical Facility</v>
      </c>
    </row>
    <row r="905" spans="1:22">
      <c r="A905" t="s">
        <v>1204</v>
      </c>
      <c r="B905" t="s">
        <v>1205</v>
      </c>
      <c r="C905" s="1">
        <v>44727</v>
      </c>
      <c r="D905" s="4">
        <v>100.04</v>
      </c>
      <c r="E905">
        <v>58</v>
      </c>
      <c r="F905" t="str">
        <f t="shared" si="56"/>
        <v>50's</v>
      </c>
      <c r="G905" t="str" cm="1">
        <f t="array" ref="G905">_xlfn.IFS(
  F905="10's", "Child (5–12)",
  OR(F905="20's", F905="30's"), "Young Adult (20–39)",
  OR(F905="40's", F905="50's"), "Adult (40–59)",
  OR(F905="60's", F905="70's", F905="80's", F905="90's"), "Senior (60+)",
  TRUE, "Unknown"
)</f>
        <v>Adult (40–59)</v>
      </c>
      <c r="H905" t="s">
        <v>778</v>
      </c>
      <c r="I905" t="s">
        <v>54</v>
      </c>
      <c r="J905" t="str">
        <f t="shared" si="57"/>
        <v>Environmental Heat</v>
      </c>
      <c r="K905" t="s">
        <v>63</v>
      </c>
      <c r="L905" t="s">
        <v>250</v>
      </c>
      <c r="M905" t="s">
        <v>4782</v>
      </c>
      <c r="N905" t="s">
        <v>5119</v>
      </c>
      <c r="O905" t="str" cm="1">
        <f t="array" ref="O905">_xlfn.IFS(
  TEXT(TRIM(N905),"00000")="NULL", "Missing/Unknown",
  OR(TEXT(TRIM(N905),"00000")="89101", TEXT(TRIM(N905),"00000")="89104", TEXT(TRIM(N905),"00000")="89106", TEXT(TRIM(N905),"00000")="89102", TEXT(TRIM(N905),"00000")="89107", TEXT(TRIM(N905),"00000")="89108"), "Urban Core",
  OR(TEXT(TRIM(N905),"00000")="89110", TEXT(TRIM(N905),"00000")="89115", TEXT(TRIM(N905),"00000")="89121", TEXT(TRIM(N905),"00000")="89122", TEXT(TRIM(N905),"00000")="89142", TEXT(TRIM(N905),"00000")="89156"), "East Valley",
  OR(TEXT(TRIM(N905),"00000")="89030", TEXT(TRIM(N905),"00000")="89031", TEXT(TRIM(N905),"00000")="89032", TEXT(TRIM(N905),"00000")="89086", TEXT(TRIM(N905),"00000")="89084", TEXT(TRIM(N905),"00000")="89081"), "North LV",
  OR(TEXT(TRIM(N905),"00000")="89109", TEXT(TRIM(N905),"00000")="89103", TEXT(TRIM(N905),"00000")="89119", TEXT(TRIM(N905),"00000")="89123", TEXT(TRIM(N905),"00000")="89169", TEXT(TRIM(N905),"00000")="89118"), "South/Strip",
  OR(TEXT(TRIM(N905),"00000")="89074", TEXT(TRIM(N905),"00000")="89014", TEXT(TRIM(N905),"00000")="89015", TEXT(TRIM(N905),"00000")="89011", TEXT(TRIM(N905),"00000")="89012"), "Suburban SE",
  OR(TEXT(TRIM(N905),"00000")="89117", TEXT(TRIM(N905),"00000")="89128", TEXT(TRIM(N905),"00000")="89135", TEXT(TRIM(N905),"00000")="89144", TEXT(TRIM(N905),"00000")="89145", TEXT(TRIM(N905),"00000")="89147"), "West Valley",
  TRUE, "Other"
)</f>
        <v>Urban Core</v>
      </c>
      <c r="P905" t="s">
        <v>3298</v>
      </c>
      <c r="Q905" t="str">
        <f t="shared" si="58"/>
        <v>Outdoors/Public</v>
      </c>
      <c r="R905" t="s">
        <v>4782</v>
      </c>
      <c r="S905" t="s">
        <v>5119</v>
      </c>
      <c r="T905" t="str" cm="1">
        <f t="array" ref="T905">_xlfn.IFS(
  TEXT(TRIM(S905),"00000")="NULL", "Missing/Unknown",
  OR(TEXT(TRIM(S905),"00000")="89101", TEXT(TRIM(S905),"00000")="89104", TEXT(TRIM(S905),"00000")="89106", TEXT(TRIM(S905),"00000")="89102", TEXT(TRIM(S905),"00000")="89107", TEXT(TRIM(S905),"00000")="89108"), "Urban Core",
  OR(TEXT(TRIM(S905),"00000")="89110", TEXT(TRIM(S905),"00000")="89115", TEXT(TRIM(S905),"00000")="89121", TEXT(TRIM(S905),"00000")="89122", TEXT(TRIM(S905),"00000")="89142", TEXT(TRIM(S905),"00000")="89156"), "East Valley",
  OR(TEXT(TRIM(S905),"00000")="89030", TEXT(TRIM(S905),"00000")="89031", TEXT(TRIM(S905),"00000")="89032", TEXT(TRIM(S905),"00000")="89086", TEXT(TRIM(S905),"00000")="89084", TEXT(TRIM(S905),"00000")="89081"), "North LV",
  OR(TEXT(TRIM(S905),"00000")="89109", TEXT(TRIM(S905),"00000")="89103", TEXT(TRIM(S905),"00000")="89119", TEXT(TRIM(S905),"00000")="89123", TEXT(TRIM(S905),"00000")="89169", TEXT(TRIM(S905),"00000")="89118"), "South/Strip",
  OR(TEXT(TRIM(S905),"00000")="89074", TEXT(TRIM(S905),"00000")="89014", TEXT(TRIM(S905),"00000")="89015", TEXT(TRIM(S905),"00000")="89011", TEXT(TRIM(S905),"00000")="89012"), "Suburban SE",
  OR(TEXT(TRIM(S905),"00000")="89117", TEXT(TRIM(S905),"00000")="89128", TEXT(TRIM(S905),"00000")="89135", TEXT(TRIM(S905),"00000")="89144", TEXT(TRIM(S905),"00000")="89145", TEXT(TRIM(S905),"00000")="89147"), "West Valley",
  TRUE, "Other"
)</f>
        <v>Urban Core</v>
      </c>
      <c r="U905" t="s">
        <v>3298</v>
      </c>
      <c r="V905" t="str">
        <f t="shared" si="59"/>
        <v>Outdoors/Public</v>
      </c>
    </row>
    <row r="906" spans="1:22">
      <c r="A906" t="s">
        <v>1201</v>
      </c>
      <c r="B906" t="s">
        <v>1202</v>
      </c>
      <c r="C906" s="1">
        <v>44726</v>
      </c>
      <c r="D906" s="4">
        <v>91.94</v>
      </c>
      <c r="E906">
        <v>60</v>
      </c>
      <c r="F906" t="str">
        <f t="shared" si="56"/>
        <v>60's</v>
      </c>
      <c r="G906" t="str" cm="1">
        <f t="array" ref="G906">_xlfn.IFS(
  F906="10's", "Child (5–12)",
  OR(F906="20's", F906="30's"), "Young Adult (20–39)",
  OR(F906="40's", F906="50's"), "Adult (40–59)",
  OR(F906="60's", F906="70's", F906="80's", F906="90's"), "Senior (60+)",
  TRUE, "Unknown"
)</f>
        <v>Senior (60+)</v>
      </c>
      <c r="H906" t="s">
        <v>841</v>
      </c>
      <c r="I906" t="s">
        <v>63</v>
      </c>
      <c r="J906" t="str">
        <f t="shared" si="57"/>
        <v>Cardiovascular Disease</v>
      </c>
      <c r="K906" t="s">
        <v>4260</v>
      </c>
      <c r="L906" t="s">
        <v>1071</v>
      </c>
      <c r="M906" t="s">
        <v>4449</v>
      </c>
      <c r="N906" t="s">
        <v>5100</v>
      </c>
      <c r="O906" t="str" cm="1">
        <f t="array" ref="O906">_xlfn.IFS(
  TEXT(TRIM(N906),"00000")="NULL", "Missing/Unknown",
  OR(TEXT(TRIM(N906),"00000")="89101", TEXT(TRIM(N906),"00000")="89104", TEXT(TRIM(N906),"00000")="89106", TEXT(TRIM(N906),"00000")="89102", TEXT(TRIM(N906),"00000")="89107", TEXT(TRIM(N906),"00000")="89108"), "Urban Core",
  OR(TEXT(TRIM(N906),"00000")="89110", TEXT(TRIM(N906),"00000")="89115", TEXT(TRIM(N906),"00000")="89121", TEXT(TRIM(N906),"00000")="89122", TEXT(TRIM(N906),"00000")="89142", TEXT(TRIM(N906),"00000")="89156"), "East Valley",
  OR(TEXT(TRIM(N906),"00000")="89030", TEXT(TRIM(N906),"00000")="89031", TEXT(TRIM(N906),"00000")="89032", TEXT(TRIM(N906),"00000")="89086", TEXT(TRIM(N906),"00000")="89084", TEXT(TRIM(N906),"00000")="89081"), "North LV",
  OR(TEXT(TRIM(N906),"00000")="89109", TEXT(TRIM(N906),"00000")="89103", TEXT(TRIM(N906),"00000")="89119", TEXT(TRIM(N906),"00000")="89123", TEXT(TRIM(N906),"00000")="89169", TEXT(TRIM(N906),"00000")="89118"), "South/Strip",
  OR(TEXT(TRIM(N906),"00000")="89074", TEXT(TRIM(N906),"00000")="89014", TEXT(TRIM(N906),"00000")="89015", TEXT(TRIM(N906),"00000")="89011", TEXT(TRIM(N906),"00000")="89012"), "Suburban SE",
  OR(TEXT(TRIM(N906),"00000")="89117", TEXT(TRIM(N906),"00000")="89128", TEXT(TRIM(N906),"00000")="89135", TEXT(TRIM(N906),"00000")="89144", TEXT(TRIM(N906),"00000")="89145", TEXT(TRIM(N906),"00000")="89147"), "West Valley",
  TRUE, "Other"
)</f>
        <v>North LV</v>
      </c>
      <c r="P906" t="s">
        <v>38</v>
      </c>
      <c r="Q906" t="str">
        <f t="shared" si="58"/>
        <v>Home/Residence</v>
      </c>
      <c r="R906" t="s">
        <v>4449</v>
      </c>
      <c r="S906" t="s">
        <v>5100</v>
      </c>
      <c r="T906" t="str" cm="1">
        <f t="array" ref="T906">_xlfn.IFS(
  TEXT(TRIM(S906),"00000")="NULL", "Missing/Unknown",
  OR(TEXT(TRIM(S906),"00000")="89101", TEXT(TRIM(S906),"00000")="89104", TEXT(TRIM(S906),"00000")="89106", TEXT(TRIM(S906),"00000")="89102", TEXT(TRIM(S906),"00000")="89107", TEXT(TRIM(S906),"00000")="89108"), "Urban Core",
  OR(TEXT(TRIM(S906),"00000")="89110", TEXT(TRIM(S906),"00000")="89115", TEXT(TRIM(S906),"00000")="89121", TEXT(TRIM(S906),"00000")="89122", TEXT(TRIM(S906),"00000")="89142", TEXT(TRIM(S906),"00000")="89156"), "East Valley",
  OR(TEXT(TRIM(S906),"00000")="89030", TEXT(TRIM(S906),"00000")="89031", TEXT(TRIM(S906),"00000")="89032", TEXT(TRIM(S906),"00000")="89086", TEXT(TRIM(S906),"00000")="89084", TEXT(TRIM(S906),"00000")="89081"), "North LV",
  OR(TEXT(TRIM(S906),"00000")="89109", TEXT(TRIM(S906),"00000")="89103", TEXT(TRIM(S906),"00000")="89119", TEXT(TRIM(S906),"00000")="89123", TEXT(TRIM(S906),"00000")="89169", TEXT(TRIM(S906),"00000")="89118"), "South/Strip",
  OR(TEXT(TRIM(S906),"00000")="89074", TEXT(TRIM(S906),"00000")="89014", TEXT(TRIM(S906),"00000")="89015", TEXT(TRIM(S906),"00000")="89011", TEXT(TRIM(S906),"00000")="89012"), "Suburban SE",
  OR(TEXT(TRIM(S906),"00000")="89117", TEXT(TRIM(S906),"00000")="89128", TEXT(TRIM(S906),"00000")="89135", TEXT(TRIM(S906),"00000")="89144", TEXT(TRIM(S906),"00000")="89145", TEXT(TRIM(S906),"00000")="89147"), "West Valley",
  TRUE, "Other"
)</f>
        <v>North LV</v>
      </c>
      <c r="U906" t="s">
        <v>38</v>
      </c>
      <c r="V906" t="str">
        <f t="shared" si="59"/>
        <v>Home/Residence</v>
      </c>
    </row>
    <row r="907" spans="1:22">
      <c r="A907" t="s">
        <v>1198</v>
      </c>
      <c r="B907" t="s">
        <v>1199</v>
      </c>
      <c r="C907" s="1">
        <v>44725</v>
      </c>
      <c r="D907" s="4">
        <v>98.960000000000008</v>
      </c>
      <c r="E907">
        <v>67</v>
      </c>
      <c r="F907" t="str">
        <f t="shared" si="56"/>
        <v>60's</v>
      </c>
      <c r="G907" t="str" cm="1">
        <f t="array" ref="G907">_xlfn.IFS(
  F907="10's", "Child (5–12)",
  OR(F907="20's", F907="30's"), "Young Adult (20–39)",
  OR(F907="40's", F907="50's"), "Adult (40–59)",
  OR(F907="60's", F907="70's", F907="80's", F907="90's"), "Senior (60+)",
  TRUE, "Unknown"
)</f>
        <v>Senior (60+)</v>
      </c>
      <c r="H907" t="s">
        <v>778</v>
      </c>
      <c r="I907" t="s">
        <v>54</v>
      </c>
      <c r="J907" t="str">
        <f t="shared" si="57"/>
        <v>Environmental Heat</v>
      </c>
      <c r="K907" t="s">
        <v>468</v>
      </c>
      <c r="L907" t="s">
        <v>1071</v>
      </c>
      <c r="M907" t="s">
        <v>4451</v>
      </c>
      <c r="N907" t="s">
        <v>5098</v>
      </c>
      <c r="O907" t="str" cm="1">
        <f t="array" ref="O907">_xlfn.IFS(
  TEXT(TRIM(N907),"00000")="NULL", "Missing/Unknown",
  OR(TEXT(TRIM(N907),"00000")="89101", TEXT(TRIM(N907),"00000")="89104", TEXT(TRIM(N907),"00000")="89106", TEXT(TRIM(N907),"00000")="89102", TEXT(TRIM(N907),"00000")="89107", TEXT(TRIM(N907),"00000")="89108"), "Urban Core",
  OR(TEXT(TRIM(N907),"00000")="89110", TEXT(TRIM(N907),"00000")="89115", TEXT(TRIM(N907),"00000")="89121", TEXT(TRIM(N907),"00000")="89122", TEXT(TRIM(N907),"00000")="89142", TEXT(TRIM(N907),"00000")="89156"), "East Valley",
  OR(TEXT(TRIM(N907),"00000")="89030", TEXT(TRIM(N907),"00000")="89031", TEXT(TRIM(N907),"00000")="89032", TEXT(TRIM(N907),"00000")="89086", TEXT(TRIM(N907),"00000")="89084", TEXT(TRIM(N907),"00000")="89081"), "North LV",
  OR(TEXT(TRIM(N907),"00000")="89109", TEXT(TRIM(N907),"00000")="89103", TEXT(TRIM(N907),"00000")="89119", TEXT(TRIM(N907),"00000")="89123", TEXT(TRIM(N907),"00000")="89169", TEXT(TRIM(N907),"00000")="89118"), "South/Strip",
  OR(TEXT(TRIM(N907),"00000")="89074", TEXT(TRIM(N907),"00000")="89014", TEXT(TRIM(N907),"00000")="89015", TEXT(TRIM(N907),"00000")="89011", TEXT(TRIM(N907),"00000")="89012"), "Suburban SE",
  OR(TEXT(TRIM(N907),"00000")="89117", TEXT(TRIM(N907),"00000")="89128", TEXT(TRIM(N907),"00000")="89135", TEXT(TRIM(N907),"00000")="89144", TEXT(TRIM(N907),"00000")="89145", TEXT(TRIM(N907),"00000")="89147"), "West Valley",
  TRUE, "Other"
)</f>
        <v>Urban Core</v>
      </c>
      <c r="P907" t="s">
        <v>38</v>
      </c>
      <c r="Q907" t="str">
        <f t="shared" si="58"/>
        <v>Home/Residence</v>
      </c>
      <c r="R907" t="s">
        <v>4451</v>
      </c>
      <c r="S907" t="s">
        <v>5098</v>
      </c>
      <c r="T907" t="str" cm="1">
        <f t="array" ref="T907">_xlfn.IFS(
  TEXT(TRIM(S907),"00000")="NULL", "Missing/Unknown",
  OR(TEXT(TRIM(S907),"00000")="89101", TEXT(TRIM(S907),"00000")="89104", TEXT(TRIM(S907),"00000")="89106", TEXT(TRIM(S907),"00000")="89102", TEXT(TRIM(S907),"00000")="89107", TEXT(TRIM(S907),"00000")="89108"), "Urban Core",
  OR(TEXT(TRIM(S907),"00000")="89110", TEXT(TRIM(S907),"00000")="89115", TEXT(TRIM(S907),"00000")="89121", TEXT(TRIM(S907),"00000")="89122", TEXT(TRIM(S907),"00000")="89142", TEXT(TRIM(S907),"00000")="89156"), "East Valley",
  OR(TEXT(TRIM(S907),"00000")="89030", TEXT(TRIM(S907),"00000")="89031", TEXT(TRIM(S907),"00000")="89032", TEXT(TRIM(S907),"00000")="89086", TEXT(TRIM(S907),"00000")="89084", TEXT(TRIM(S907),"00000")="89081"), "North LV",
  OR(TEXT(TRIM(S907),"00000")="89109", TEXT(TRIM(S907),"00000")="89103", TEXT(TRIM(S907),"00000")="89119", TEXT(TRIM(S907),"00000")="89123", TEXT(TRIM(S907),"00000")="89169", TEXT(TRIM(S907),"00000")="89118"), "South/Strip",
  OR(TEXT(TRIM(S907),"00000")="89074", TEXT(TRIM(S907),"00000")="89014", TEXT(TRIM(S907),"00000")="89015", TEXT(TRIM(S907),"00000")="89011", TEXT(TRIM(S907),"00000")="89012"), "Suburban SE",
  OR(TEXT(TRIM(S907),"00000")="89117", TEXT(TRIM(S907),"00000")="89128", TEXT(TRIM(S907),"00000")="89135", TEXT(TRIM(S907),"00000")="89144", TEXT(TRIM(S907),"00000")="89145", TEXT(TRIM(S907),"00000")="89147"), "West Valley",
  TRUE, "Other"
)</f>
        <v>Urban Core</v>
      </c>
      <c r="U907" t="s">
        <v>38</v>
      </c>
      <c r="V907" t="str">
        <f t="shared" si="59"/>
        <v>Home/Residence</v>
      </c>
    </row>
    <row r="908" spans="1:22">
      <c r="A908" t="s">
        <v>1195</v>
      </c>
      <c r="B908" t="s">
        <v>1196</v>
      </c>
      <c r="C908" s="1">
        <v>44725</v>
      </c>
      <c r="D908" s="4">
        <v>98.960000000000008</v>
      </c>
      <c r="E908">
        <v>81</v>
      </c>
      <c r="F908" t="str">
        <f t="shared" si="56"/>
        <v>80's</v>
      </c>
      <c r="G908" t="str" cm="1">
        <f t="array" ref="G908">_xlfn.IFS(
  F908="10's", "Child (5–12)",
  OR(F908="20's", F908="30's"), "Young Adult (20–39)",
  OR(F908="40's", F908="50's"), "Adult (40–59)",
  OR(F908="60's", F908="70's", F908="80's", F908="90's"), "Senior (60+)",
  TRUE, "Unknown"
)</f>
        <v>Senior (60+)</v>
      </c>
      <c r="H908" t="s">
        <v>778</v>
      </c>
      <c r="I908" t="s">
        <v>54</v>
      </c>
      <c r="J908" t="str">
        <f t="shared" si="57"/>
        <v>Environmental Heat</v>
      </c>
      <c r="K908" t="s">
        <v>181</v>
      </c>
      <c r="L908" t="s">
        <v>1071</v>
      </c>
      <c r="M908" t="s">
        <v>4450</v>
      </c>
      <c r="N908" t="s">
        <v>5122</v>
      </c>
      <c r="O908" t="str" cm="1">
        <f t="array" ref="O908">_xlfn.IFS(
  TEXT(TRIM(N908),"00000")="NULL", "Missing/Unknown",
  OR(TEXT(TRIM(N908),"00000")="89101", TEXT(TRIM(N908),"00000")="89104", TEXT(TRIM(N908),"00000")="89106", TEXT(TRIM(N908),"00000")="89102", TEXT(TRIM(N908),"00000")="89107", TEXT(TRIM(N908),"00000")="89108"), "Urban Core",
  OR(TEXT(TRIM(N908),"00000")="89110", TEXT(TRIM(N908),"00000")="89115", TEXT(TRIM(N908),"00000")="89121", TEXT(TRIM(N908),"00000")="89122", TEXT(TRIM(N908),"00000")="89142", TEXT(TRIM(N908),"00000")="89156"), "East Valley",
  OR(TEXT(TRIM(N908),"00000")="89030", TEXT(TRIM(N908),"00000")="89031", TEXT(TRIM(N908),"00000")="89032", TEXT(TRIM(N908),"00000")="89086", TEXT(TRIM(N908),"00000")="89084", TEXT(TRIM(N908),"00000")="89081"), "North LV",
  OR(TEXT(TRIM(N908),"00000")="89109", TEXT(TRIM(N908),"00000")="89103", TEXT(TRIM(N908),"00000")="89119", TEXT(TRIM(N908),"00000")="89123", TEXT(TRIM(N908),"00000")="89169", TEXT(TRIM(N908),"00000")="89118"), "South/Strip",
  OR(TEXT(TRIM(N908),"00000")="89074", TEXT(TRIM(N908),"00000")="89014", TEXT(TRIM(N908),"00000")="89015", TEXT(TRIM(N908),"00000")="89011", TEXT(TRIM(N908),"00000")="89012"), "Suburban SE",
  OR(TEXT(TRIM(N908),"00000")="89117", TEXT(TRIM(N908),"00000")="89128", TEXT(TRIM(N908),"00000")="89135", TEXT(TRIM(N908),"00000")="89144", TEXT(TRIM(N908),"00000")="89145", TEXT(TRIM(N908),"00000")="89147"), "West Valley",
  TRUE, "Other"
)</f>
        <v>East Valley</v>
      </c>
      <c r="P908" t="s">
        <v>38</v>
      </c>
      <c r="Q908" t="str">
        <f t="shared" si="58"/>
        <v>Home/Residence</v>
      </c>
      <c r="R908" t="s">
        <v>4450</v>
      </c>
      <c r="S908" t="s">
        <v>5122</v>
      </c>
      <c r="T908" t="str" cm="1">
        <f t="array" ref="T908">_xlfn.IFS(
  TEXT(TRIM(S908),"00000")="NULL", "Missing/Unknown",
  OR(TEXT(TRIM(S908),"00000")="89101", TEXT(TRIM(S908),"00000")="89104", TEXT(TRIM(S908),"00000")="89106", TEXT(TRIM(S908),"00000")="89102", TEXT(TRIM(S908),"00000")="89107", TEXT(TRIM(S908),"00000")="89108"), "Urban Core",
  OR(TEXT(TRIM(S908),"00000")="89110", TEXT(TRIM(S908),"00000")="89115", TEXT(TRIM(S908),"00000")="89121", TEXT(TRIM(S908),"00000")="89122", TEXT(TRIM(S908),"00000")="89142", TEXT(TRIM(S908),"00000")="89156"), "East Valley",
  OR(TEXT(TRIM(S908),"00000")="89030", TEXT(TRIM(S908),"00000")="89031", TEXT(TRIM(S908),"00000")="89032", TEXT(TRIM(S908),"00000")="89086", TEXT(TRIM(S908),"00000")="89084", TEXT(TRIM(S908),"00000")="89081"), "North LV",
  OR(TEXT(TRIM(S908),"00000")="89109", TEXT(TRIM(S908),"00000")="89103", TEXT(TRIM(S908),"00000")="89119", TEXT(TRIM(S908),"00000")="89123", TEXT(TRIM(S908),"00000")="89169", TEXT(TRIM(S908),"00000")="89118"), "South/Strip",
  OR(TEXT(TRIM(S908),"00000")="89074", TEXT(TRIM(S908),"00000")="89014", TEXT(TRIM(S908),"00000")="89015", TEXT(TRIM(S908),"00000")="89011", TEXT(TRIM(S908),"00000")="89012"), "Suburban SE",
  OR(TEXT(TRIM(S908),"00000")="89117", TEXT(TRIM(S908),"00000")="89128", TEXT(TRIM(S908),"00000")="89135", TEXT(TRIM(S908),"00000")="89144", TEXT(TRIM(S908),"00000")="89145", TEXT(TRIM(S908),"00000")="89147"), "West Valley",
  TRUE, "Other"
)</f>
        <v>East Valley</v>
      </c>
      <c r="U908" t="s">
        <v>38</v>
      </c>
      <c r="V908" t="str">
        <f t="shared" si="59"/>
        <v>Home/Residence</v>
      </c>
    </row>
    <row r="909" spans="1:22">
      <c r="A909" t="s">
        <v>1188</v>
      </c>
      <c r="B909" t="s">
        <v>1189</v>
      </c>
      <c r="C909" s="1">
        <v>44724</v>
      </c>
      <c r="D909" s="4">
        <v>107.96</v>
      </c>
      <c r="E909">
        <v>52</v>
      </c>
      <c r="F909" t="str">
        <f t="shared" si="56"/>
        <v>50's</v>
      </c>
      <c r="G909" t="str" cm="1">
        <f t="array" ref="G909">_xlfn.IFS(
  F909="10's", "Child (5–12)",
  OR(F909="20's", F909="30's"), "Young Adult (20–39)",
  OR(F909="40's", F909="50's"), "Adult (40–59)",
  OR(F909="60's", F909="70's", F909="80's", F909="90's"), "Senior (60+)",
  TRUE, "Unknown"
)</f>
        <v>Adult (40–59)</v>
      </c>
      <c r="H909" t="s">
        <v>841</v>
      </c>
      <c r="I909" t="s">
        <v>54</v>
      </c>
      <c r="J909" t="str">
        <f t="shared" si="57"/>
        <v>Environmental Heat</v>
      </c>
      <c r="K909" t="s">
        <v>4261</v>
      </c>
      <c r="L909" t="s">
        <v>250</v>
      </c>
      <c r="M909" t="s">
        <v>4557</v>
      </c>
      <c r="N909" t="s">
        <v>5101</v>
      </c>
      <c r="O909" t="str" cm="1">
        <f t="array" ref="O909">_xlfn.IFS(
  TEXT(TRIM(N909),"00000")="NULL", "Missing/Unknown",
  OR(TEXT(TRIM(N909),"00000")="89101", TEXT(TRIM(N909),"00000")="89104", TEXT(TRIM(N909),"00000")="89106", TEXT(TRIM(N909),"00000")="89102", TEXT(TRIM(N909),"00000")="89107", TEXT(TRIM(N909),"00000")="89108"), "Urban Core",
  OR(TEXT(TRIM(N909),"00000")="89110", TEXT(TRIM(N909),"00000")="89115", TEXT(TRIM(N909),"00000")="89121", TEXT(TRIM(N909),"00000")="89122", TEXT(TRIM(N909),"00000")="89142", TEXT(TRIM(N909),"00000")="89156"), "East Valley",
  OR(TEXT(TRIM(N909),"00000")="89030", TEXT(TRIM(N909),"00000")="89031", TEXT(TRIM(N909),"00000")="89032", TEXT(TRIM(N909),"00000")="89086", TEXT(TRIM(N909),"00000")="89084", TEXT(TRIM(N909),"00000")="89081"), "North LV",
  OR(TEXT(TRIM(N909),"00000")="89109", TEXT(TRIM(N909),"00000")="89103", TEXT(TRIM(N909),"00000")="89119", TEXT(TRIM(N909),"00000")="89123", TEXT(TRIM(N909),"00000")="89169", TEXT(TRIM(N909),"00000")="89118"), "South/Strip",
  OR(TEXT(TRIM(N909),"00000")="89074", TEXT(TRIM(N909),"00000")="89014", TEXT(TRIM(N909),"00000")="89015", TEXT(TRIM(N909),"00000")="89011", TEXT(TRIM(N909),"00000")="89012"), "Suburban SE",
  OR(TEXT(TRIM(N909),"00000")="89117", TEXT(TRIM(N909),"00000")="89128", TEXT(TRIM(N909),"00000")="89135", TEXT(TRIM(N909),"00000")="89144", TEXT(TRIM(N909),"00000")="89145", TEXT(TRIM(N909),"00000")="89147"), "West Valley",
  TRUE, "Other"
)</f>
        <v>Urban Core</v>
      </c>
      <c r="P909" t="s">
        <v>3298</v>
      </c>
      <c r="Q909" t="str">
        <f t="shared" si="58"/>
        <v>Outdoors/Public</v>
      </c>
      <c r="R909" t="s">
        <v>4557</v>
      </c>
      <c r="S909" t="s">
        <v>5101</v>
      </c>
      <c r="T909" t="str" cm="1">
        <f t="array" ref="T909">_xlfn.IFS(
  TEXT(TRIM(S909),"00000")="NULL", "Missing/Unknown",
  OR(TEXT(TRIM(S909),"00000")="89101", TEXT(TRIM(S909),"00000")="89104", TEXT(TRIM(S909),"00000")="89106", TEXT(TRIM(S909),"00000")="89102", TEXT(TRIM(S909),"00000")="89107", TEXT(TRIM(S909),"00000")="89108"), "Urban Core",
  OR(TEXT(TRIM(S909),"00000")="89110", TEXT(TRIM(S909),"00000")="89115", TEXT(TRIM(S909),"00000")="89121", TEXT(TRIM(S909),"00000")="89122", TEXT(TRIM(S909),"00000")="89142", TEXT(TRIM(S909),"00000")="89156"), "East Valley",
  OR(TEXT(TRIM(S909),"00000")="89030", TEXT(TRIM(S909),"00000")="89031", TEXT(TRIM(S909),"00000")="89032", TEXT(TRIM(S909),"00000")="89086", TEXT(TRIM(S909),"00000")="89084", TEXT(TRIM(S909),"00000")="89081"), "North LV",
  OR(TEXT(TRIM(S909),"00000")="89109", TEXT(TRIM(S909),"00000")="89103", TEXT(TRIM(S909),"00000")="89119", TEXT(TRIM(S909),"00000")="89123", TEXT(TRIM(S909),"00000")="89169", TEXT(TRIM(S909),"00000")="89118"), "South/Strip",
  OR(TEXT(TRIM(S909),"00000")="89074", TEXT(TRIM(S909),"00000")="89014", TEXT(TRIM(S909),"00000")="89015", TEXT(TRIM(S909),"00000")="89011", TEXT(TRIM(S909),"00000")="89012"), "Suburban SE",
  OR(TEXT(TRIM(S909),"00000")="89117", TEXT(TRIM(S909),"00000")="89128", TEXT(TRIM(S909),"00000")="89135", TEXT(TRIM(S909),"00000")="89144", TEXT(TRIM(S909),"00000")="89145", TEXT(TRIM(S909),"00000")="89147"), "West Valley",
  TRUE, "Other"
)</f>
        <v>Urban Core</v>
      </c>
      <c r="U909" t="s">
        <v>65</v>
      </c>
      <c r="V909" t="str">
        <f t="shared" si="59"/>
        <v>Vehicle-related</v>
      </c>
    </row>
    <row r="910" spans="1:22">
      <c r="A910" t="s">
        <v>1192</v>
      </c>
      <c r="B910" t="s">
        <v>1193</v>
      </c>
      <c r="C910" s="1">
        <v>44724</v>
      </c>
      <c r="D910" s="4">
        <v>107.96</v>
      </c>
      <c r="E910">
        <v>33</v>
      </c>
      <c r="F910" t="str">
        <f t="shared" si="56"/>
        <v>30's</v>
      </c>
      <c r="G910" t="str" cm="1">
        <f t="array" ref="G910">_xlfn.IFS(
  F910="10's", "Child (5–12)",
  OR(F910="20's", F910="30's"), "Young Adult (20–39)",
  OR(F910="40's", F910="50's"), "Adult (40–59)",
  OR(F910="60's", F910="70's", F910="80's", F910="90's"), "Senior (60+)",
  TRUE, "Unknown"
)</f>
        <v>Young Adult (20–39)</v>
      </c>
      <c r="H910" t="s">
        <v>778</v>
      </c>
      <c r="I910" t="s">
        <v>4025</v>
      </c>
      <c r="J910" t="str">
        <f t="shared" si="57"/>
        <v>Methamphetamine-related</v>
      </c>
      <c r="K910" t="s">
        <v>54</v>
      </c>
      <c r="L910" t="s">
        <v>250</v>
      </c>
      <c r="M910" t="s">
        <v>4818</v>
      </c>
      <c r="N910" t="s">
        <v>5106</v>
      </c>
      <c r="O910" t="str" cm="1">
        <f t="array" ref="O910">_xlfn.IFS(
  TEXT(TRIM(N910),"00000")="NULL", "Missing/Unknown",
  OR(TEXT(TRIM(N910),"00000")="89101", TEXT(TRIM(N910),"00000")="89104", TEXT(TRIM(N910),"00000")="89106", TEXT(TRIM(N910),"00000")="89102", TEXT(TRIM(N910),"00000")="89107", TEXT(TRIM(N910),"00000")="89108"), "Urban Core",
  OR(TEXT(TRIM(N910),"00000")="89110", TEXT(TRIM(N910),"00000")="89115", TEXT(TRIM(N910),"00000")="89121", TEXT(TRIM(N910),"00000")="89122", TEXT(TRIM(N910),"00000")="89142", TEXT(TRIM(N910),"00000")="89156"), "East Valley",
  OR(TEXT(TRIM(N910),"00000")="89030", TEXT(TRIM(N910),"00000")="89031", TEXT(TRIM(N910),"00000")="89032", TEXT(TRIM(N910),"00000")="89086", TEXT(TRIM(N910),"00000")="89084", TEXT(TRIM(N910),"00000")="89081"), "North LV",
  OR(TEXT(TRIM(N910),"00000")="89109", TEXT(TRIM(N910),"00000")="89103", TEXT(TRIM(N910),"00000")="89119", TEXT(TRIM(N910),"00000")="89123", TEXT(TRIM(N910),"00000")="89169", TEXT(TRIM(N910),"00000")="89118"), "South/Strip",
  OR(TEXT(TRIM(N910),"00000")="89074", TEXT(TRIM(N910),"00000")="89014", TEXT(TRIM(N910),"00000")="89015", TEXT(TRIM(N910),"00000")="89011", TEXT(TRIM(N910),"00000")="89012"), "Suburban SE",
  OR(TEXT(TRIM(N910),"00000")="89117", TEXT(TRIM(N910),"00000")="89128", TEXT(TRIM(N910),"00000")="89135", TEXT(TRIM(N910),"00000")="89144", TEXT(TRIM(N910),"00000")="89145", TEXT(TRIM(N910),"00000")="89147"), "West Valley",
  TRUE, "Other"
)</f>
        <v>East Valley</v>
      </c>
      <c r="P910" t="s">
        <v>3298</v>
      </c>
      <c r="Q910" t="str">
        <f t="shared" si="58"/>
        <v>Outdoors/Public</v>
      </c>
      <c r="R910" t="s">
        <v>4818</v>
      </c>
      <c r="S910" t="s">
        <v>5106</v>
      </c>
      <c r="T910" t="str" cm="1">
        <f t="array" ref="T910">_xlfn.IFS(
  TEXT(TRIM(S910),"00000")="NULL", "Missing/Unknown",
  OR(TEXT(TRIM(S910),"00000")="89101", TEXT(TRIM(S910),"00000")="89104", TEXT(TRIM(S910),"00000")="89106", TEXT(TRIM(S910),"00000")="89102", TEXT(TRIM(S910),"00000")="89107", TEXT(TRIM(S910),"00000")="89108"), "Urban Core",
  OR(TEXT(TRIM(S910),"00000")="89110", TEXT(TRIM(S910),"00000")="89115", TEXT(TRIM(S910),"00000")="89121", TEXT(TRIM(S910),"00000")="89122", TEXT(TRIM(S910),"00000")="89142", TEXT(TRIM(S910),"00000")="89156"), "East Valley",
  OR(TEXT(TRIM(S910),"00000")="89030", TEXT(TRIM(S910),"00000")="89031", TEXT(TRIM(S910),"00000")="89032", TEXT(TRIM(S910),"00000")="89086", TEXT(TRIM(S910),"00000")="89084", TEXT(TRIM(S910),"00000")="89081"), "North LV",
  OR(TEXT(TRIM(S910),"00000")="89109", TEXT(TRIM(S910),"00000")="89103", TEXT(TRIM(S910),"00000")="89119", TEXT(TRIM(S910),"00000")="89123", TEXT(TRIM(S910),"00000")="89169", TEXT(TRIM(S910),"00000")="89118"), "South/Strip",
  OR(TEXT(TRIM(S910),"00000")="89074", TEXT(TRIM(S910),"00000")="89014", TEXT(TRIM(S910),"00000")="89015", TEXT(TRIM(S910),"00000")="89011", TEXT(TRIM(S910),"00000")="89012"), "Suburban SE",
  OR(TEXT(TRIM(S910),"00000")="89117", TEXT(TRIM(S910),"00000")="89128", TEXT(TRIM(S910),"00000")="89135", TEXT(TRIM(S910),"00000")="89144", TEXT(TRIM(S910),"00000")="89145", TEXT(TRIM(S910),"00000")="89147"), "West Valley",
  TRUE, "Other"
)</f>
        <v>East Valley</v>
      </c>
      <c r="U910" t="s">
        <v>3298</v>
      </c>
      <c r="V910" t="str">
        <f t="shared" si="59"/>
        <v>Outdoors/Public</v>
      </c>
    </row>
    <row r="911" spans="1:22">
      <c r="A911" t="s">
        <v>1182</v>
      </c>
      <c r="B911" t="s">
        <v>1183</v>
      </c>
      <c r="C911" s="1">
        <v>44724</v>
      </c>
      <c r="D911" s="4">
        <v>107.96</v>
      </c>
      <c r="E911">
        <v>51</v>
      </c>
      <c r="F911" t="str">
        <f t="shared" si="56"/>
        <v>50's</v>
      </c>
      <c r="G911" t="str" cm="1">
        <f t="array" ref="G911">_xlfn.IFS(
  F911="10's", "Child (5–12)",
  OR(F911="20's", F911="30's"), "Young Adult (20–39)",
  OR(F911="40's", F911="50's"), "Adult (40–59)",
  OR(F911="60's", F911="70's", F911="80's", F911="90's"), "Senior (60+)",
  TRUE, "Unknown"
)</f>
        <v>Adult (40–59)</v>
      </c>
      <c r="H911" t="s">
        <v>778</v>
      </c>
      <c r="I911" t="s">
        <v>1376</v>
      </c>
      <c r="J911" t="str">
        <f t="shared" si="57"/>
        <v>Other / Unknown</v>
      </c>
      <c r="K911" t="s">
        <v>1378</v>
      </c>
      <c r="L911" t="s">
        <v>250</v>
      </c>
      <c r="M911" t="s">
        <v>4577</v>
      </c>
      <c r="N911" t="s">
        <v>5098</v>
      </c>
      <c r="O911" t="str" cm="1">
        <f t="array" ref="O911">_xlfn.IFS(
  TEXT(TRIM(N911),"00000")="NULL", "Missing/Unknown",
  OR(TEXT(TRIM(N911),"00000")="89101", TEXT(TRIM(N911),"00000")="89104", TEXT(TRIM(N911),"00000")="89106", TEXT(TRIM(N911),"00000")="89102", TEXT(TRIM(N911),"00000")="89107", TEXT(TRIM(N911),"00000")="89108"), "Urban Core",
  OR(TEXT(TRIM(N911),"00000")="89110", TEXT(TRIM(N911),"00000")="89115", TEXT(TRIM(N911),"00000")="89121", TEXT(TRIM(N911),"00000")="89122", TEXT(TRIM(N911),"00000")="89142", TEXT(TRIM(N911),"00000")="89156"), "East Valley",
  OR(TEXT(TRIM(N911),"00000")="89030", TEXT(TRIM(N911),"00000")="89031", TEXT(TRIM(N911),"00000")="89032", TEXT(TRIM(N911),"00000")="89086", TEXT(TRIM(N911),"00000")="89084", TEXT(TRIM(N911),"00000")="89081"), "North LV",
  OR(TEXT(TRIM(N911),"00000")="89109", TEXT(TRIM(N911),"00000")="89103", TEXT(TRIM(N911),"00000")="89119", TEXT(TRIM(N911),"00000")="89123", TEXT(TRIM(N911),"00000")="89169", TEXT(TRIM(N911),"00000")="89118"), "South/Strip",
  OR(TEXT(TRIM(N911),"00000")="89074", TEXT(TRIM(N911),"00000")="89014", TEXT(TRIM(N911),"00000")="89015", TEXT(TRIM(N911),"00000")="89011", TEXT(TRIM(N911),"00000")="89012"), "Suburban SE",
  OR(TEXT(TRIM(N911),"00000")="89117", TEXT(TRIM(N911),"00000")="89128", TEXT(TRIM(N911),"00000")="89135", TEXT(TRIM(N911),"00000")="89144", TEXT(TRIM(N911),"00000")="89145", TEXT(TRIM(N911),"00000")="89147"), "West Valley",
  TRUE, "Other"
)</f>
        <v>Urban Core</v>
      </c>
      <c r="P911" t="s">
        <v>3298</v>
      </c>
      <c r="Q911" t="str">
        <f t="shared" si="58"/>
        <v>Outdoors/Public</v>
      </c>
      <c r="R911" t="s">
        <v>5054</v>
      </c>
      <c r="S911" t="s">
        <v>5097</v>
      </c>
      <c r="T911" t="str" cm="1">
        <f t="array" ref="T911">_xlfn.IFS(
  TEXT(TRIM(S911),"00000")="NULL", "Missing/Unknown",
  OR(TEXT(TRIM(S911),"00000")="89101", TEXT(TRIM(S911),"00000")="89104", TEXT(TRIM(S911),"00000")="89106", TEXT(TRIM(S911),"00000")="89102", TEXT(TRIM(S911),"00000")="89107", TEXT(TRIM(S911),"00000")="89108"), "Urban Core",
  OR(TEXT(TRIM(S911),"00000")="89110", TEXT(TRIM(S911),"00000")="89115", TEXT(TRIM(S911),"00000")="89121", TEXT(TRIM(S911),"00000")="89122", TEXT(TRIM(S911),"00000")="89142", TEXT(TRIM(S911),"00000")="89156"), "East Valley",
  OR(TEXT(TRIM(S911),"00000")="89030", TEXT(TRIM(S911),"00000")="89031", TEXT(TRIM(S911),"00000")="89032", TEXT(TRIM(S911),"00000")="89086", TEXT(TRIM(S911),"00000")="89084", TEXT(TRIM(S911),"00000")="89081"), "North LV",
  OR(TEXT(TRIM(S911),"00000")="89109", TEXT(TRIM(S911),"00000")="89103", TEXT(TRIM(S911),"00000")="89119", TEXT(TRIM(S911),"00000")="89123", TEXT(TRIM(S911),"00000")="89169", TEXT(TRIM(S911),"00000")="89118"), "South/Strip",
  OR(TEXT(TRIM(S911),"00000")="89074", TEXT(TRIM(S911),"00000")="89014", TEXT(TRIM(S911),"00000")="89015", TEXT(TRIM(S911),"00000")="89011", TEXT(TRIM(S911),"00000")="89012"), "Suburban SE",
  OR(TEXT(TRIM(S911),"00000")="89117", TEXT(TRIM(S911),"00000")="89128", TEXT(TRIM(S911),"00000")="89135", TEXT(TRIM(S911),"00000")="89144", TEXT(TRIM(S911),"00000")="89145", TEXT(TRIM(S911),"00000")="89147"), "West Valley",
  TRUE, "Other"
)</f>
        <v>Urban Core</v>
      </c>
      <c r="U911" t="s">
        <v>4305</v>
      </c>
      <c r="V911" t="str">
        <f t="shared" si="59"/>
        <v>Medical Facility</v>
      </c>
    </row>
    <row r="912" spans="1:22">
      <c r="A912" t="s">
        <v>1178</v>
      </c>
      <c r="B912" t="s">
        <v>1179</v>
      </c>
      <c r="C912" s="1">
        <v>44724</v>
      </c>
      <c r="D912" s="4">
        <v>107.96</v>
      </c>
      <c r="E912">
        <v>58</v>
      </c>
      <c r="F912" t="str">
        <f t="shared" si="56"/>
        <v>50's</v>
      </c>
      <c r="G912" t="str" cm="1">
        <f t="array" ref="G912">_xlfn.IFS(
  F912="10's", "Child (5–12)",
  OR(F912="20's", F912="30's"), "Young Adult (20–39)",
  OR(F912="40's", F912="50's"), "Adult (40–59)",
  OR(F912="60's", F912="70's", F912="80's", F912="90's"), "Senior (60+)",
  TRUE, "Unknown"
)</f>
        <v>Adult (40–59)</v>
      </c>
      <c r="H912" t="s">
        <v>841</v>
      </c>
      <c r="I912" t="s">
        <v>54</v>
      </c>
      <c r="J912" t="str">
        <f t="shared" si="57"/>
        <v>Environmental Heat</v>
      </c>
      <c r="K912" t="s">
        <v>63</v>
      </c>
      <c r="L912" t="s">
        <v>250</v>
      </c>
      <c r="M912" t="s">
        <v>4724</v>
      </c>
      <c r="N912" t="s">
        <v>5101</v>
      </c>
      <c r="O912" t="str" cm="1">
        <f t="array" ref="O912">_xlfn.IFS(
  TEXT(TRIM(N912),"00000")="NULL", "Missing/Unknown",
  OR(TEXT(TRIM(N912),"00000")="89101", TEXT(TRIM(N912),"00000")="89104", TEXT(TRIM(N912),"00000")="89106", TEXT(TRIM(N912),"00000")="89102", TEXT(TRIM(N912),"00000")="89107", TEXT(TRIM(N912),"00000")="89108"), "Urban Core",
  OR(TEXT(TRIM(N912),"00000")="89110", TEXT(TRIM(N912),"00000")="89115", TEXT(TRIM(N912),"00000")="89121", TEXT(TRIM(N912),"00000")="89122", TEXT(TRIM(N912),"00000")="89142", TEXT(TRIM(N912),"00000")="89156"), "East Valley",
  OR(TEXT(TRIM(N912),"00000")="89030", TEXT(TRIM(N912),"00000")="89031", TEXT(TRIM(N912),"00000")="89032", TEXT(TRIM(N912),"00000")="89086", TEXT(TRIM(N912),"00000")="89084", TEXT(TRIM(N912),"00000")="89081"), "North LV",
  OR(TEXT(TRIM(N912),"00000")="89109", TEXT(TRIM(N912),"00000")="89103", TEXT(TRIM(N912),"00000")="89119", TEXT(TRIM(N912),"00000")="89123", TEXT(TRIM(N912),"00000")="89169", TEXT(TRIM(N912),"00000")="89118"), "South/Strip",
  OR(TEXT(TRIM(N912),"00000")="89074", TEXT(TRIM(N912),"00000")="89014", TEXT(TRIM(N912),"00000")="89015", TEXT(TRIM(N912),"00000")="89011", TEXT(TRIM(N912),"00000")="89012"), "Suburban SE",
  OR(TEXT(TRIM(N912),"00000")="89117", TEXT(TRIM(N912),"00000")="89128", TEXT(TRIM(N912),"00000")="89135", TEXT(TRIM(N912),"00000")="89144", TEXT(TRIM(N912),"00000")="89145", TEXT(TRIM(N912),"00000")="89147"), "West Valley",
  TRUE, "Other"
)</f>
        <v>Urban Core</v>
      </c>
      <c r="P912" t="s">
        <v>3298</v>
      </c>
      <c r="Q912" t="str">
        <f t="shared" si="58"/>
        <v>Outdoors/Public</v>
      </c>
      <c r="R912" t="s">
        <v>4724</v>
      </c>
      <c r="S912" t="s">
        <v>5101</v>
      </c>
      <c r="T912" t="str" cm="1">
        <f t="array" ref="T912">_xlfn.IFS(
  TEXT(TRIM(S912),"00000")="NULL", "Missing/Unknown",
  OR(TEXT(TRIM(S912),"00000")="89101", TEXT(TRIM(S912),"00000")="89104", TEXT(TRIM(S912),"00000")="89106", TEXT(TRIM(S912),"00000")="89102", TEXT(TRIM(S912),"00000")="89107", TEXT(TRIM(S912),"00000")="89108"), "Urban Core",
  OR(TEXT(TRIM(S912),"00000")="89110", TEXT(TRIM(S912),"00000")="89115", TEXT(TRIM(S912),"00000")="89121", TEXT(TRIM(S912),"00000")="89122", TEXT(TRIM(S912),"00000")="89142", TEXT(TRIM(S912),"00000")="89156"), "East Valley",
  OR(TEXT(TRIM(S912),"00000")="89030", TEXT(TRIM(S912),"00000")="89031", TEXT(TRIM(S912),"00000")="89032", TEXT(TRIM(S912),"00000")="89086", TEXT(TRIM(S912),"00000")="89084", TEXT(TRIM(S912),"00000")="89081"), "North LV",
  OR(TEXT(TRIM(S912),"00000")="89109", TEXT(TRIM(S912),"00000")="89103", TEXT(TRIM(S912),"00000")="89119", TEXT(TRIM(S912),"00000")="89123", TEXT(TRIM(S912),"00000")="89169", TEXT(TRIM(S912),"00000")="89118"), "South/Strip",
  OR(TEXT(TRIM(S912),"00000")="89074", TEXT(TRIM(S912),"00000")="89014", TEXT(TRIM(S912),"00000")="89015", TEXT(TRIM(S912),"00000")="89011", TEXT(TRIM(S912),"00000")="89012"), "Suburban SE",
  OR(TEXT(TRIM(S912),"00000")="89117", TEXT(TRIM(S912),"00000")="89128", TEXT(TRIM(S912),"00000")="89135", TEXT(TRIM(S912),"00000")="89144", TEXT(TRIM(S912),"00000")="89145", TEXT(TRIM(S912),"00000")="89147"), "West Valley",
  TRUE, "Other"
)</f>
        <v>Urban Core</v>
      </c>
      <c r="U912" t="s">
        <v>3298</v>
      </c>
      <c r="V912" t="str">
        <f t="shared" si="59"/>
        <v>Outdoors/Public</v>
      </c>
    </row>
    <row r="913" spans="1:22">
      <c r="A913" t="s">
        <v>1160</v>
      </c>
      <c r="B913" t="s">
        <v>1161</v>
      </c>
      <c r="C913" s="1">
        <v>44723</v>
      </c>
      <c r="D913" s="4">
        <v>109.94</v>
      </c>
      <c r="E913">
        <v>48</v>
      </c>
      <c r="F913" t="str">
        <f t="shared" si="56"/>
        <v>40's</v>
      </c>
      <c r="G913" t="str" cm="1">
        <f t="array" ref="G913">_xlfn.IFS(
  F913="10's", "Child (5–12)",
  OR(F913="20's", F913="30's"), "Young Adult (20–39)",
  OR(F913="40's", F913="50's"), "Adult (40–59)",
  OR(F913="60's", F913="70's", F913="80's", F913="90's"), "Senior (60+)",
  TRUE, "Unknown"
)</f>
        <v>Adult (40–59)</v>
      </c>
      <c r="H913" t="s">
        <v>841</v>
      </c>
      <c r="I913" t="s">
        <v>54</v>
      </c>
      <c r="J913" t="str">
        <f t="shared" si="57"/>
        <v>Environmental Heat</v>
      </c>
      <c r="K913" t="s">
        <v>4262</v>
      </c>
      <c r="L913" t="s">
        <v>250</v>
      </c>
      <c r="M913" t="s">
        <v>4819</v>
      </c>
      <c r="N913" t="s">
        <v>5102</v>
      </c>
      <c r="O913" t="str" cm="1">
        <f t="array" ref="O913">_xlfn.IFS(
  TEXT(TRIM(N913),"00000")="NULL", "Missing/Unknown",
  OR(TEXT(TRIM(N913),"00000")="89101", TEXT(TRIM(N913),"00000")="89104", TEXT(TRIM(N913),"00000")="89106", TEXT(TRIM(N913),"00000")="89102", TEXT(TRIM(N913),"00000")="89107", TEXT(TRIM(N913),"00000")="89108"), "Urban Core",
  OR(TEXT(TRIM(N913),"00000")="89110", TEXT(TRIM(N913),"00000")="89115", TEXT(TRIM(N913),"00000")="89121", TEXT(TRIM(N913),"00000")="89122", TEXT(TRIM(N913),"00000")="89142", TEXT(TRIM(N913),"00000")="89156"), "East Valley",
  OR(TEXT(TRIM(N913),"00000")="89030", TEXT(TRIM(N913),"00000")="89031", TEXT(TRIM(N913),"00000")="89032", TEXT(TRIM(N913),"00000")="89086", TEXT(TRIM(N913),"00000")="89084", TEXT(TRIM(N913),"00000")="89081"), "North LV",
  OR(TEXT(TRIM(N913),"00000")="89109", TEXT(TRIM(N913),"00000")="89103", TEXT(TRIM(N913),"00000")="89119", TEXT(TRIM(N913),"00000")="89123", TEXT(TRIM(N913),"00000")="89169", TEXT(TRIM(N913),"00000")="89118"), "South/Strip",
  OR(TEXT(TRIM(N913),"00000")="89074", TEXT(TRIM(N913),"00000")="89014", TEXT(TRIM(N913),"00000")="89015", TEXT(TRIM(N913),"00000")="89011", TEXT(TRIM(N913),"00000")="89012"), "Suburban SE",
  OR(TEXT(TRIM(N913),"00000")="89117", TEXT(TRIM(N913),"00000")="89128", TEXT(TRIM(N913),"00000")="89135", TEXT(TRIM(N913),"00000")="89144", TEXT(TRIM(N913),"00000")="89145", TEXT(TRIM(N913),"00000")="89147"), "West Valley",
  TRUE, "Other"
)</f>
        <v>Urban Core</v>
      </c>
      <c r="P913" t="s">
        <v>3298</v>
      </c>
      <c r="Q913" t="str">
        <f t="shared" si="58"/>
        <v>Outdoors/Public</v>
      </c>
      <c r="R913" t="s">
        <v>4819</v>
      </c>
      <c r="S913" t="s">
        <v>5102</v>
      </c>
      <c r="T913" t="str" cm="1">
        <f t="array" ref="T913">_xlfn.IFS(
  TEXT(TRIM(S913),"00000")="NULL", "Missing/Unknown",
  OR(TEXT(TRIM(S913),"00000")="89101", TEXT(TRIM(S913),"00000")="89104", TEXT(TRIM(S913),"00000")="89106", TEXT(TRIM(S913),"00000")="89102", TEXT(TRIM(S913),"00000")="89107", TEXT(TRIM(S913),"00000")="89108"), "Urban Core",
  OR(TEXT(TRIM(S913),"00000")="89110", TEXT(TRIM(S913),"00000")="89115", TEXT(TRIM(S913),"00000")="89121", TEXT(TRIM(S913),"00000")="89122", TEXT(TRIM(S913),"00000")="89142", TEXT(TRIM(S913),"00000")="89156"), "East Valley",
  OR(TEXT(TRIM(S913),"00000")="89030", TEXT(TRIM(S913),"00000")="89031", TEXT(TRIM(S913),"00000")="89032", TEXT(TRIM(S913),"00000")="89086", TEXT(TRIM(S913),"00000")="89084", TEXT(TRIM(S913),"00000")="89081"), "North LV",
  OR(TEXT(TRIM(S913),"00000")="89109", TEXT(TRIM(S913),"00000")="89103", TEXT(TRIM(S913),"00000")="89119", TEXT(TRIM(S913),"00000")="89123", TEXT(TRIM(S913),"00000")="89169", TEXT(TRIM(S913),"00000")="89118"), "South/Strip",
  OR(TEXT(TRIM(S913),"00000")="89074", TEXT(TRIM(S913),"00000")="89014", TEXT(TRIM(S913),"00000")="89015", TEXT(TRIM(S913),"00000")="89011", TEXT(TRIM(S913),"00000")="89012"), "Suburban SE",
  OR(TEXT(TRIM(S913),"00000")="89117", TEXT(TRIM(S913),"00000")="89128", TEXT(TRIM(S913),"00000")="89135", TEXT(TRIM(S913),"00000")="89144", TEXT(TRIM(S913),"00000")="89145", TEXT(TRIM(S913),"00000")="89147"), "West Valley",
  TRUE, "Other"
)</f>
        <v>Urban Core</v>
      </c>
      <c r="U913" t="s">
        <v>3298</v>
      </c>
      <c r="V913" t="str">
        <f t="shared" si="59"/>
        <v>Outdoors/Public</v>
      </c>
    </row>
    <row r="914" spans="1:22">
      <c r="A914" t="s">
        <v>1170</v>
      </c>
      <c r="B914" t="s">
        <v>1171</v>
      </c>
      <c r="C914" s="1">
        <v>44723</v>
      </c>
      <c r="D914" s="4">
        <v>109.94</v>
      </c>
      <c r="E914">
        <v>68</v>
      </c>
      <c r="F914" t="str">
        <f t="shared" si="56"/>
        <v>60's</v>
      </c>
      <c r="G914" t="str" cm="1">
        <f t="array" ref="G914">_xlfn.IFS(
  F914="10's", "Child (5–12)",
  OR(F914="20's", F914="30's"), "Young Adult (20–39)",
  OR(F914="40's", F914="50's"), "Adult (40–59)",
  OR(F914="60's", F914="70's", F914="80's", F914="90's"), "Senior (60+)",
  TRUE, "Unknown"
)</f>
        <v>Senior (60+)</v>
      </c>
      <c r="H914" t="s">
        <v>841</v>
      </c>
      <c r="I914" t="s">
        <v>54</v>
      </c>
      <c r="J914" t="str">
        <f t="shared" si="57"/>
        <v>Environmental Heat</v>
      </c>
      <c r="K914" t="s">
        <v>4263</v>
      </c>
      <c r="L914" t="s">
        <v>1071</v>
      </c>
      <c r="M914" t="s">
        <v>4620</v>
      </c>
      <c r="N914" t="s">
        <v>5122</v>
      </c>
      <c r="O914" t="str" cm="1">
        <f t="array" ref="O914">_xlfn.IFS(
  TEXT(TRIM(N914),"00000")="NULL", "Missing/Unknown",
  OR(TEXT(TRIM(N914),"00000")="89101", TEXT(TRIM(N914),"00000")="89104", TEXT(TRIM(N914),"00000")="89106", TEXT(TRIM(N914),"00000")="89102", TEXT(TRIM(N914),"00000")="89107", TEXT(TRIM(N914),"00000")="89108"), "Urban Core",
  OR(TEXT(TRIM(N914),"00000")="89110", TEXT(TRIM(N914),"00000")="89115", TEXT(TRIM(N914),"00000")="89121", TEXT(TRIM(N914),"00000")="89122", TEXT(TRIM(N914),"00000")="89142", TEXT(TRIM(N914),"00000")="89156"), "East Valley",
  OR(TEXT(TRIM(N914),"00000")="89030", TEXT(TRIM(N914),"00000")="89031", TEXT(TRIM(N914),"00000")="89032", TEXT(TRIM(N914),"00000")="89086", TEXT(TRIM(N914),"00000")="89084", TEXT(TRIM(N914),"00000")="89081"), "North LV",
  OR(TEXT(TRIM(N914),"00000")="89109", TEXT(TRIM(N914),"00000")="89103", TEXT(TRIM(N914),"00000")="89119", TEXT(TRIM(N914),"00000")="89123", TEXT(TRIM(N914),"00000")="89169", TEXT(TRIM(N914),"00000")="89118"), "South/Strip",
  OR(TEXT(TRIM(N914),"00000")="89074", TEXT(TRIM(N914),"00000")="89014", TEXT(TRIM(N914),"00000")="89015", TEXT(TRIM(N914),"00000")="89011", TEXT(TRIM(N914),"00000")="89012"), "Suburban SE",
  OR(TEXT(TRIM(N914),"00000")="89117", TEXT(TRIM(N914),"00000")="89128", TEXT(TRIM(N914),"00000")="89135", TEXT(TRIM(N914),"00000")="89144", TEXT(TRIM(N914),"00000")="89145", TEXT(TRIM(N914),"00000")="89147"), "West Valley",
  TRUE, "Other"
)</f>
        <v>East Valley</v>
      </c>
      <c r="P914" t="s">
        <v>3298</v>
      </c>
      <c r="Q914" t="str">
        <f t="shared" si="58"/>
        <v>Outdoors/Public</v>
      </c>
      <c r="R914" t="s">
        <v>4620</v>
      </c>
      <c r="S914" t="s">
        <v>5122</v>
      </c>
      <c r="T914" t="str" cm="1">
        <f t="array" ref="T914">_xlfn.IFS(
  TEXT(TRIM(S914),"00000")="NULL", "Missing/Unknown",
  OR(TEXT(TRIM(S914),"00000")="89101", TEXT(TRIM(S914),"00000")="89104", TEXT(TRIM(S914),"00000")="89106", TEXT(TRIM(S914),"00000")="89102", TEXT(TRIM(S914),"00000")="89107", TEXT(TRIM(S914),"00000")="89108"), "Urban Core",
  OR(TEXT(TRIM(S914),"00000")="89110", TEXT(TRIM(S914),"00000")="89115", TEXT(TRIM(S914),"00000")="89121", TEXT(TRIM(S914),"00000")="89122", TEXT(TRIM(S914),"00000")="89142", TEXT(TRIM(S914),"00000")="89156"), "East Valley",
  OR(TEXT(TRIM(S914),"00000")="89030", TEXT(TRIM(S914),"00000")="89031", TEXT(TRIM(S914),"00000")="89032", TEXT(TRIM(S914),"00000")="89086", TEXT(TRIM(S914),"00000")="89084", TEXT(TRIM(S914),"00000")="89081"), "North LV",
  OR(TEXT(TRIM(S914),"00000")="89109", TEXT(TRIM(S914),"00000")="89103", TEXT(TRIM(S914),"00000")="89119", TEXT(TRIM(S914),"00000")="89123", TEXT(TRIM(S914),"00000")="89169", TEXT(TRIM(S914),"00000")="89118"), "South/Strip",
  OR(TEXT(TRIM(S914),"00000")="89074", TEXT(TRIM(S914),"00000")="89014", TEXT(TRIM(S914),"00000")="89015", TEXT(TRIM(S914),"00000")="89011", TEXT(TRIM(S914),"00000")="89012"), "Suburban SE",
  OR(TEXT(TRIM(S914),"00000")="89117", TEXT(TRIM(S914),"00000")="89128", TEXT(TRIM(S914),"00000")="89135", TEXT(TRIM(S914),"00000")="89144", TEXT(TRIM(S914),"00000")="89145", TEXT(TRIM(S914),"00000")="89147"), "West Valley",
  TRUE, "Other"
)</f>
        <v>East Valley</v>
      </c>
      <c r="U914" t="s">
        <v>3298</v>
      </c>
      <c r="V914" t="str">
        <f t="shared" si="59"/>
        <v>Outdoors/Public</v>
      </c>
    </row>
    <row r="915" spans="1:22">
      <c r="A915" t="s">
        <v>1166</v>
      </c>
      <c r="B915" t="s">
        <v>1167</v>
      </c>
      <c r="C915" s="1">
        <v>44723</v>
      </c>
      <c r="D915" s="4">
        <v>109.94</v>
      </c>
      <c r="E915">
        <v>55</v>
      </c>
      <c r="F915" t="str">
        <f t="shared" si="56"/>
        <v>50's</v>
      </c>
      <c r="G915" t="str" cm="1">
        <f t="array" ref="G915">_xlfn.IFS(
  F915="10's", "Child (5–12)",
  OR(F915="20's", F915="30's"), "Young Adult (20–39)",
  OR(F915="40's", F915="50's"), "Adult (40–59)",
  OR(F915="60's", F915="70's", F915="80's", F915="90's"), "Senior (60+)",
  TRUE, "Unknown"
)</f>
        <v>Adult (40–59)</v>
      </c>
      <c r="H915" t="s">
        <v>841</v>
      </c>
      <c r="I915" t="s">
        <v>54</v>
      </c>
      <c r="J915" t="str">
        <f t="shared" si="57"/>
        <v>Environmental Heat</v>
      </c>
      <c r="K915" t="s">
        <v>1168</v>
      </c>
      <c r="L915" t="s">
        <v>250</v>
      </c>
      <c r="M915" t="s">
        <v>4510</v>
      </c>
      <c r="N915" t="s">
        <v>5111</v>
      </c>
      <c r="O915" t="str" cm="1">
        <f t="array" ref="O915">_xlfn.IFS(
  TEXT(TRIM(N915),"00000")="NULL", "Missing/Unknown",
  OR(TEXT(TRIM(N915),"00000")="89101", TEXT(TRIM(N915),"00000")="89104", TEXT(TRIM(N915),"00000")="89106", TEXT(TRIM(N915),"00000")="89102", TEXT(TRIM(N915),"00000")="89107", TEXT(TRIM(N915),"00000")="89108"), "Urban Core",
  OR(TEXT(TRIM(N915),"00000")="89110", TEXT(TRIM(N915),"00000")="89115", TEXT(TRIM(N915),"00000")="89121", TEXT(TRIM(N915),"00000")="89122", TEXT(TRIM(N915),"00000")="89142", TEXT(TRIM(N915),"00000")="89156"), "East Valley",
  OR(TEXT(TRIM(N915),"00000")="89030", TEXT(TRIM(N915),"00000")="89031", TEXT(TRIM(N915),"00000")="89032", TEXT(TRIM(N915),"00000")="89086", TEXT(TRIM(N915),"00000")="89084", TEXT(TRIM(N915),"00000")="89081"), "North LV",
  OR(TEXT(TRIM(N915),"00000")="89109", TEXT(TRIM(N915),"00000")="89103", TEXT(TRIM(N915),"00000")="89119", TEXT(TRIM(N915),"00000")="89123", TEXT(TRIM(N915),"00000")="89169", TEXT(TRIM(N915),"00000")="89118"), "South/Strip",
  OR(TEXT(TRIM(N915),"00000")="89074", TEXT(TRIM(N915),"00000")="89014", TEXT(TRIM(N915),"00000")="89015", TEXT(TRIM(N915),"00000")="89011", TEXT(TRIM(N915),"00000")="89012"), "Suburban SE",
  OR(TEXT(TRIM(N915),"00000")="89117", TEXT(TRIM(N915),"00000")="89128", TEXT(TRIM(N915),"00000")="89135", TEXT(TRIM(N915),"00000")="89144", TEXT(TRIM(N915),"00000")="89145", TEXT(TRIM(N915),"00000")="89147"), "West Valley",
  TRUE, "Other"
)</f>
        <v>West Valley</v>
      </c>
      <c r="P915" t="s">
        <v>1042</v>
      </c>
      <c r="Q915" t="str">
        <f t="shared" si="58"/>
        <v>Business/Commercial</v>
      </c>
      <c r="R915" t="s">
        <v>4510</v>
      </c>
      <c r="S915" t="s">
        <v>5111</v>
      </c>
      <c r="T915" t="str" cm="1">
        <f t="array" ref="T915">_xlfn.IFS(
  TEXT(TRIM(S915),"00000")="NULL", "Missing/Unknown",
  OR(TEXT(TRIM(S915),"00000")="89101", TEXT(TRIM(S915),"00000")="89104", TEXT(TRIM(S915),"00000")="89106", TEXT(TRIM(S915),"00000")="89102", TEXT(TRIM(S915),"00000")="89107", TEXT(TRIM(S915),"00000")="89108"), "Urban Core",
  OR(TEXT(TRIM(S915),"00000")="89110", TEXT(TRIM(S915),"00000")="89115", TEXT(TRIM(S915),"00000")="89121", TEXT(TRIM(S915),"00000")="89122", TEXT(TRIM(S915),"00000")="89142", TEXT(TRIM(S915),"00000")="89156"), "East Valley",
  OR(TEXT(TRIM(S915),"00000")="89030", TEXT(TRIM(S915),"00000")="89031", TEXT(TRIM(S915),"00000")="89032", TEXT(TRIM(S915),"00000")="89086", TEXT(TRIM(S915),"00000")="89084", TEXT(TRIM(S915),"00000")="89081"), "North LV",
  OR(TEXT(TRIM(S915),"00000")="89109", TEXT(TRIM(S915),"00000")="89103", TEXT(TRIM(S915),"00000")="89119", TEXT(TRIM(S915),"00000")="89123", TEXT(TRIM(S915),"00000")="89169", TEXT(TRIM(S915),"00000")="89118"), "South/Strip",
  OR(TEXT(TRIM(S915),"00000")="89074", TEXT(TRIM(S915),"00000")="89014", TEXT(TRIM(S915),"00000")="89015", TEXT(TRIM(S915),"00000")="89011", TEXT(TRIM(S915),"00000")="89012"), "Suburban SE",
  OR(TEXT(TRIM(S915),"00000")="89117", TEXT(TRIM(S915),"00000")="89128", TEXT(TRIM(S915),"00000")="89135", TEXT(TRIM(S915),"00000")="89144", TEXT(TRIM(S915),"00000")="89145", TEXT(TRIM(S915),"00000")="89147"), "West Valley",
  TRUE, "Other"
)</f>
        <v>West Valley</v>
      </c>
      <c r="U915" t="s">
        <v>1042</v>
      </c>
      <c r="V915" t="str">
        <f t="shared" si="59"/>
        <v>Business/Commercial</v>
      </c>
    </row>
    <row r="916" spans="1:22">
      <c r="A916" t="s">
        <v>1174</v>
      </c>
      <c r="B916" t="s">
        <v>1175</v>
      </c>
      <c r="C916" s="1">
        <v>44723</v>
      </c>
      <c r="D916" s="4">
        <v>109.94</v>
      </c>
      <c r="E916">
        <v>60</v>
      </c>
      <c r="F916" t="str">
        <f t="shared" si="56"/>
        <v>60's</v>
      </c>
      <c r="G916" t="str" cm="1">
        <f t="array" ref="G916">_xlfn.IFS(
  F916="10's", "Child (5–12)",
  OR(F916="20's", F916="30's"), "Young Adult (20–39)",
  OR(F916="40's", F916="50's"), "Adult (40–59)",
  OR(F916="60's", F916="70's", F916="80's", F916="90's"), "Senior (60+)",
  TRUE, "Unknown"
)</f>
        <v>Senior (60+)</v>
      </c>
      <c r="H916" t="s">
        <v>841</v>
      </c>
      <c r="I916" t="s">
        <v>97</v>
      </c>
      <c r="J916" t="str">
        <f t="shared" si="57"/>
        <v>Environmental Heat</v>
      </c>
      <c r="K916" t="s">
        <v>98</v>
      </c>
      <c r="L916" t="s">
        <v>250</v>
      </c>
      <c r="M916" t="s">
        <v>4568</v>
      </c>
      <c r="N916" t="s">
        <v>5098</v>
      </c>
      <c r="O916" t="str" cm="1">
        <f t="array" ref="O916">_xlfn.IFS(
  TEXT(TRIM(N916),"00000")="NULL", "Missing/Unknown",
  OR(TEXT(TRIM(N916),"00000")="89101", TEXT(TRIM(N916),"00000")="89104", TEXT(TRIM(N916),"00000")="89106", TEXT(TRIM(N916),"00000")="89102", TEXT(TRIM(N916),"00000")="89107", TEXT(TRIM(N916),"00000")="89108"), "Urban Core",
  OR(TEXT(TRIM(N916),"00000")="89110", TEXT(TRIM(N916),"00000")="89115", TEXT(TRIM(N916),"00000")="89121", TEXT(TRIM(N916),"00000")="89122", TEXT(TRIM(N916),"00000")="89142", TEXT(TRIM(N916),"00000")="89156"), "East Valley",
  OR(TEXT(TRIM(N916),"00000")="89030", TEXT(TRIM(N916),"00000")="89031", TEXT(TRIM(N916),"00000")="89032", TEXT(TRIM(N916),"00000")="89086", TEXT(TRIM(N916),"00000")="89084", TEXT(TRIM(N916),"00000")="89081"), "North LV",
  OR(TEXT(TRIM(N916),"00000")="89109", TEXT(TRIM(N916),"00000")="89103", TEXT(TRIM(N916),"00000")="89119", TEXT(TRIM(N916),"00000")="89123", TEXT(TRIM(N916),"00000")="89169", TEXT(TRIM(N916),"00000")="89118"), "South/Strip",
  OR(TEXT(TRIM(N916),"00000")="89074", TEXT(TRIM(N916),"00000")="89014", TEXT(TRIM(N916),"00000")="89015", TEXT(TRIM(N916),"00000")="89011", TEXT(TRIM(N916),"00000")="89012"), "Suburban SE",
  OR(TEXT(TRIM(N916),"00000")="89117", TEXT(TRIM(N916),"00000")="89128", TEXT(TRIM(N916),"00000")="89135", TEXT(TRIM(N916),"00000")="89144", TEXT(TRIM(N916),"00000")="89145", TEXT(TRIM(N916),"00000")="89147"), "West Valley",
  TRUE, "Other"
)</f>
        <v>Urban Core</v>
      </c>
      <c r="P916" t="s">
        <v>24</v>
      </c>
      <c r="Q916" t="str">
        <f t="shared" si="58"/>
        <v>Outdoors/Public</v>
      </c>
      <c r="R916" t="s">
        <v>4713</v>
      </c>
      <c r="S916" t="s">
        <v>5125</v>
      </c>
      <c r="T916" t="str" cm="1">
        <f t="array" ref="T916">_xlfn.IFS(
  TEXT(TRIM(S916),"00000")="NULL", "Missing/Unknown",
  OR(TEXT(TRIM(S916),"00000")="89101", TEXT(TRIM(S916),"00000")="89104", TEXT(TRIM(S916),"00000")="89106", TEXT(TRIM(S916),"00000")="89102", TEXT(TRIM(S916),"00000")="89107", TEXT(TRIM(S916),"00000")="89108"), "Urban Core",
  OR(TEXT(TRIM(S916),"00000")="89110", TEXT(TRIM(S916),"00000")="89115", TEXT(TRIM(S916),"00000")="89121", TEXT(TRIM(S916),"00000")="89122", TEXT(TRIM(S916),"00000")="89142", TEXT(TRIM(S916),"00000")="89156"), "East Valley",
  OR(TEXT(TRIM(S916),"00000")="89030", TEXT(TRIM(S916),"00000")="89031", TEXT(TRIM(S916),"00000")="89032", TEXT(TRIM(S916),"00000")="89086", TEXT(TRIM(S916),"00000")="89084", TEXT(TRIM(S916),"00000")="89081"), "North LV",
  OR(TEXT(TRIM(S916),"00000")="89109", TEXT(TRIM(S916),"00000")="89103", TEXT(TRIM(S916),"00000")="89119", TEXT(TRIM(S916),"00000")="89123", TEXT(TRIM(S916),"00000")="89169", TEXT(TRIM(S916),"00000")="89118"), "South/Strip",
  OR(TEXT(TRIM(S916),"00000")="89074", TEXT(TRIM(S916),"00000")="89014", TEXT(TRIM(S916),"00000")="89015", TEXT(TRIM(S916),"00000")="89011", TEXT(TRIM(S916),"00000")="89012"), "Suburban SE",
  OR(TEXT(TRIM(S916),"00000")="89117", TEXT(TRIM(S916),"00000")="89128", TEXT(TRIM(S916),"00000")="89135", TEXT(TRIM(S916),"00000")="89144", TEXT(TRIM(S916),"00000")="89145", TEXT(TRIM(S916),"00000")="89147"), "West Valley",
  TRUE, "Other"
)</f>
        <v>South/Strip</v>
      </c>
      <c r="U916" t="s">
        <v>4301</v>
      </c>
      <c r="V916" t="str">
        <f t="shared" si="59"/>
        <v>Medical Facility</v>
      </c>
    </row>
    <row r="917" spans="1:22">
      <c r="A917" t="s">
        <v>1156</v>
      </c>
      <c r="B917" t="s">
        <v>1157</v>
      </c>
      <c r="C917" s="1">
        <v>44723</v>
      </c>
      <c r="D917" s="4">
        <v>109.94</v>
      </c>
      <c r="E917">
        <v>33</v>
      </c>
      <c r="F917" t="str">
        <f t="shared" si="56"/>
        <v>30's</v>
      </c>
      <c r="G917" t="str" cm="1">
        <f t="array" ref="G917">_xlfn.IFS(
  F917="10's", "Child (5–12)",
  OR(F917="20's", F917="30's"), "Young Adult (20–39)",
  OR(F917="40's", F917="50's"), "Adult (40–59)",
  OR(F917="60's", F917="70's", F917="80's", F917="90's"), "Senior (60+)",
  TRUE, "Unknown"
)</f>
        <v>Young Adult (20–39)</v>
      </c>
      <c r="H917" t="s">
        <v>841</v>
      </c>
      <c r="I917" t="s">
        <v>172</v>
      </c>
      <c r="J917" t="str">
        <f t="shared" si="57"/>
        <v>Methamphetamine-related</v>
      </c>
      <c r="K917" t="s">
        <v>54</v>
      </c>
      <c r="L917" t="s">
        <v>250</v>
      </c>
      <c r="M917" t="s">
        <v>4548</v>
      </c>
      <c r="N917" t="s">
        <v>5096</v>
      </c>
      <c r="O917" t="str" cm="1">
        <f t="array" ref="O917">_xlfn.IFS(
  TEXT(TRIM(N917),"00000")="NULL", "Missing/Unknown",
  OR(TEXT(TRIM(N917),"00000")="89101", TEXT(TRIM(N917),"00000")="89104", TEXT(TRIM(N917),"00000")="89106", TEXT(TRIM(N917),"00000")="89102", TEXT(TRIM(N917),"00000")="89107", TEXT(TRIM(N917),"00000")="89108"), "Urban Core",
  OR(TEXT(TRIM(N917),"00000")="89110", TEXT(TRIM(N917),"00000")="89115", TEXT(TRIM(N917),"00000")="89121", TEXT(TRIM(N917),"00000")="89122", TEXT(TRIM(N917),"00000")="89142", TEXT(TRIM(N917),"00000")="89156"), "East Valley",
  OR(TEXT(TRIM(N917),"00000")="89030", TEXT(TRIM(N917),"00000")="89031", TEXT(TRIM(N917),"00000")="89032", TEXT(TRIM(N917),"00000")="89086", TEXT(TRIM(N917),"00000")="89084", TEXT(TRIM(N917),"00000")="89081"), "North LV",
  OR(TEXT(TRIM(N917),"00000")="89109", TEXT(TRIM(N917),"00000")="89103", TEXT(TRIM(N917),"00000")="89119", TEXT(TRIM(N917),"00000")="89123", TEXT(TRIM(N917),"00000")="89169", TEXT(TRIM(N917),"00000")="89118"), "South/Strip",
  OR(TEXT(TRIM(N917),"00000")="89074", TEXT(TRIM(N917),"00000")="89014", TEXT(TRIM(N917),"00000")="89015", TEXT(TRIM(N917),"00000")="89011", TEXT(TRIM(N917),"00000")="89012"), "Suburban SE",
  OR(TEXT(TRIM(N917),"00000")="89117", TEXT(TRIM(N917),"00000")="89128", TEXT(TRIM(N917),"00000")="89135", TEXT(TRIM(N917),"00000")="89144", TEXT(TRIM(N917),"00000")="89145", TEXT(TRIM(N917),"00000")="89147"), "West Valley",
  TRUE, "Other"
)</f>
        <v>South/Strip</v>
      </c>
      <c r="P917" t="s">
        <v>3298</v>
      </c>
      <c r="Q917" t="str">
        <f t="shared" si="58"/>
        <v>Outdoors/Public</v>
      </c>
      <c r="R917" t="s">
        <v>5067</v>
      </c>
      <c r="S917" t="s">
        <v>5103</v>
      </c>
      <c r="T917" t="str" cm="1">
        <f t="array" ref="T917">_xlfn.IFS(
  TEXT(TRIM(S917),"00000")="NULL", "Missing/Unknown",
  OR(TEXT(TRIM(S917),"00000")="89101", TEXT(TRIM(S917),"00000")="89104", TEXT(TRIM(S917),"00000")="89106", TEXT(TRIM(S917),"00000")="89102", TEXT(TRIM(S917),"00000")="89107", TEXT(TRIM(S917),"00000")="89108"), "Urban Core",
  OR(TEXT(TRIM(S917),"00000")="89110", TEXT(TRIM(S917),"00000")="89115", TEXT(TRIM(S917),"00000")="89121", TEXT(TRIM(S917),"00000")="89122", TEXT(TRIM(S917),"00000")="89142", TEXT(TRIM(S917),"00000")="89156"), "East Valley",
  OR(TEXT(TRIM(S917),"00000")="89030", TEXT(TRIM(S917),"00000")="89031", TEXT(TRIM(S917),"00000")="89032", TEXT(TRIM(S917),"00000")="89086", TEXT(TRIM(S917),"00000")="89084", TEXT(TRIM(S917),"00000")="89081"), "North LV",
  OR(TEXT(TRIM(S917),"00000")="89109", TEXT(TRIM(S917),"00000")="89103", TEXT(TRIM(S917),"00000")="89119", TEXT(TRIM(S917),"00000")="89123", TEXT(TRIM(S917),"00000")="89169", TEXT(TRIM(S917),"00000")="89118"), "South/Strip",
  OR(TEXT(TRIM(S917),"00000")="89074", TEXT(TRIM(S917),"00000")="89014", TEXT(TRIM(S917),"00000")="89015", TEXT(TRIM(S917),"00000")="89011", TEXT(TRIM(S917),"00000")="89012"), "Suburban SE",
  OR(TEXT(TRIM(S917),"00000")="89117", TEXT(TRIM(S917),"00000")="89128", TEXT(TRIM(S917),"00000")="89135", TEXT(TRIM(S917),"00000")="89144", TEXT(TRIM(S917),"00000")="89145", TEXT(TRIM(S917),"00000")="89147"), "West Valley",
  TRUE, "Other"
)</f>
        <v>Other</v>
      </c>
      <c r="U917" t="s">
        <v>4305</v>
      </c>
      <c r="V917" t="str">
        <f t="shared" si="59"/>
        <v>Medical Facility</v>
      </c>
    </row>
    <row r="918" spans="1:22">
      <c r="A918" t="s">
        <v>1164</v>
      </c>
      <c r="B918" t="s">
        <v>1165</v>
      </c>
      <c r="C918" s="1">
        <v>44723</v>
      </c>
      <c r="D918" s="4">
        <v>109.94</v>
      </c>
      <c r="E918">
        <v>59</v>
      </c>
      <c r="F918" t="str">
        <f t="shared" si="56"/>
        <v>50's</v>
      </c>
      <c r="G918" t="str" cm="1">
        <f t="array" ref="G918">_xlfn.IFS(
  F918="10's", "Child (5–12)",
  OR(F918="20's", F918="30's"), "Young Adult (20–39)",
  OR(F918="40's", F918="50's"), "Adult (40–59)",
  OR(F918="60's", F918="70's", F918="80's", F918="90's"), "Senior (60+)",
  TRUE, "Unknown"
)</f>
        <v>Adult (40–59)</v>
      </c>
      <c r="H918" t="s">
        <v>841</v>
      </c>
      <c r="I918" t="s">
        <v>4052</v>
      </c>
      <c r="J918" t="str">
        <f t="shared" si="57"/>
        <v>Methamphetamine-related</v>
      </c>
      <c r="K918" t="s">
        <v>54</v>
      </c>
      <c r="L918" t="s">
        <v>250</v>
      </c>
      <c r="N918" t="s">
        <v>5095</v>
      </c>
      <c r="O918" t="str" cm="1">
        <f t="array" ref="O918">_xlfn.IFS(
  TEXT(TRIM(N918),"00000")="NULL", "Missing/Unknown",
  OR(TEXT(TRIM(N918),"00000")="89101", TEXT(TRIM(N918),"00000")="89104", TEXT(TRIM(N918),"00000")="89106", TEXT(TRIM(N918),"00000")="89102", TEXT(TRIM(N918),"00000")="89107", TEXT(TRIM(N918),"00000")="89108"), "Urban Core",
  OR(TEXT(TRIM(N918),"00000")="89110", TEXT(TRIM(N918),"00000")="89115", TEXT(TRIM(N918),"00000")="89121", TEXT(TRIM(N918),"00000")="89122", TEXT(TRIM(N918),"00000")="89142", TEXT(TRIM(N918),"00000")="89156"), "East Valley",
  OR(TEXT(TRIM(N918),"00000")="89030", TEXT(TRIM(N918),"00000")="89031", TEXT(TRIM(N918),"00000")="89032", TEXT(TRIM(N918),"00000")="89086", TEXT(TRIM(N918),"00000")="89084", TEXT(TRIM(N918),"00000")="89081"), "North LV",
  OR(TEXT(TRIM(N918),"00000")="89109", TEXT(TRIM(N918),"00000")="89103", TEXT(TRIM(N918),"00000")="89119", TEXT(TRIM(N918),"00000")="89123", TEXT(TRIM(N918),"00000")="89169", TEXT(TRIM(N918),"00000")="89118"), "South/Strip",
  OR(TEXT(TRIM(N918),"00000")="89074", TEXT(TRIM(N918),"00000")="89014", TEXT(TRIM(N918),"00000")="89015", TEXT(TRIM(N918),"00000")="89011", TEXT(TRIM(N918),"00000")="89012"), "Suburban SE",
  OR(TEXT(TRIM(N918),"00000")="89117", TEXT(TRIM(N918),"00000")="89128", TEXT(TRIM(N918),"00000")="89135", TEXT(TRIM(N918),"00000")="89144", TEXT(TRIM(N918),"00000")="89145", TEXT(TRIM(N918),"00000")="89147"), "West Valley",
  TRUE, "Other"
)</f>
        <v>Missing/Unknown</v>
      </c>
      <c r="P918" t="s">
        <v>3298</v>
      </c>
      <c r="Q918" t="str">
        <f t="shared" si="58"/>
        <v>Outdoors/Public</v>
      </c>
      <c r="S918" t="s">
        <v>5095</v>
      </c>
      <c r="T918" t="str" cm="1">
        <f t="array" ref="T918">_xlfn.IFS(
  TEXT(TRIM(S918),"00000")="NULL", "Missing/Unknown",
  OR(TEXT(TRIM(S918),"00000")="89101", TEXT(TRIM(S918),"00000")="89104", TEXT(TRIM(S918),"00000")="89106", TEXT(TRIM(S918),"00000")="89102", TEXT(TRIM(S918),"00000")="89107", TEXT(TRIM(S918),"00000")="89108"), "Urban Core",
  OR(TEXT(TRIM(S918),"00000")="89110", TEXT(TRIM(S918),"00000")="89115", TEXT(TRIM(S918),"00000")="89121", TEXT(TRIM(S918),"00000")="89122", TEXT(TRIM(S918),"00000")="89142", TEXT(TRIM(S918),"00000")="89156"), "East Valley",
  OR(TEXT(TRIM(S918),"00000")="89030", TEXT(TRIM(S918),"00000")="89031", TEXT(TRIM(S918),"00000")="89032", TEXT(TRIM(S918),"00000")="89086", TEXT(TRIM(S918),"00000")="89084", TEXT(TRIM(S918),"00000")="89081"), "North LV",
  OR(TEXT(TRIM(S918),"00000")="89109", TEXT(TRIM(S918),"00000")="89103", TEXT(TRIM(S918),"00000")="89119", TEXT(TRIM(S918),"00000")="89123", TEXT(TRIM(S918),"00000")="89169", TEXT(TRIM(S918),"00000")="89118"), "South/Strip",
  OR(TEXT(TRIM(S918),"00000")="89074", TEXT(TRIM(S918),"00000")="89014", TEXT(TRIM(S918),"00000")="89015", TEXT(TRIM(S918),"00000")="89011", TEXT(TRIM(S918),"00000")="89012"), "Suburban SE",
  OR(TEXT(TRIM(S918),"00000")="89117", TEXT(TRIM(S918),"00000")="89128", TEXT(TRIM(S918),"00000")="89135", TEXT(TRIM(S918),"00000")="89144", TEXT(TRIM(S918),"00000")="89145", TEXT(TRIM(S918),"00000")="89147"), "West Valley",
  TRUE, "Other"
)</f>
        <v>Missing/Unknown</v>
      </c>
      <c r="U918" t="s">
        <v>3298</v>
      </c>
      <c r="V918" t="str">
        <f t="shared" si="59"/>
        <v>Outdoors/Public</v>
      </c>
    </row>
    <row r="919" spans="1:22">
      <c r="A919" t="s">
        <v>1152</v>
      </c>
      <c r="B919" t="s">
        <v>1153</v>
      </c>
      <c r="C919" s="1">
        <v>44722</v>
      </c>
      <c r="D919" s="4">
        <v>109.94</v>
      </c>
      <c r="E919">
        <v>46</v>
      </c>
      <c r="F919" t="str">
        <f t="shared" si="56"/>
        <v>40's</v>
      </c>
      <c r="G919" t="str" cm="1">
        <f t="array" ref="G919">_xlfn.IFS(
  F919="10's", "Child (5–12)",
  OR(F919="20's", F919="30's"), "Young Adult (20–39)",
  OR(F919="40's", F919="50's"), "Adult (40–59)",
  OR(F919="60's", F919="70's", F919="80's", F919="90's"), "Senior (60+)",
  TRUE, "Unknown"
)</f>
        <v>Adult (40–59)</v>
      </c>
      <c r="H919" t="s">
        <v>778</v>
      </c>
      <c r="I919" t="s">
        <v>4109</v>
      </c>
      <c r="J919" t="str">
        <f t="shared" si="57"/>
        <v>Methamphetamine-related</v>
      </c>
      <c r="K919" t="s">
        <v>4166</v>
      </c>
      <c r="L919" t="s">
        <v>1071</v>
      </c>
      <c r="N919" t="s">
        <v>5095</v>
      </c>
      <c r="O919" t="str" cm="1">
        <f t="array" ref="O919">_xlfn.IFS(
  TEXT(TRIM(N919),"00000")="NULL", "Missing/Unknown",
  OR(TEXT(TRIM(N919),"00000")="89101", TEXT(TRIM(N919),"00000")="89104", TEXT(TRIM(N919),"00000")="89106", TEXT(TRIM(N919),"00000")="89102", TEXT(TRIM(N919),"00000")="89107", TEXT(TRIM(N919),"00000")="89108"), "Urban Core",
  OR(TEXT(TRIM(N919),"00000")="89110", TEXT(TRIM(N919),"00000")="89115", TEXT(TRIM(N919),"00000")="89121", TEXT(TRIM(N919),"00000")="89122", TEXT(TRIM(N919),"00000")="89142", TEXT(TRIM(N919),"00000")="89156"), "East Valley",
  OR(TEXT(TRIM(N919),"00000")="89030", TEXT(TRIM(N919),"00000")="89031", TEXT(TRIM(N919),"00000")="89032", TEXT(TRIM(N919),"00000")="89086", TEXT(TRIM(N919),"00000")="89084", TEXT(TRIM(N919),"00000")="89081"), "North LV",
  OR(TEXT(TRIM(N919),"00000")="89109", TEXT(TRIM(N919),"00000")="89103", TEXT(TRIM(N919),"00000")="89119", TEXT(TRIM(N919),"00000")="89123", TEXT(TRIM(N919),"00000")="89169", TEXT(TRIM(N919),"00000")="89118"), "South/Strip",
  OR(TEXT(TRIM(N919),"00000")="89074", TEXT(TRIM(N919),"00000")="89014", TEXT(TRIM(N919),"00000")="89015", TEXT(TRIM(N919),"00000")="89011", TEXT(TRIM(N919),"00000")="89012"), "Suburban SE",
  OR(TEXT(TRIM(N919),"00000")="89117", TEXT(TRIM(N919),"00000")="89128", TEXT(TRIM(N919),"00000")="89135", TEXT(TRIM(N919),"00000")="89144", TEXT(TRIM(N919),"00000")="89145", TEXT(TRIM(N919),"00000")="89147"), "West Valley",
  TRUE, "Other"
)</f>
        <v>Missing/Unknown</v>
      </c>
      <c r="P919" t="s">
        <v>38</v>
      </c>
      <c r="Q919" t="str">
        <f t="shared" si="58"/>
        <v>Home/Residence</v>
      </c>
      <c r="R919" t="s">
        <v>4713</v>
      </c>
      <c r="S919" t="s">
        <v>5125</v>
      </c>
      <c r="T919" t="str" cm="1">
        <f t="array" ref="T919">_xlfn.IFS(
  TEXT(TRIM(S919),"00000")="NULL", "Missing/Unknown",
  OR(TEXT(TRIM(S919),"00000")="89101", TEXT(TRIM(S919),"00000")="89104", TEXT(TRIM(S919),"00000")="89106", TEXT(TRIM(S919),"00000")="89102", TEXT(TRIM(S919),"00000")="89107", TEXT(TRIM(S919),"00000")="89108"), "Urban Core",
  OR(TEXT(TRIM(S919),"00000")="89110", TEXT(TRIM(S919),"00000")="89115", TEXT(TRIM(S919),"00000")="89121", TEXT(TRIM(S919),"00000")="89122", TEXT(TRIM(S919),"00000")="89142", TEXT(TRIM(S919),"00000")="89156"), "East Valley",
  OR(TEXT(TRIM(S919),"00000")="89030", TEXT(TRIM(S919),"00000")="89031", TEXT(TRIM(S919),"00000")="89032", TEXT(TRIM(S919),"00000")="89086", TEXT(TRIM(S919),"00000")="89084", TEXT(TRIM(S919),"00000")="89081"), "North LV",
  OR(TEXT(TRIM(S919),"00000")="89109", TEXT(TRIM(S919),"00000")="89103", TEXT(TRIM(S919),"00000")="89119", TEXT(TRIM(S919),"00000")="89123", TEXT(TRIM(S919),"00000")="89169", TEXT(TRIM(S919),"00000")="89118"), "South/Strip",
  OR(TEXT(TRIM(S919),"00000")="89074", TEXT(TRIM(S919),"00000")="89014", TEXT(TRIM(S919),"00000")="89015", TEXT(TRIM(S919),"00000")="89011", TEXT(TRIM(S919),"00000")="89012"), "Suburban SE",
  OR(TEXT(TRIM(S919),"00000")="89117", TEXT(TRIM(S919),"00000")="89128", TEXT(TRIM(S919),"00000")="89135", TEXT(TRIM(S919),"00000")="89144", TEXT(TRIM(S919),"00000")="89145", TEXT(TRIM(S919),"00000")="89147"), "West Valley",
  TRUE, "Other"
)</f>
        <v>South/Strip</v>
      </c>
      <c r="U919" t="s">
        <v>4301</v>
      </c>
      <c r="V919" t="str">
        <f t="shared" si="59"/>
        <v>Medical Facility</v>
      </c>
    </row>
    <row r="920" spans="1:22">
      <c r="A920" t="s">
        <v>1146</v>
      </c>
      <c r="B920" t="s">
        <v>1147</v>
      </c>
      <c r="C920" s="1">
        <v>44721</v>
      </c>
      <c r="D920" s="4">
        <v>107.06</v>
      </c>
      <c r="E920">
        <v>39</v>
      </c>
      <c r="F920" t="str">
        <f t="shared" si="56"/>
        <v>30's</v>
      </c>
      <c r="G920" t="str" cm="1">
        <f t="array" ref="G920">_xlfn.IFS(
  F920="10's", "Child (5–12)",
  OR(F920="20's", F920="30's"), "Young Adult (20–39)",
  OR(F920="40's", F920="50's"), "Adult (40–59)",
  OR(F920="60's", F920="70's", F920="80's", F920="90's"), "Senior (60+)",
  TRUE, "Unknown"
)</f>
        <v>Young Adult (20–39)</v>
      </c>
      <c r="H920" t="s">
        <v>841</v>
      </c>
      <c r="I920" t="s">
        <v>1148</v>
      </c>
      <c r="J920" t="str">
        <f t="shared" si="57"/>
        <v>Mixed Drug Toxicity</v>
      </c>
      <c r="K920" t="s">
        <v>54</v>
      </c>
      <c r="L920" t="s">
        <v>1071</v>
      </c>
      <c r="M920" t="s">
        <v>4452</v>
      </c>
      <c r="N920" t="s">
        <v>5119</v>
      </c>
      <c r="O920" t="str" cm="1">
        <f t="array" ref="O920">_xlfn.IFS(
  TEXT(TRIM(N920),"00000")="NULL", "Missing/Unknown",
  OR(TEXT(TRIM(N920),"00000")="89101", TEXT(TRIM(N920),"00000")="89104", TEXT(TRIM(N920),"00000")="89106", TEXT(TRIM(N920),"00000")="89102", TEXT(TRIM(N920),"00000")="89107", TEXT(TRIM(N920),"00000")="89108"), "Urban Core",
  OR(TEXT(TRIM(N920),"00000")="89110", TEXT(TRIM(N920),"00000")="89115", TEXT(TRIM(N920),"00000")="89121", TEXT(TRIM(N920),"00000")="89122", TEXT(TRIM(N920),"00000")="89142", TEXT(TRIM(N920),"00000")="89156"), "East Valley",
  OR(TEXT(TRIM(N920),"00000")="89030", TEXT(TRIM(N920),"00000")="89031", TEXT(TRIM(N920),"00000")="89032", TEXT(TRIM(N920),"00000")="89086", TEXT(TRIM(N920),"00000")="89084", TEXT(TRIM(N920),"00000")="89081"), "North LV",
  OR(TEXT(TRIM(N920),"00000")="89109", TEXT(TRIM(N920),"00000")="89103", TEXT(TRIM(N920),"00000")="89119", TEXT(TRIM(N920),"00000")="89123", TEXT(TRIM(N920),"00000")="89169", TEXT(TRIM(N920),"00000")="89118"), "South/Strip",
  OR(TEXT(TRIM(N920),"00000")="89074", TEXT(TRIM(N920),"00000")="89014", TEXT(TRIM(N920),"00000")="89015", TEXT(TRIM(N920),"00000")="89011", TEXT(TRIM(N920),"00000")="89012"), "Suburban SE",
  OR(TEXT(TRIM(N920),"00000")="89117", TEXT(TRIM(N920),"00000")="89128", TEXT(TRIM(N920),"00000")="89135", TEXT(TRIM(N920),"00000")="89144", TEXT(TRIM(N920),"00000")="89145", TEXT(TRIM(N920),"00000")="89147"), "West Valley",
  TRUE, "Other"
)</f>
        <v>Urban Core</v>
      </c>
      <c r="P920" t="s">
        <v>38</v>
      </c>
      <c r="Q920" t="str">
        <f t="shared" si="58"/>
        <v>Home/Residence</v>
      </c>
      <c r="R920" t="s">
        <v>4452</v>
      </c>
      <c r="S920" t="s">
        <v>5119</v>
      </c>
      <c r="T920" t="str" cm="1">
        <f t="array" ref="T920">_xlfn.IFS(
  TEXT(TRIM(S920),"00000")="NULL", "Missing/Unknown",
  OR(TEXT(TRIM(S920),"00000")="89101", TEXT(TRIM(S920),"00000")="89104", TEXT(TRIM(S920),"00000")="89106", TEXT(TRIM(S920),"00000")="89102", TEXT(TRIM(S920),"00000")="89107", TEXT(TRIM(S920),"00000")="89108"), "Urban Core",
  OR(TEXT(TRIM(S920),"00000")="89110", TEXT(TRIM(S920),"00000")="89115", TEXT(TRIM(S920),"00000")="89121", TEXT(TRIM(S920),"00000")="89122", TEXT(TRIM(S920),"00000")="89142", TEXT(TRIM(S920),"00000")="89156"), "East Valley",
  OR(TEXT(TRIM(S920),"00000")="89030", TEXT(TRIM(S920),"00000")="89031", TEXT(TRIM(S920),"00000")="89032", TEXT(TRIM(S920),"00000")="89086", TEXT(TRIM(S920),"00000")="89084", TEXT(TRIM(S920),"00000")="89081"), "North LV",
  OR(TEXT(TRIM(S920),"00000")="89109", TEXT(TRIM(S920),"00000")="89103", TEXT(TRIM(S920),"00000")="89119", TEXT(TRIM(S920),"00000")="89123", TEXT(TRIM(S920),"00000")="89169", TEXT(TRIM(S920),"00000")="89118"), "South/Strip",
  OR(TEXT(TRIM(S920),"00000")="89074", TEXT(TRIM(S920),"00000")="89014", TEXT(TRIM(S920),"00000")="89015", TEXT(TRIM(S920),"00000")="89011", TEXT(TRIM(S920),"00000")="89012"), "Suburban SE",
  OR(TEXT(TRIM(S920),"00000")="89117", TEXT(TRIM(S920),"00000")="89128", TEXT(TRIM(S920),"00000")="89135", TEXT(TRIM(S920),"00000")="89144", TEXT(TRIM(S920),"00000")="89145", TEXT(TRIM(S920),"00000")="89147"), "West Valley",
  TRUE, "Other"
)</f>
        <v>Urban Core</v>
      </c>
      <c r="U920" t="s">
        <v>38</v>
      </c>
      <c r="V920" t="str">
        <f t="shared" si="59"/>
        <v>Home/Residence</v>
      </c>
    </row>
    <row r="921" spans="1:22">
      <c r="A921" t="s">
        <v>1150</v>
      </c>
      <c r="B921" t="s">
        <v>1151</v>
      </c>
      <c r="C921" s="1">
        <v>44721</v>
      </c>
      <c r="D921" s="4">
        <v>107.06</v>
      </c>
      <c r="E921">
        <v>57</v>
      </c>
      <c r="F921" t="str">
        <f t="shared" si="56"/>
        <v>50's</v>
      </c>
      <c r="G921" t="str" cm="1">
        <f t="array" ref="G921">_xlfn.IFS(
  F921="10's", "Child (5–12)",
  OR(F921="20's", F921="30's"), "Young Adult (20–39)",
  OR(F921="40's", F921="50's"), "Adult (40–59)",
  OR(F921="60's", F921="70's", F921="80's", F921="90's"), "Senior (60+)",
  TRUE, "Unknown"
)</f>
        <v>Adult (40–59)</v>
      </c>
      <c r="H921" t="s">
        <v>841</v>
      </c>
      <c r="I921" t="s">
        <v>63</v>
      </c>
      <c r="J921" t="str">
        <f t="shared" si="57"/>
        <v>Cardiovascular Disease</v>
      </c>
      <c r="K921" t="s">
        <v>54</v>
      </c>
      <c r="L921" t="s">
        <v>250</v>
      </c>
      <c r="N921" t="s">
        <v>5095</v>
      </c>
      <c r="O921" t="str" cm="1">
        <f t="array" ref="O921">_xlfn.IFS(
  TEXT(TRIM(N921),"00000")="NULL", "Missing/Unknown",
  OR(TEXT(TRIM(N921),"00000")="89101", TEXT(TRIM(N921),"00000")="89104", TEXT(TRIM(N921),"00000")="89106", TEXT(TRIM(N921),"00000")="89102", TEXT(TRIM(N921),"00000")="89107", TEXT(TRIM(N921),"00000")="89108"), "Urban Core",
  OR(TEXT(TRIM(N921),"00000")="89110", TEXT(TRIM(N921),"00000")="89115", TEXT(TRIM(N921),"00000")="89121", TEXT(TRIM(N921),"00000")="89122", TEXT(TRIM(N921),"00000")="89142", TEXT(TRIM(N921),"00000")="89156"), "East Valley",
  OR(TEXT(TRIM(N921),"00000")="89030", TEXT(TRIM(N921),"00000")="89031", TEXT(TRIM(N921),"00000")="89032", TEXT(TRIM(N921),"00000")="89086", TEXT(TRIM(N921),"00000")="89084", TEXT(TRIM(N921),"00000")="89081"), "North LV",
  OR(TEXT(TRIM(N921),"00000")="89109", TEXT(TRIM(N921),"00000")="89103", TEXT(TRIM(N921),"00000")="89119", TEXT(TRIM(N921),"00000")="89123", TEXT(TRIM(N921),"00000")="89169", TEXT(TRIM(N921),"00000")="89118"), "South/Strip",
  OR(TEXT(TRIM(N921),"00000")="89074", TEXT(TRIM(N921),"00000")="89014", TEXT(TRIM(N921),"00000")="89015", TEXT(TRIM(N921),"00000")="89011", TEXT(TRIM(N921),"00000")="89012"), "Suburban SE",
  OR(TEXT(TRIM(N921),"00000")="89117", TEXT(TRIM(N921),"00000")="89128", TEXT(TRIM(N921),"00000")="89135", TEXT(TRIM(N921),"00000")="89144", TEXT(TRIM(N921),"00000")="89145", TEXT(TRIM(N921),"00000")="89147"), "West Valley",
  TRUE, "Other"
)</f>
        <v>Missing/Unknown</v>
      </c>
      <c r="P921" t="s">
        <v>3298</v>
      </c>
      <c r="Q921" t="str">
        <f t="shared" si="58"/>
        <v>Outdoors/Public</v>
      </c>
      <c r="S921" t="s">
        <v>5095</v>
      </c>
      <c r="T921" t="str" cm="1">
        <f t="array" ref="T921">_xlfn.IFS(
  TEXT(TRIM(S921),"00000")="NULL", "Missing/Unknown",
  OR(TEXT(TRIM(S921),"00000")="89101", TEXT(TRIM(S921),"00000")="89104", TEXT(TRIM(S921),"00000")="89106", TEXT(TRIM(S921),"00000")="89102", TEXT(TRIM(S921),"00000")="89107", TEXT(TRIM(S921),"00000")="89108"), "Urban Core",
  OR(TEXT(TRIM(S921),"00000")="89110", TEXT(TRIM(S921),"00000")="89115", TEXT(TRIM(S921),"00000")="89121", TEXT(TRIM(S921),"00000")="89122", TEXT(TRIM(S921),"00000")="89142", TEXT(TRIM(S921),"00000")="89156"), "East Valley",
  OR(TEXT(TRIM(S921),"00000")="89030", TEXT(TRIM(S921),"00000")="89031", TEXT(TRIM(S921),"00000")="89032", TEXT(TRIM(S921),"00000")="89086", TEXT(TRIM(S921),"00000")="89084", TEXT(TRIM(S921),"00000")="89081"), "North LV",
  OR(TEXT(TRIM(S921),"00000")="89109", TEXT(TRIM(S921),"00000")="89103", TEXT(TRIM(S921),"00000")="89119", TEXT(TRIM(S921),"00000")="89123", TEXT(TRIM(S921),"00000")="89169", TEXT(TRIM(S921),"00000")="89118"), "South/Strip",
  OR(TEXT(TRIM(S921),"00000")="89074", TEXT(TRIM(S921),"00000")="89014", TEXT(TRIM(S921),"00000")="89015", TEXT(TRIM(S921),"00000")="89011", TEXT(TRIM(S921),"00000")="89012"), "Suburban SE",
  OR(TEXT(TRIM(S921),"00000")="89117", TEXT(TRIM(S921),"00000")="89128", TEXT(TRIM(S921),"00000")="89135", TEXT(TRIM(S921),"00000")="89144", TEXT(TRIM(S921),"00000")="89145", TEXT(TRIM(S921),"00000")="89147"), "West Valley",
  TRUE, "Other"
)</f>
        <v>Missing/Unknown</v>
      </c>
      <c r="U921" t="s">
        <v>3298</v>
      </c>
      <c r="V921" t="str">
        <f t="shared" si="59"/>
        <v>Outdoors/Public</v>
      </c>
    </row>
    <row r="922" spans="1:22">
      <c r="A922" t="s">
        <v>1143</v>
      </c>
      <c r="B922" t="s">
        <v>1144</v>
      </c>
      <c r="C922" s="1">
        <v>44720</v>
      </c>
      <c r="D922" s="4">
        <v>107.06</v>
      </c>
      <c r="E922">
        <v>77</v>
      </c>
      <c r="F922" t="str">
        <f t="shared" si="56"/>
        <v>70's</v>
      </c>
      <c r="G922" t="str" cm="1">
        <f t="array" ref="G922">_xlfn.IFS(
  F922="10's", "Child (5–12)",
  OR(F922="20's", F922="30's"), "Young Adult (20–39)",
  OR(F922="40's", F922="50's"), "Adult (40–59)",
  OR(F922="60's", F922="70's", F922="80's", F922="90's"), "Senior (60+)",
  TRUE, "Unknown"
)</f>
        <v>Senior (60+)</v>
      </c>
      <c r="H922" t="s">
        <v>841</v>
      </c>
      <c r="I922" t="s">
        <v>4084</v>
      </c>
      <c r="J922" t="str">
        <f t="shared" si="57"/>
        <v>Cardiovascular Disease</v>
      </c>
      <c r="K922" t="s">
        <v>48</v>
      </c>
      <c r="L922" t="s">
        <v>1071</v>
      </c>
      <c r="M922" t="s">
        <v>4626</v>
      </c>
      <c r="N922" t="s">
        <v>5103</v>
      </c>
      <c r="O922" t="str" cm="1">
        <f t="array" ref="O922">_xlfn.IFS(
  TEXT(TRIM(N922),"00000")="NULL", "Missing/Unknown",
  OR(TEXT(TRIM(N922),"00000")="89101", TEXT(TRIM(N922),"00000")="89104", TEXT(TRIM(N922),"00000")="89106", TEXT(TRIM(N922),"00000")="89102", TEXT(TRIM(N922),"00000")="89107", TEXT(TRIM(N922),"00000")="89108"), "Urban Core",
  OR(TEXT(TRIM(N922),"00000")="89110", TEXT(TRIM(N922),"00000")="89115", TEXT(TRIM(N922),"00000")="89121", TEXT(TRIM(N922),"00000")="89122", TEXT(TRIM(N922),"00000")="89142", TEXT(TRIM(N922),"00000")="89156"), "East Valley",
  OR(TEXT(TRIM(N922),"00000")="89030", TEXT(TRIM(N922),"00000")="89031", TEXT(TRIM(N922),"00000")="89032", TEXT(TRIM(N922),"00000")="89086", TEXT(TRIM(N922),"00000")="89084", TEXT(TRIM(N922),"00000")="89081"), "North LV",
  OR(TEXT(TRIM(N922),"00000")="89109", TEXT(TRIM(N922),"00000")="89103", TEXT(TRIM(N922),"00000")="89119", TEXT(TRIM(N922),"00000")="89123", TEXT(TRIM(N922),"00000")="89169", TEXT(TRIM(N922),"00000")="89118"), "South/Strip",
  OR(TEXT(TRIM(N922),"00000")="89074", TEXT(TRIM(N922),"00000")="89014", TEXT(TRIM(N922),"00000")="89015", TEXT(TRIM(N922),"00000")="89011", TEXT(TRIM(N922),"00000")="89012"), "Suburban SE",
  OR(TEXT(TRIM(N922),"00000")="89117", TEXT(TRIM(N922),"00000")="89128", TEXT(TRIM(N922),"00000")="89135", TEXT(TRIM(N922),"00000")="89144", TEXT(TRIM(N922),"00000")="89145", TEXT(TRIM(N922),"00000")="89147"), "West Valley",
  TRUE, "Other"
)</f>
        <v>Other</v>
      </c>
      <c r="P922" t="s">
        <v>38</v>
      </c>
      <c r="Q922" t="str">
        <f t="shared" si="58"/>
        <v>Home/Residence</v>
      </c>
      <c r="R922" t="s">
        <v>4626</v>
      </c>
      <c r="S922" t="s">
        <v>5103</v>
      </c>
      <c r="T922" t="str" cm="1">
        <f t="array" ref="T922">_xlfn.IFS(
  TEXT(TRIM(S922),"00000")="NULL", "Missing/Unknown",
  OR(TEXT(TRIM(S922),"00000")="89101", TEXT(TRIM(S922),"00000")="89104", TEXT(TRIM(S922),"00000")="89106", TEXT(TRIM(S922),"00000")="89102", TEXT(TRIM(S922),"00000")="89107", TEXT(TRIM(S922),"00000")="89108"), "Urban Core",
  OR(TEXT(TRIM(S922),"00000")="89110", TEXT(TRIM(S922),"00000")="89115", TEXT(TRIM(S922),"00000")="89121", TEXT(TRIM(S922),"00000")="89122", TEXT(TRIM(S922),"00000")="89142", TEXT(TRIM(S922),"00000")="89156"), "East Valley",
  OR(TEXT(TRIM(S922),"00000")="89030", TEXT(TRIM(S922),"00000")="89031", TEXT(TRIM(S922),"00000")="89032", TEXT(TRIM(S922),"00000")="89086", TEXT(TRIM(S922),"00000")="89084", TEXT(TRIM(S922),"00000")="89081"), "North LV",
  OR(TEXT(TRIM(S922),"00000")="89109", TEXT(TRIM(S922),"00000")="89103", TEXT(TRIM(S922),"00000")="89119", TEXT(TRIM(S922),"00000")="89123", TEXT(TRIM(S922),"00000")="89169", TEXT(TRIM(S922),"00000")="89118"), "South/Strip",
  OR(TEXT(TRIM(S922),"00000")="89074", TEXT(TRIM(S922),"00000")="89014", TEXT(TRIM(S922),"00000")="89015", TEXT(TRIM(S922),"00000")="89011", TEXT(TRIM(S922),"00000")="89012"), "Suburban SE",
  OR(TEXT(TRIM(S922),"00000")="89117", TEXT(TRIM(S922),"00000")="89128", TEXT(TRIM(S922),"00000")="89135", TEXT(TRIM(S922),"00000")="89144", TEXT(TRIM(S922),"00000")="89145", TEXT(TRIM(S922),"00000")="89147"), "West Valley",
  TRUE, "Other"
)</f>
        <v>Other</v>
      </c>
      <c r="U922" t="s">
        <v>3298</v>
      </c>
      <c r="V922" t="str">
        <f t="shared" si="59"/>
        <v>Outdoors/Public</v>
      </c>
    </row>
    <row r="923" spans="1:22">
      <c r="A923" t="s">
        <v>1140</v>
      </c>
      <c r="B923" t="s">
        <v>1141</v>
      </c>
      <c r="C923" s="1">
        <v>44720</v>
      </c>
      <c r="D923" s="4">
        <v>107.06</v>
      </c>
      <c r="E923">
        <v>89</v>
      </c>
      <c r="F923" t="str">
        <f t="shared" si="56"/>
        <v>80's</v>
      </c>
      <c r="G923" t="str" cm="1">
        <f t="array" ref="G923">_xlfn.IFS(
  F923="10's", "Child (5–12)",
  OR(F923="20's", F923="30's"), "Young Adult (20–39)",
  OR(F923="40's", F923="50's"), "Adult (40–59)",
  OR(F923="60's", F923="70's", F923="80's", F923="90's"), "Senior (60+)",
  TRUE, "Unknown"
)</f>
        <v>Senior (60+)</v>
      </c>
      <c r="H923" t="s">
        <v>4309</v>
      </c>
      <c r="I923" t="s">
        <v>63</v>
      </c>
      <c r="J923" t="str">
        <f t="shared" si="57"/>
        <v>Cardiovascular Disease</v>
      </c>
      <c r="K923" t="s">
        <v>54</v>
      </c>
      <c r="L923" t="s">
        <v>1071</v>
      </c>
      <c r="M923" t="s">
        <v>4650</v>
      </c>
      <c r="N923" t="s">
        <v>5130</v>
      </c>
      <c r="O923" t="str" cm="1">
        <f t="array" ref="O923">_xlfn.IFS(
  TEXT(TRIM(N923),"00000")="NULL", "Missing/Unknown",
  OR(TEXT(TRIM(N923),"00000")="89101", TEXT(TRIM(N923),"00000")="89104", TEXT(TRIM(N923),"00000")="89106", TEXT(TRIM(N923),"00000")="89102", TEXT(TRIM(N923),"00000")="89107", TEXT(TRIM(N923),"00000")="89108"), "Urban Core",
  OR(TEXT(TRIM(N923),"00000")="89110", TEXT(TRIM(N923),"00000")="89115", TEXT(TRIM(N923),"00000")="89121", TEXT(TRIM(N923),"00000")="89122", TEXT(TRIM(N923),"00000")="89142", TEXT(TRIM(N923),"00000")="89156"), "East Valley",
  OR(TEXT(TRIM(N923),"00000")="89030", TEXT(TRIM(N923),"00000")="89031", TEXT(TRIM(N923),"00000")="89032", TEXT(TRIM(N923),"00000")="89086", TEXT(TRIM(N923),"00000")="89084", TEXT(TRIM(N923),"00000")="89081"), "North LV",
  OR(TEXT(TRIM(N923),"00000")="89109", TEXT(TRIM(N923),"00000")="89103", TEXT(TRIM(N923),"00000")="89119", TEXT(TRIM(N923),"00000")="89123", TEXT(TRIM(N923),"00000")="89169", TEXT(TRIM(N923),"00000")="89118"), "South/Strip",
  OR(TEXT(TRIM(N923),"00000")="89074", TEXT(TRIM(N923),"00000")="89014", TEXT(TRIM(N923),"00000")="89015", TEXT(TRIM(N923),"00000")="89011", TEXT(TRIM(N923),"00000")="89012"), "Suburban SE",
  OR(TEXT(TRIM(N923),"00000")="89117", TEXT(TRIM(N923),"00000")="89128", TEXT(TRIM(N923),"00000")="89135", TEXT(TRIM(N923),"00000")="89144", TEXT(TRIM(N923),"00000")="89145", TEXT(TRIM(N923),"00000")="89147"), "West Valley",
  TRUE, "Other"
)</f>
        <v>Other</v>
      </c>
      <c r="P923" t="s">
        <v>3298</v>
      </c>
      <c r="Q923" t="str">
        <f t="shared" si="58"/>
        <v>Outdoors/Public</v>
      </c>
      <c r="R923" t="s">
        <v>4650</v>
      </c>
      <c r="S923" t="s">
        <v>5130</v>
      </c>
      <c r="T923" t="str" cm="1">
        <f t="array" ref="T923">_xlfn.IFS(
  TEXT(TRIM(S923),"00000")="NULL", "Missing/Unknown",
  OR(TEXT(TRIM(S923),"00000")="89101", TEXT(TRIM(S923),"00000")="89104", TEXT(TRIM(S923),"00000")="89106", TEXT(TRIM(S923),"00000")="89102", TEXT(TRIM(S923),"00000")="89107", TEXT(TRIM(S923),"00000")="89108"), "Urban Core",
  OR(TEXT(TRIM(S923),"00000")="89110", TEXT(TRIM(S923),"00000")="89115", TEXT(TRIM(S923),"00000")="89121", TEXT(TRIM(S923),"00000")="89122", TEXT(TRIM(S923),"00000")="89142", TEXT(TRIM(S923),"00000")="89156"), "East Valley",
  OR(TEXT(TRIM(S923),"00000")="89030", TEXT(TRIM(S923),"00000")="89031", TEXT(TRIM(S923),"00000")="89032", TEXT(TRIM(S923),"00000")="89086", TEXT(TRIM(S923),"00000")="89084", TEXT(TRIM(S923),"00000")="89081"), "North LV",
  OR(TEXT(TRIM(S923),"00000")="89109", TEXT(TRIM(S923),"00000")="89103", TEXT(TRIM(S923),"00000")="89119", TEXT(TRIM(S923),"00000")="89123", TEXT(TRIM(S923),"00000")="89169", TEXT(TRIM(S923),"00000")="89118"), "South/Strip",
  OR(TEXT(TRIM(S923),"00000")="89074", TEXT(TRIM(S923),"00000")="89014", TEXT(TRIM(S923),"00000")="89015", TEXT(TRIM(S923),"00000")="89011", TEXT(TRIM(S923),"00000")="89012"), "Suburban SE",
  OR(TEXT(TRIM(S923),"00000")="89117", TEXT(TRIM(S923),"00000")="89128", TEXT(TRIM(S923),"00000")="89135", TEXT(TRIM(S923),"00000")="89144", TEXT(TRIM(S923),"00000")="89145", TEXT(TRIM(S923),"00000")="89147"), "West Valley",
  TRUE, "Other"
)</f>
        <v>Other</v>
      </c>
      <c r="U923" t="s">
        <v>3298</v>
      </c>
      <c r="V923" t="str">
        <f t="shared" si="59"/>
        <v>Outdoors/Public</v>
      </c>
    </row>
    <row r="924" spans="1:22">
      <c r="A924" t="s">
        <v>1138</v>
      </c>
      <c r="B924" t="s">
        <v>1139</v>
      </c>
      <c r="C924" s="1">
        <v>44719</v>
      </c>
      <c r="D924" s="4">
        <v>105.08</v>
      </c>
      <c r="E924">
        <v>47</v>
      </c>
      <c r="F924" t="str">
        <f t="shared" si="56"/>
        <v>40's</v>
      </c>
      <c r="G924" t="str" cm="1">
        <f t="array" ref="G924">_xlfn.IFS(
  F924="10's", "Child (5–12)",
  OR(F924="20's", F924="30's"), "Young Adult (20–39)",
  OR(F924="40's", F924="50's"), "Adult (40–59)",
  OR(F924="60's", F924="70's", F924="80's", F924="90's"), "Senior (60+)",
  TRUE, "Unknown"
)</f>
        <v>Adult (40–59)</v>
      </c>
      <c r="H924" t="s">
        <v>778</v>
      </c>
      <c r="I924" t="s">
        <v>172</v>
      </c>
      <c r="J924" t="str">
        <f t="shared" si="57"/>
        <v>Methamphetamine-related</v>
      </c>
      <c r="K924" t="s">
        <v>54</v>
      </c>
      <c r="L924" t="s">
        <v>250</v>
      </c>
      <c r="N924" t="s">
        <v>5095</v>
      </c>
      <c r="O924" t="str" cm="1">
        <f t="array" ref="O924">_xlfn.IFS(
  TEXT(TRIM(N924),"00000")="NULL", "Missing/Unknown",
  OR(TEXT(TRIM(N924),"00000")="89101", TEXT(TRIM(N924),"00000")="89104", TEXT(TRIM(N924),"00000")="89106", TEXT(TRIM(N924),"00000")="89102", TEXT(TRIM(N924),"00000")="89107", TEXT(TRIM(N924),"00000")="89108"), "Urban Core",
  OR(TEXT(TRIM(N924),"00000")="89110", TEXT(TRIM(N924),"00000")="89115", TEXT(TRIM(N924),"00000")="89121", TEXT(TRIM(N924),"00000")="89122", TEXT(TRIM(N924),"00000")="89142", TEXT(TRIM(N924),"00000")="89156"), "East Valley",
  OR(TEXT(TRIM(N924),"00000")="89030", TEXT(TRIM(N924),"00000")="89031", TEXT(TRIM(N924),"00000")="89032", TEXT(TRIM(N924),"00000")="89086", TEXT(TRIM(N924),"00000")="89084", TEXT(TRIM(N924),"00000")="89081"), "North LV",
  OR(TEXT(TRIM(N924),"00000")="89109", TEXT(TRIM(N924),"00000")="89103", TEXT(TRIM(N924),"00000")="89119", TEXT(TRIM(N924),"00000")="89123", TEXT(TRIM(N924),"00000")="89169", TEXT(TRIM(N924),"00000")="89118"), "South/Strip",
  OR(TEXT(TRIM(N924),"00000")="89074", TEXT(TRIM(N924),"00000")="89014", TEXT(TRIM(N924),"00000")="89015", TEXT(TRIM(N924),"00000")="89011", TEXT(TRIM(N924),"00000")="89012"), "Suburban SE",
  OR(TEXT(TRIM(N924),"00000")="89117", TEXT(TRIM(N924),"00000")="89128", TEXT(TRIM(N924),"00000")="89135", TEXT(TRIM(N924),"00000")="89144", TEXT(TRIM(N924),"00000")="89145", TEXT(TRIM(N924),"00000")="89147"), "West Valley",
  TRUE, "Other"
)</f>
        <v>Missing/Unknown</v>
      </c>
      <c r="P924" t="s">
        <v>3298</v>
      </c>
      <c r="Q924" t="str">
        <f t="shared" si="58"/>
        <v>Outdoors/Public</v>
      </c>
      <c r="S924" t="s">
        <v>5095</v>
      </c>
      <c r="T924" t="str" cm="1">
        <f t="array" ref="T924">_xlfn.IFS(
  TEXT(TRIM(S924),"00000")="NULL", "Missing/Unknown",
  OR(TEXT(TRIM(S924),"00000")="89101", TEXT(TRIM(S924),"00000")="89104", TEXT(TRIM(S924),"00000")="89106", TEXT(TRIM(S924),"00000")="89102", TEXT(TRIM(S924),"00000")="89107", TEXT(TRIM(S924),"00000")="89108"), "Urban Core",
  OR(TEXT(TRIM(S924),"00000")="89110", TEXT(TRIM(S924),"00000")="89115", TEXT(TRIM(S924),"00000")="89121", TEXT(TRIM(S924),"00000")="89122", TEXT(TRIM(S924),"00000")="89142", TEXT(TRIM(S924),"00000")="89156"), "East Valley",
  OR(TEXT(TRIM(S924),"00000")="89030", TEXT(TRIM(S924),"00000")="89031", TEXT(TRIM(S924),"00000")="89032", TEXT(TRIM(S924),"00000")="89086", TEXT(TRIM(S924),"00000")="89084", TEXT(TRIM(S924),"00000")="89081"), "North LV",
  OR(TEXT(TRIM(S924),"00000")="89109", TEXT(TRIM(S924),"00000")="89103", TEXT(TRIM(S924),"00000")="89119", TEXT(TRIM(S924),"00000")="89123", TEXT(TRIM(S924),"00000")="89169", TEXT(TRIM(S924),"00000")="89118"), "South/Strip",
  OR(TEXT(TRIM(S924),"00000")="89074", TEXT(TRIM(S924),"00000")="89014", TEXT(TRIM(S924),"00000")="89015", TEXT(TRIM(S924),"00000")="89011", TEXT(TRIM(S924),"00000")="89012"), "Suburban SE",
  OR(TEXT(TRIM(S924),"00000")="89117", TEXT(TRIM(S924),"00000")="89128", TEXT(TRIM(S924),"00000")="89135", TEXT(TRIM(S924),"00000")="89144", TEXT(TRIM(S924),"00000")="89145", TEXT(TRIM(S924),"00000")="89147"), "West Valley",
  TRUE, "Other"
)</f>
        <v>Missing/Unknown</v>
      </c>
      <c r="U924" t="s">
        <v>3298</v>
      </c>
      <c r="V924" t="str">
        <f t="shared" si="59"/>
        <v>Outdoors/Public</v>
      </c>
    </row>
    <row r="925" spans="1:22">
      <c r="A925" t="s">
        <v>1135</v>
      </c>
      <c r="B925" t="s">
        <v>1136</v>
      </c>
      <c r="C925" s="1">
        <v>44718</v>
      </c>
      <c r="D925" s="4">
        <v>100.94</v>
      </c>
      <c r="E925">
        <v>58</v>
      </c>
      <c r="F925" t="str">
        <f t="shared" si="56"/>
        <v>50's</v>
      </c>
      <c r="G925" t="str" cm="1">
        <f t="array" ref="G925">_xlfn.IFS(
  F925="10's", "Child (5–12)",
  OR(F925="20's", F925="30's"), "Young Adult (20–39)",
  OR(F925="40's", F925="50's"), "Adult (40–59)",
  OR(F925="60's", F925="70's", F925="80's", F925="90's"), "Senior (60+)",
  TRUE, "Unknown"
)</f>
        <v>Adult (40–59)</v>
      </c>
      <c r="H925" t="s">
        <v>778</v>
      </c>
      <c r="I925" t="s">
        <v>172</v>
      </c>
      <c r="J925" t="str">
        <f t="shared" si="57"/>
        <v>Methamphetamine-related</v>
      </c>
      <c r="K925" t="s">
        <v>54</v>
      </c>
      <c r="L925" t="s">
        <v>250</v>
      </c>
      <c r="M925" t="s">
        <v>4820</v>
      </c>
      <c r="N925" t="s">
        <v>5101</v>
      </c>
      <c r="O925" t="str" cm="1">
        <f t="array" ref="O925">_xlfn.IFS(
  TEXT(TRIM(N925),"00000")="NULL", "Missing/Unknown",
  OR(TEXT(TRIM(N925),"00000")="89101", TEXT(TRIM(N925),"00000")="89104", TEXT(TRIM(N925),"00000")="89106", TEXT(TRIM(N925),"00000")="89102", TEXT(TRIM(N925),"00000")="89107", TEXT(TRIM(N925),"00000")="89108"), "Urban Core",
  OR(TEXT(TRIM(N925),"00000")="89110", TEXT(TRIM(N925),"00000")="89115", TEXT(TRIM(N925),"00000")="89121", TEXT(TRIM(N925),"00000")="89122", TEXT(TRIM(N925),"00000")="89142", TEXT(TRIM(N925),"00000")="89156"), "East Valley",
  OR(TEXT(TRIM(N925),"00000")="89030", TEXT(TRIM(N925),"00000")="89031", TEXT(TRIM(N925),"00000")="89032", TEXT(TRIM(N925),"00000")="89086", TEXT(TRIM(N925),"00000")="89084", TEXT(TRIM(N925),"00000")="89081"), "North LV",
  OR(TEXT(TRIM(N925),"00000")="89109", TEXT(TRIM(N925),"00000")="89103", TEXT(TRIM(N925),"00000")="89119", TEXT(TRIM(N925),"00000")="89123", TEXT(TRIM(N925),"00000")="89169", TEXT(TRIM(N925),"00000")="89118"), "South/Strip",
  OR(TEXT(TRIM(N925),"00000")="89074", TEXT(TRIM(N925),"00000")="89014", TEXT(TRIM(N925),"00000")="89015", TEXT(TRIM(N925),"00000")="89011", TEXT(TRIM(N925),"00000")="89012"), "Suburban SE",
  OR(TEXT(TRIM(N925),"00000")="89117", TEXT(TRIM(N925),"00000")="89128", TEXT(TRIM(N925),"00000")="89135", TEXT(TRIM(N925),"00000")="89144", TEXT(TRIM(N925),"00000")="89145", TEXT(TRIM(N925),"00000")="89147"), "West Valley",
  TRUE, "Other"
)</f>
        <v>Urban Core</v>
      </c>
      <c r="P925" t="s">
        <v>3298</v>
      </c>
      <c r="Q925" t="str">
        <f t="shared" si="58"/>
        <v>Outdoors/Public</v>
      </c>
      <c r="R925" t="s">
        <v>4820</v>
      </c>
      <c r="S925" t="s">
        <v>5101</v>
      </c>
      <c r="T925" t="str" cm="1">
        <f t="array" ref="T925">_xlfn.IFS(
  TEXT(TRIM(S925),"00000")="NULL", "Missing/Unknown",
  OR(TEXT(TRIM(S925),"00000")="89101", TEXT(TRIM(S925),"00000")="89104", TEXT(TRIM(S925),"00000")="89106", TEXT(TRIM(S925),"00000")="89102", TEXT(TRIM(S925),"00000")="89107", TEXT(TRIM(S925),"00000")="89108"), "Urban Core",
  OR(TEXT(TRIM(S925),"00000")="89110", TEXT(TRIM(S925),"00000")="89115", TEXT(TRIM(S925),"00000")="89121", TEXT(TRIM(S925),"00000")="89122", TEXT(TRIM(S925),"00000")="89142", TEXT(TRIM(S925),"00000")="89156"), "East Valley",
  OR(TEXT(TRIM(S925),"00000")="89030", TEXT(TRIM(S925),"00000")="89031", TEXT(TRIM(S925),"00000")="89032", TEXT(TRIM(S925),"00000")="89086", TEXT(TRIM(S925),"00000")="89084", TEXT(TRIM(S925),"00000")="89081"), "North LV",
  OR(TEXT(TRIM(S925),"00000")="89109", TEXT(TRIM(S925),"00000")="89103", TEXT(TRIM(S925),"00000")="89119", TEXT(TRIM(S925),"00000")="89123", TEXT(TRIM(S925),"00000")="89169", TEXT(TRIM(S925),"00000")="89118"), "South/Strip",
  OR(TEXT(TRIM(S925),"00000")="89074", TEXT(TRIM(S925),"00000")="89014", TEXT(TRIM(S925),"00000")="89015", TEXT(TRIM(S925),"00000")="89011", TEXT(TRIM(S925),"00000")="89012"), "Suburban SE",
  OR(TEXT(TRIM(S925),"00000")="89117", TEXT(TRIM(S925),"00000")="89128", TEXT(TRIM(S925),"00000")="89135", TEXT(TRIM(S925),"00000")="89144", TEXT(TRIM(S925),"00000")="89145", TEXT(TRIM(S925),"00000")="89147"), "West Valley",
  TRUE, "Other"
)</f>
        <v>Urban Core</v>
      </c>
      <c r="U925" t="s">
        <v>3298</v>
      </c>
      <c r="V925" t="str">
        <f t="shared" si="59"/>
        <v>Outdoors/Public</v>
      </c>
    </row>
    <row r="926" spans="1:22">
      <c r="A926" t="s">
        <v>1131</v>
      </c>
      <c r="B926" t="s">
        <v>1132</v>
      </c>
      <c r="C926" s="1">
        <v>44714</v>
      </c>
      <c r="D926" s="4">
        <v>100.04</v>
      </c>
      <c r="E926">
        <v>55</v>
      </c>
      <c r="F926" t="str">
        <f t="shared" si="56"/>
        <v>50's</v>
      </c>
      <c r="G926" t="str" cm="1">
        <f t="array" ref="G926">_xlfn.IFS(
  F926="10's", "Child (5–12)",
  OR(F926="20's", F926="30's"), "Young Adult (20–39)",
  OR(F926="40's", F926="50's"), "Adult (40–59)",
  OR(F926="60's", F926="70's", F926="80's", F926="90's"), "Senior (60+)",
  TRUE, "Unknown"
)</f>
        <v>Adult (40–59)</v>
      </c>
      <c r="H926" t="s">
        <v>778</v>
      </c>
      <c r="I926" t="s">
        <v>1124</v>
      </c>
      <c r="J926" t="str">
        <f t="shared" si="57"/>
        <v>Cardiovascular Disease</v>
      </c>
      <c r="K926" t="s">
        <v>4260</v>
      </c>
      <c r="L926" t="s">
        <v>250</v>
      </c>
      <c r="M926" t="s">
        <v>4821</v>
      </c>
      <c r="N926" t="s">
        <v>5101</v>
      </c>
      <c r="O926" t="str" cm="1">
        <f t="array" ref="O926">_xlfn.IFS(
  TEXT(TRIM(N926),"00000")="NULL", "Missing/Unknown",
  OR(TEXT(TRIM(N926),"00000")="89101", TEXT(TRIM(N926),"00000")="89104", TEXT(TRIM(N926),"00000")="89106", TEXT(TRIM(N926),"00000")="89102", TEXT(TRIM(N926),"00000")="89107", TEXT(TRIM(N926),"00000")="89108"), "Urban Core",
  OR(TEXT(TRIM(N926),"00000")="89110", TEXT(TRIM(N926),"00000")="89115", TEXT(TRIM(N926),"00000")="89121", TEXT(TRIM(N926),"00000")="89122", TEXT(TRIM(N926),"00000")="89142", TEXT(TRIM(N926),"00000")="89156"), "East Valley",
  OR(TEXT(TRIM(N926),"00000")="89030", TEXT(TRIM(N926),"00000")="89031", TEXT(TRIM(N926),"00000")="89032", TEXT(TRIM(N926),"00000")="89086", TEXT(TRIM(N926),"00000")="89084", TEXT(TRIM(N926),"00000")="89081"), "North LV",
  OR(TEXT(TRIM(N926),"00000")="89109", TEXT(TRIM(N926),"00000")="89103", TEXT(TRIM(N926),"00000")="89119", TEXT(TRIM(N926),"00000")="89123", TEXT(TRIM(N926),"00000")="89169", TEXT(TRIM(N926),"00000")="89118"), "South/Strip",
  OR(TEXT(TRIM(N926),"00000")="89074", TEXT(TRIM(N926),"00000")="89014", TEXT(TRIM(N926),"00000")="89015", TEXT(TRIM(N926),"00000")="89011", TEXT(TRIM(N926),"00000")="89012"), "Suburban SE",
  OR(TEXT(TRIM(N926),"00000")="89117", TEXT(TRIM(N926),"00000")="89128", TEXT(TRIM(N926),"00000")="89135", TEXT(TRIM(N926),"00000")="89144", TEXT(TRIM(N926),"00000")="89145", TEXT(TRIM(N926),"00000")="89147"), "West Valley",
  TRUE, "Other"
)</f>
        <v>Urban Core</v>
      </c>
      <c r="P926" t="s">
        <v>3298</v>
      </c>
      <c r="Q926" t="str">
        <f t="shared" si="58"/>
        <v>Outdoors/Public</v>
      </c>
      <c r="R926" t="s">
        <v>4821</v>
      </c>
      <c r="S926" t="s">
        <v>5101</v>
      </c>
      <c r="T926" t="str" cm="1">
        <f t="array" ref="T926">_xlfn.IFS(
  TEXT(TRIM(S926),"00000")="NULL", "Missing/Unknown",
  OR(TEXT(TRIM(S926),"00000")="89101", TEXT(TRIM(S926),"00000")="89104", TEXT(TRIM(S926),"00000")="89106", TEXT(TRIM(S926),"00000")="89102", TEXT(TRIM(S926),"00000")="89107", TEXT(TRIM(S926),"00000")="89108"), "Urban Core",
  OR(TEXT(TRIM(S926),"00000")="89110", TEXT(TRIM(S926),"00000")="89115", TEXT(TRIM(S926),"00000")="89121", TEXT(TRIM(S926),"00000")="89122", TEXT(TRIM(S926),"00000")="89142", TEXT(TRIM(S926),"00000")="89156"), "East Valley",
  OR(TEXT(TRIM(S926),"00000")="89030", TEXT(TRIM(S926),"00000")="89031", TEXT(TRIM(S926),"00000")="89032", TEXT(TRIM(S926),"00000")="89086", TEXT(TRIM(S926),"00000")="89084", TEXT(TRIM(S926),"00000")="89081"), "North LV",
  OR(TEXT(TRIM(S926),"00000")="89109", TEXT(TRIM(S926),"00000")="89103", TEXT(TRIM(S926),"00000")="89119", TEXT(TRIM(S926),"00000")="89123", TEXT(TRIM(S926),"00000")="89169", TEXT(TRIM(S926),"00000")="89118"), "South/Strip",
  OR(TEXT(TRIM(S926),"00000")="89074", TEXT(TRIM(S926),"00000")="89014", TEXT(TRIM(S926),"00000")="89015", TEXT(TRIM(S926),"00000")="89011", TEXT(TRIM(S926),"00000")="89012"), "Suburban SE",
  OR(TEXT(TRIM(S926),"00000")="89117", TEXT(TRIM(S926),"00000")="89128", TEXT(TRIM(S926),"00000")="89135", TEXT(TRIM(S926),"00000")="89144", TEXT(TRIM(S926),"00000")="89145", TEXT(TRIM(S926),"00000")="89147"), "West Valley",
  TRUE, "Other"
)</f>
        <v>Urban Core</v>
      </c>
      <c r="U926" t="s">
        <v>3298</v>
      </c>
      <c r="V926" t="str">
        <f t="shared" si="59"/>
        <v>Outdoors/Public</v>
      </c>
    </row>
    <row r="927" spans="1:22">
      <c r="A927" t="s">
        <v>1128</v>
      </c>
      <c r="B927" t="s">
        <v>1129</v>
      </c>
      <c r="C927" s="1">
        <v>44712</v>
      </c>
      <c r="D927" s="4">
        <v>87.080000000000013</v>
      </c>
      <c r="E927">
        <v>61</v>
      </c>
      <c r="F927" t="str">
        <f t="shared" si="56"/>
        <v>60's</v>
      </c>
      <c r="G927" t="str" cm="1">
        <f t="array" ref="G927">_xlfn.IFS(
  F927="10's", "Child (5–12)",
  OR(F927="20's", F927="30's"), "Young Adult (20–39)",
  OR(F927="40's", F927="50's"), "Adult (40–59)",
  OR(F927="60's", F927="70's", F927="80's", F927="90's"), "Senior (60+)",
  TRUE, "Unknown"
)</f>
        <v>Senior (60+)</v>
      </c>
      <c r="H927" t="s">
        <v>841</v>
      </c>
      <c r="I927" t="s">
        <v>461</v>
      </c>
      <c r="J927" t="str">
        <f t="shared" si="57"/>
        <v>Dehydration / Electrolyte</v>
      </c>
      <c r="K927" t="s">
        <v>54</v>
      </c>
      <c r="L927" t="s">
        <v>250</v>
      </c>
      <c r="M927" t="s">
        <v>4337</v>
      </c>
      <c r="N927" t="s">
        <v>5097</v>
      </c>
      <c r="O927" t="str" cm="1">
        <f t="array" ref="O927">_xlfn.IFS(
  TEXT(TRIM(N927),"00000")="NULL", "Missing/Unknown",
  OR(TEXT(TRIM(N927),"00000")="89101", TEXT(TRIM(N927),"00000")="89104", TEXT(TRIM(N927),"00000")="89106", TEXT(TRIM(N927),"00000")="89102", TEXT(TRIM(N927),"00000")="89107", TEXT(TRIM(N927),"00000")="89108"), "Urban Core",
  OR(TEXT(TRIM(N927),"00000")="89110", TEXT(TRIM(N927),"00000")="89115", TEXT(TRIM(N927),"00000")="89121", TEXT(TRIM(N927),"00000")="89122", TEXT(TRIM(N927),"00000")="89142", TEXT(TRIM(N927),"00000")="89156"), "East Valley",
  OR(TEXT(TRIM(N927),"00000")="89030", TEXT(TRIM(N927),"00000")="89031", TEXT(TRIM(N927),"00000")="89032", TEXT(TRIM(N927),"00000")="89086", TEXT(TRIM(N927),"00000")="89084", TEXT(TRIM(N927),"00000")="89081"), "North LV",
  OR(TEXT(TRIM(N927),"00000")="89109", TEXT(TRIM(N927),"00000")="89103", TEXT(TRIM(N927),"00000")="89119", TEXT(TRIM(N927),"00000")="89123", TEXT(TRIM(N927),"00000")="89169", TEXT(TRIM(N927),"00000")="89118"), "South/Strip",
  OR(TEXT(TRIM(N927),"00000")="89074", TEXT(TRIM(N927),"00000")="89014", TEXT(TRIM(N927),"00000")="89015", TEXT(TRIM(N927),"00000")="89011", TEXT(TRIM(N927),"00000")="89012"), "Suburban SE",
  OR(TEXT(TRIM(N927),"00000")="89117", TEXT(TRIM(N927),"00000")="89128", TEXT(TRIM(N927),"00000")="89135", TEXT(TRIM(N927),"00000")="89144", TEXT(TRIM(N927),"00000")="89145", TEXT(TRIM(N927),"00000")="89147"), "West Valley",
  TRUE, "Other"
)</f>
        <v>Urban Core</v>
      </c>
      <c r="P927" t="s">
        <v>3298</v>
      </c>
      <c r="Q927" t="str">
        <f t="shared" si="58"/>
        <v>Outdoors/Public</v>
      </c>
      <c r="R927" t="s">
        <v>4337</v>
      </c>
      <c r="S927" t="s">
        <v>5097</v>
      </c>
      <c r="T927" t="str" cm="1">
        <f t="array" ref="T927">_xlfn.IFS(
  TEXT(TRIM(S927),"00000")="NULL", "Missing/Unknown",
  OR(TEXT(TRIM(S927),"00000")="89101", TEXT(TRIM(S927),"00000")="89104", TEXT(TRIM(S927),"00000")="89106", TEXT(TRIM(S927),"00000")="89102", TEXT(TRIM(S927),"00000")="89107", TEXT(TRIM(S927),"00000")="89108"), "Urban Core",
  OR(TEXT(TRIM(S927),"00000")="89110", TEXT(TRIM(S927),"00000")="89115", TEXT(TRIM(S927),"00000")="89121", TEXT(TRIM(S927),"00000")="89122", TEXT(TRIM(S927),"00000")="89142", TEXT(TRIM(S927),"00000")="89156"), "East Valley",
  OR(TEXT(TRIM(S927),"00000")="89030", TEXT(TRIM(S927),"00000")="89031", TEXT(TRIM(S927),"00000")="89032", TEXT(TRIM(S927),"00000")="89086", TEXT(TRIM(S927),"00000")="89084", TEXT(TRIM(S927),"00000")="89081"), "North LV",
  OR(TEXT(TRIM(S927),"00000")="89109", TEXT(TRIM(S927),"00000")="89103", TEXT(TRIM(S927),"00000")="89119", TEXT(TRIM(S927),"00000")="89123", TEXT(TRIM(S927),"00000")="89169", TEXT(TRIM(S927),"00000")="89118"), "South/Strip",
  OR(TEXT(TRIM(S927),"00000")="89074", TEXT(TRIM(S927),"00000")="89014", TEXT(TRIM(S927),"00000")="89015", TEXT(TRIM(S927),"00000")="89011", TEXT(TRIM(S927),"00000")="89012"), "Suburban SE",
  OR(TEXT(TRIM(S927),"00000")="89117", TEXT(TRIM(S927),"00000")="89128", TEXT(TRIM(S927),"00000")="89135", TEXT(TRIM(S927),"00000")="89144", TEXT(TRIM(S927),"00000")="89145", TEXT(TRIM(S927),"00000")="89147"), "West Valley",
  TRUE, "Other"
)</f>
        <v>Urban Core</v>
      </c>
      <c r="U927" t="s">
        <v>3298</v>
      </c>
      <c r="V927" t="str">
        <f t="shared" si="59"/>
        <v>Outdoors/Public</v>
      </c>
    </row>
    <row r="928" spans="1:22">
      <c r="A928" t="s">
        <v>1122</v>
      </c>
      <c r="B928" t="s">
        <v>1123</v>
      </c>
      <c r="C928" s="1">
        <v>44707</v>
      </c>
      <c r="D928" s="4">
        <v>102.02</v>
      </c>
      <c r="E928">
        <v>46</v>
      </c>
      <c r="F928" t="str">
        <f t="shared" si="56"/>
        <v>40's</v>
      </c>
      <c r="G928" t="str" cm="1">
        <f t="array" ref="G928">_xlfn.IFS(
  F928="10's", "Child (5–12)",
  OR(F928="20's", F928="30's"), "Young Adult (20–39)",
  OR(F928="40's", F928="50's"), "Adult (40–59)",
  OR(F928="60's", F928="70's", F928="80's", F928="90's"), "Senior (60+)",
  TRUE, "Unknown"
)</f>
        <v>Adult (40–59)</v>
      </c>
      <c r="H928" t="s">
        <v>841</v>
      </c>
      <c r="I928" t="s">
        <v>1124</v>
      </c>
      <c r="J928" t="str">
        <f t="shared" si="57"/>
        <v>Cardiovascular Disease</v>
      </c>
      <c r="K928" t="s">
        <v>4264</v>
      </c>
      <c r="L928" t="s">
        <v>250</v>
      </c>
      <c r="M928" t="s">
        <v>4552</v>
      </c>
      <c r="N928" t="s">
        <v>5104</v>
      </c>
      <c r="O928" t="str" cm="1">
        <f t="array" ref="O928">_xlfn.IFS(
  TEXT(TRIM(N928),"00000")="NULL", "Missing/Unknown",
  OR(TEXT(TRIM(N928),"00000")="89101", TEXT(TRIM(N928),"00000")="89104", TEXT(TRIM(N928),"00000")="89106", TEXT(TRIM(N928),"00000")="89102", TEXT(TRIM(N928),"00000")="89107", TEXT(TRIM(N928),"00000")="89108"), "Urban Core",
  OR(TEXT(TRIM(N928),"00000")="89110", TEXT(TRIM(N928),"00000")="89115", TEXT(TRIM(N928),"00000")="89121", TEXT(TRIM(N928),"00000")="89122", TEXT(TRIM(N928),"00000")="89142", TEXT(TRIM(N928),"00000")="89156"), "East Valley",
  OR(TEXT(TRIM(N928),"00000")="89030", TEXT(TRIM(N928),"00000")="89031", TEXT(TRIM(N928),"00000")="89032", TEXT(TRIM(N928),"00000")="89086", TEXT(TRIM(N928),"00000")="89084", TEXT(TRIM(N928),"00000")="89081"), "North LV",
  OR(TEXT(TRIM(N928),"00000")="89109", TEXT(TRIM(N928),"00000")="89103", TEXT(TRIM(N928),"00000")="89119", TEXT(TRIM(N928),"00000")="89123", TEXT(TRIM(N928),"00000")="89169", TEXT(TRIM(N928),"00000")="89118"), "South/Strip",
  OR(TEXT(TRIM(N928),"00000")="89074", TEXT(TRIM(N928),"00000")="89014", TEXT(TRIM(N928),"00000")="89015", TEXT(TRIM(N928),"00000")="89011", TEXT(TRIM(N928),"00000")="89012"), "Suburban SE",
  OR(TEXT(TRIM(N928),"00000")="89117", TEXT(TRIM(N928),"00000")="89128", TEXT(TRIM(N928),"00000")="89135", TEXT(TRIM(N928),"00000")="89144", TEXT(TRIM(N928),"00000")="89145", TEXT(TRIM(N928),"00000")="89147"), "West Valley",
  TRUE, "Other"
)</f>
        <v>West Valley</v>
      </c>
      <c r="P928" t="s">
        <v>3298</v>
      </c>
      <c r="Q928" t="str">
        <f t="shared" si="58"/>
        <v>Outdoors/Public</v>
      </c>
      <c r="R928" t="s">
        <v>5064</v>
      </c>
      <c r="S928" t="s">
        <v>5154</v>
      </c>
      <c r="T928" t="str" cm="1">
        <f t="array" ref="T928">_xlfn.IFS(
  TEXT(TRIM(S928),"00000")="NULL", "Missing/Unknown",
  OR(TEXT(TRIM(S928),"00000")="89101", TEXT(TRIM(S928),"00000")="89104", TEXT(TRIM(S928),"00000")="89106", TEXT(TRIM(S928),"00000")="89102", TEXT(TRIM(S928),"00000")="89107", TEXT(TRIM(S928),"00000")="89108"), "Urban Core",
  OR(TEXT(TRIM(S928),"00000")="89110", TEXT(TRIM(S928),"00000")="89115", TEXT(TRIM(S928),"00000")="89121", TEXT(TRIM(S928),"00000")="89122", TEXT(TRIM(S928),"00000")="89142", TEXT(TRIM(S928),"00000")="89156"), "East Valley",
  OR(TEXT(TRIM(S928),"00000")="89030", TEXT(TRIM(S928),"00000")="89031", TEXT(TRIM(S928),"00000")="89032", TEXT(TRIM(S928),"00000")="89086", TEXT(TRIM(S928),"00000")="89084", TEXT(TRIM(S928),"00000")="89081"), "North LV",
  OR(TEXT(TRIM(S928),"00000")="89109", TEXT(TRIM(S928),"00000")="89103", TEXT(TRIM(S928),"00000")="89119", TEXT(TRIM(S928),"00000")="89123", TEXT(TRIM(S928),"00000")="89169", TEXT(TRIM(S928),"00000")="89118"), "South/Strip",
  OR(TEXT(TRIM(S928),"00000")="89074", TEXT(TRIM(S928),"00000")="89014", TEXT(TRIM(S928),"00000")="89015", TEXT(TRIM(S928),"00000")="89011", TEXT(TRIM(S928),"00000")="89012"), "Suburban SE",
  OR(TEXT(TRIM(S928),"00000")="89117", TEXT(TRIM(S928),"00000")="89128", TEXT(TRIM(S928),"00000")="89135", TEXT(TRIM(S928),"00000")="89144", TEXT(TRIM(S928),"00000")="89145", TEXT(TRIM(S928),"00000")="89147"), "West Valley",
  TRUE, "Other"
)</f>
        <v>West Valley</v>
      </c>
      <c r="U928" t="s">
        <v>4301</v>
      </c>
      <c r="V928" t="str">
        <f t="shared" si="59"/>
        <v>Medical Facility</v>
      </c>
    </row>
    <row r="929" spans="1:22">
      <c r="A929" t="s">
        <v>1119</v>
      </c>
      <c r="B929" t="s">
        <v>1120</v>
      </c>
      <c r="C929" s="1">
        <v>44705</v>
      </c>
      <c r="D929" s="4">
        <v>91.94</v>
      </c>
      <c r="E929">
        <v>40</v>
      </c>
      <c r="F929" t="str">
        <f t="shared" si="56"/>
        <v>40's</v>
      </c>
      <c r="G929" t="str" cm="1">
        <f t="array" ref="G929">_xlfn.IFS(
  F929="10's", "Child (5–12)",
  OR(F929="20's", F929="30's"), "Young Adult (20–39)",
  OR(F929="40's", F929="50's"), "Adult (40–59)",
  OR(F929="60's", F929="70's", F929="80's", F929="90's"), "Senior (60+)",
  TRUE, "Unknown"
)</f>
        <v>Adult (40–59)</v>
      </c>
      <c r="H929" t="s">
        <v>841</v>
      </c>
      <c r="I929" t="s">
        <v>172</v>
      </c>
      <c r="J929" t="str">
        <f t="shared" si="57"/>
        <v>Methamphetamine-related</v>
      </c>
      <c r="K929" t="s">
        <v>54</v>
      </c>
      <c r="L929" t="s">
        <v>250</v>
      </c>
      <c r="M929" t="s">
        <v>4822</v>
      </c>
      <c r="N929" t="s">
        <v>5099</v>
      </c>
      <c r="O929" t="str" cm="1">
        <f t="array" ref="O929">_xlfn.IFS(
  TEXT(TRIM(N929),"00000")="NULL", "Missing/Unknown",
  OR(TEXT(TRIM(N929),"00000")="89101", TEXT(TRIM(N929),"00000")="89104", TEXT(TRIM(N929),"00000")="89106", TEXT(TRIM(N929),"00000")="89102", TEXT(TRIM(N929),"00000")="89107", TEXT(TRIM(N929),"00000")="89108"), "Urban Core",
  OR(TEXT(TRIM(N929),"00000")="89110", TEXT(TRIM(N929),"00000")="89115", TEXT(TRIM(N929),"00000")="89121", TEXT(TRIM(N929),"00000")="89122", TEXT(TRIM(N929),"00000")="89142", TEXT(TRIM(N929),"00000")="89156"), "East Valley",
  OR(TEXT(TRIM(N929),"00000")="89030", TEXT(TRIM(N929),"00000")="89031", TEXT(TRIM(N929),"00000")="89032", TEXT(TRIM(N929),"00000")="89086", TEXT(TRIM(N929),"00000")="89084", TEXT(TRIM(N929),"00000")="89081"), "North LV",
  OR(TEXT(TRIM(N929),"00000")="89109", TEXT(TRIM(N929),"00000")="89103", TEXT(TRIM(N929),"00000")="89119", TEXT(TRIM(N929),"00000")="89123", TEXT(TRIM(N929),"00000")="89169", TEXT(TRIM(N929),"00000")="89118"), "South/Strip",
  OR(TEXT(TRIM(N929),"00000")="89074", TEXT(TRIM(N929),"00000")="89014", TEXT(TRIM(N929),"00000")="89015", TEXT(TRIM(N929),"00000")="89011", TEXT(TRIM(N929),"00000")="89012"), "Suburban SE",
  OR(TEXT(TRIM(N929),"00000")="89117", TEXT(TRIM(N929),"00000")="89128", TEXT(TRIM(N929),"00000")="89135", TEXT(TRIM(N929),"00000")="89144", TEXT(TRIM(N929),"00000")="89145", TEXT(TRIM(N929),"00000")="89147"), "West Valley",
  TRUE, "Other"
)</f>
        <v>Urban Core</v>
      </c>
      <c r="P929" t="s">
        <v>3298</v>
      </c>
      <c r="Q929" t="str">
        <f t="shared" si="58"/>
        <v>Outdoors/Public</v>
      </c>
      <c r="R929" t="s">
        <v>4822</v>
      </c>
      <c r="S929" t="s">
        <v>5099</v>
      </c>
      <c r="T929" t="str" cm="1">
        <f t="array" ref="T929">_xlfn.IFS(
  TEXT(TRIM(S929),"00000")="NULL", "Missing/Unknown",
  OR(TEXT(TRIM(S929),"00000")="89101", TEXT(TRIM(S929),"00000")="89104", TEXT(TRIM(S929),"00000")="89106", TEXT(TRIM(S929),"00000")="89102", TEXT(TRIM(S929),"00000")="89107", TEXT(TRIM(S929),"00000")="89108"), "Urban Core",
  OR(TEXT(TRIM(S929),"00000")="89110", TEXT(TRIM(S929),"00000")="89115", TEXT(TRIM(S929),"00000")="89121", TEXT(TRIM(S929),"00000")="89122", TEXT(TRIM(S929),"00000")="89142", TEXT(TRIM(S929),"00000")="89156"), "East Valley",
  OR(TEXT(TRIM(S929),"00000")="89030", TEXT(TRIM(S929),"00000")="89031", TEXT(TRIM(S929),"00000")="89032", TEXT(TRIM(S929),"00000")="89086", TEXT(TRIM(S929),"00000")="89084", TEXT(TRIM(S929),"00000")="89081"), "North LV",
  OR(TEXT(TRIM(S929),"00000")="89109", TEXT(TRIM(S929),"00000")="89103", TEXT(TRIM(S929),"00000")="89119", TEXT(TRIM(S929),"00000")="89123", TEXT(TRIM(S929),"00000")="89169", TEXT(TRIM(S929),"00000")="89118"), "South/Strip",
  OR(TEXT(TRIM(S929),"00000")="89074", TEXT(TRIM(S929),"00000")="89014", TEXT(TRIM(S929),"00000")="89015", TEXT(TRIM(S929),"00000")="89011", TEXT(TRIM(S929),"00000")="89012"), "Suburban SE",
  OR(TEXT(TRIM(S929),"00000")="89117", TEXT(TRIM(S929),"00000")="89128", TEXT(TRIM(S929),"00000")="89135", TEXT(TRIM(S929),"00000")="89144", TEXT(TRIM(S929),"00000")="89145", TEXT(TRIM(S929),"00000")="89147"), "West Valley",
  TRUE, "Other"
)</f>
        <v>Urban Core</v>
      </c>
      <c r="U929" t="s">
        <v>3298</v>
      </c>
      <c r="V929" t="str">
        <f t="shared" si="59"/>
        <v>Outdoors/Public</v>
      </c>
    </row>
    <row r="930" spans="1:22">
      <c r="A930" t="s">
        <v>1116</v>
      </c>
      <c r="B930" t="s">
        <v>1117</v>
      </c>
      <c r="C930" s="1">
        <v>44701</v>
      </c>
      <c r="D930" s="4">
        <v>89.06</v>
      </c>
      <c r="E930">
        <v>69</v>
      </c>
      <c r="F930" t="str">
        <f t="shared" si="56"/>
        <v>60's</v>
      </c>
      <c r="G930" t="str" cm="1">
        <f t="array" ref="G930">_xlfn.IFS(
  F930="10's", "Child (5–12)",
  OR(F930="20's", F930="30's"), "Young Adult (20–39)",
  OR(F930="40's", F930="50's"), "Adult (40–59)",
  OR(F930="60's", F930="70's", F930="80's", F930="90's"), "Senior (60+)",
  TRUE, "Unknown"
)</f>
        <v>Senior (60+)</v>
      </c>
      <c r="H930" t="s">
        <v>841</v>
      </c>
      <c r="I930" t="s">
        <v>28</v>
      </c>
      <c r="J930" t="str">
        <f t="shared" si="57"/>
        <v>Cardiovascular Disease</v>
      </c>
      <c r="K930" t="s">
        <v>54</v>
      </c>
      <c r="L930" t="s">
        <v>1071</v>
      </c>
      <c r="M930" t="s">
        <v>4453</v>
      </c>
      <c r="N930" t="s">
        <v>5161</v>
      </c>
      <c r="O930" t="str" cm="1">
        <f t="array" ref="O930">_xlfn.IFS(
  TEXT(TRIM(N930),"00000")="NULL", "Missing/Unknown",
  OR(TEXT(TRIM(N930),"00000")="89101", TEXT(TRIM(N930),"00000")="89104", TEXT(TRIM(N930),"00000")="89106", TEXT(TRIM(N930),"00000")="89102", TEXT(TRIM(N930),"00000")="89107", TEXT(TRIM(N930),"00000")="89108"), "Urban Core",
  OR(TEXT(TRIM(N930),"00000")="89110", TEXT(TRIM(N930),"00000")="89115", TEXT(TRIM(N930),"00000")="89121", TEXT(TRIM(N930),"00000")="89122", TEXT(TRIM(N930),"00000")="89142", TEXT(TRIM(N930),"00000")="89156"), "East Valley",
  OR(TEXT(TRIM(N930),"00000")="89030", TEXT(TRIM(N930),"00000")="89031", TEXT(TRIM(N930),"00000")="89032", TEXT(TRIM(N930),"00000")="89086", TEXT(TRIM(N930),"00000")="89084", TEXT(TRIM(N930),"00000")="89081"), "North LV",
  OR(TEXT(TRIM(N930),"00000")="89109", TEXT(TRIM(N930),"00000")="89103", TEXT(TRIM(N930),"00000")="89119", TEXT(TRIM(N930),"00000")="89123", TEXT(TRIM(N930),"00000")="89169", TEXT(TRIM(N930),"00000")="89118"), "South/Strip",
  OR(TEXT(TRIM(N930),"00000")="89074", TEXT(TRIM(N930),"00000")="89014", TEXT(TRIM(N930),"00000")="89015", TEXT(TRIM(N930),"00000")="89011", TEXT(TRIM(N930),"00000")="89012"), "Suburban SE",
  OR(TEXT(TRIM(N930),"00000")="89117", TEXT(TRIM(N930),"00000")="89128", TEXT(TRIM(N930),"00000")="89135", TEXT(TRIM(N930),"00000")="89144", TEXT(TRIM(N930),"00000")="89145", TEXT(TRIM(N930),"00000")="89147"), "West Valley",
  TRUE, "Other"
)</f>
        <v>Other</v>
      </c>
      <c r="P930" t="s">
        <v>38</v>
      </c>
      <c r="Q930" t="str">
        <f t="shared" si="58"/>
        <v>Home/Residence</v>
      </c>
      <c r="R930" t="s">
        <v>4453</v>
      </c>
      <c r="S930" t="s">
        <v>5161</v>
      </c>
      <c r="T930" t="str" cm="1">
        <f t="array" ref="T930">_xlfn.IFS(
  TEXT(TRIM(S930),"00000")="NULL", "Missing/Unknown",
  OR(TEXT(TRIM(S930),"00000")="89101", TEXT(TRIM(S930),"00000")="89104", TEXT(TRIM(S930),"00000")="89106", TEXT(TRIM(S930),"00000")="89102", TEXT(TRIM(S930),"00000")="89107", TEXT(TRIM(S930),"00000")="89108"), "Urban Core",
  OR(TEXT(TRIM(S930),"00000")="89110", TEXT(TRIM(S930),"00000")="89115", TEXT(TRIM(S930),"00000")="89121", TEXT(TRIM(S930),"00000")="89122", TEXT(TRIM(S930),"00000")="89142", TEXT(TRIM(S930),"00000")="89156"), "East Valley",
  OR(TEXT(TRIM(S930),"00000")="89030", TEXT(TRIM(S930),"00000")="89031", TEXT(TRIM(S930),"00000")="89032", TEXT(TRIM(S930),"00000")="89086", TEXT(TRIM(S930),"00000")="89084", TEXT(TRIM(S930),"00000")="89081"), "North LV",
  OR(TEXT(TRIM(S930),"00000")="89109", TEXT(TRIM(S930),"00000")="89103", TEXT(TRIM(S930),"00000")="89119", TEXT(TRIM(S930),"00000")="89123", TEXT(TRIM(S930),"00000")="89169", TEXT(TRIM(S930),"00000")="89118"), "South/Strip",
  OR(TEXT(TRIM(S930),"00000")="89074", TEXT(TRIM(S930),"00000")="89014", TEXT(TRIM(S930),"00000")="89015", TEXT(TRIM(S930),"00000")="89011", TEXT(TRIM(S930),"00000")="89012"), "Suburban SE",
  OR(TEXT(TRIM(S930),"00000")="89117", TEXT(TRIM(S930),"00000")="89128", TEXT(TRIM(S930),"00000")="89135", TEXT(TRIM(S930),"00000")="89144", TEXT(TRIM(S930),"00000")="89145", TEXT(TRIM(S930),"00000")="89147"), "West Valley",
  TRUE, "Other"
)</f>
        <v>Other</v>
      </c>
      <c r="U930" t="s">
        <v>38</v>
      </c>
      <c r="V930" t="str">
        <f t="shared" si="59"/>
        <v>Home/Residence</v>
      </c>
    </row>
    <row r="931" spans="1:22">
      <c r="A931" t="s">
        <v>1114</v>
      </c>
      <c r="B931" t="s">
        <v>1115</v>
      </c>
      <c r="C931" s="1">
        <v>44700</v>
      </c>
      <c r="D931" s="4">
        <v>102.02</v>
      </c>
      <c r="E931">
        <v>70</v>
      </c>
      <c r="F931" t="str">
        <f t="shared" si="56"/>
        <v>70's</v>
      </c>
      <c r="G931" t="str" cm="1">
        <f t="array" ref="G931">_xlfn.IFS(
  F931="10's", "Child (5–12)",
  OR(F931="20's", F931="30's"), "Young Adult (20–39)",
  OR(F931="40's", F931="50's"), "Adult (40–59)",
  OR(F931="60's", F931="70's", F931="80's", F931="90's"), "Senior (60+)",
  TRUE, "Unknown"
)</f>
        <v>Senior (60+)</v>
      </c>
      <c r="H931" t="s">
        <v>778</v>
      </c>
      <c r="I931" t="s">
        <v>97</v>
      </c>
      <c r="J931" t="str">
        <f t="shared" si="57"/>
        <v>Environmental Heat</v>
      </c>
      <c r="K931" t="s">
        <v>166</v>
      </c>
      <c r="L931" t="s">
        <v>250</v>
      </c>
      <c r="N931" t="s">
        <v>5095</v>
      </c>
      <c r="O931" t="str" cm="1">
        <f t="array" ref="O931">_xlfn.IFS(
  TEXT(TRIM(N931),"00000")="NULL", "Missing/Unknown",
  OR(TEXT(TRIM(N931),"00000")="89101", TEXT(TRIM(N931),"00000")="89104", TEXT(TRIM(N931),"00000")="89106", TEXT(TRIM(N931),"00000")="89102", TEXT(TRIM(N931),"00000")="89107", TEXT(TRIM(N931),"00000")="89108"), "Urban Core",
  OR(TEXT(TRIM(N931),"00000")="89110", TEXT(TRIM(N931),"00000")="89115", TEXT(TRIM(N931),"00000")="89121", TEXT(TRIM(N931),"00000")="89122", TEXT(TRIM(N931),"00000")="89142", TEXT(TRIM(N931),"00000")="89156"), "East Valley",
  OR(TEXT(TRIM(N931),"00000")="89030", TEXT(TRIM(N931),"00000")="89031", TEXT(TRIM(N931),"00000")="89032", TEXT(TRIM(N931),"00000")="89086", TEXT(TRIM(N931),"00000")="89084", TEXT(TRIM(N931),"00000")="89081"), "North LV",
  OR(TEXT(TRIM(N931),"00000")="89109", TEXT(TRIM(N931),"00000")="89103", TEXT(TRIM(N931),"00000")="89119", TEXT(TRIM(N931),"00000")="89123", TEXT(TRIM(N931),"00000")="89169", TEXT(TRIM(N931),"00000")="89118"), "South/Strip",
  OR(TEXT(TRIM(N931),"00000")="89074", TEXT(TRIM(N931),"00000")="89014", TEXT(TRIM(N931),"00000")="89015", TEXT(TRIM(N931),"00000")="89011", TEXT(TRIM(N931),"00000")="89012"), "Suburban SE",
  OR(TEXT(TRIM(N931),"00000")="89117", TEXT(TRIM(N931),"00000")="89128", TEXT(TRIM(N931),"00000")="89135", TEXT(TRIM(N931),"00000")="89144", TEXT(TRIM(N931),"00000")="89145", TEXT(TRIM(N931),"00000")="89147"), "West Valley",
  TRUE, "Other"
)</f>
        <v>Missing/Unknown</v>
      </c>
      <c r="P931" t="s">
        <v>3298</v>
      </c>
      <c r="Q931" t="str">
        <f t="shared" si="58"/>
        <v>Outdoors/Public</v>
      </c>
      <c r="R931" t="s">
        <v>5054</v>
      </c>
      <c r="S931" t="s">
        <v>5097</v>
      </c>
      <c r="T931" t="str" cm="1">
        <f t="array" ref="T931">_xlfn.IFS(
  TEXT(TRIM(S931),"00000")="NULL", "Missing/Unknown",
  OR(TEXT(TRIM(S931),"00000")="89101", TEXT(TRIM(S931),"00000")="89104", TEXT(TRIM(S931),"00000")="89106", TEXT(TRIM(S931),"00000")="89102", TEXT(TRIM(S931),"00000")="89107", TEXT(TRIM(S931),"00000")="89108"), "Urban Core",
  OR(TEXT(TRIM(S931),"00000")="89110", TEXT(TRIM(S931),"00000")="89115", TEXT(TRIM(S931),"00000")="89121", TEXT(TRIM(S931),"00000")="89122", TEXT(TRIM(S931),"00000")="89142", TEXT(TRIM(S931),"00000")="89156"), "East Valley",
  OR(TEXT(TRIM(S931),"00000")="89030", TEXT(TRIM(S931),"00000")="89031", TEXT(TRIM(S931),"00000")="89032", TEXT(TRIM(S931),"00000")="89086", TEXT(TRIM(S931),"00000")="89084", TEXT(TRIM(S931),"00000")="89081"), "North LV",
  OR(TEXT(TRIM(S931),"00000")="89109", TEXT(TRIM(S931),"00000")="89103", TEXT(TRIM(S931),"00000")="89119", TEXT(TRIM(S931),"00000")="89123", TEXT(TRIM(S931),"00000")="89169", TEXT(TRIM(S931),"00000")="89118"), "South/Strip",
  OR(TEXT(TRIM(S931),"00000")="89074", TEXT(TRIM(S931),"00000")="89014", TEXT(TRIM(S931),"00000")="89015", TEXT(TRIM(S931),"00000")="89011", TEXT(TRIM(S931),"00000")="89012"), "Suburban SE",
  OR(TEXT(TRIM(S931),"00000")="89117", TEXT(TRIM(S931),"00000")="89128", TEXT(TRIM(S931),"00000")="89135", TEXT(TRIM(S931),"00000")="89144", TEXT(TRIM(S931),"00000")="89145", TEXT(TRIM(S931),"00000")="89147"), "West Valley",
  TRUE, "Other"
)</f>
        <v>Urban Core</v>
      </c>
      <c r="U931" t="s">
        <v>4301</v>
      </c>
      <c r="V931" t="str">
        <f t="shared" si="59"/>
        <v>Medical Facility</v>
      </c>
    </row>
    <row r="932" spans="1:22">
      <c r="A932" t="s">
        <v>1110</v>
      </c>
      <c r="B932" t="s">
        <v>1111</v>
      </c>
      <c r="C932" s="1">
        <v>44697</v>
      </c>
      <c r="D932" s="4">
        <v>100.04</v>
      </c>
      <c r="E932">
        <v>57</v>
      </c>
      <c r="F932" t="str">
        <f t="shared" si="56"/>
        <v>50's</v>
      </c>
      <c r="G932" t="str" cm="1">
        <f t="array" ref="G932">_xlfn.IFS(
  F932="10's", "Child (5–12)",
  OR(F932="20's", F932="30's"), "Young Adult (20–39)",
  OR(F932="40's", F932="50's"), "Adult (40–59)",
  OR(F932="60's", F932="70's", F932="80's", F932="90's"), "Senior (60+)",
  TRUE, "Unknown"
)</f>
        <v>Adult (40–59)</v>
      </c>
      <c r="H932" t="s">
        <v>841</v>
      </c>
      <c r="I932" t="s">
        <v>97</v>
      </c>
      <c r="J932" t="str">
        <f t="shared" si="57"/>
        <v>Environmental Heat</v>
      </c>
      <c r="K932" t="s">
        <v>4265</v>
      </c>
      <c r="L932" t="s">
        <v>1071</v>
      </c>
      <c r="M932" t="s">
        <v>4525</v>
      </c>
      <c r="N932" t="s">
        <v>5149</v>
      </c>
      <c r="O932" t="str" cm="1">
        <f t="array" ref="O932">_xlfn.IFS(
  TEXT(TRIM(N932),"00000")="NULL", "Missing/Unknown",
  OR(TEXT(TRIM(N932),"00000")="89101", TEXT(TRIM(N932),"00000")="89104", TEXT(TRIM(N932),"00000")="89106", TEXT(TRIM(N932),"00000")="89102", TEXT(TRIM(N932),"00000")="89107", TEXT(TRIM(N932),"00000")="89108"), "Urban Core",
  OR(TEXT(TRIM(N932),"00000")="89110", TEXT(TRIM(N932),"00000")="89115", TEXT(TRIM(N932),"00000")="89121", TEXT(TRIM(N932),"00000")="89122", TEXT(TRIM(N932),"00000")="89142", TEXT(TRIM(N932),"00000")="89156"), "East Valley",
  OR(TEXT(TRIM(N932),"00000")="89030", TEXT(TRIM(N932),"00000")="89031", TEXT(TRIM(N932),"00000")="89032", TEXT(TRIM(N932),"00000")="89086", TEXT(TRIM(N932),"00000")="89084", TEXT(TRIM(N932),"00000")="89081"), "North LV",
  OR(TEXT(TRIM(N932),"00000")="89109", TEXT(TRIM(N932),"00000")="89103", TEXT(TRIM(N932),"00000")="89119", TEXT(TRIM(N932),"00000")="89123", TEXT(TRIM(N932),"00000")="89169", TEXT(TRIM(N932),"00000")="89118"), "South/Strip",
  OR(TEXT(TRIM(N932),"00000")="89074", TEXT(TRIM(N932),"00000")="89014", TEXT(TRIM(N932),"00000")="89015", TEXT(TRIM(N932),"00000")="89011", TEXT(TRIM(N932),"00000")="89012"), "Suburban SE",
  OR(TEXT(TRIM(N932),"00000")="89117", TEXT(TRIM(N932),"00000")="89128", TEXT(TRIM(N932),"00000")="89135", TEXT(TRIM(N932),"00000")="89144", TEXT(TRIM(N932),"00000")="89145", TEXT(TRIM(N932),"00000")="89147"), "West Valley",
  TRUE, "Other"
)</f>
        <v>Other</v>
      </c>
      <c r="P932" t="s">
        <v>38</v>
      </c>
      <c r="Q932" t="str">
        <f t="shared" si="58"/>
        <v>Home/Residence</v>
      </c>
      <c r="R932" t="s">
        <v>5055</v>
      </c>
      <c r="S932" t="s">
        <v>5119</v>
      </c>
      <c r="T932" t="str" cm="1">
        <f t="array" ref="T932">_xlfn.IFS(
  TEXT(TRIM(S932),"00000")="NULL", "Missing/Unknown",
  OR(TEXT(TRIM(S932),"00000")="89101", TEXT(TRIM(S932),"00000")="89104", TEXT(TRIM(S932),"00000")="89106", TEXT(TRIM(S932),"00000")="89102", TEXT(TRIM(S932),"00000")="89107", TEXT(TRIM(S932),"00000")="89108"), "Urban Core",
  OR(TEXT(TRIM(S932),"00000")="89110", TEXT(TRIM(S932),"00000")="89115", TEXT(TRIM(S932),"00000")="89121", TEXT(TRIM(S932),"00000")="89122", TEXT(TRIM(S932),"00000")="89142", TEXT(TRIM(S932),"00000")="89156"), "East Valley",
  OR(TEXT(TRIM(S932),"00000")="89030", TEXT(TRIM(S932),"00000")="89031", TEXT(TRIM(S932),"00000")="89032", TEXT(TRIM(S932),"00000")="89086", TEXT(TRIM(S932),"00000")="89084", TEXT(TRIM(S932),"00000")="89081"), "North LV",
  OR(TEXT(TRIM(S932),"00000")="89109", TEXT(TRIM(S932),"00000")="89103", TEXT(TRIM(S932),"00000")="89119", TEXT(TRIM(S932),"00000")="89123", TEXT(TRIM(S932),"00000")="89169", TEXT(TRIM(S932),"00000")="89118"), "South/Strip",
  OR(TEXT(TRIM(S932),"00000")="89074", TEXT(TRIM(S932),"00000")="89014", TEXT(TRIM(S932),"00000")="89015", TEXT(TRIM(S932),"00000")="89011", TEXT(TRIM(S932),"00000")="89012"), "Suburban SE",
  OR(TEXT(TRIM(S932),"00000")="89117", TEXT(TRIM(S932),"00000")="89128", TEXT(TRIM(S932),"00000")="89135", TEXT(TRIM(S932),"00000")="89144", TEXT(TRIM(S932),"00000")="89145", TEXT(TRIM(S932),"00000")="89147"), "West Valley",
  TRUE, "Other"
)</f>
        <v>Urban Core</v>
      </c>
      <c r="U932" t="s">
        <v>4301</v>
      </c>
      <c r="V932" t="str">
        <f t="shared" si="59"/>
        <v>Medical Facility</v>
      </c>
    </row>
    <row r="933" spans="1:22">
      <c r="A933" t="s">
        <v>1106</v>
      </c>
      <c r="B933" t="s">
        <v>1107</v>
      </c>
      <c r="C933" s="1">
        <v>44697</v>
      </c>
      <c r="D933" s="4">
        <v>100.04</v>
      </c>
      <c r="E933">
        <v>63</v>
      </c>
      <c r="F933" t="str">
        <f t="shared" si="56"/>
        <v>60's</v>
      </c>
      <c r="G933" t="str" cm="1">
        <f t="array" ref="G933">_xlfn.IFS(
  F933="10's", "Child (5–12)",
  OR(F933="20's", F933="30's"), "Young Adult (20–39)",
  OR(F933="40's", F933="50's"), "Adult (40–59)",
  OR(F933="60's", F933="70's", F933="80's", F933="90's"), "Senior (60+)",
  TRUE, "Unknown"
)</f>
        <v>Senior (60+)</v>
      </c>
      <c r="H933" t="s">
        <v>4310</v>
      </c>
      <c r="I933" t="s">
        <v>172</v>
      </c>
      <c r="J933" t="str">
        <f t="shared" si="57"/>
        <v>Methamphetamine-related</v>
      </c>
      <c r="K933" t="s">
        <v>97</v>
      </c>
      <c r="L933" t="s">
        <v>250</v>
      </c>
      <c r="M933" t="s">
        <v>4569</v>
      </c>
      <c r="N933" t="s">
        <v>5151</v>
      </c>
      <c r="O933" t="str" cm="1">
        <f t="array" ref="O933">_xlfn.IFS(
  TEXT(TRIM(N933),"00000")="NULL", "Missing/Unknown",
  OR(TEXT(TRIM(N933),"00000")="89101", TEXT(TRIM(N933),"00000")="89104", TEXT(TRIM(N933),"00000")="89106", TEXT(TRIM(N933),"00000")="89102", TEXT(TRIM(N933),"00000")="89107", TEXT(TRIM(N933),"00000")="89108"), "Urban Core",
  OR(TEXT(TRIM(N933),"00000")="89110", TEXT(TRIM(N933),"00000")="89115", TEXT(TRIM(N933),"00000")="89121", TEXT(TRIM(N933),"00000")="89122", TEXT(TRIM(N933),"00000")="89142", TEXT(TRIM(N933),"00000")="89156"), "East Valley",
  OR(TEXT(TRIM(N933),"00000")="89030", TEXT(TRIM(N933),"00000")="89031", TEXT(TRIM(N933),"00000")="89032", TEXT(TRIM(N933),"00000")="89086", TEXT(TRIM(N933),"00000")="89084", TEXT(TRIM(N933),"00000")="89081"), "North LV",
  OR(TEXT(TRIM(N933),"00000")="89109", TEXT(TRIM(N933),"00000")="89103", TEXT(TRIM(N933),"00000")="89119", TEXT(TRIM(N933),"00000")="89123", TEXT(TRIM(N933),"00000")="89169", TEXT(TRIM(N933),"00000")="89118"), "South/Strip",
  OR(TEXT(TRIM(N933),"00000")="89074", TEXT(TRIM(N933),"00000")="89014", TEXT(TRIM(N933),"00000")="89015", TEXT(TRIM(N933),"00000")="89011", TEXT(TRIM(N933),"00000")="89012"), "Suburban SE",
  OR(TEXT(TRIM(N933),"00000")="89117", TEXT(TRIM(N933),"00000")="89128", TEXT(TRIM(N933),"00000")="89135", TEXT(TRIM(N933),"00000")="89144", TEXT(TRIM(N933),"00000")="89145", TEXT(TRIM(N933),"00000")="89147"), "West Valley",
  TRUE, "Other"
)</f>
        <v>Other</v>
      </c>
      <c r="P933" t="s">
        <v>208</v>
      </c>
      <c r="Q933" t="str">
        <f t="shared" si="58"/>
        <v>Outdoors/Public</v>
      </c>
      <c r="R933" t="s">
        <v>5052</v>
      </c>
      <c r="S933" t="s">
        <v>5130</v>
      </c>
      <c r="T933" t="str" cm="1">
        <f t="array" ref="T933">_xlfn.IFS(
  TEXT(TRIM(S933),"00000")="NULL", "Missing/Unknown",
  OR(TEXT(TRIM(S933),"00000")="89101", TEXT(TRIM(S933),"00000")="89104", TEXT(TRIM(S933),"00000")="89106", TEXT(TRIM(S933),"00000")="89102", TEXT(TRIM(S933),"00000")="89107", TEXT(TRIM(S933),"00000")="89108"), "Urban Core",
  OR(TEXT(TRIM(S933),"00000")="89110", TEXT(TRIM(S933),"00000")="89115", TEXT(TRIM(S933),"00000")="89121", TEXT(TRIM(S933),"00000")="89122", TEXT(TRIM(S933),"00000")="89142", TEXT(TRIM(S933),"00000")="89156"), "East Valley",
  OR(TEXT(TRIM(S933),"00000")="89030", TEXT(TRIM(S933),"00000")="89031", TEXT(TRIM(S933),"00000")="89032", TEXT(TRIM(S933),"00000")="89086", TEXT(TRIM(S933),"00000")="89084", TEXT(TRIM(S933),"00000")="89081"), "North LV",
  OR(TEXT(TRIM(S933),"00000")="89109", TEXT(TRIM(S933),"00000")="89103", TEXT(TRIM(S933),"00000")="89119", TEXT(TRIM(S933),"00000")="89123", TEXT(TRIM(S933),"00000")="89169", TEXT(TRIM(S933),"00000")="89118"), "South/Strip",
  OR(TEXT(TRIM(S933),"00000")="89074", TEXT(TRIM(S933),"00000")="89014", TEXT(TRIM(S933),"00000")="89015", TEXT(TRIM(S933),"00000")="89011", TEXT(TRIM(S933),"00000")="89012"), "Suburban SE",
  OR(TEXT(TRIM(S933),"00000")="89117", TEXT(TRIM(S933),"00000")="89128", TEXT(TRIM(S933),"00000")="89135", TEXT(TRIM(S933),"00000")="89144", TEXT(TRIM(S933),"00000")="89145", TEXT(TRIM(S933),"00000")="89147"), "West Valley",
  TRUE, "Other"
)</f>
        <v>Other</v>
      </c>
      <c r="U933" t="s">
        <v>4301</v>
      </c>
      <c r="V933" t="str">
        <f t="shared" si="59"/>
        <v>Medical Facility</v>
      </c>
    </row>
    <row r="934" spans="1:22">
      <c r="A934" t="s">
        <v>1103</v>
      </c>
      <c r="B934" t="s">
        <v>1104</v>
      </c>
      <c r="C934" s="1">
        <v>44696</v>
      </c>
      <c r="D934" s="4">
        <v>98.06</v>
      </c>
      <c r="E934">
        <v>62</v>
      </c>
      <c r="F934" t="str">
        <f t="shared" si="56"/>
        <v>60's</v>
      </c>
      <c r="G934" t="str" cm="1">
        <f t="array" ref="G934">_xlfn.IFS(
  F934="10's", "Child (5–12)",
  OR(F934="20's", F934="30's"), "Young Adult (20–39)",
  OR(F934="40's", F934="50's"), "Adult (40–59)",
  OR(F934="60's", F934="70's", F934="80's", F934="90's"), "Senior (60+)",
  TRUE, "Unknown"
)</f>
        <v>Senior (60+)</v>
      </c>
      <c r="H934" t="s">
        <v>841</v>
      </c>
      <c r="I934" t="s">
        <v>468</v>
      </c>
      <c r="J934" t="str">
        <f t="shared" si="57"/>
        <v>Ethanol-related</v>
      </c>
      <c r="K934" t="s">
        <v>54</v>
      </c>
      <c r="L934" t="s">
        <v>1071</v>
      </c>
      <c r="M934" t="s">
        <v>4651</v>
      </c>
      <c r="N934" t="s">
        <v>5106</v>
      </c>
      <c r="O934" t="str" cm="1">
        <f t="array" ref="O934">_xlfn.IFS(
  TEXT(TRIM(N934),"00000")="NULL", "Missing/Unknown",
  OR(TEXT(TRIM(N934),"00000")="89101", TEXT(TRIM(N934),"00000")="89104", TEXT(TRIM(N934),"00000")="89106", TEXT(TRIM(N934),"00000")="89102", TEXT(TRIM(N934),"00000")="89107", TEXT(TRIM(N934),"00000")="89108"), "Urban Core",
  OR(TEXT(TRIM(N934),"00000")="89110", TEXT(TRIM(N934),"00000")="89115", TEXT(TRIM(N934),"00000")="89121", TEXT(TRIM(N934),"00000")="89122", TEXT(TRIM(N934),"00000")="89142", TEXT(TRIM(N934),"00000")="89156"), "East Valley",
  OR(TEXT(TRIM(N934),"00000")="89030", TEXT(TRIM(N934),"00000")="89031", TEXT(TRIM(N934),"00000")="89032", TEXT(TRIM(N934),"00000")="89086", TEXT(TRIM(N934),"00000")="89084", TEXT(TRIM(N934),"00000")="89081"), "North LV",
  OR(TEXT(TRIM(N934),"00000")="89109", TEXT(TRIM(N934),"00000")="89103", TEXT(TRIM(N934),"00000")="89119", TEXT(TRIM(N934),"00000")="89123", TEXT(TRIM(N934),"00000")="89169", TEXT(TRIM(N934),"00000")="89118"), "South/Strip",
  OR(TEXT(TRIM(N934),"00000")="89074", TEXT(TRIM(N934),"00000")="89014", TEXT(TRIM(N934),"00000")="89015", TEXT(TRIM(N934),"00000")="89011", TEXT(TRIM(N934),"00000")="89012"), "Suburban SE",
  OR(TEXT(TRIM(N934),"00000")="89117", TEXT(TRIM(N934),"00000")="89128", TEXT(TRIM(N934),"00000")="89135", TEXT(TRIM(N934),"00000")="89144", TEXT(TRIM(N934),"00000")="89145", TEXT(TRIM(N934),"00000")="89147"), "West Valley",
  TRUE, "Other"
)</f>
        <v>East Valley</v>
      </c>
      <c r="P934" t="s">
        <v>3298</v>
      </c>
      <c r="Q934" t="str">
        <f t="shared" si="58"/>
        <v>Outdoors/Public</v>
      </c>
      <c r="R934" t="s">
        <v>4651</v>
      </c>
      <c r="S934" t="s">
        <v>5106</v>
      </c>
      <c r="T934" t="str" cm="1">
        <f t="array" ref="T934">_xlfn.IFS(
  TEXT(TRIM(S934),"00000")="NULL", "Missing/Unknown",
  OR(TEXT(TRIM(S934),"00000")="89101", TEXT(TRIM(S934),"00000")="89104", TEXT(TRIM(S934),"00000")="89106", TEXT(TRIM(S934),"00000")="89102", TEXT(TRIM(S934),"00000")="89107", TEXT(TRIM(S934),"00000")="89108"), "Urban Core",
  OR(TEXT(TRIM(S934),"00000")="89110", TEXT(TRIM(S934),"00000")="89115", TEXT(TRIM(S934),"00000")="89121", TEXT(TRIM(S934),"00000")="89122", TEXT(TRIM(S934),"00000")="89142", TEXT(TRIM(S934),"00000")="89156"), "East Valley",
  OR(TEXT(TRIM(S934),"00000")="89030", TEXT(TRIM(S934),"00000")="89031", TEXT(TRIM(S934),"00000")="89032", TEXT(TRIM(S934),"00000")="89086", TEXT(TRIM(S934),"00000")="89084", TEXT(TRIM(S934),"00000")="89081"), "North LV",
  OR(TEXT(TRIM(S934),"00000")="89109", TEXT(TRIM(S934),"00000")="89103", TEXT(TRIM(S934),"00000")="89119", TEXT(TRIM(S934),"00000")="89123", TEXT(TRIM(S934),"00000")="89169", TEXT(TRIM(S934),"00000")="89118"), "South/Strip",
  OR(TEXT(TRIM(S934),"00000")="89074", TEXT(TRIM(S934),"00000")="89014", TEXT(TRIM(S934),"00000")="89015", TEXT(TRIM(S934),"00000")="89011", TEXT(TRIM(S934),"00000")="89012"), "Suburban SE",
  OR(TEXT(TRIM(S934),"00000")="89117", TEXT(TRIM(S934),"00000")="89128", TEXT(TRIM(S934),"00000")="89135", TEXT(TRIM(S934),"00000")="89144", TEXT(TRIM(S934),"00000")="89145", TEXT(TRIM(S934),"00000")="89147"), "West Valley",
  TRUE, "Other"
)</f>
        <v>East Valley</v>
      </c>
      <c r="U934" t="s">
        <v>3298</v>
      </c>
      <c r="V934" t="str">
        <f t="shared" si="59"/>
        <v>Outdoors/Public</v>
      </c>
    </row>
    <row r="935" spans="1:22">
      <c r="A935" t="s">
        <v>1098</v>
      </c>
      <c r="B935" t="s">
        <v>1099</v>
      </c>
      <c r="C935" s="1">
        <v>44597</v>
      </c>
      <c r="D935" s="4">
        <v>62.959999999999987</v>
      </c>
      <c r="E935">
        <v>51</v>
      </c>
      <c r="F935" t="str">
        <f t="shared" si="56"/>
        <v>50's</v>
      </c>
      <c r="G935" t="str" cm="1">
        <f t="array" ref="G935">_xlfn.IFS(
  F935="10's", "Child (5–12)",
  OR(F935="20's", F935="30's"), "Young Adult (20–39)",
  OR(F935="40's", F935="50's"), "Adult (40–59)",
  OR(F935="60's", F935="70's", F935="80's", F935="90's"), "Senior (60+)",
  TRUE, "Unknown"
)</f>
        <v>Adult (40–59)</v>
      </c>
      <c r="H935" t="s">
        <v>4310</v>
      </c>
      <c r="I935" t="s">
        <v>4110</v>
      </c>
      <c r="J935" t="str">
        <f t="shared" si="57"/>
        <v>Environmental Heat</v>
      </c>
      <c r="K935" t="s">
        <v>4266</v>
      </c>
      <c r="L935" t="s">
        <v>1071</v>
      </c>
      <c r="M935" t="s">
        <v>4499</v>
      </c>
      <c r="N935" t="s">
        <v>5128</v>
      </c>
      <c r="O935" t="str" cm="1">
        <f t="array" ref="O935">_xlfn.IFS(
  TEXT(TRIM(N935),"00000")="NULL", "Missing/Unknown",
  OR(TEXT(TRIM(N935),"00000")="89101", TEXT(TRIM(N935),"00000")="89104", TEXT(TRIM(N935),"00000")="89106", TEXT(TRIM(N935),"00000")="89102", TEXT(TRIM(N935),"00000")="89107", TEXT(TRIM(N935),"00000")="89108"), "Urban Core",
  OR(TEXT(TRIM(N935),"00000")="89110", TEXT(TRIM(N935),"00000")="89115", TEXT(TRIM(N935),"00000")="89121", TEXT(TRIM(N935),"00000")="89122", TEXT(TRIM(N935),"00000")="89142", TEXT(TRIM(N935),"00000")="89156"), "East Valley",
  OR(TEXT(TRIM(N935),"00000")="89030", TEXT(TRIM(N935),"00000")="89031", TEXT(TRIM(N935),"00000")="89032", TEXT(TRIM(N935),"00000")="89086", TEXT(TRIM(N935),"00000")="89084", TEXT(TRIM(N935),"00000")="89081"), "North LV",
  OR(TEXT(TRIM(N935),"00000")="89109", TEXT(TRIM(N935),"00000")="89103", TEXT(TRIM(N935),"00000")="89119", TEXT(TRIM(N935),"00000")="89123", TEXT(TRIM(N935),"00000")="89169", TEXT(TRIM(N935),"00000")="89118"), "South/Strip",
  OR(TEXT(TRIM(N935),"00000")="89074", TEXT(TRIM(N935),"00000")="89014", TEXT(TRIM(N935),"00000")="89015", TEXT(TRIM(N935),"00000")="89011", TEXT(TRIM(N935),"00000")="89012"), "Suburban SE",
  OR(TEXT(TRIM(N935),"00000")="89117", TEXT(TRIM(N935),"00000")="89128", TEXT(TRIM(N935),"00000")="89135", TEXT(TRIM(N935),"00000")="89144", TEXT(TRIM(N935),"00000")="89145", TEXT(TRIM(N935),"00000")="89147"), "West Valley",
  TRUE, "Other"
)</f>
        <v>East Valley</v>
      </c>
      <c r="P935" t="s">
        <v>38</v>
      </c>
      <c r="Q935" t="str">
        <f t="shared" si="58"/>
        <v>Home/Residence</v>
      </c>
      <c r="R935" t="s">
        <v>5058</v>
      </c>
      <c r="S935" t="s">
        <v>5123</v>
      </c>
      <c r="T935" t="str" cm="1">
        <f t="array" ref="T935">_xlfn.IFS(
  TEXT(TRIM(S935),"00000")="NULL", "Missing/Unknown",
  OR(TEXT(TRIM(S935),"00000")="89101", TEXT(TRIM(S935),"00000")="89104", TEXT(TRIM(S935),"00000")="89106", TEXT(TRIM(S935),"00000")="89102", TEXT(TRIM(S935),"00000")="89107", TEXT(TRIM(S935),"00000")="89108"), "Urban Core",
  OR(TEXT(TRIM(S935),"00000")="89110", TEXT(TRIM(S935),"00000")="89115", TEXT(TRIM(S935),"00000")="89121", TEXT(TRIM(S935),"00000")="89122", TEXT(TRIM(S935),"00000")="89142", TEXT(TRIM(S935),"00000")="89156"), "East Valley",
  OR(TEXT(TRIM(S935),"00000")="89030", TEXT(TRIM(S935),"00000")="89031", TEXT(TRIM(S935),"00000")="89032", TEXT(TRIM(S935),"00000")="89086", TEXT(TRIM(S935),"00000")="89084", TEXT(TRIM(S935),"00000")="89081"), "North LV",
  OR(TEXT(TRIM(S935),"00000")="89109", TEXT(TRIM(S935),"00000")="89103", TEXT(TRIM(S935),"00000")="89119", TEXT(TRIM(S935),"00000")="89123", TEXT(TRIM(S935),"00000")="89169", TEXT(TRIM(S935),"00000")="89118"), "South/Strip",
  OR(TEXT(TRIM(S935),"00000")="89074", TEXT(TRIM(S935),"00000")="89014", TEXT(TRIM(S935),"00000")="89015", TEXT(TRIM(S935),"00000")="89011", TEXT(TRIM(S935),"00000")="89012"), "Suburban SE",
  OR(TEXT(TRIM(S935),"00000")="89117", TEXT(TRIM(S935),"00000")="89128", TEXT(TRIM(S935),"00000")="89135", TEXT(TRIM(S935),"00000")="89144", TEXT(TRIM(S935),"00000")="89145", TEXT(TRIM(S935),"00000")="89147"), "West Valley",
  TRUE, "Other"
)</f>
        <v>South/Strip</v>
      </c>
      <c r="U935" t="s">
        <v>109</v>
      </c>
      <c r="V935" t="str">
        <f t="shared" si="59"/>
        <v>Other / Unknown</v>
      </c>
    </row>
    <row r="936" spans="1:22">
      <c r="A936" t="s">
        <v>2398</v>
      </c>
      <c r="B936" t="s">
        <v>2399</v>
      </c>
      <c r="C936" s="1">
        <v>44461</v>
      </c>
      <c r="D936" s="4">
        <v>98.960000000000008</v>
      </c>
      <c r="E936">
        <v>77</v>
      </c>
      <c r="F936" t="str">
        <f t="shared" si="56"/>
        <v>70's</v>
      </c>
      <c r="G936" t="str" cm="1">
        <f t="array" ref="G936">_xlfn.IFS(
  F936="10's", "Child (5–12)",
  OR(F936="20's", F936="30's"), "Young Adult (20–39)",
  OR(F936="40's", F936="50's"), "Adult (40–59)",
  OR(F936="60's", F936="70's", F936="80's", F936="90's"), "Senior (60+)",
  TRUE, "Unknown"
)</f>
        <v>Senior (60+)</v>
      </c>
      <c r="H936" t="s">
        <v>841</v>
      </c>
      <c r="I936" t="s">
        <v>63</v>
      </c>
      <c r="J936" t="str">
        <f t="shared" si="57"/>
        <v>Cardiovascular Disease</v>
      </c>
      <c r="K936" t="s">
        <v>4216</v>
      </c>
      <c r="L936" t="s">
        <v>1071</v>
      </c>
      <c r="M936" t="s">
        <v>4652</v>
      </c>
      <c r="N936" t="s">
        <v>5150</v>
      </c>
      <c r="O936" t="str" cm="1">
        <f t="array" ref="O936">_xlfn.IFS(
  TEXT(TRIM(N936),"00000")="NULL", "Missing/Unknown",
  OR(TEXT(TRIM(N936),"00000")="89101", TEXT(TRIM(N936),"00000")="89104", TEXT(TRIM(N936),"00000")="89106", TEXT(TRIM(N936),"00000")="89102", TEXT(TRIM(N936),"00000")="89107", TEXT(TRIM(N936),"00000")="89108"), "Urban Core",
  OR(TEXT(TRIM(N936),"00000")="89110", TEXT(TRIM(N936),"00000")="89115", TEXT(TRIM(N936),"00000")="89121", TEXT(TRIM(N936),"00000")="89122", TEXT(TRIM(N936),"00000")="89142", TEXT(TRIM(N936),"00000")="89156"), "East Valley",
  OR(TEXT(TRIM(N936),"00000")="89030", TEXT(TRIM(N936),"00000")="89031", TEXT(TRIM(N936),"00000")="89032", TEXT(TRIM(N936),"00000")="89086", TEXT(TRIM(N936),"00000")="89084", TEXT(TRIM(N936),"00000")="89081"), "North LV",
  OR(TEXT(TRIM(N936),"00000")="89109", TEXT(TRIM(N936),"00000")="89103", TEXT(TRIM(N936),"00000")="89119", TEXT(TRIM(N936),"00000")="89123", TEXT(TRIM(N936),"00000")="89169", TEXT(TRIM(N936),"00000")="89118"), "South/Strip",
  OR(TEXT(TRIM(N936),"00000")="89074", TEXT(TRIM(N936),"00000")="89014", TEXT(TRIM(N936),"00000")="89015", TEXT(TRIM(N936),"00000")="89011", TEXT(TRIM(N936),"00000")="89012"), "Suburban SE",
  OR(TEXT(TRIM(N936),"00000")="89117", TEXT(TRIM(N936),"00000")="89128", TEXT(TRIM(N936),"00000")="89135", TEXT(TRIM(N936),"00000")="89144", TEXT(TRIM(N936),"00000")="89145", TEXT(TRIM(N936),"00000")="89147"), "West Valley",
  TRUE, "Other"
)</f>
        <v>Other</v>
      </c>
      <c r="P936" t="s">
        <v>3298</v>
      </c>
      <c r="Q936" t="str">
        <f t="shared" si="58"/>
        <v>Outdoors/Public</v>
      </c>
      <c r="R936" t="s">
        <v>4652</v>
      </c>
      <c r="S936" t="s">
        <v>5150</v>
      </c>
      <c r="T936" t="str" cm="1">
        <f t="array" ref="T936">_xlfn.IFS(
  TEXT(TRIM(S936),"00000")="NULL", "Missing/Unknown",
  OR(TEXT(TRIM(S936),"00000")="89101", TEXT(TRIM(S936),"00000")="89104", TEXT(TRIM(S936),"00000")="89106", TEXT(TRIM(S936),"00000")="89102", TEXT(TRIM(S936),"00000")="89107", TEXT(TRIM(S936),"00000")="89108"), "Urban Core",
  OR(TEXT(TRIM(S936),"00000")="89110", TEXT(TRIM(S936),"00000")="89115", TEXT(TRIM(S936),"00000")="89121", TEXT(TRIM(S936),"00000")="89122", TEXT(TRIM(S936),"00000")="89142", TEXT(TRIM(S936),"00000")="89156"), "East Valley",
  OR(TEXT(TRIM(S936),"00000")="89030", TEXT(TRIM(S936),"00000")="89031", TEXT(TRIM(S936),"00000")="89032", TEXT(TRIM(S936),"00000")="89086", TEXT(TRIM(S936),"00000")="89084", TEXT(TRIM(S936),"00000")="89081"), "North LV",
  OR(TEXT(TRIM(S936),"00000")="89109", TEXT(TRIM(S936),"00000")="89103", TEXT(TRIM(S936),"00000")="89119", TEXT(TRIM(S936),"00000")="89123", TEXT(TRIM(S936),"00000")="89169", TEXT(TRIM(S936),"00000")="89118"), "South/Strip",
  OR(TEXT(TRIM(S936),"00000")="89074", TEXT(TRIM(S936),"00000")="89014", TEXT(TRIM(S936),"00000")="89015", TEXT(TRIM(S936),"00000")="89011", TEXT(TRIM(S936),"00000")="89012"), "Suburban SE",
  OR(TEXT(TRIM(S936),"00000")="89117", TEXT(TRIM(S936),"00000")="89128", TEXT(TRIM(S936),"00000")="89135", TEXT(TRIM(S936),"00000")="89144", TEXT(TRIM(S936),"00000")="89145", TEXT(TRIM(S936),"00000")="89147"), "West Valley",
  TRUE, "Other"
)</f>
        <v>Other</v>
      </c>
      <c r="U936" t="s">
        <v>3298</v>
      </c>
      <c r="V936" t="str">
        <f t="shared" si="59"/>
        <v>Outdoors/Public</v>
      </c>
    </row>
    <row r="937" spans="1:22">
      <c r="A937" t="s">
        <v>2392</v>
      </c>
      <c r="B937" t="s">
        <v>2393</v>
      </c>
      <c r="C937" s="1">
        <v>44454</v>
      </c>
      <c r="D937" s="4">
        <v>100.94</v>
      </c>
      <c r="E937">
        <v>30</v>
      </c>
      <c r="F937" t="str">
        <f t="shared" si="56"/>
        <v>30's</v>
      </c>
      <c r="G937" t="str" cm="1">
        <f t="array" ref="G937">_xlfn.IFS(
  F937="10's", "Child (5–12)",
  OR(F937="20's", F937="30's"), "Young Adult (20–39)",
  OR(F937="40's", F937="50's"), "Adult (40–59)",
  OR(F937="60's", F937="70's", F937="80's", F937="90's"), "Senior (60+)",
  TRUE, "Unknown"
)</f>
        <v>Young Adult (20–39)</v>
      </c>
      <c r="H937" t="s">
        <v>778</v>
      </c>
      <c r="I937" t="s">
        <v>1730</v>
      </c>
      <c r="J937" t="str">
        <f t="shared" si="57"/>
        <v>Environmental Heat</v>
      </c>
      <c r="K937" t="s">
        <v>2394</v>
      </c>
      <c r="L937" t="s">
        <v>250</v>
      </c>
      <c r="N937" t="s">
        <v>5095</v>
      </c>
      <c r="O937" t="str" cm="1">
        <f t="array" ref="O937">_xlfn.IFS(
  TEXT(TRIM(N937),"00000")="NULL", "Missing/Unknown",
  OR(TEXT(TRIM(N937),"00000")="89101", TEXT(TRIM(N937),"00000")="89104", TEXT(TRIM(N937),"00000")="89106", TEXT(TRIM(N937),"00000")="89102", TEXT(TRIM(N937),"00000")="89107", TEXT(TRIM(N937),"00000")="89108"), "Urban Core",
  OR(TEXT(TRIM(N937),"00000")="89110", TEXT(TRIM(N937),"00000")="89115", TEXT(TRIM(N937),"00000")="89121", TEXT(TRIM(N937),"00000")="89122", TEXT(TRIM(N937),"00000")="89142", TEXT(TRIM(N937),"00000")="89156"), "East Valley",
  OR(TEXT(TRIM(N937),"00000")="89030", TEXT(TRIM(N937),"00000")="89031", TEXT(TRIM(N937),"00000")="89032", TEXT(TRIM(N937),"00000")="89086", TEXT(TRIM(N937),"00000")="89084", TEXT(TRIM(N937),"00000")="89081"), "North LV",
  OR(TEXT(TRIM(N937),"00000")="89109", TEXT(TRIM(N937),"00000")="89103", TEXT(TRIM(N937),"00000")="89119", TEXT(TRIM(N937),"00000")="89123", TEXT(TRIM(N937),"00000")="89169", TEXT(TRIM(N937),"00000")="89118"), "South/Strip",
  OR(TEXT(TRIM(N937),"00000")="89074", TEXT(TRIM(N937),"00000")="89014", TEXT(TRIM(N937),"00000")="89015", TEXT(TRIM(N937),"00000")="89011", TEXT(TRIM(N937),"00000")="89012"), "Suburban SE",
  OR(TEXT(TRIM(N937),"00000")="89117", TEXT(TRIM(N937),"00000")="89128", TEXT(TRIM(N937),"00000")="89135", TEXT(TRIM(N937),"00000")="89144", TEXT(TRIM(N937),"00000")="89145", TEXT(TRIM(N937),"00000")="89147"), "West Valley",
  TRUE, "Other"
)</f>
        <v>Missing/Unknown</v>
      </c>
      <c r="P937" t="s">
        <v>38</v>
      </c>
      <c r="Q937" t="str">
        <f t="shared" si="58"/>
        <v>Home/Residence</v>
      </c>
      <c r="R937" t="s">
        <v>4341</v>
      </c>
      <c r="S937" t="s">
        <v>5100</v>
      </c>
      <c r="T937" t="str" cm="1">
        <f t="array" ref="T937">_xlfn.IFS(
  TEXT(TRIM(S937),"00000")="NULL", "Missing/Unknown",
  OR(TEXT(TRIM(S937),"00000")="89101", TEXT(TRIM(S937),"00000")="89104", TEXT(TRIM(S937),"00000")="89106", TEXT(TRIM(S937),"00000")="89102", TEXT(TRIM(S937),"00000")="89107", TEXT(TRIM(S937),"00000")="89108"), "Urban Core",
  OR(TEXT(TRIM(S937),"00000")="89110", TEXT(TRIM(S937),"00000")="89115", TEXT(TRIM(S937),"00000")="89121", TEXT(TRIM(S937),"00000")="89122", TEXT(TRIM(S937),"00000")="89142", TEXT(TRIM(S937),"00000")="89156"), "East Valley",
  OR(TEXT(TRIM(S937),"00000")="89030", TEXT(TRIM(S937),"00000")="89031", TEXT(TRIM(S937),"00000")="89032", TEXT(TRIM(S937),"00000")="89086", TEXT(TRIM(S937),"00000")="89084", TEXT(TRIM(S937),"00000")="89081"), "North LV",
  OR(TEXT(TRIM(S937),"00000")="89109", TEXT(TRIM(S937),"00000")="89103", TEXT(TRIM(S937),"00000")="89119", TEXT(TRIM(S937),"00000")="89123", TEXT(TRIM(S937),"00000")="89169", TEXT(TRIM(S937),"00000")="89118"), "South/Strip",
  OR(TEXT(TRIM(S937),"00000")="89074", TEXT(TRIM(S937),"00000")="89014", TEXT(TRIM(S937),"00000")="89015", TEXT(TRIM(S937),"00000")="89011", TEXT(TRIM(S937),"00000")="89012"), "Suburban SE",
  OR(TEXT(TRIM(S937),"00000")="89117", TEXT(TRIM(S937),"00000")="89128", TEXT(TRIM(S937),"00000")="89135", TEXT(TRIM(S937),"00000")="89144", TEXT(TRIM(S937),"00000")="89145", TEXT(TRIM(S937),"00000")="89147"), "West Valley",
  TRUE, "Other"
)</f>
        <v>North LV</v>
      </c>
      <c r="U937" t="s">
        <v>4305</v>
      </c>
      <c r="V937" t="str">
        <f t="shared" si="59"/>
        <v>Medical Facility</v>
      </c>
    </row>
    <row r="938" spans="1:22">
      <c r="A938" t="s">
        <v>2389</v>
      </c>
      <c r="B938" t="s">
        <v>2390</v>
      </c>
      <c r="C938" s="1">
        <v>44453</v>
      </c>
      <c r="D938" s="4">
        <v>102.02</v>
      </c>
      <c r="E938">
        <v>53</v>
      </c>
      <c r="F938" t="str">
        <f t="shared" si="56"/>
        <v>50's</v>
      </c>
      <c r="G938" t="str" cm="1">
        <f t="array" ref="G938">_xlfn.IFS(
  F938="10's", "Child (5–12)",
  OR(F938="20's", F938="30's"), "Young Adult (20–39)",
  OR(F938="40's", F938="50's"), "Adult (40–59)",
  OR(F938="60's", F938="70's", F938="80's", F938="90's"), "Senior (60+)",
  TRUE, "Unknown"
)</f>
        <v>Adult (40–59)</v>
      </c>
      <c r="H938" t="s">
        <v>841</v>
      </c>
      <c r="I938" t="s">
        <v>135</v>
      </c>
      <c r="J938" t="str">
        <f t="shared" si="57"/>
        <v>Methamphetamine-related</v>
      </c>
      <c r="K938" t="s">
        <v>1362</v>
      </c>
      <c r="L938" t="s">
        <v>1071</v>
      </c>
      <c r="M938" t="s">
        <v>4715</v>
      </c>
      <c r="N938" t="s">
        <v>5125</v>
      </c>
      <c r="O938" t="str" cm="1">
        <f t="array" ref="O938">_xlfn.IFS(
  TEXT(TRIM(N938),"00000")="NULL", "Missing/Unknown",
  OR(TEXT(TRIM(N938),"00000")="89101", TEXT(TRIM(N938),"00000")="89104", TEXT(TRIM(N938),"00000")="89106", TEXT(TRIM(N938),"00000")="89102", TEXT(TRIM(N938),"00000")="89107", TEXT(TRIM(N938),"00000")="89108"), "Urban Core",
  OR(TEXT(TRIM(N938),"00000")="89110", TEXT(TRIM(N938),"00000")="89115", TEXT(TRIM(N938),"00000")="89121", TEXT(TRIM(N938),"00000")="89122", TEXT(TRIM(N938),"00000")="89142", TEXT(TRIM(N938),"00000")="89156"), "East Valley",
  OR(TEXT(TRIM(N938),"00000")="89030", TEXT(TRIM(N938),"00000")="89031", TEXT(TRIM(N938),"00000")="89032", TEXT(TRIM(N938),"00000")="89086", TEXT(TRIM(N938),"00000")="89084", TEXT(TRIM(N938),"00000")="89081"), "North LV",
  OR(TEXT(TRIM(N938),"00000")="89109", TEXT(TRIM(N938),"00000")="89103", TEXT(TRIM(N938),"00000")="89119", TEXT(TRIM(N938),"00000")="89123", TEXT(TRIM(N938),"00000")="89169", TEXT(TRIM(N938),"00000")="89118"), "South/Strip",
  OR(TEXT(TRIM(N938),"00000")="89074", TEXT(TRIM(N938),"00000")="89014", TEXT(TRIM(N938),"00000")="89015", TEXT(TRIM(N938),"00000")="89011", TEXT(TRIM(N938),"00000")="89012"), "Suburban SE",
  OR(TEXT(TRIM(N938),"00000")="89117", TEXT(TRIM(N938),"00000")="89128", TEXT(TRIM(N938),"00000")="89135", TEXT(TRIM(N938),"00000")="89144", TEXT(TRIM(N938),"00000")="89145", TEXT(TRIM(N938),"00000")="89147"), "West Valley",
  TRUE, "Other"
)</f>
        <v>South/Strip</v>
      </c>
      <c r="P938" t="s">
        <v>38</v>
      </c>
      <c r="Q938" t="str">
        <f t="shared" si="58"/>
        <v>Home/Residence</v>
      </c>
      <c r="R938" t="s">
        <v>4715</v>
      </c>
      <c r="S938" t="s">
        <v>5125</v>
      </c>
      <c r="T938" t="str" cm="1">
        <f t="array" ref="T938">_xlfn.IFS(
  TEXT(TRIM(S938),"00000")="NULL", "Missing/Unknown",
  OR(TEXT(TRIM(S938),"00000")="89101", TEXT(TRIM(S938),"00000")="89104", TEXT(TRIM(S938),"00000")="89106", TEXT(TRIM(S938),"00000")="89102", TEXT(TRIM(S938),"00000")="89107", TEXT(TRIM(S938),"00000")="89108"), "Urban Core",
  OR(TEXT(TRIM(S938),"00000")="89110", TEXT(TRIM(S938),"00000")="89115", TEXT(TRIM(S938),"00000")="89121", TEXT(TRIM(S938),"00000")="89122", TEXT(TRIM(S938),"00000")="89142", TEXT(TRIM(S938),"00000")="89156"), "East Valley",
  OR(TEXT(TRIM(S938),"00000")="89030", TEXT(TRIM(S938),"00000")="89031", TEXT(TRIM(S938),"00000")="89032", TEXT(TRIM(S938),"00000")="89086", TEXT(TRIM(S938),"00000")="89084", TEXT(TRIM(S938),"00000")="89081"), "North LV",
  OR(TEXT(TRIM(S938),"00000")="89109", TEXT(TRIM(S938),"00000")="89103", TEXT(TRIM(S938),"00000")="89119", TEXT(TRIM(S938),"00000")="89123", TEXT(TRIM(S938),"00000")="89169", TEXT(TRIM(S938),"00000")="89118"), "South/Strip",
  OR(TEXT(TRIM(S938),"00000")="89074", TEXT(TRIM(S938),"00000")="89014", TEXT(TRIM(S938),"00000")="89015", TEXT(TRIM(S938),"00000")="89011", TEXT(TRIM(S938),"00000")="89012"), "Suburban SE",
  OR(TEXT(TRIM(S938),"00000")="89117", TEXT(TRIM(S938),"00000")="89128", TEXT(TRIM(S938),"00000")="89135", TEXT(TRIM(S938),"00000")="89144", TEXT(TRIM(S938),"00000")="89145", TEXT(TRIM(S938),"00000")="89147"), "West Valley",
  TRUE, "Other"
)</f>
        <v>South/Strip</v>
      </c>
      <c r="U938" t="s">
        <v>3298</v>
      </c>
      <c r="V938" t="str">
        <f t="shared" si="59"/>
        <v>Outdoors/Public</v>
      </c>
    </row>
    <row r="939" spans="1:22">
      <c r="A939" t="s">
        <v>2395</v>
      </c>
      <c r="B939" t="s">
        <v>2396</v>
      </c>
      <c r="C939" s="1">
        <v>44451</v>
      </c>
      <c r="D939" s="4">
        <v>105.08</v>
      </c>
      <c r="E939">
        <v>99</v>
      </c>
      <c r="F939" t="str">
        <f t="shared" si="56"/>
        <v>90's</v>
      </c>
      <c r="G939" t="str" cm="1">
        <f t="array" ref="G939">_xlfn.IFS(
  F939="10's", "Child (5–12)",
  OR(F939="20's", F939="30's"), "Young Adult (20–39)",
  OR(F939="40's", F939="50's"), "Adult (40–59)",
  OR(F939="60's", F939="70's", F939="80's", F939="90's"), "Senior (60+)",
  TRUE, "Unknown"
)</f>
        <v>Senior (60+)</v>
      </c>
      <c r="H939" t="s">
        <v>841</v>
      </c>
      <c r="I939" t="s">
        <v>4022</v>
      </c>
      <c r="J939" t="str">
        <f t="shared" si="57"/>
        <v>Environmental Heat</v>
      </c>
      <c r="K939" t="s">
        <v>54</v>
      </c>
      <c r="L939" t="s">
        <v>1071</v>
      </c>
      <c r="M939" t="s">
        <v>4498</v>
      </c>
      <c r="N939" t="s">
        <v>5105</v>
      </c>
      <c r="O939" t="str" cm="1">
        <f t="array" ref="O939">_xlfn.IFS(
  TEXT(TRIM(N939),"00000")="NULL", "Missing/Unknown",
  OR(TEXT(TRIM(N939),"00000")="89101", TEXT(TRIM(N939),"00000")="89104", TEXT(TRIM(N939),"00000")="89106", TEXT(TRIM(N939),"00000")="89102", TEXT(TRIM(N939),"00000")="89107", TEXT(TRIM(N939),"00000")="89108"), "Urban Core",
  OR(TEXT(TRIM(N939),"00000")="89110", TEXT(TRIM(N939),"00000")="89115", TEXT(TRIM(N939),"00000")="89121", TEXT(TRIM(N939),"00000")="89122", TEXT(TRIM(N939),"00000")="89142", TEXT(TRIM(N939),"00000")="89156"), "East Valley",
  OR(TEXT(TRIM(N939),"00000")="89030", TEXT(TRIM(N939),"00000")="89031", TEXT(TRIM(N939),"00000")="89032", TEXT(TRIM(N939),"00000")="89086", TEXT(TRIM(N939),"00000")="89084", TEXT(TRIM(N939),"00000")="89081"), "North LV",
  OR(TEXT(TRIM(N939),"00000")="89109", TEXT(TRIM(N939),"00000")="89103", TEXT(TRIM(N939),"00000")="89119", TEXT(TRIM(N939),"00000")="89123", TEXT(TRIM(N939),"00000")="89169", TEXT(TRIM(N939),"00000")="89118"), "South/Strip",
  OR(TEXT(TRIM(N939),"00000")="89074", TEXT(TRIM(N939),"00000")="89014", TEXT(TRIM(N939),"00000")="89015", TEXT(TRIM(N939),"00000")="89011", TEXT(TRIM(N939),"00000")="89012"), "Suburban SE",
  OR(TEXT(TRIM(N939),"00000")="89117", TEXT(TRIM(N939),"00000")="89128", TEXT(TRIM(N939),"00000")="89135", TEXT(TRIM(N939),"00000")="89144", TEXT(TRIM(N939),"00000")="89145", TEXT(TRIM(N939),"00000")="89147"), "West Valley",
  TRUE, "Other"
)</f>
        <v>East Valley</v>
      </c>
      <c r="P939" t="s">
        <v>38</v>
      </c>
      <c r="Q939" t="str">
        <f t="shared" si="58"/>
        <v>Home/Residence</v>
      </c>
      <c r="R939" t="s">
        <v>5058</v>
      </c>
      <c r="S939" t="s">
        <v>5123</v>
      </c>
      <c r="T939" t="str" cm="1">
        <f t="array" ref="T939">_xlfn.IFS(
  TEXT(TRIM(S939),"00000")="NULL", "Missing/Unknown",
  OR(TEXT(TRIM(S939),"00000")="89101", TEXT(TRIM(S939),"00000")="89104", TEXT(TRIM(S939),"00000")="89106", TEXT(TRIM(S939),"00000")="89102", TEXT(TRIM(S939),"00000")="89107", TEXT(TRIM(S939),"00000")="89108"), "Urban Core",
  OR(TEXT(TRIM(S939),"00000")="89110", TEXT(TRIM(S939),"00000")="89115", TEXT(TRIM(S939),"00000")="89121", TEXT(TRIM(S939),"00000")="89122", TEXT(TRIM(S939),"00000")="89142", TEXT(TRIM(S939),"00000")="89156"), "East Valley",
  OR(TEXT(TRIM(S939),"00000")="89030", TEXT(TRIM(S939),"00000")="89031", TEXT(TRIM(S939),"00000")="89032", TEXT(TRIM(S939),"00000")="89086", TEXT(TRIM(S939),"00000")="89084", TEXT(TRIM(S939),"00000")="89081"), "North LV",
  OR(TEXT(TRIM(S939),"00000")="89109", TEXT(TRIM(S939),"00000")="89103", TEXT(TRIM(S939),"00000")="89119", TEXT(TRIM(S939),"00000")="89123", TEXT(TRIM(S939),"00000")="89169", TEXT(TRIM(S939),"00000")="89118"), "South/Strip",
  OR(TEXT(TRIM(S939),"00000")="89074", TEXT(TRIM(S939),"00000")="89014", TEXT(TRIM(S939),"00000")="89015", TEXT(TRIM(S939),"00000")="89011", TEXT(TRIM(S939),"00000")="89012"), "Suburban SE",
  OR(TEXT(TRIM(S939),"00000")="89117", TEXT(TRIM(S939),"00000")="89128", TEXT(TRIM(S939),"00000")="89135", TEXT(TRIM(S939),"00000")="89144", TEXT(TRIM(S939),"00000")="89145", TEXT(TRIM(S939),"00000")="89147"), "West Valley",
  TRUE, "Other"
)</f>
        <v>South/Strip</v>
      </c>
      <c r="U939" t="s">
        <v>109</v>
      </c>
      <c r="V939" t="str">
        <f t="shared" si="59"/>
        <v>Other / Unknown</v>
      </c>
    </row>
    <row r="940" spans="1:22">
      <c r="A940" t="s">
        <v>2385</v>
      </c>
      <c r="B940" t="s">
        <v>2386</v>
      </c>
      <c r="C940" s="1">
        <v>44449</v>
      </c>
      <c r="D940" s="4">
        <v>100.04</v>
      </c>
      <c r="E940">
        <v>67</v>
      </c>
      <c r="F940" t="str">
        <f t="shared" si="56"/>
        <v>60's</v>
      </c>
      <c r="G940" t="str" cm="1">
        <f t="array" ref="G940">_xlfn.IFS(
  F940="10's", "Child (5–12)",
  OR(F940="20's", F940="30's"), "Young Adult (20–39)",
  OR(F940="40's", F940="50's"), "Adult (40–59)",
  OR(F940="60's", F940="70's", F940="80's", F940="90's"), "Senior (60+)",
  TRUE, "Unknown"
)</f>
        <v>Senior (60+)</v>
      </c>
      <c r="H940" t="s">
        <v>841</v>
      </c>
      <c r="I940" t="s">
        <v>54</v>
      </c>
      <c r="J940" t="str">
        <f t="shared" si="57"/>
        <v>Environmental Heat</v>
      </c>
      <c r="K940" t="s">
        <v>2387</v>
      </c>
      <c r="L940" t="s">
        <v>1071</v>
      </c>
      <c r="M940" t="s">
        <v>4454</v>
      </c>
      <c r="N940" t="s">
        <v>5108</v>
      </c>
      <c r="O940" t="str" cm="1">
        <f t="array" ref="O940">_xlfn.IFS(
  TEXT(TRIM(N940),"00000")="NULL", "Missing/Unknown",
  OR(TEXT(TRIM(N940),"00000")="89101", TEXT(TRIM(N940),"00000")="89104", TEXT(TRIM(N940),"00000")="89106", TEXT(TRIM(N940),"00000")="89102", TEXT(TRIM(N940),"00000")="89107", TEXT(TRIM(N940),"00000")="89108"), "Urban Core",
  OR(TEXT(TRIM(N940),"00000")="89110", TEXT(TRIM(N940),"00000")="89115", TEXT(TRIM(N940),"00000")="89121", TEXT(TRIM(N940),"00000")="89122", TEXT(TRIM(N940),"00000")="89142", TEXT(TRIM(N940),"00000")="89156"), "East Valley",
  OR(TEXT(TRIM(N940),"00000")="89030", TEXT(TRIM(N940),"00000")="89031", TEXT(TRIM(N940),"00000")="89032", TEXT(TRIM(N940),"00000")="89086", TEXT(TRIM(N940),"00000")="89084", TEXT(TRIM(N940),"00000")="89081"), "North LV",
  OR(TEXT(TRIM(N940),"00000")="89109", TEXT(TRIM(N940),"00000")="89103", TEXT(TRIM(N940),"00000")="89119", TEXT(TRIM(N940),"00000")="89123", TEXT(TRIM(N940),"00000")="89169", TEXT(TRIM(N940),"00000")="89118"), "South/Strip",
  OR(TEXT(TRIM(N940),"00000")="89074", TEXT(TRIM(N940),"00000")="89014", TEXT(TRIM(N940),"00000")="89015", TEXT(TRIM(N940),"00000")="89011", TEXT(TRIM(N940),"00000")="89012"), "Suburban SE",
  OR(TEXT(TRIM(N940),"00000")="89117", TEXT(TRIM(N940),"00000")="89128", TEXT(TRIM(N940),"00000")="89135", TEXT(TRIM(N940),"00000")="89144", TEXT(TRIM(N940),"00000")="89145", TEXT(TRIM(N940),"00000")="89147"), "West Valley",
  TRUE, "Other"
)</f>
        <v>East Valley</v>
      </c>
      <c r="P940" t="s">
        <v>38</v>
      </c>
      <c r="Q940" t="str">
        <f t="shared" si="58"/>
        <v>Home/Residence</v>
      </c>
      <c r="R940" t="s">
        <v>4454</v>
      </c>
      <c r="S940" t="s">
        <v>5108</v>
      </c>
      <c r="T940" t="str" cm="1">
        <f t="array" ref="T940">_xlfn.IFS(
  TEXT(TRIM(S940),"00000")="NULL", "Missing/Unknown",
  OR(TEXT(TRIM(S940),"00000")="89101", TEXT(TRIM(S940),"00000")="89104", TEXT(TRIM(S940),"00000")="89106", TEXT(TRIM(S940),"00000")="89102", TEXT(TRIM(S940),"00000")="89107", TEXT(TRIM(S940),"00000")="89108"), "Urban Core",
  OR(TEXT(TRIM(S940),"00000")="89110", TEXT(TRIM(S940),"00000")="89115", TEXT(TRIM(S940),"00000")="89121", TEXT(TRIM(S940),"00000")="89122", TEXT(TRIM(S940),"00000")="89142", TEXT(TRIM(S940),"00000")="89156"), "East Valley",
  OR(TEXT(TRIM(S940),"00000")="89030", TEXT(TRIM(S940),"00000")="89031", TEXT(TRIM(S940),"00000")="89032", TEXT(TRIM(S940),"00000")="89086", TEXT(TRIM(S940),"00000")="89084", TEXT(TRIM(S940),"00000")="89081"), "North LV",
  OR(TEXT(TRIM(S940),"00000")="89109", TEXT(TRIM(S940),"00000")="89103", TEXT(TRIM(S940),"00000")="89119", TEXT(TRIM(S940),"00000")="89123", TEXT(TRIM(S940),"00000")="89169", TEXT(TRIM(S940),"00000")="89118"), "South/Strip",
  OR(TEXT(TRIM(S940),"00000")="89074", TEXT(TRIM(S940),"00000")="89014", TEXT(TRIM(S940),"00000")="89015", TEXT(TRIM(S940),"00000")="89011", TEXT(TRIM(S940),"00000")="89012"), "Suburban SE",
  OR(TEXT(TRIM(S940),"00000")="89117", TEXT(TRIM(S940),"00000")="89128", TEXT(TRIM(S940),"00000")="89135", TEXT(TRIM(S940),"00000")="89144", TEXT(TRIM(S940),"00000")="89145", TEXT(TRIM(S940),"00000")="89147"), "West Valley",
  TRUE, "Other"
)</f>
        <v>East Valley</v>
      </c>
      <c r="U940" t="s">
        <v>38</v>
      </c>
      <c r="V940" t="str">
        <f t="shared" si="59"/>
        <v>Home/Residence</v>
      </c>
    </row>
    <row r="941" spans="1:22">
      <c r="A941" t="s">
        <v>2382</v>
      </c>
      <c r="B941" t="s">
        <v>2383</v>
      </c>
      <c r="C941" s="1">
        <v>44448</v>
      </c>
      <c r="D941" s="4">
        <v>107.06</v>
      </c>
      <c r="E941">
        <v>57</v>
      </c>
      <c r="F941" t="str">
        <f t="shared" si="56"/>
        <v>50's</v>
      </c>
      <c r="G941" t="str" cm="1">
        <f t="array" ref="G941">_xlfn.IFS(
  F941="10's", "Child (5–12)",
  OR(F941="20's", F941="30's"), "Young Adult (20–39)",
  OR(F941="40's", F941="50's"), "Adult (40–59)",
  OR(F941="60's", F941="70's", F941="80's", F941="90's"), "Senior (60+)",
  TRUE, "Unknown"
)</f>
        <v>Adult (40–59)</v>
      </c>
      <c r="H941" t="s">
        <v>778</v>
      </c>
      <c r="I941" t="s">
        <v>54</v>
      </c>
      <c r="J941" t="str">
        <f t="shared" si="57"/>
        <v>Environmental Heat</v>
      </c>
      <c r="K941" t="s">
        <v>63</v>
      </c>
      <c r="L941" t="s">
        <v>250</v>
      </c>
      <c r="M941" t="s">
        <v>4783</v>
      </c>
      <c r="N941" t="s">
        <v>5119</v>
      </c>
      <c r="O941" t="str" cm="1">
        <f t="array" ref="O941">_xlfn.IFS(
  TEXT(TRIM(N941),"00000")="NULL", "Missing/Unknown",
  OR(TEXT(TRIM(N941),"00000")="89101", TEXT(TRIM(N941),"00000")="89104", TEXT(TRIM(N941),"00000")="89106", TEXT(TRIM(N941),"00000")="89102", TEXT(TRIM(N941),"00000")="89107", TEXT(TRIM(N941),"00000")="89108"), "Urban Core",
  OR(TEXT(TRIM(N941),"00000")="89110", TEXT(TRIM(N941),"00000")="89115", TEXT(TRIM(N941),"00000")="89121", TEXT(TRIM(N941),"00000")="89122", TEXT(TRIM(N941),"00000")="89142", TEXT(TRIM(N941),"00000")="89156"), "East Valley",
  OR(TEXT(TRIM(N941),"00000")="89030", TEXT(TRIM(N941),"00000")="89031", TEXT(TRIM(N941),"00000")="89032", TEXT(TRIM(N941),"00000")="89086", TEXT(TRIM(N941),"00000")="89084", TEXT(TRIM(N941),"00000")="89081"), "North LV",
  OR(TEXT(TRIM(N941),"00000")="89109", TEXT(TRIM(N941),"00000")="89103", TEXT(TRIM(N941),"00000")="89119", TEXT(TRIM(N941),"00000")="89123", TEXT(TRIM(N941),"00000")="89169", TEXT(TRIM(N941),"00000")="89118"), "South/Strip",
  OR(TEXT(TRIM(N941),"00000")="89074", TEXT(TRIM(N941),"00000")="89014", TEXT(TRIM(N941),"00000")="89015", TEXT(TRIM(N941),"00000")="89011", TEXT(TRIM(N941),"00000")="89012"), "Suburban SE",
  OR(TEXT(TRIM(N941),"00000")="89117", TEXT(TRIM(N941),"00000")="89128", TEXT(TRIM(N941),"00000")="89135", TEXT(TRIM(N941),"00000")="89144", TEXT(TRIM(N941),"00000")="89145", TEXT(TRIM(N941),"00000")="89147"), "West Valley",
  TRUE, "Other"
)</f>
        <v>Urban Core</v>
      </c>
      <c r="P941" t="s">
        <v>3298</v>
      </c>
      <c r="Q941" t="str">
        <f t="shared" si="58"/>
        <v>Outdoors/Public</v>
      </c>
      <c r="R941" t="s">
        <v>4783</v>
      </c>
      <c r="S941" t="s">
        <v>5119</v>
      </c>
      <c r="T941" t="str" cm="1">
        <f t="array" ref="T941">_xlfn.IFS(
  TEXT(TRIM(S941),"00000")="NULL", "Missing/Unknown",
  OR(TEXT(TRIM(S941),"00000")="89101", TEXT(TRIM(S941),"00000")="89104", TEXT(TRIM(S941),"00000")="89106", TEXT(TRIM(S941),"00000")="89102", TEXT(TRIM(S941),"00000")="89107", TEXT(TRIM(S941),"00000")="89108"), "Urban Core",
  OR(TEXT(TRIM(S941),"00000")="89110", TEXT(TRIM(S941),"00000")="89115", TEXT(TRIM(S941),"00000")="89121", TEXT(TRIM(S941),"00000")="89122", TEXT(TRIM(S941),"00000")="89142", TEXT(TRIM(S941),"00000")="89156"), "East Valley",
  OR(TEXT(TRIM(S941),"00000")="89030", TEXT(TRIM(S941),"00000")="89031", TEXT(TRIM(S941),"00000")="89032", TEXT(TRIM(S941),"00000")="89086", TEXT(TRIM(S941),"00000")="89084", TEXT(TRIM(S941),"00000")="89081"), "North LV",
  OR(TEXT(TRIM(S941),"00000")="89109", TEXT(TRIM(S941),"00000")="89103", TEXT(TRIM(S941),"00000")="89119", TEXT(TRIM(S941),"00000")="89123", TEXT(TRIM(S941),"00000")="89169", TEXT(TRIM(S941),"00000")="89118"), "South/Strip",
  OR(TEXT(TRIM(S941),"00000")="89074", TEXT(TRIM(S941),"00000")="89014", TEXT(TRIM(S941),"00000")="89015", TEXT(TRIM(S941),"00000")="89011", TEXT(TRIM(S941),"00000")="89012"), "Suburban SE",
  OR(TEXT(TRIM(S941),"00000")="89117", TEXT(TRIM(S941),"00000")="89128", TEXT(TRIM(S941),"00000")="89135", TEXT(TRIM(S941),"00000")="89144", TEXT(TRIM(S941),"00000")="89145", TEXT(TRIM(S941),"00000")="89147"), "West Valley",
  TRUE, "Other"
)</f>
        <v>Urban Core</v>
      </c>
      <c r="U941" t="s">
        <v>3298</v>
      </c>
      <c r="V941" t="str">
        <f t="shared" si="59"/>
        <v>Outdoors/Public</v>
      </c>
    </row>
    <row r="942" spans="1:22">
      <c r="A942" t="s">
        <v>2379</v>
      </c>
      <c r="B942" t="s">
        <v>2380</v>
      </c>
      <c r="C942" s="1">
        <v>44447</v>
      </c>
      <c r="D942" s="4">
        <v>107.06</v>
      </c>
      <c r="E942">
        <v>79</v>
      </c>
      <c r="F942" t="str">
        <f t="shared" si="56"/>
        <v>70's</v>
      </c>
      <c r="G942" t="str" cm="1">
        <f t="array" ref="G942">_xlfn.IFS(
  F942="10's", "Child (5–12)",
  OR(F942="20's", F942="30's"), "Young Adult (20–39)",
  OR(F942="40's", F942="50's"), "Adult (40–59)",
  OR(F942="60's", F942="70's", F942="80's", F942="90's"), "Senior (60+)",
  TRUE, "Unknown"
)</f>
        <v>Senior (60+)</v>
      </c>
      <c r="H942" t="s">
        <v>778</v>
      </c>
      <c r="I942" t="s">
        <v>63</v>
      </c>
      <c r="J942" t="str">
        <f t="shared" si="57"/>
        <v>Cardiovascular Disease</v>
      </c>
      <c r="K942" t="s">
        <v>4173</v>
      </c>
      <c r="L942" t="s">
        <v>1071</v>
      </c>
      <c r="M942" t="s">
        <v>4456</v>
      </c>
      <c r="N942" t="s">
        <v>5102</v>
      </c>
      <c r="O942" t="str" cm="1">
        <f t="array" ref="O942">_xlfn.IFS(
  TEXT(TRIM(N942),"00000")="NULL", "Missing/Unknown",
  OR(TEXT(TRIM(N942),"00000")="89101", TEXT(TRIM(N942),"00000")="89104", TEXT(TRIM(N942),"00000")="89106", TEXT(TRIM(N942),"00000")="89102", TEXT(TRIM(N942),"00000")="89107", TEXT(TRIM(N942),"00000")="89108"), "Urban Core",
  OR(TEXT(TRIM(N942),"00000")="89110", TEXT(TRIM(N942),"00000")="89115", TEXT(TRIM(N942),"00000")="89121", TEXT(TRIM(N942),"00000")="89122", TEXT(TRIM(N942),"00000")="89142", TEXT(TRIM(N942),"00000")="89156"), "East Valley",
  OR(TEXT(TRIM(N942),"00000")="89030", TEXT(TRIM(N942),"00000")="89031", TEXT(TRIM(N942),"00000")="89032", TEXT(TRIM(N942),"00000")="89086", TEXT(TRIM(N942),"00000")="89084", TEXT(TRIM(N942),"00000")="89081"), "North LV",
  OR(TEXT(TRIM(N942),"00000")="89109", TEXT(TRIM(N942),"00000")="89103", TEXT(TRIM(N942),"00000")="89119", TEXT(TRIM(N942),"00000")="89123", TEXT(TRIM(N942),"00000")="89169", TEXT(TRIM(N942),"00000")="89118"), "South/Strip",
  OR(TEXT(TRIM(N942),"00000")="89074", TEXT(TRIM(N942),"00000")="89014", TEXT(TRIM(N942),"00000")="89015", TEXT(TRIM(N942),"00000")="89011", TEXT(TRIM(N942),"00000")="89012"), "Suburban SE",
  OR(TEXT(TRIM(N942),"00000")="89117", TEXT(TRIM(N942),"00000")="89128", TEXT(TRIM(N942),"00000")="89135", TEXT(TRIM(N942),"00000")="89144", TEXT(TRIM(N942),"00000")="89145", TEXT(TRIM(N942),"00000")="89147"), "West Valley",
  TRUE, "Other"
)</f>
        <v>Urban Core</v>
      </c>
      <c r="P942" t="s">
        <v>38</v>
      </c>
      <c r="Q942" t="str">
        <f t="shared" si="58"/>
        <v>Home/Residence</v>
      </c>
      <c r="R942" t="s">
        <v>4456</v>
      </c>
      <c r="S942" t="s">
        <v>5102</v>
      </c>
      <c r="T942" t="str" cm="1">
        <f t="array" ref="T942">_xlfn.IFS(
  TEXT(TRIM(S942),"00000")="NULL", "Missing/Unknown",
  OR(TEXT(TRIM(S942),"00000")="89101", TEXT(TRIM(S942),"00000")="89104", TEXT(TRIM(S942),"00000")="89106", TEXT(TRIM(S942),"00000")="89102", TEXT(TRIM(S942),"00000")="89107", TEXT(TRIM(S942),"00000")="89108"), "Urban Core",
  OR(TEXT(TRIM(S942),"00000")="89110", TEXT(TRIM(S942),"00000")="89115", TEXT(TRIM(S942),"00000")="89121", TEXT(TRIM(S942),"00000")="89122", TEXT(TRIM(S942),"00000")="89142", TEXT(TRIM(S942),"00000")="89156"), "East Valley",
  OR(TEXT(TRIM(S942),"00000")="89030", TEXT(TRIM(S942),"00000")="89031", TEXT(TRIM(S942),"00000")="89032", TEXT(TRIM(S942),"00000")="89086", TEXT(TRIM(S942),"00000")="89084", TEXT(TRIM(S942),"00000")="89081"), "North LV",
  OR(TEXT(TRIM(S942),"00000")="89109", TEXT(TRIM(S942),"00000")="89103", TEXT(TRIM(S942),"00000")="89119", TEXT(TRIM(S942),"00000")="89123", TEXT(TRIM(S942),"00000")="89169", TEXT(TRIM(S942),"00000")="89118"), "South/Strip",
  OR(TEXT(TRIM(S942),"00000")="89074", TEXT(TRIM(S942),"00000")="89014", TEXT(TRIM(S942),"00000")="89015", TEXT(TRIM(S942),"00000")="89011", TEXT(TRIM(S942),"00000")="89012"), "Suburban SE",
  OR(TEXT(TRIM(S942),"00000")="89117", TEXT(TRIM(S942),"00000")="89128", TEXT(TRIM(S942),"00000")="89135", TEXT(TRIM(S942),"00000")="89144", TEXT(TRIM(S942),"00000")="89145", TEXT(TRIM(S942),"00000")="89147"), "West Valley",
  TRUE, "Other"
)</f>
        <v>Urban Core</v>
      </c>
      <c r="U942" t="s">
        <v>38</v>
      </c>
      <c r="V942" t="str">
        <f t="shared" si="59"/>
        <v>Home/Residence</v>
      </c>
    </row>
    <row r="943" spans="1:22">
      <c r="A943" t="s">
        <v>2375</v>
      </c>
      <c r="B943" t="s">
        <v>2376</v>
      </c>
      <c r="C943" s="1">
        <v>44447</v>
      </c>
      <c r="D943" s="4">
        <v>107.06</v>
      </c>
      <c r="E943">
        <v>43</v>
      </c>
      <c r="F943" t="str">
        <f t="shared" si="56"/>
        <v>40's</v>
      </c>
      <c r="G943" t="str" cm="1">
        <f t="array" ref="G943">_xlfn.IFS(
  F943="10's", "Child (5–12)",
  OR(F943="20's", F943="30's"), "Young Adult (20–39)",
  OR(F943="40's", F943="50's"), "Adult (40–59)",
  OR(F943="60's", F943="70's", F943="80's", F943="90's"), "Senior (60+)",
  TRUE, "Unknown"
)</f>
        <v>Adult (40–59)</v>
      </c>
      <c r="H943" t="s">
        <v>841</v>
      </c>
      <c r="I943" t="s">
        <v>34</v>
      </c>
      <c r="J943" t="str">
        <f t="shared" si="57"/>
        <v>Methamphetamine-related</v>
      </c>
      <c r="K943" t="s">
        <v>54</v>
      </c>
      <c r="L943" t="s">
        <v>250</v>
      </c>
      <c r="N943" t="s">
        <v>5095</v>
      </c>
      <c r="O943" t="str" cm="1">
        <f t="array" ref="O943">_xlfn.IFS(
  TEXT(TRIM(N943),"00000")="NULL", "Missing/Unknown",
  OR(TEXT(TRIM(N943),"00000")="89101", TEXT(TRIM(N943),"00000")="89104", TEXT(TRIM(N943),"00000")="89106", TEXT(TRIM(N943),"00000")="89102", TEXT(TRIM(N943),"00000")="89107", TEXT(TRIM(N943),"00000")="89108"), "Urban Core",
  OR(TEXT(TRIM(N943),"00000")="89110", TEXT(TRIM(N943),"00000")="89115", TEXT(TRIM(N943),"00000")="89121", TEXT(TRIM(N943),"00000")="89122", TEXT(TRIM(N943),"00000")="89142", TEXT(TRIM(N943),"00000")="89156"), "East Valley",
  OR(TEXT(TRIM(N943),"00000")="89030", TEXT(TRIM(N943),"00000")="89031", TEXT(TRIM(N943),"00000")="89032", TEXT(TRIM(N943),"00000")="89086", TEXT(TRIM(N943),"00000")="89084", TEXT(TRIM(N943),"00000")="89081"), "North LV",
  OR(TEXT(TRIM(N943),"00000")="89109", TEXT(TRIM(N943),"00000")="89103", TEXT(TRIM(N943),"00000")="89119", TEXT(TRIM(N943),"00000")="89123", TEXT(TRIM(N943),"00000")="89169", TEXT(TRIM(N943),"00000")="89118"), "South/Strip",
  OR(TEXT(TRIM(N943),"00000")="89074", TEXT(TRIM(N943),"00000")="89014", TEXT(TRIM(N943),"00000")="89015", TEXT(TRIM(N943),"00000")="89011", TEXT(TRIM(N943),"00000")="89012"), "Suburban SE",
  OR(TEXT(TRIM(N943),"00000")="89117", TEXT(TRIM(N943),"00000")="89128", TEXT(TRIM(N943),"00000")="89135", TEXT(TRIM(N943),"00000")="89144", TEXT(TRIM(N943),"00000")="89145", TEXT(TRIM(N943),"00000")="89147"), "West Valley",
  TRUE, "Other"
)</f>
        <v>Missing/Unknown</v>
      </c>
      <c r="P943" t="s">
        <v>3298</v>
      </c>
      <c r="Q943" t="str">
        <f t="shared" si="58"/>
        <v>Outdoors/Public</v>
      </c>
      <c r="S943" t="s">
        <v>5095</v>
      </c>
      <c r="T943" t="str" cm="1">
        <f t="array" ref="T943">_xlfn.IFS(
  TEXT(TRIM(S943),"00000")="NULL", "Missing/Unknown",
  OR(TEXT(TRIM(S943),"00000")="89101", TEXT(TRIM(S943),"00000")="89104", TEXT(TRIM(S943),"00000")="89106", TEXT(TRIM(S943),"00000")="89102", TEXT(TRIM(S943),"00000")="89107", TEXT(TRIM(S943),"00000")="89108"), "Urban Core",
  OR(TEXT(TRIM(S943),"00000")="89110", TEXT(TRIM(S943),"00000")="89115", TEXT(TRIM(S943),"00000")="89121", TEXT(TRIM(S943),"00000")="89122", TEXT(TRIM(S943),"00000")="89142", TEXT(TRIM(S943),"00000")="89156"), "East Valley",
  OR(TEXT(TRIM(S943),"00000")="89030", TEXT(TRIM(S943),"00000")="89031", TEXT(TRIM(S943),"00000")="89032", TEXT(TRIM(S943),"00000")="89086", TEXT(TRIM(S943),"00000")="89084", TEXT(TRIM(S943),"00000")="89081"), "North LV",
  OR(TEXT(TRIM(S943),"00000")="89109", TEXT(TRIM(S943),"00000")="89103", TEXT(TRIM(S943),"00000")="89119", TEXT(TRIM(S943),"00000")="89123", TEXT(TRIM(S943),"00000")="89169", TEXT(TRIM(S943),"00000")="89118"), "South/Strip",
  OR(TEXT(TRIM(S943),"00000")="89074", TEXT(TRIM(S943),"00000")="89014", TEXT(TRIM(S943),"00000")="89015", TEXT(TRIM(S943),"00000")="89011", TEXT(TRIM(S943),"00000")="89012"), "Suburban SE",
  OR(TEXT(TRIM(S943),"00000")="89117", TEXT(TRIM(S943),"00000")="89128", TEXT(TRIM(S943),"00000")="89135", TEXT(TRIM(S943),"00000")="89144", TEXT(TRIM(S943),"00000")="89145", TEXT(TRIM(S943),"00000")="89147"), "West Valley",
  TRUE, "Other"
)</f>
        <v>Missing/Unknown</v>
      </c>
      <c r="U943" t="s">
        <v>3298</v>
      </c>
      <c r="V943" t="str">
        <f t="shared" si="59"/>
        <v>Outdoors/Public</v>
      </c>
    </row>
    <row r="944" spans="1:22">
      <c r="A944" t="s">
        <v>2377</v>
      </c>
      <c r="B944" t="s">
        <v>2378</v>
      </c>
      <c r="C944" s="1">
        <v>44447</v>
      </c>
      <c r="D944" s="4">
        <v>107.06</v>
      </c>
      <c r="E944">
        <v>52</v>
      </c>
      <c r="F944" t="str">
        <f t="shared" si="56"/>
        <v>50's</v>
      </c>
      <c r="G944" t="str" cm="1">
        <f t="array" ref="G944">_xlfn.IFS(
  F944="10's", "Child (5–12)",
  OR(F944="20's", F944="30's"), "Young Adult (20–39)",
  OR(F944="40's", F944="50's"), "Adult (40–59)",
  OR(F944="60's", F944="70's", F944="80's", F944="90's"), "Senior (60+)",
  TRUE, "Unknown"
)</f>
        <v>Adult (40–59)</v>
      </c>
      <c r="H944" t="s">
        <v>841</v>
      </c>
      <c r="I944" t="s">
        <v>54</v>
      </c>
      <c r="J944" t="str">
        <f t="shared" si="57"/>
        <v>Environmental Heat</v>
      </c>
      <c r="K944" t="s">
        <v>98</v>
      </c>
      <c r="L944" t="s">
        <v>250</v>
      </c>
      <c r="N944" t="s">
        <v>5095</v>
      </c>
      <c r="O944" t="str" cm="1">
        <f t="array" ref="O944">_xlfn.IFS(
  TEXT(TRIM(N944),"00000")="NULL", "Missing/Unknown",
  OR(TEXT(TRIM(N944),"00000")="89101", TEXT(TRIM(N944),"00000")="89104", TEXT(TRIM(N944),"00000")="89106", TEXT(TRIM(N944),"00000")="89102", TEXT(TRIM(N944),"00000")="89107", TEXT(TRIM(N944),"00000")="89108"), "Urban Core",
  OR(TEXT(TRIM(N944),"00000")="89110", TEXT(TRIM(N944),"00000")="89115", TEXT(TRIM(N944),"00000")="89121", TEXT(TRIM(N944),"00000")="89122", TEXT(TRIM(N944),"00000")="89142", TEXT(TRIM(N944),"00000")="89156"), "East Valley",
  OR(TEXT(TRIM(N944),"00000")="89030", TEXT(TRIM(N944),"00000")="89031", TEXT(TRIM(N944),"00000")="89032", TEXT(TRIM(N944),"00000")="89086", TEXT(TRIM(N944),"00000")="89084", TEXT(TRIM(N944),"00000")="89081"), "North LV",
  OR(TEXT(TRIM(N944),"00000")="89109", TEXT(TRIM(N944),"00000")="89103", TEXT(TRIM(N944),"00000")="89119", TEXT(TRIM(N944),"00000")="89123", TEXT(TRIM(N944),"00000")="89169", TEXT(TRIM(N944),"00000")="89118"), "South/Strip",
  OR(TEXT(TRIM(N944),"00000")="89074", TEXT(TRIM(N944),"00000")="89014", TEXT(TRIM(N944),"00000")="89015", TEXT(TRIM(N944),"00000")="89011", TEXT(TRIM(N944),"00000")="89012"), "Suburban SE",
  OR(TEXT(TRIM(N944),"00000")="89117", TEXT(TRIM(N944),"00000")="89128", TEXT(TRIM(N944),"00000")="89135", TEXT(TRIM(N944),"00000")="89144", TEXT(TRIM(N944),"00000")="89145", TEXT(TRIM(N944),"00000")="89147"), "West Valley",
  TRUE, "Other"
)</f>
        <v>Missing/Unknown</v>
      </c>
      <c r="P944" t="s">
        <v>3298</v>
      </c>
      <c r="Q944" t="str">
        <f t="shared" si="58"/>
        <v>Outdoors/Public</v>
      </c>
      <c r="S944" t="s">
        <v>5095</v>
      </c>
      <c r="T944" t="str" cm="1">
        <f t="array" ref="T944">_xlfn.IFS(
  TEXT(TRIM(S944),"00000")="NULL", "Missing/Unknown",
  OR(TEXT(TRIM(S944),"00000")="89101", TEXT(TRIM(S944),"00000")="89104", TEXT(TRIM(S944),"00000")="89106", TEXT(TRIM(S944),"00000")="89102", TEXT(TRIM(S944),"00000")="89107", TEXT(TRIM(S944),"00000")="89108"), "Urban Core",
  OR(TEXT(TRIM(S944),"00000")="89110", TEXT(TRIM(S944),"00000")="89115", TEXT(TRIM(S944),"00000")="89121", TEXT(TRIM(S944),"00000")="89122", TEXT(TRIM(S944),"00000")="89142", TEXT(TRIM(S944),"00000")="89156"), "East Valley",
  OR(TEXT(TRIM(S944),"00000")="89030", TEXT(TRIM(S944),"00000")="89031", TEXT(TRIM(S944),"00000")="89032", TEXT(TRIM(S944),"00000")="89086", TEXT(TRIM(S944),"00000")="89084", TEXT(TRIM(S944),"00000")="89081"), "North LV",
  OR(TEXT(TRIM(S944),"00000")="89109", TEXT(TRIM(S944),"00000")="89103", TEXT(TRIM(S944),"00000")="89119", TEXT(TRIM(S944),"00000")="89123", TEXT(TRIM(S944),"00000")="89169", TEXT(TRIM(S944),"00000")="89118"), "South/Strip",
  OR(TEXT(TRIM(S944),"00000")="89074", TEXT(TRIM(S944),"00000")="89014", TEXT(TRIM(S944),"00000")="89015", TEXT(TRIM(S944),"00000")="89011", TEXT(TRIM(S944),"00000")="89012"), "Suburban SE",
  OR(TEXT(TRIM(S944),"00000")="89117", TEXT(TRIM(S944),"00000")="89128", TEXT(TRIM(S944),"00000")="89135", TEXT(TRIM(S944),"00000")="89144", TEXT(TRIM(S944),"00000")="89145", TEXT(TRIM(S944),"00000")="89147"), "West Valley",
  TRUE, "Other"
)</f>
        <v>Missing/Unknown</v>
      </c>
      <c r="U944" t="s">
        <v>3298</v>
      </c>
      <c r="V944" t="str">
        <f t="shared" si="59"/>
        <v>Outdoors/Public</v>
      </c>
    </row>
    <row r="945" spans="1:22">
      <c r="A945" t="s">
        <v>2373</v>
      </c>
      <c r="B945" t="s">
        <v>2374</v>
      </c>
      <c r="C945" s="1">
        <v>44446</v>
      </c>
      <c r="D945" s="4">
        <v>109.04</v>
      </c>
      <c r="E945">
        <v>53</v>
      </c>
      <c r="F945" t="str">
        <f t="shared" si="56"/>
        <v>50's</v>
      </c>
      <c r="G945" t="str" cm="1">
        <f t="array" ref="G945">_xlfn.IFS(
  F945="10's", "Child (5–12)",
  OR(F945="20's", F945="30's"), "Young Adult (20–39)",
  OR(F945="40's", F945="50's"), "Adult (40–59)",
  OR(F945="60's", F945="70's", F945="80's", F945="90's"), "Senior (60+)",
  TRUE, "Unknown"
)</f>
        <v>Adult (40–59)</v>
      </c>
      <c r="H945" t="s">
        <v>841</v>
      </c>
      <c r="I945" t="s">
        <v>34</v>
      </c>
      <c r="J945" t="str">
        <f t="shared" si="57"/>
        <v>Methamphetamine-related</v>
      </c>
      <c r="K945" t="s">
        <v>54</v>
      </c>
      <c r="L945" t="s">
        <v>250</v>
      </c>
      <c r="M945" t="s">
        <v>4553</v>
      </c>
      <c r="N945" t="s">
        <v>5101</v>
      </c>
      <c r="O945" t="str" cm="1">
        <f t="array" ref="O945">_xlfn.IFS(
  TEXT(TRIM(N945),"00000")="NULL", "Missing/Unknown",
  OR(TEXT(TRIM(N945),"00000")="89101", TEXT(TRIM(N945),"00000")="89104", TEXT(TRIM(N945),"00000")="89106", TEXT(TRIM(N945),"00000")="89102", TEXT(TRIM(N945),"00000")="89107", TEXT(TRIM(N945),"00000")="89108"), "Urban Core",
  OR(TEXT(TRIM(N945),"00000")="89110", TEXT(TRIM(N945),"00000")="89115", TEXT(TRIM(N945),"00000")="89121", TEXT(TRIM(N945),"00000")="89122", TEXT(TRIM(N945),"00000")="89142", TEXT(TRIM(N945),"00000")="89156"), "East Valley",
  OR(TEXT(TRIM(N945),"00000")="89030", TEXT(TRIM(N945),"00000")="89031", TEXT(TRIM(N945),"00000")="89032", TEXT(TRIM(N945),"00000")="89086", TEXT(TRIM(N945),"00000")="89084", TEXT(TRIM(N945),"00000")="89081"), "North LV",
  OR(TEXT(TRIM(N945),"00000")="89109", TEXT(TRIM(N945),"00000")="89103", TEXT(TRIM(N945),"00000")="89119", TEXT(TRIM(N945),"00000")="89123", TEXT(TRIM(N945),"00000")="89169", TEXT(TRIM(N945),"00000")="89118"), "South/Strip",
  OR(TEXT(TRIM(N945),"00000")="89074", TEXT(TRIM(N945),"00000")="89014", TEXT(TRIM(N945),"00000")="89015", TEXT(TRIM(N945),"00000")="89011", TEXT(TRIM(N945),"00000")="89012"), "Suburban SE",
  OR(TEXT(TRIM(N945),"00000")="89117", TEXT(TRIM(N945),"00000")="89128", TEXT(TRIM(N945),"00000")="89135", TEXT(TRIM(N945),"00000")="89144", TEXT(TRIM(N945),"00000")="89145", TEXT(TRIM(N945),"00000")="89147"), "West Valley",
  TRUE, "Other"
)</f>
        <v>Urban Core</v>
      </c>
      <c r="P945" t="s">
        <v>3298</v>
      </c>
      <c r="Q945" t="str">
        <f t="shared" si="58"/>
        <v>Outdoors/Public</v>
      </c>
      <c r="R945" t="s">
        <v>5054</v>
      </c>
      <c r="S945" t="s">
        <v>5097</v>
      </c>
      <c r="T945" t="str" cm="1">
        <f t="array" ref="T945">_xlfn.IFS(
  TEXT(TRIM(S945),"00000")="NULL", "Missing/Unknown",
  OR(TEXT(TRIM(S945),"00000")="89101", TEXT(TRIM(S945),"00000")="89104", TEXT(TRIM(S945),"00000")="89106", TEXT(TRIM(S945),"00000")="89102", TEXT(TRIM(S945),"00000")="89107", TEXT(TRIM(S945),"00000")="89108"), "Urban Core",
  OR(TEXT(TRIM(S945),"00000")="89110", TEXT(TRIM(S945),"00000")="89115", TEXT(TRIM(S945),"00000")="89121", TEXT(TRIM(S945),"00000")="89122", TEXT(TRIM(S945),"00000")="89142", TEXT(TRIM(S945),"00000")="89156"), "East Valley",
  OR(TEXT(TRIM(S945),"00000")="89030", TEXT(TRIM(S945),"00000")="89031", TEXT(TRIM(S945),"00000")="89032", TEXT(TRIM(S945),"00000")="89086", TEXT(TRIM(S945),"00000")="89084", TEXT(TRIM(S945),"00000")="89081"), "North LV",
  OR(TEXT(TRIM(S945),"00000")="89109", TEXT(TRIM(S945),"00000")="89103", TEXT(TRIM(S945),"00000")="89119", TEXT(TRIM(S945),"00000")="89123", TEXT(TRIM(S945),"00000")="89169", TEXT(TRIM(S945),"00000")="89118"), "South/Strip",
  OR(TEXT(TRIM(S945),"00000")="89074", TEXT(TRIM(S945),"00000")="89014", TEXT(TRIM(S945),"00000")="89015", TEXT(TRIM(S945),"00000")="89011", TEXT(TRIM(S945),"00000")="89012"), "Suburban SE",
  OR(TEXT(TRIM(S945),"00000")="89117", TEXT(TRIM(S945),"00000")="89128", TEXT(TRIM(S945),"00000")="89135", TEXT(TRIM(S945),"00000")="89144", TEXT(TRIM(S945),"00000")="89145", TEXT(TRIM(S945),"00000")="89147"), "West Valley",
  TRUE, "Other"
)</f>
        <v>Urban Core</v>
      </c>
      <c r="U945" t="s">
        <v>4301</v>
      </c>
      <c r="V945" t="str">
        <f t="shared" si="59"/>
        <v>Medical Facility</v>
      </c>
    </row>
    <row r="946" spans="1:22">
      <c r="A946" t="s">
        <v>2371</v>
      </c>
      <c r="B946" t="s">
        <v>2372</v>
      </c>
      <c r="C946" s="1">
        <v>44440</v>
      </c>
      <c r="D946" s="4">
        <v>91.039999999999992</v>
      </c>
      <c r="E946">
        <v>68</v>
      </c>
      <c r="F946" t="str">
        <f t="shared" si="56"/>
        <v>60's</v>
      </c>
      <c r="G946" t="str" cm="1">
        <f t="array" ref="G946">_xlfn.IFS(
  F946="10's", "Child (5–12)",
  OR(F946="20's", F946="30's"), "Young Adult (20–39)",
  OR(F946="40's", F946="50's"), "Adult (40–59)",
  OR(F946="60's", F946="70's", F946="80's", F946="90's"), "Senior (60+)",
  TRUE, "Unknown"
)</f>
        <v>Senior (60+)</v>
      </c>
      <c r="H946" t="s">
        <v>841</v>
      </c>
      <c r="I946" t="s">
        <v>54</v>
      </c>
      <c r="J946" t="str">
        <f t="shared" si="57"/>
        <v>Environmental Heat</v>
      </c>
      <c r="K946" t="s">
        <v>63</v>
      </c>
      <c r="L946" t="s">
        <v>250</v>
      </c>
      <c r="N946" t="s">
        <v>5095</v>
      </c>
      <c r="O946" t="str" cm="1">
        <f t="array" ref="O946">_xlfn.IFS(
  TEXT(TRIM(N946),"00000")="NULL", "Missing/Unknown",
  OR(TEXT(TRIM(N946),"00000")="89101", TEXT(TRIM(N946),"00000")="89104", TEXT(TRIM(N946),"00000")="89106", TEXT(TRIM(N946),"00000")="89102", TEXT(TRIM(N946),"00000")="89107", TEXT(TRIM(N946),"00000")="89108"), "Urban Core",
  OR(TEXT(TRIM(N946),"00000")="89110", TEXT(TRIM(N946),"00000")="89115", TEXT(TRIM(N946),"00000")="89121", TEXT(TRIM(N946),"00000")="89122", TEXT(TRIM(N946),"00000")="89142", TEXT(TRIM(N946),"00000")="89156"), "East Valley",
  OR(TEXT(TRIM(N946),"00000")="89030", TEXT(TRIM(N946),"00000")="89031", TEXT(TRIM(N946),"00000")="89032", TEXT(TRIM(N946),"00000")="89086", TEXT(TRIM(N946),"00000")="89084", TEXT(TRIM(N946),"00000")="89081"), "North LV",
  OR(TEXT(TRIM(N946),"00000")="89109", TEXT(TRIM(N946),"00000")="89103", TEXT(TRIM(N946),"00000")="89119", TEXT(TRIM(N946),"00000")="89123", TEXT(TRIM(N946),"00000")="89169", TEXT(TRIM(N946),"00000")="89118"), "South/Strip",
  OR(TEXT(TRIM(N946),"00000")="89074", TEXT(TRIM(N946),"00000")="89014", TEXT(TRIM(N946),"00000")="89015", TEXT(TRIM(N946),"00000")="89011", TEXT(TRIM(N946),"00000")="89012"), "Suburban SE",
  OR(TEXT(TRIM(N946),"00000")="89117", TEXT(TRIM(N946),"00000")="89128", TEXT(TRIM(N946),"00000")="89135", TEXT(TRIM(N946),"00000")="89144", TEXT(TRIM(N946),"00000")="89145", TEXT(TRIM(N946),"00000")="89147"), "West Valley",
  TRUE, "Other"
)</f>
        <v>Missing/Unknown</v>
      </c>
      <c r="P946" t="s">
        <v>3298</v>
      </c>
      <c r="Q946" t="str">
        <f t="shared" si="58"/>
        <v>Outdoors/Public</v>
      </c>
      <c r="S946" t="s">
        <v>5095</v>
      </c>
      <c r="T946" t="str" cm="1">
        <f t="array" ref="T946">_xlfn.IFS(
  TEXT(TRIM(S946),"00000")="NULL", "Missing/Unknown",
  OR(TEXT(TRIM(S946),"00000")="89101", TEXT(TRIM(S946),"00000")="89104", TEXT(TRIM(S946),"00000")="89106", TEXT(TRIM(S946),"00000")="89102", TEXT(TRIM(S946),"00000")="89107", TEXT(TRIM(S946),"00000")="89108"), "Urban Core",
  OR(TEXT(TRIM(S946),"00000")="89110", TEXT(TRIM(S946),"00000")="89115", TEXT(TRIM(S946),"00000")="89121", TEXT(TRIM(S946),"00000")="89122", TEXT(TRIM(S946),"00000")="89142", TEXT(TRIM(S946),"00000")="89156"), "East Valley",
  OR(TEXT(TRIM(S946),"00000")="89030", TEXT(TRIM(S946),"00000")="89031", TEXT(TRIM(S946),"00000")="89032", TEXT(TRIM(S946),"00000")="89086", TEXT(TRIM(S946),"00000")="89084", TEXT(TRIM(S946),"00000")="89081"), "North LV",
  OR(TEXT(TRIM(S946),"00000")="89109", TEXT(TRIM(S946),"00000")="89103", TEXT(TRIM(S946),"00000")="89119", TEXT(TRIM(S946),"00000")="89123", TEXT(TRIM(S946),"00000")="89169", TEXT(TRIM(S946),"00000")="89118"), "South/Strip",
  OR(TEXT(TRIM(S946),"00000")="89074", TEXT(TRIM(S946),"00000")="89014", TEXT(TRIM(S946),"00000")="89015", TEXT(TRIM(S946),"00000")="89011", TEXT(TRIM(S946),"00000")="89012"), "Suburban SE",
  OR(TEXT(TRIM(S946),"00000")="89117", TEXT(TRIM(S946),"00000")="89128", TEXT(TRIM(S946),"00000")="89135", TEXT(TRIM(S946),"00000")="89144", TEXT(TRIM(S946),"00000")="89145", TEXT(TRIM(S946),"00000")="89147"), "West Valley",
  TRUE, "Other"
)</f>
        <v>Missing/Unknown</v>
      </c>
      <c r="U946" t="s">
        <v>3298</v>
      </c>
      <c r="V946" t="str">
        <f t="shared" si="59"/>
        <v>Outdoors/Public</v>
      </c>
    </row>
    <row r="947" spans="1:22">
      <c r="A947" t="s">
        <v>2368</v>
      </c>
      <c r="B947" t="s">
        <v>2369</v>
      </c>
      <c r="C947" s="1">
        <v>44439</v>
      </c>
      <c r="D947" s="4">
        <v>98.960000000000008</v>
      </c>
      <c r="E947">
        <v>51</v>
      </c>
      <c r="F947" t="str">
        <f t="shared" si="56"/>
        <v>50's</v>
      </c>
      <c r="G947" t="str" cm="1">
        <f t="array" ref="G947">_xlfn.IFS(
  F947="10's", "Child (5–12)",
  OR(F947="20's", F947="30's"), "Young Adult (20–39)",
  OR(F947="40's", F947="50's"), "Adult (40–59)",
  OR(F947="60's", F947="70's", F947="80's", F947="90's"), "Senior (60+)",
  TRUE, "Unknown"
)</f>
        <v>Adult (40–59)</v>
      </c>
      <c r="H947" t="s">
        <v>841</v>
      </c>
      <c r="I947" t="s">
        <v>4112</v>
      </c>
      <c r="J947" t="str">
        <f t="shared" si="57"/>
        <v>Methamphetamine-related</v>
      </c>
      <c r="K947" t="s">
        <v>97</v>
      </c>
      <c r="L947" t="s">
        <v>250</v>
      </c>
      <c r="N947" t="s">
        <v>5095</v>
      </c>
      <c r="O947" t="str" cm="1">
        <f t="array" ref="O947">_xlfn.IFS(
  TEXT(TRIM(N947),"00000")="NULL", "Missing/Unknown",
  OR(TEXT(TRIM(N947),"00000")="89101", TEXT(TRIM(N947),"00000")="89104", TEXT(TRIM(N947),"00000")="89106", TEXT(TRIM(N947),"00000")="89102", TEXT(TRIM(N947),"00000")="89107", TEXT(TRIM(N947),"00000")="89108"), "Urban Core",
  OR(TEXT(TRIM(N947),"00000")="89110", TEXT(TRIM(N947),"00000")="89115", TEXT(TRIM(N947),"00000")="89121", TEXT(TRIM(N947),"00000")="89122", TEXT(TRIM(N947),"00000")="89142", TEXT(TRIM(N947),"00000")="89156"), "East Valley",
  OR(TEXT(TRIM(N947),"00000")="89030", TEXT(TRIM(N947),"00000")="89031", TEXT(TRIM(N947),"00000")="89032", TEXT(TRIM(N947),"00000")="89086", TEXT(TRIM(N947),"00000")="89084", TEXT(TRIM(N947),"00000")="89081"), "North LV",
  OR(TEXT(TRIM(N947),"00000")="89109", TEXT(TRIM(N947),"00000")="89103", TEXT(TRIM(N947),"00000")="89119", TEXT(TRIM(N947),"00000")="89123", TEXT(TRIM(N947),"00000")="89169", TEXT(TRIM(N947),"00000")="89118"), "South/Strip",
  OR(TEXT(TRIM(N947),"00000")="89074", TEXT(TRIM(N947),"00000")="89014", TEXT(TRIM(N947),"00000")="89015", TEXT(TRIM(N947),"00000")="89011", TEXT(TRIM(N947),"00000")="89012"), "Suburban SE",
  OR(TEXT(TRIM(N947),"00000")="89117", TEXT(TRIM(N947),"00000")="89128", TEXT(TRIM(N947),"00000")="89135", TEXT(TRIM(N947),"00000")="89144", TEXT(TRIM(N947),"00000")="89145", TEXT(TRIM(N947),"00000")="89147"), "West Valley",
  TRUE, "Other"
)</f>
        <v>Missing/Unknown</v>
      </c>
      <c r="P947" t="s">
        <v>38</v>
      </c>
      <c r="Q947" t="str">
        <f t="shared" si="58"/>
        <v>Home/Residence</v>
      </c>
      <c r="R947" t="s">
        <v>5055</v>
      </c>
      <c r="S947" t="s">
        <v>5119</v>
      </c>
      <c r="T947" t="str" cm="1">
        <f t="array" ref="T947">_xlfn.IFS(
  TEXT(TRIM(S947),"00000")="NULL", "Missing/Unknown",
  OR(TEXT(TRIM(S947),"00000")="89101", TEXT(TRIM(S947),"00000")="89104", TEXT(TRIM(S947),"00000")="89106", TEXT(TRIM(S947),"00000")="89102", TEXT(TRIM(S947),"00000")="89107", TEXT(TRIM(S947),"00000")="89108"), "Urban Core",
  OR(TEXT(TRIM(S947),"00000")="89110", TEXT(TRIM(S947),"00000")="89115", TEXT(TRIM(S947),"00000")="89121", TEXT(TRIM(S947),"00000")="89122", TEXT(TRIM(S947),"00000")="89142", TEXT(TRIM(S947),"00000")="89156"), "East Valley",
  OR(TEXT(TRIM(S947),"00000")="89030", TEXT(TRIM(S947),"00000")="89031", TEXT(TRIM(S947),"00000")="89032", TEXT(TRIM(S947),"00000")="89086", TEXT(TRIM(S947),"00000")="89084", TEXT(TRIM(S947),"00000")="89081"), "North LV",
  OR(TEXT(TRIM(S947),"00000")="89109", TEXT(TRIM(S947),"00000")="89103", TEXT(TRIM(S947),"00000")="89119", TEXT(TRIM(S947),"00000")="89123", TEXT(TRIM(S947),"00000")="89169", TEXT(TRIM(S947),"00000")="89118"), "South/Strip",
  OR(TEXT(TRIM(S947),"00000")="89074", TEXT(TRIM(S947),"00000")="89014", TEXT(TRIM(S947),"00000")="89015", TEXT(TRIM(S947),"00000")="89011", TEXT(TRIM(S947),"00000")="89012"), "Suburban SE",
  OR(TEXT(TRIM(S947),"00000")="89117", TEXT(TRIM(S947),"00000")="89128", TEXT(TRIM(S947),"00000")="89135", TEXT(TRIM(S947),"00000")="89144", TEXT(TRIM(S947),"00000")="89145", TEXT(TRIM(S947),"00000")="89147"), "West Valley",
  TRUE, "Other"
)</f>
        <v>Urban Core</v>
      </c>
      <c r="U947" t="s">
        <v>855</v>
      </c>
      <c r="V947" t="str">
        <f t="shared" si="59"/>
        <v>Medical Facility</v>
      </c>
    </row>
    <row r="948" spans="1:22">
      <c r="A948" t="s">
        <v>2365</v>
      </c>
      <c r="B948" t="s">
        <v>2366</v>
      </c>
      <c r="C948" s="1">
        <v>44438</v>
      </c>
      <c r="D948" s="4">
        <v>102.92</v>
      </c>
      <c r="E948">
        <v>73</v>
      </c>
      <c r="F948" t="str">
        <f t="shared" si="56"/>
        <v>70's</v>
      </c>
      <c r="G948" t="str" cm="1">
        <f t="array" ref="G948">_xlfn.IFS(
  F948="10's", "Child (5–12)",
  OR(F948="20's", F948="30's"), "Young Adult (20–39)",
  OR(F948="40's", F948="50's"), "Adult (40–59)",
  OR(F948="60's", F948="70's", F948="80's", F948="90's"), "Senior (60+)",
  TRUE, "Unknown"
)</f>
        <v>Senior (60+)</v>
      </c>
      <c r="H948" t="s">
        <v>778</v>
      </c>
      <c r="I948" t="s">
        <v>4113</v>
      </c>
      <c r="J948" t="str">
        <f t="shared" si="57"/>
        <v>Other / Unknown</v>
      </c>
      <c r="K948" t="s">
        <v>54</v>
      </c>
      <c r="L948" t="s">
        <v>250</v>
      </c>
      <c r="M948" t="s">
        <v>4342</v>
      </c>
      <c r="N948" t="s">
        <v>5101</v>
      </c>
      <c r="O948" t="str" cm="1">
        <f t="array" ref="O948">_xlfn.IFS(
  TEXT(TRIM(N948),"00000")="NULL", "Missing/Unknown",
  OR(TEXT(TRIM(N948),"00000")="89101", TEXT(TRIM(N948),"00000")="89104", TEXT(TRIM(N948),"00000")="89106", TEXT(TRIM(N948),"00000")="89102", TEXT(TRIM(N948),"00000")="89107", TEXT(TRIM(N948),"00000")="89108"), "Urban Core",
  OR(TEXT(TRIM(N948),"00000")="89110", TEXT(TRIM(N948),"00000")="89115", TEXT(TRIM(N948),"00000")="89121", TEXT(TRIM(N948),"00000")="89122", TEXT(TRIM(N948),"00000")="89142", TEXT(TRIM(N948),"00000")="89156"), "East Valley",
  OR(TEXT(TRIM(N948),"00000")="89030", TEXT(TRIM(N948),"00000")="89031", TEXT(TRIM(N948),"00000")="89032", TEXT(TRIM(N948),"00000")="89086", TEXT(TRIM(N948),"00000")="89084", TEXT(TRIM(N948),"00000")="89081"), "North LV",
  OR(TEXT(TRIM(N948),"00000")="89109", TEXT(TRIM(N948),"00000")="89103", TEXT(TRIM(N948),"00000")="89119", TEXT(TRIM(N948),"00000")="89123", TEXT(TRIM(N948),"00000")="89169", TEXT(TRIM(N948),"00000")="89118"), "South/Strip",
  OR(TEXT(TRIM(N948),"00000")="89074", TEXT(TRIM(N948),"00000")="89014", TEXT(TRIM(N948),"00000")="89015", TEXT(TRIM(N948),"00000")="89011", TEXT(TRIM(N948),"00000")="89012"), "Suburban SE",
  OR(TEXT(TRIM(N948),"00000")="89117", TEXT(TRIM(N948),"00000")="89128", TEXT(TRIM(N948),"00000")="89135", TEXT(TRIM(N948),"00000")="89144", TEXT(TRIM(N948),"00000")="89145", TEXT(TRIM(N948),"00000")="89147"), "West Valley",
  TRUE, "Other"
)</f>
        <v>Urban Core</v>
      </c>
      <c r="P948" t="s">
        <v>3298</v>
      </c>
      <c r="Q948" t="str">
        <f t="shared" si="58"/>
        <v>Outdoors/Public</v>
      </c>
      <c r="R948" t="s">
        <v>4342</v>
      </c>
      <c r="S948" t="s">
        <v>5101</v>
      </c>
      <c r="T948" t="str" cm="1">
        <f t="array" ref="T948">_xlfn.IFS(
  TEXT(TRIM(S948),"00000")="NULL", "Missing/Unknown",
  OR(TEXT(TRIM(S948),"00000")="89101", TEXT(TRIM(S948),"00000")="89104", TEXT(TRIM(S948),"00000")="89106", TEXT(TRIM(S948),"00000")="89102", TEXT(TRIM(S948),"00000")="89107", TEXT(TRIM(S948),"00000")="89108"), "Urban Core",
  OR(TEXT(TRIM(S948),"00000")="89110", TEXT(TRIM(S948),"00000")="89115", TEXT(TRIM(S948),"00000")="89121", TEXT(TRIM(S948),"00000")="89122", TEXT(TRIM(S948),"00000")="89142", TEXT(TRIM(S948),"00000")="89156"), "East Valley",
  OR(TEXT(TRIM(S948),"00000")="89030", TEXT(TRIM(S948),"00000")="89031", TEXT(TRIM(S948),"00000")="89032", TEXT(TRIM(S948),"00000")="89086", TEXT(TRIM(S948),"00000")="89084", TEXT(TRIM(S948),"00000")="89081"), "North LV",
  OR(TEXT(TRIM(S948),"00000")="89109", TEXT(TRIM(S948),"00000")="89103", TEXT(TRIM(S948),"00000")="89119", TEXT(TRIM(S948),"00000")="89123", TEXT(TRIM(S948),"00000")="89169", TEXT(TRIM(S948),"00000")="89118"), "South/Strip",
  OR(TEXT(TRIM(S948),"00000")="89074", TEXT(TRIM(S948),"00000")="89014", TEXT(TRIM(S948),"00000")="89015", TEXT(TRIM(S948),"00000")="89011", TEXT(TRIM(S948),"00000")="89012"), "Suburban SE",
  OR(TEXT(TRIM(S948),"00000")="89117", TEXT(TRIM(S948),"00000")="89128", TEXT(TRIM(S948),"00000")="89135", TEXT(TRIM(S948),"00000")="89144", TEXT(TRIM(S948),"00000")="89145", TEXT(TRIM(S948),"00000")="89147"), "West Valley",
  TRUE, "Other"
)</f>
        <v>Urban Core</v>
      </c>
      <c r="U948" t="s">
        <v>3298</v>
      </c>
      <c r="V948" t="str">
        <f t="shared" si="59"/>
        <v>Outdoors/Public</v>
      </c>
    </row>
    <row r="949" spans="1:22">
      <c r="A949" t="s">
        <v>2362</v>
      </c>
      <c r="B949" t="s">
        <v>2363</v>
      </c>
      <c r="C949" s="1">
        <v>44436</v>
      </c>
      <c r="D949" s="4">
        <v>107.96</v>
      </c>
      <c r="E949">
        <v>66</v>
      </c>
      <c r="F949" t="str">
        <f t="shared" si="56"/>
        <v>60's</v>
      </c>
      <c r="G949" t="str" cm="1">
        <f t="array" ref="G949">_xlfn.IFS(
  F949="10's", "Child (5–12)",
  OR(F949="20's", F949="30's"), "Young Adult (20–39)",
  OR(F949="40's", F949="50's"), "Adult (40–59)",
  OR(F949="60's", F949="70's", F949="80's", F949="90's"), "Senior (60+)",
  TRUE, "Unknown"
)</f>
        <v>Senior (60+)</v>
      </c>
      <c r="H949" t="s">
        <v>778</v>
      </c>
      <c r="I949" t="s">
        <v>660</v>
      </c>
      <c r="J949" t="str">
        <f t="shared" si="57"/>
        <v>Environmental Heat</v>
      </c>
      <c r="K949" t="s">
        <v>2364</v>
      </c>
      <c r="L949" t="s">
        <v>1071</v>
      </c>
      <c r="N949" t="s">
        <v>5095</v>
      </c>
      <c r="O949" t="str" cm="1">
        <f t="array" ref="O949">_xlfn.IFS(
  TEXT(TRIM(N949),"00000")="NULL", "Missing/Unknown",
  OR(TEXT(TRIM(N949),"00000")="89101", TEXT(TRIM(N949),"00000")="89104", TEXT(TRIM(N949),"00000")="89106", TEXT(TRIM(N949),"00000")="89102", TEXT(TRIM(N949),"00000")="89107", TEXT(TRIM(N949),"00000")="89108"), "Urban Core",
  OR(TEXT(TRIM(N949),"00000")="89110", TEXT(TRIM(N949),"00000")="89115", TEXT(TRIM(N949),"00000")="89121", TEXT(TRIM(N949),"00000")="89122", TEXT(TRIM(N949),"00000")="89142", TEXT(TRIM(N949),"00000")="89156"), "East Valley",
  OR(TEXT(TRIM(N949),"00000")="89030", TEXT(TRIM(N949),"00000")="89031", TEXT(TRIM(N949),"00000")="89032", TEXT(TRIM(N949),"00000")="89086", TEXT(TRIM(N949),"00000")="89084", TEXT(TRIM(N949),"00000")="89081"), "North LV",
  OR(TEXT(TRIM(N949),"00000")="89109", TEXT(TRIM(N949),"00000")="89103", TEXT(TRIM(N949),"00000")="89119", TEXT(TRIM(N949),"00000")="89123", TEXT(TRIM(N949),"00000")="89169", TEXT(TRIM(N949),"00000")="89118"), "South/Strip",
  OR(TEXT(TRIM(N949),"00000")="89074", TEXT(TRIM(N949),"00000")="89014", TEXT(TRIM(N949),"00000")="89015", TEXT(TRIM(N949),"00000")="89011", TEXT(TRIM(N949),"00000")="89012"), "Suburban SE",
  OR(TEXT(TRIM(N949),"00000")="89117", TEXT(TRIM(N949),"00000")="89128", TEXT(TRIM(N949),"00000")="89135", TEXT(TRIM(N949),"00000")="89144", TEXT(TRIM(N949),"00000")="89145", TEXT(TRIM(N949),"00000")="89147"), "West Valley",
  TRUE, "Other"
)</f>
        <v>Missing/Unknown</v>
      </c>
      <c r="P949" t="s">
        <v>3298</v>
      </c>
      <c r="Q949" t="str">
        <f t="shared" si="58"/>
        <v>Outdoors/Public</v>
      </c>
      <c r="R949" t="s">
        <v>5055</v>
      </c>
      <c r="S949" t="s">
        <v>5119</v>
      </c>
      <c r="T949" t="str" cm="1">
        <f t="array" ref="T949">_xlfn.IFS(
  TEXT(TRIM(S949),"00000")="NULL", "Missing/Unknown",
  OR(TEXT(TRIM(S949),"00000")="89101", TEXT(TRIM(S949),"00000")="89104", TEXT(TRIM(S949),"00000")="89106", TEXT(TRIM(S949),"00000")="89102", TEXT(TRIM(S949),"00000")="89107", TEXT(TRIM(S949),"00000")="89108"), "Urban Core",
  OR(TEXT(TRIM(S949),"00000")="89110", TEXT(TRIM(S949),"00000")="89115", TEXT(TRIM(S949),"00000")="89121", TEXT(TRIM(S949),"00000")="89122", TEXT(TRIM(S949),"00000")="89142", TEXT(TRIM(S949),"00000")="89156"), "East Valley",
  OR(TEXT(TRIM(S949),"00000")="89030", TEXT(TRIM(S949),"00000")="89031", TEXT(TRIM(S949),"00000")="89032", TEXT(TRIM(S949),"00000")="89086", TEXT(TRIM(S949),"00000")="89084", TEXT(TRIM(S949),"00000")="89081"), "North LV",
  OR(TEXT(TRIM(S949),"00000")="89109", TEXT(TRIM(S949),"00000")="89103", TEXT(TRIM(S949),"00000")="89119", TEXT(TRIM(S949),"00000")="89123", TEXT(TRIM(S949),"00000")="89169", TEXT(TRIM(S949),"00000")="89118"), "South/Strip",
  OR(TEXT(TRIM(S949),"00000")="89074", TEXT(TRIM(S949),"00000")="89014", TEXT(TRIM(S949),"00000")="89015", TEXT(TRIM(S949),"00000")="89011", TEXT(TRIM(S949),"00000")="89012"), "Suburban SE",
  OR(TEXT(TRIM(S949),"00000")="89117", TEXT(TRIM(S949),"00000")="89128", TEXT(TRIM(S949),"00000")="89135", TEXT(TRIM(S949),"00000")="89144", TEXT(TRIM(S949),"00000")="89145", TEXT(TRIM(S949),"00000")="89147"), "West Valley",
  TRUE, "Other"
)</f>
        <v>Urban Core</v>
      </c>
      <c r="U949" t="s">
        <v>228</v>
      </c>
      <c r="V949" t="str">
        <f t="shared" si="59"/>
        <v>Medical Facility</v>
      </c>
    </row>
    <row r="950" spans="1:22">
      <c r="A950" t="s">
        <v>2359</v>
      </c>
      <c r="B950" t="s">
        <v>2360</v>
      </c>
      <c r="C950" s="1">
        <v>44436</v>
      </c>
      <c r="D950" s="4">
        <v>107.96</v>
      </c>
      <c r="E950">
        <v>61</v>
      </c>
      <c r="F950" t="str">
        <f t="shared" si="56"/>
        <v>60's</v>
      </c>
      <c r="G950" t="str" cm="1">
        <f t="array" ref="G950">_xlfn.IFS(
  F950="10's", "Child (5–12)",
  OR(F950="20's", F950="30's"), "Young Adult (20–39)",
  OR(F950="40's", F950="50's"), "Adult (40–59)",
  OR(F950="60's", F950="70's", F950="80's", F950="90's"), "Senior (60+)",
  TRUE, "Unknown"
)</f>
        <v>Senior (60+)</v>
      </c>
      <c r="H950" t="s">
        <v>841</v>
      </c>
      <c r="I950" t="s">
        <v>4114</v>
      </c>
      <c r="J950" t="str">
        <f t="shared" si="57"/>
        <v>Methamphetamine-related</v>
      </c>
      <c r="K950" t="s">
        <v>97</v>
      </c>
      <c r="L950" t="s">
        <v>250</v>
      </c>
      <c r="N950" t="s">
        <v>5095</v>
      </c>
      <c r="O950" t="str" cm="1">
        <f t="array" ref="O950">_xlfn.IFS(
  TEXT(TRIM(N950),"00000")="NULL", "Missing/Unknown",
  OR(TEXT(TRIM(N950),"00000")="89101", TEXT(TRIM(N950),"00000")="89104", TEXT(TRIM(N950),"00000")="89106", TEXT(TRIM(N950),"00000")="89102", TEXT(TRIM(N950),"00000")="89107", TEXT(TRIM(N950),"00000")="89108"), "Urban Core",
  OR(TEXT(TRIM(N950),"00000")="89110", TEXT(TRIM(N950),"00000")="89115", TEXT(TRIM(N950),"00000")="89121", TEXT(TRIM(N950),"00000")="89122", TEXT(TRIM(N950),"00000")="89142", TEXT(TRIM(N950),"00000")="89156"), "East Valley",
  OR(TEXT(TRIM(N950),"00000")="89030", TEXT(TRIM(N950),"00000")="89031", TEXT(TRIM(N950),"00000")="89032", TEXT(TRIM(N950),"00000")="89086", TEXT(TRIM(N950),"00000")="89084", TEXT(TRIM(N950),"00000")="89081"), "North LV",
  OR(TEXT(TRIM(N950),"00000")="89109", TEXT(TRIM(N950),"00000")="89103", TEXT(TRIM(N950),"00000")="89119", TEXT(TRIM(N950),"00000")="89123", TEXT(TRIM(N950),"00000")="89169", TEXT(TRIM(N950),"00000")="89118"), "South/Strip",
  OR(TEXT(TRIM(N950),"00000")="89074", TEXT(TRIM(N950),"00000")="89014", TEXT(TRIM(N950),"00000")="89015", TEXT(TRIM(N950),"00000")="89011", TEXT(TRIM(N950),"00000")="89012"), "Suburban SE",
  OR(TEXT(TRIM(N950),"00000")="89117", TEXT(TRIM(N950),"00000")="89128", TEXT(TRIM(N950),"00000")="89135", TEXT(TRIM(N950),"00000")="89144", TEXT(TRIM(N950),"00000")="89145", TEXT(TRIM(N950),"00000")="89147"), "West Valley",
  TRUE, "Other"
)</f>
        <v>Missing/Unknown</v>
      </c>
      <c r="P950" t="s">
        <v>38</v>
      </c>
      <c r="Q950" t="str">
        <f t="shared" si="58"/>
        <v>Home/Residence</v>
      </c>
      <c r="R950" t="s">
        <v>5055</v>
      </c>
      <c r="S950" t="s">
        <v>5119</v>
      </c>
      <c r="T950" t="str" cm="1">
        <f t="array" ref="T950">_xlfn.IFS(
  TEXT(TRIM(S950),"00000")="NULL", "Missing/Unknown",
  OR(TEXT(TRIM(S950),"00000")="89101", TEXT(TRIM(S950),"00000")="89104", TEXT(TRIM(S950),"00000")="89106", TEXT(TRIM(S950),"00000")="89102", TEXT(TRIM(S950),"00000")="89107", TEXT(TRIM(S950),"00000")="89108"), "Urban Core",
  OR(TEXT(TRIM(S950),"00000")="89110", TEXT(TRIM(S950),"00000")="89115", TEXT(TRIM(S950),"00000")="89121", TEXT(TRIM(S950),"00000")="89122", TEXT(TRIM(S950),"00000")="89142", TEXT(TRIM(S950),"00000")="89156"), "East Valley",
  OR(TEXT(TRIM(S950),"00000")="89030", TEXT(TRIM(S950),"00000")="89031", TEXT(TRIM(S950),"00000")="89032", TEXT(TRIM(S950),"00000")="89086", TEXT(TRIM(S950),"00000")="89084", TEXT(TRIM(S950),"00000")="89081"), "North LV",
  OR(TEXT(TRIM(S950),"00000")="89109", TEXT(TRIM(S950),"00000")="89103", TEXT(TRIM(S950),"00000")="89119", TEXT(TRIM(S950),"00000")="89123", TEXT(TRIM(S950),"00000")="89169", TEXT(TRIM(S950),"00000")="89118"), "South/Strip",
  OR(TEXT(TRIM(S950),"00000")="89074", TEXT(TRIM(S950),"00000")="89014", TEXT(TRIM(S950),"00000")="89015", TEXT(TRIM(S950),"00000")="89011", TEXT(TRIM(S950),"00000")="89012"), "Suburban SE",
  OR(TEXT(TRIM(S950),"00000")="89117", TEXT(TRIM(S950),"00000")="89128", TEXT(TRIM(S950),"00000")="89135", TEXT(TRIM(S950),"00000")="89144", TEXT(TRIM(S950),"00000")="89145", TEXT(TRIM(S950),"00000")="89147"), "West Valley",
  TRUE, "Other"
)</f>
        <v>Urban Core</v>
      </c>
      <c r="U950" t="s">
        <v>855</v>
      </c>
      <c r="V950" t="str">
        <f t="shared" si="59"/>
        <v>Medical Facility</v>
      </c>
    </row>
    <row r="951" spans="1:22">
      <c r="A951" t="s">
        <v>2356</v>
      </c>
      <c r="B951" t="s">
        <v>2357</v>
      </c>
      <c r="C951" s="1">
        <v>44435</v>
      </c>
      <c r="D951" s="4">
        <v>107.96</v>
      </c>
      <c r="E951">
        <v>59</v>
      </c>
      <c r="F951" t="str">
        <f t="shared" si="56"/>
        <v>50's</v>
      </c>
      <c r="G951" t="str" cm="1">
        <f t="array" ref="G951">_xlfn.IFS(
  F951="10's", "Child (5–12)",
  OR(F951="20's", F951="30's"), "Young Adult (20–39)",
  OR(F951="40's", F951="50's"), "Adult (40–59)",
  OR(F951="60's", F951="70's", F951="80's", F951="90's"), "Senior (60+)",
  TRUE, "Unknown"
)</f>
        <v>Adult (40–59)</v>
      </c>
      <c r="H951" t="s">
        <v>841</v>
      </c>
      <c r="I951" t="s">
        <v>660</v>
      </c>
      <c r="J951" t="str">
        <f t="shared" si="57"/>
        <v>Environmental Heat</v>
      </c>
      <c r="K951" t="s">
        <v>98</v>
      </c>
      <c r="L951" t="s">
        <v>250</v>
      </c>
      <c r="M951" t="s">
        <v>4581</v>
      </c>
      <c r="N951" t="s">
        <v>5098</v>
      </c>
      <c r="O951" t="str" cm="1">
        <f t="array" ref="O951">_xlfn.IFS(
  TEXT(TRIM(N951),"00000")="NULL", "Missing/Unknown",
  OR(TEXT(TRIM(N951),"00000")="89101", TEXT(TRIM(N951),"00000")="89104", TEXT(TRIM(N951),"00000")="89106", TEXT(TRIM(N951),"00000")="89102", TEXT(TRIM(N951),"00000")="89107", TEXT(TRIM(N951),"00000")="89108"), "Urban Core",
  OR(TEXT(TRIM(N951),"00000")="89110", TEXT(TRIM(N951),"00000")="89115", TEXT(TRIM(N951),"00000")="89121", TEXT(TRIM(N951),"00000")="89122", TEXT(TRIM(N951),"00000")="89142", TEXT(TRIM(N951),"00000")="89156"), "East Valley",
  OR(TEXT(TRIM(N951),"00000")="89030", TEXT(TRIM(N951),"00000")="89031", TEXT(TRIM(N951),"00000")="89032", TEXT(TRIM(N951),"00000")="89086", TEXT(TRIM(N951),"00000")="89084", TEXT(TRIM(N951),"00000")="89081"), "North LV",
  OR(TEXT(TRIM(N951),"00000")="89109", TEXT(TRIM(N951),"00000")="89103", TEXT(TRIM(N951),"00000")="89119", TEXT(TRIM(N951),"00000")="89123", TEXT(TRIM(N951),"00000")="89169", TEXT(TRIM(N951),"00000")="89118"), "South/Strip",
  OR(TEXT(TRIM(N951),"00000")="89074", TEXT(TRIM(N951),"00000")="89014", TEXT(TRIM(N951),"00000")="89015", TEXT(TRIM(N951),"00000")="89011", TEXT(TRIM(N951),"00000")="89012"), "Suburban SE",
  OR(TEXT(TRIM(N951),"00000")="89117", TEXT(TRIM(N951),"00000")="89128", TEXT(TRIM(N951),"00000")="89135", TEXT(TRIM(N951),"00000")="89144", TEXT(TRIM(N951),"00000")="89145", TEXT(TRIM(N951),"00000")="89147"), "West Valley",
  TRUE, "Other"
)</f>
        <v>Urban Core</v>
      </c>
      <c r="P951" t="s">
        <v>3298</v>
      </c>
      <c r="Q951" t="str">
        <f t="shared" si="58"/>
        <v>Outdoors/Public</v>
      </c>
      <c r="R951" t="s">
        <v>4713</v>
      </c>
      <c r="S951" t="s">
        <v>5125</v>
      </c>
      <c r="T951" t="str" cm="1">
        <f t="array" ref="T951">_xlfn.IFS(
  TEXT(TRIM(S951),"00000")="NULL", "Missing/Unknown",
  OR(TEXT(TRIM(S951),"00000")="89101", TEXT(TRIM(S951),"00000")="89104", TEXT(TRIM(S951),"00000")="89106", TEXT(TRIM(S951),"00000")="89102", TEXT(TRIM(S951),"00000")="89107", TEXT(TRIM(S951),"00000")="89108"), "Urban Core",
  OR(TEXT(TRIM(S951),"00000")="89110", TEXT(TRIM(S951),"00000")="89115", TEXT(TRIM(S951),"00000")="89121", TEXT(TRIM(S951),"00000")="89122", TEXT(TRIM(S951),"00000")="89142", TEXT(TRIM(S951),"00000")="89156"), "East Valley",
  OR(TEXT(TRIM(S951),"00000")="89030", TEXT(TRIM(S951),"00000")="89031", TEXT(TRIM(S951),"00000")="89032", TEXT(TRIM(S951),"00000")="89086", TEXT(TRIM(S951),"00000")="89084", TEXT(TRIM(S951),"00000")="89081"), "North LV",
  OR(TEXT(TRIM(S951),"00000")="89109", TEXT(TRIM(S951),"00000")="89103", TEXT(TRIM(S951),"00000")="89119", TEXT(TRIM(S951),"00000")="89123", TEXT(TRIM(S951),"00000")="89169", TEXT(TRIM(S951),"00000")="89118"), "South/Strip",
  OR(TEXT(TRIM(S951),"00000")="89074", TEXT(TRIM(S951),"00000")="89014", TEXT(TRIM(S951),"00000")="89015", TEXT(TRIM(S951),"00000")="89011", TEXT(TRIM(S951),"00000")="89012"), "Suburban SE",
  OR(TEXT(TRIM(S951),"00000")="89117", TEXT(TRIM(S951),"00000")="89128", TEXT(TRIM(S951),"00000")="89135", TEXT(TRIM(S951),"00000")="89144", TEXT(TRIM(S951),"00000")="89145", TEXT(TRIM(S951),"00000")="89147"), "West Valley",
  TRUE, "Other"
)</f>
        <v>South/Strip</v>
      </c>
      <c r="U951" t="s">
        <v>4305</v>
      </c>
      <c r="V951" t="str">
        <f t="shared" si="59"/>
        <v>Medical Facility</v>
      </c>
    </row>
    <row r="952" spans="1:22">
      <c r="A952" t="s">
        <v>2352</v>
      </c>
      <c r="B952" t="s">
        <v>2353</v>
      </c>
      <c r="C952" s="1">
        <v>44434</v>
      </c>
      <c r="D952" s="4">
        <v>107.06</v>
      </c>
      <c r="E952">
        <v>42</v>
      </c>
      <c r="F952" t="str">
        <f t="shared" si="56"/>
        <v>40's</v>
      </c>
      <c r="G952" t="str" cm="1">
        <f t="array" ref="G952">_xlfn.IFS(
  F952="10's", "Child (5–12)",
  OR(F952="20's", F952="30's"), "Young Adult (20–39)",
  OR(F952="40's", F952="50's"), "Adult (40–59)",
  OR(F952="60's", F952="70's", F952="80's", F952="90's"), "Senior (60+)",
  TRUE, "Unknown"
)</f>
        <v>Adult (40–59)</v>
      </c>
      <c r="H952" t="s">
        <v>27</v>
      </c>
      <c r="I952" t="s">
        <v>1124</v>
      </c>
      <c r="J952" t="str">
        <f t="shared" si="57"/>
        <v>Cardiovascular Disease</v>
      </c>
      <c r="K952" t="s">
        <v>4267</v>
      </c>
      <c r="L952" t="s">
        <v>1071</v>
      </c>
      <c r="M952" t="s">
        <v>4824</v>
      </c>
      <c r="N952" t="s">
        <v>5150</v>
      </c>
      <c r="O952" t="str" cm="1">
        <f t="array" ref="O952">_xlfn.IFS(
  TEXT(TRIM(N952),"00000")="NULL", "Missing/Unknown",
  OR(TEXT(TRIM(N952),"00000")="89101", TEXT(TRIM(N952),"00000")="89104", TEXT(TRIM(N952),"00000")="89106", TEXT(TRIM(N952),"00000")="89102", TEXT(TRIM(N952),"00000")="89107", TEXT(TRIM(N952),"00000")="89108"), "Urban Core",
  OR(TEXT(TRIM(N952),"00000")="89110", TEXT(TRIM(N952),"00000")="89115", TEXT(TRIM(N952),"00000")="89121", TEXT(TRIM(N952),"00000")="89122", TEXT(TRIM(N952),"00000")="89142", TEXT(TRIM(N952),"00000")="89156"), "East Valley",
  OR(TEXT(TRIM(N952),"00000")="89030", TEXT(TRIM(N952),"00000")="89031", TEXT(TRIM(N952),"00000")="89032", TEXT(TRIM(N952),"00000")="89086", TEXT(TRIM(N952),"00000")="89084", TEXT(TRIM(N952),"00000")="89081"), "North LV",
  OR(TEXT(TRIM(N952),"00000")="89109", TEXT(TRIM(N952),"00000")="89103", TEXT(TRIM(N952),"00000")="89119", TEXT(TRIM(N952),"00000")="89123", TEXT(TRIM(N952),"00000")="89169", TEXT(TRIM(N952),"00000")="89118"), "South/Strip",
  OR(TEXT(TRIM(N952),"00000")="89074", TEXT(TRIM(N952),"00000")="89014", TEXT(TRIM(N952),"00000")="89015", TEXT(TRIM(N952),"00000")="89011", TEXT(TRIM(N952),"00000")="89012"), "Suburban SE",
  OR(TEXT(TRIM(N952),"00000")="89117", TEXT(TRIM(N952),"00000")="89128", TEXT(TRIM(N952),"00000")="89135", TEXT(TRIM(N952),"00000")="89144", TEXT(TRIM(N952),"00000")="89145", TEXT(TRIM(N952),"00000")="89147"), "West Valley",
  TRUE, "Other"
)</f>
        <v>Other</v>
      </c>
      <c r="P952" t="s">
        <v>3298</v>
      </c>
      <c r="Q952" t="str">
        <f t="shared" si="58"/>
        <v>Outdoors/Public</v>
      </c>
      <c r="R952" t="s">
        <v>4824</v>
      </c>
      <c r="S952" t="s">
        <v>5150</v>
      </c>
      <c r="T952" t="str" cm="1">
        <f t="array" ref="T952">_xlfn.IFS(
  TEXT(TRIM(S952),"00000")="NULL", "Missing/Unknown",
  OR(TEXT(TRIM(S952),"00000")="89101", TEXT(TRIM(S952),"00000")="89104", TEXT(TRIM(S952),"00000")="89106", TEXT(TRIM(S952),"00000")="89102", TEXT(TRIM(S952),"00000")="89107", TEXT(TRIM(S952),"00000")="89108"), "Urban Core",
  OR(TEXT(TRIM(S952),"00000")="89110", TEXT(TRIM(S952),"00000")="89115", TEXT(TRIM(S952),"00000")="89121", TEXT(TRIM(S952),"00000")="89122", TEXT(TRIM(S952),"00000")="89142", TEXT(TRIM(S952),"00000")="89156"), "East Valley",
  OR(TEXT(TRIM(S952),"00000")="89030", TEXT(TRIM(S952),"00000")="89031", TEXT(TRIM(S952),"00000")="89032", TEXT(TRIM(S952),"00000")="89086", TEXT(TRIM(S952),"00000")="89084", TEXT(TRIM(S952),"00000")="89081"), "North LV",
  OR(TEXT(TRIM(S952),"00000")="89109", TEXT(TRIM(S952),"00000")="89103", TEXT(TRIM(S952),"00000")="89119", TEXT(TRIM(S952),"00000")="89123", TEXT(TRIM(S952),"00000")="89169", TEXT(TRIM(S952),"00000")="89118"), "South/Strip",
  OR(TEXT(TRIM(S952),"00000")="89074", TEXT(TRIM(S952),"00000")="89014", TEXT(TRIM(S952),"00000")="89015", TEXT(TRIM(S952),"00000")="89011", TEXT(TRIM(S952),"00000")="89012"), "Suburban SE",
  OR(TEXT(TRIM(S952),"00000")="89117", TEXT(TRIM(S952),"00000")="89128", TEXT(TRIM(S952),"00000")="89135", TEXT(TRIM(S952),"00000")="89144", TEXT(TRIM(S952),"00000")="89145", TEXT(TRIM(S952),"00000")="89147"), "West Valley",
  TRUE, "Other"
)</f>
        <v>Other</v>
      </c>
      <c r="U952" t="s">
        <v>3298</v>
      </c>
      <c r="V952" t="str">
        <f t="shared" si="59"/>
        <v>Outdoors/Public</v>
      </c>
    </row>
    <row r="953" spans="1:22">
      <c r="A953" t="s">
        <v>2348</v>
      </c>
      <c r="B953" t="s">
        <v>2349</v>
      </c>
      <c r="C953" s="1">
        <v>44433</v>
      </c>
      <c r="D953" s="4">
        <v>105.98</v>
      </c>
      <c r="E953">
        <v>68</v>
      </c>
      <c r="F953" t="str">
        <f t="shared" si="56"/>
        <v>60's</v>
      </c>
      <c r="G953" t="str" cm="1">
        <f t="array" ref="G953">_xlfn.IFS(
  F953="10's", "Child (5–12)",
  OR(F953="20's", F953="30's"), "Young Adult (20–39)",
  OR(F953="40's", F953="50's"), "Adult (40–59)",
  OR(F953="60's", F953="70's", F953="80's", F953="90's"), "Senior (60+)",
  TRUE, "Unknown"
)</f>
        <v>Senior (60+)</v>
      </c>
      <c r="H953" t="s">
        <v>841</v>
      </c>
      <c r="I953" t="s">
        <v>80</v>
      </c>
      <c r="J953" t="str">
        <f t="shared" si="57"/>
        <v>Cardiovascular Disease</v>
      </c>
      <c r="K953" t="s">
        <v>4268</v>
      </c>
      <c r="L953" t="s">
        <v>1071</v>
      </c>
      <c r="M953" t="s">
        <v>4458</v>
      </c>
      <c r="N953" t="s">
        <v>5122</v>
      </c>
      <c r="O953" t="str" cm="1">
        <f t="array" ref="O953">_xlfn.IFS(
  TEXT(TRIM(N953),"00000")="NULL", "Missing/Unknown",
  OR(TEXT(TRIM(N953),"00000")="89101", TEXT(TRIM(N953),"00000")="89104", TEXT(TRIM(N953),"00000")="89106", TEXT(TRIM(N953),"00000")="89102", TEXT(TRIM(N953),"00000")="89107", TEXT(TRIM(N953),"00000")="89108"), "Urban Core",
  OR(TEXT(TRIM(N953),"00000")="89110", TEXT(TRIM(N953),"00000")="89115", TEXT(TRIM(N953),"00000")="89121", TEXT(TRIM(N953),"00000")="89122", TEXT(TRIM(N953),"00000")="89142", TEXT(TRIM(N953),"00000")="89156"), "East Valley",
  OR(TEXT(TRIM(N953),"00000")="89030", TEXT(TRIM(N953),"00000")="89031", TEXT(TRIM(N953),"00000")="89032", TEXT(TRIM(N953),"00000")="89086", TEXT(TRIM(N953),"00000")="89084", TEXT(TRIM(N953),"00000")="89081"), "North LV",
  OR(TEXT(TRIM(N953),"00000")="89109", TEXT(TRIM(N953),"00000")="89103", TEXT(TRIM(N953),"00000")="89119", TEXT(TRIM(N953),"00000")="89123", TEXT(TRIM(N953),"00000")="89169", TEXT(TRIM(N953),"00000")="89118"), "South/Strip",
  OR(TEXT(TRIM(N953),"00000")="89074", TEXT(TRIM(N953),"00000")="89014", TEXT(TRIM(N953),"00000")="89015", TEXT(TRIM(N953),"00000")="89011", TEXT(TRIM(N953),"00000")="89012"), "Suburban SE",
  OR(TEXT(TRIM(N953),"00000")="89117", TEXT(TRIM(N953),"00000")="89128", TEXT(TRIM(N953),"00000")="89135", TEXT(TRIM(N953),"00000")="89144", TEXT(TRIM(N953),"00000")="89145", TEXT(TRIM(N953),"00000")="89147"), "West Valley",
  TRUE, "Other"
)</f>
        <v>East Valley</v>
      </c>
      <c r="P953" t="s">
        <v>38</v>
      </c>
      <c r="Q953" t="str">
        <f t="shared" si="58"/>
        <v>Home/Residence</v>
      </c>
      <c r="R953" t="s">
        <v>4458</v>
      </c>
      <c r="S953" t="s">
        <v>5122</v>
      </c>
      <c r="T953" t="str" cm="1">
        <f t="array" ref="T953">_xlfn.IFS(
  TEXT(TRIM(S953),"00000")="NULL", "Missing/Unknown",
  OR(TEXT(TRIM(S953),"00000")="89101", TEXT(TRIM(S953),"00000")="89104", TEXT(TRIM(S953),"00000")="89106", TEXT(TRIM(S953),"00000")="89102", TEXT(TRIM(S953),"00000")="89107", TEXT(TRIM(S953),"00000")="89108"), "Urban Core",
  OR(TEXT(TRIM(S953),"00000")="89110", TEXT(TRIM(S953),"00000")="89115", TEXT(TRIM(S953),"00000")="89121", TEXT(TRIM(S953),"00000")="89122", TEXT(TRIM(S953),"00000")="89142", TEXT(TRIM(S953),"00000")="89156"), "East Valley",
  OR(TEXT(TRIM(S953),"00000")="89030", TEXT(TRIM(S953),"00000")="89031", TEXT(TRIM(S953),"00000")="89032", TEXT(TRIM(S953),"00000")="89086", TEXT(TRIM(S953),"00000")="89084", TEXT(TRIM(S953),"00000")="89081"), "North LV",
  OR(TEXT(TRIM(S953),"00000")="89109", TEXT(TRIM(S953),"00000")="89103", TEXT(TRIM(S953),"00000")="89119", TEXT(TRIM(S953),"00000")="89123", TEXT(TRIM(S953),"00000")="89169", TEXT(TRIM(S953),"00000")="89118"), "South/Strip",
  OR(TEXT(TRIM(S953),"00000")="89074", TEXT(TRIM(S953),"00000")="89014", TEXT(TRIM(S953),"00000")="89015", TEXT(TRIM(S953),"00000")="89011", TEXT(TRIM(S953),"00000")="89012"), "Suburban SE",
  OR(TEXT(TRIM(S953),"00000")="89117", TEXT(TRIM(S953),"00000")="89128", TEXT(TRIM(S953),"00000")="89135", TEXT(TRIM(S953),"00000")="89144", TEXT(TRIM(S953),"00000")="89145", TEXT(TRIM(S953),"00000")="89147"), "West Valley",
  TRUE, "Other"
)</f>
        <v>East Valley</v>
      </c>
      <c r="U953" t="s">
        <v>38</v>
      </c>
      <c r="V953" t="str">
        <f t="shared" si="59"/>
        <v>Home/Residence</v>
      </c>
    </row>
    <row r="954" spans="1:22">
      <c r="A954" t="s">
        <v>2345</v>
      </c>
      <c r="B954" t="s">
        <v>2346</v>
      </c>
      <c r="C954" s="1">
        <v>44431</v>
      </c>
      <c r="D954" s="4">
        <v>102.02</v>
      </c>
      <c r="E954">
        <v>67</v>
      </c>
      <c r="F954" t="str">
        <f t="shared" si="56"/>
        <v>60's</v>
      </c>
      <c r="G954" t="str" cm="1">
        <f t="array" ref="G954">_xlfn.IFS(
  F954="10's", "Child (5–12)",
  OR(F954="20's", F954="30's"), "Young Adult (20–39)",
  OR(F954="40's", F954="50's"), "Adult (40–59)",
  OR(F954="60's", F954="70's", F954="80's", F954="90's"), "Senior (60+)",
  TRUE, "Unknown"
)</f>
        <v>Senior (60+)</v>
      </c>
      <c r="H954" t="s">
        <v>778</v>
      </c>
      <c r="I954" t="s">
        <v>54</v>
      </c>
      <c r="J954" t="str">
        <f t="shared" si="57"/>
        <v>Environmental Heat</v>
      </c>
      <c r="K954" t="s">
        <v>468</v>
      </c>
      <c r="L954" t="s">
        <v>250</v>
      </c>
      <c r="M954" t="s">
        <v>4825</v>
      </c>
      <c r="N954" t="s">
        <v>5144</v>
      </c>
      <c r="O954" t="str" cm="1">
        <f t="array" ref="O954">_xlfn.IFS(
  TEXT(TRIM(N954),"00000")="NULL", "Missing/Unknown",
  OR(TEXT(TRIM(N954),"00000")="89101", TEXT(TRIM(N954),"00000")="89104", TEXT(TRIM(N954),"00000")="89106", TEXT(TRIM(N954),"00000")="89102", TEXT(TRIM(N954),"00000")="89107", TEXT(TRIM(N954),"00000")="89108"), "Urban Core",
  OR(TEXT(TRIM(N954),"00000")="89110", TEXT(TRIM(N954),"00000")="89115", TEXT(TRIM(N954),"00000")="89121", TEXT(TRIM(N954),"00000")="89122", TEXT(TRIM(N954),"00000")="89142", TEXT(TRIM(N954),"00000")="89156"), "East Valley",
  OR(TEXT(TRIM(N954),"00000")="89030", TEXT(TRIM(N954),"00000")="89031", TEXT(TRIM(N954),"00000")="89032", TEXT(TRIM(N954),"00000")="89086", TEXT(TRIM(N954),"00000")="89084", TEXT(TRIM(N954),"00000")="89081"), "North LV",
  OR(TEXT(TRIM(N954),"00000")="89109", TEXT(TRIM(N954),"00000")="89103", TEXT(TRIM(N954),"00000")="89119", TEXT(TRIM(N954),"00000")="89123", TEXT(TRIM(N954),"00000")="89169", TEXT(TRIM(N954),"00000")="89118"), "South/Strip",
  OR(TEXT(TRIM(N954),"00000")="89074", TEXT(TRIM(N954),"00000")="89014", TEXT(TRIM(N954),"00000")="89015", TEXT(TRIM(N954),"00000")="89011", TEXT(TRIM(N954),"00000")="89012"), "Suburban SE",
  OR(TEXT(TRIM(N954),"00000")="89117", TEXT(TRIM(N954),"00000")="89128", TEXT(TRIM(N954),"00000")="89135", TEXT(TRIM(N954),"00000")="89144", TEXT(TRIM(N954),"00000")="89145", TEXT(TRIM(N954),"00000")="89147"), "West Valley",
  TRUE, "Other"
)</f>
        <v>Other</v>
      </c>
      <c r="P954" t="s">
        <v>3298</v>
      </c>
      <c r="Q954" t="str">
        <f t="shared" si="58"/>
        <v>Outdoors/Public</v>
      </c>
      <c r="R954" t="s">
        <v>4825</v>
      </c>
      <c r="S954" t="s">
        <v>5144</v>
      </c>
      <c r="T954" t="str" cm="1">
        <f t="array" ref="T954">_xlfn.IFS(
  TEXT(TRIM(S954),"00000")="NULL", "Missing/Unknown",
  OR(TEXT(TRIM(S954),"00000")="89101", TEXT(TRIM(S954),"00000")="89104", TEXT(TRIM(S954),"00000")="89106", TEXT(TRIM(S954),"00000")="89102", TEXT(TRIM(S954),"00000")="89107", TEXT(TRIM(S954),"00000")="89108"), "Urban Core",
  OR(TEXT(TRIM(S954),"00000")="89110", TEXT(TRIM(S954),"00000")="89115", TEXT(TRIM(S954),"00000")="89121", TEXT(TRIM(S954),"00000")="89122", TEXT(TRIM(S954),"00000")="89142", TEXT(TRIM(S954),"00000")="89156"), "East Valley",
  OR(TEXT(TRIM(S954),"00000")="89030", TEXT(TRIM(S954),"00000")="89031", TEXT(TRIM(S954),"00000")="89032", TEXT(TRIM(S954),"00000")="89086", TEXT(TRIM(S954),"00000")="89084", TEXT(TRIM(S954),"00000")="89081"), "North LV",
  OR(TEXT(TRIM(S954),"00000")="89109", TEXT(TRIM(S954),"00000")="89103", TEXT(TRIM(S954),"00000")="89119", TEXT(TRIM(S954),"00000")="89123", TEXT(TRIM(S954),"00000")="89169", TEXT(TRIM(S954),"00000")="89118"), "South/Strip",
  OR(TEXT(TRIM(S954),"00000")="89074", TEXT(TRIM(S954),"00000")="89014", TEXT(TRIM(S954),"00000")="89015", TEXT(TRIM(S954),"00000")="89011", TEXT(TRIM(S954),"00000")="89012"), "Suburban SE",
  OR(TEXT(TRIM(S954),"00000")="89117", TEXT(TRIM(S954),"00000")="89128", TEXT(TRIM(S954),"00000")="89135", TEXT(TRIM(S954),"00000")="89144", TEXT(TRIM(S954),"00000")="89145", TEXT(TRIM(S954),"00000")="89147"), "West Valley",
  TRUE, "Other"
)</f>
        <v>Other</v>
      </c>
      <c r="U954" t="s">
        <v>3298</v>
      </c>
      <c r="V954" t="str">
        <f t="shared" si="59"/>
        <v>Outdoors/Public</v>
      </c>
    </row>
    <row r="955" spans="1:22">
      <c r="A955" t="s">
        <v>2342</v>
      </c>
      <c r="B955" t="s">
        <v>2343</v>
      </c>
      <c r="C955" s="1">
        <v>44431</v>
      </c>
      <c r="D955" s="4">
        <v>102.02</v>
      </c>
      <c r="E955">
        <v>43</v>
      </c>
      <c r="F955" t="str">
        <f t="shared" si="56"/>
        <v>40's</v>
      </c>
      <c r="G955" t="str" cm="1">
        <f t="array" ref="G955">_xlfn.IFS(
  F955="10's", "Child (5–12)",
  OR(F955="20's", F955="30's"), "Young Adult (20–39)",
  OR(F955="40's", F955="50's"), "Adult (40–59)",
  OR(F955="60's", F955="70's", F955="80's", F955="90's"), "Senior (60+)",
  TRUE, "Unknown"
)</f>
        <v>Adult (40–59)</v>
      </c>
      <c r="H955" t="s">
        <v>778</v>
      </c>
      <c r="I955" t="s">
        <v>54</v>
      </c>
      <c r="J955" t="str">
        <f t="shared" si="57"/>
        <v>Environmental Heat</v>
      </c>
      <c r="K955" t="s">
        <v>28</v>
      </c>
      <c r="L955" t="s">
        <v>250</v>
      </c>
      <c r="M955" t="s">
        <v>4323</v>
      </c>
      <c r="N955" t="s">
        <v>5100</v>
      </c>
      <c r="O955" t="str" cm="1">
        <f t="array" ref="O955">_xlfn.IFS(
  TEXT(TRIM(N955),"00000")="NULL", "Missing/Unknown",
  OR(TEXT(TRIM(N955),"00000")="89101", TEXT(TRIM(N955),"00000")="89104", TEXT(TRIM(N955),"00000")="89106", TEXT(TRIM(N955),"00000")="89102", TEXT(TRIM(N955),"00000")="89107", TEXT(TRIM(N955),"00000")="89108"), "Urban Core",
  OR(TEXT(TRIM(N955),"00000")="89110", TEXT(TRIM(N955),"00000")="89115", TEXT(TRIM(N955),"00000")="89121", TEXT(TRIM(N955),"00000")="89122", TEXT(TRIM(N955),"00000")="89142", TEXT(TRIM(N955),"00000")="89156"), "East Valley",
  OR(TEXT(TRIM(N955),"00000")="89030", TEXT(TRIM(N955),"00000")="89031", TEXT(TRIM(N955),"00000")="89032", TEXT(TRIM(N955),"00000")="89086", TEXT(TRIM(N955),"00000")="89084", TEXT(TRIM(N955),"00000")="89081"), "North LV",
  OR(TEXT(TRIM(N955),"00000")="89109", TEXT(TRIM(N955),"00000")="89103", TEXT(TRIM(N955),"00000")="89119", TEXT(TRIM(N955),"00000")="89123", TEXT(TRIM(N955),"00000")="89169", TEXT(TRIM(N955),"00000")="89118"), "South/Strip",
  OR(TEXT(TRIM(N955),"00000")="89074", TEXT(TRIM(N955),"00000")="89014", TEXT(TRIM(N955),"00000")="89015", TEXT(TRIM(N955),"00000")="89011", TEXT(TRIM(N955),"00000")="89012"), "Suburban SE",
  OR(TEXT(TRIM(N955),"00000")="89117", TEXT(TRIM(N955),"00000")="89128", TEXT(TRIM(N955),"00000")="89135", TEXT(TRIM(N955),"00000")="89144", TEXT(TRIM(N955),"00000")="89145", TEXT(TRIM(N955),"00000")="89147"), "West Valley",
  TRUE, "Other"
)</f>
        <v>North LV</v>
      </c>
      <c r="P955" t="s">
        <v>132</v>
      </c>
      <c r="Q955" t="str">
        <f t="shared" si="58"/>
        <v>Outdoors/Public</v>
      </c>
      <c r="R955" t="s">
        <v>4323</v>
      </c>
      <c r="S955" t="s">
        <v>5100</v>
      </c>
      <c r="T955" t="str" cm="1">
        <f t="array" ref="T955">_xlfn.IFS(
  TEXT(TRIM(S955),"00000")="NULL", "Missing/Unknown",
  OR(TEXT(TRIM(S955),"00000")="89101", TEXT(TRIM(S955),"00000")="89104", TEXT(TRIM(S955),"00000")="89106", TEXT(TRIM(S955),"00000")="89102", TEXT(TRIM(S955),"00000")="89107", TEXT(TRIM(S955),"00000")="89108"), "Urban Core",
  OR(TEXT(TRIM(S955),"00000")="89110", TEXT(TRIM(S955),"00000")="89115", TEXT(TRIM(S955),"00000")="89121", TEXT(TRIM(S955),"00000")="89122", TEXT(TRIM(S955),"00000")="89142", TEXT(TRIM(S955),"00000")="89156"), "East Valley",
  OR(TEXT(TRIM(S955),"00000")="89030", TEXT(TRIM(S955),"00000")="89031", TEXT(TRIM(S955),"00000")="89032", TEXT(TRIM(S955),"00000")="89086", TEXT(TRIM(S955),"00000")="89084", TEXT(TRIM(S955),"00000")="89081"), "North LV",
  OR(TEXT(TRIM(S955),"00000")="89109", TEXT(TRIM(S955),"00000")="89103", TEXT(TRIM(S955),"00000")="89119", TEXT(TRIM(S955),"00000")="89123", TEXT(TRIM(S955),"00000")="89169", TEXT(TRIM(S955),"00000")="89118"), "South/Strip",
  OR(TEXT(TRIM(S955),"00000")="89074", TEXT(TRIM(S955),"00000")="89014", TEXT(TRIM(S955),"00000")="89015", TEXT(TRIM(S955),"00000")="89011", TEXT(TRIM(S955),"00000")="89012"), "Suburban SE",
  OR(TEXT(TRIM(S955),"00000")="89117", TEXT(TRIM(S955),"00000")="89128", TEXT(TRIM(S955),"00000")="89135", TEXT(TRIM(S955),"00000")="89144", TEXT(TRIM(S955),"00000")="89145", TEXT(TRIM(S955),"00000")="89147"), "West Valley",
  TRUE, "Other"
)</f>
        <v>North LV</v>
      </c>
      <c r="U955" t="s">
        <v>132</v>
      </c>
      <c r="V955" t="str">
        <f t="shared" si="59"/>
        <v>Outdoors/Public</v>
      </c>
    </row>
    <row r="956" spans="1:22">
      <c r="A956" t="s">
        <v>2333</v>
      </c>
      <c r="B956" t="s">
        <v>2334</v>
      </c>
      <c r="C956" s="1">
        <v>44428</v>
      </c>
      <c r="D956" s="4">
        <v>96.080000000000013</v>
      </c>
      <c r="E956">
        <v>75</v>
      </c>
      <c r="F956" t="str">
        <f t="shared" si="56"/>
        <v>70's</v>
      </c>
      <c r="G956" t="str" cm="1">
        <f t="array" ref="G956">_xlfn.IFS(
  F956="10's", "Child (5–12)",
  OR(F956="20's", F956="30's"), "Young Adult (20–39)",
  OR(F956="40's", F956="50's"), "Adult (40–59)",
  OR(F956="60's", F956="70's", F956="80's", F956="90's"), "Senior (60+)",
  TRUE, "Unknown"
)</f>
        <v>Senior (60+)</v>
      </c>
      <c r="H956" t="s">
        <v>841</v>
      </c>
      <c r="I956" t="s">
        <v>4116</v>
      </c>
      <c r="J956" t="str">
        <f t="shared" si="57"/>
        <v>Other / Unknown</v>
      </c>
      <c r="K956" t="s">
        <v>4269</v>
      </c>
      <c r="L956" t="s">
        <v>1071</v>
      </c>
      <c r="M956" t="s">
        <v>4457</v>
      </c>
      <c r="N956" t="s">
        <v>5161</v>
      </c>
      <c r="O956" t="str" cm="1">
        <f t="array" ref="O956">_xlfn.IFS(
  TEXT(TRIM(N956),"00000")="NULL", "Missing/Unknown",
  OR(TEXT(TRIM(N956),"00000")="89101", TEXT(TRIM(N956),"00000")="89104", TEXT(TRIM(N956),"00000")="89106", TEXT(TRIM(N956),"00000")="89102", TEXT(TRIM(N956),"00000")="89107", TEXT(TRIM(N956),"00000")="89108"), "Urban Core",
  OR(TEXT(TRIM(N956),"00000")="89110", TEXT(TRIM(N956),"00000")="89115", TEXT(TRIM(N956),"00000")="89121", TEXT(TRIM(N956),"00000")="89122", TEXT(TRIM(N956),"00000")="89142", TEXT(TRIM(N956),"00000")="89156"), "East Valley",
  OR(TEXT(TRIM(N956),"00000")="89030", TEXT(TRIM(N956),"00000")="89031", TEXT(TRIM(N956),"00000")="89032", TEXT(TRIM(N956),"00000")="89086", TEXT(TRIM(N956),"00000")="89084", TEXT(TRIM(N956),"00000")="89081"), "North LV",
  OR(TEXT(TRIM(N956),"00000")="89109", TEXT(TRIM(N956),"00000")="89103", TEXT(TRIM(N956),"00000")="89119", TEXT(TRIM(N956),"00000")="89123", TEXT(TRIM(N956),"00000")="89169", TEXT(TRIM(N956),"00000")="89118"), "South/Strip",
  OR(TEXT(TRIM(N956),"00000")="89074", TEXT(TRIM(N956),"00000")="89014", TEXT(TRIM(N956),"00000")="89015", TEXT(TRIM(N956),"00000")="89011", TEXT(TRIM(N956),"00000")="89012"), "Suburban SE",
  OR(TEXT(TRIM(N956),"00000")="89117", TEXT(TRIM(N956),"00000")="89128", TEXT(TRIM(N956),"00000")="89135", TEXT(TRIM(N956),"00000")="89144", TEXT(TRIM(N956),"00000")="89145", TEXT(TRIM(N956),"00000")="89147"), "West Valley",
  TRUE, "Other"
)</f>
        <v>Other</v>
      </c>
      <c r="P956" t="s">
        <v>38</v>
      </c>
      <c r="Q956" t="str">
        <f t="shared" si="58"/>
        <v>Home/Residence</v>
      </c>
      <c r="R956" t="s">
        <v>4457</v>
      </c>
      <c r="S956" t="s">
        <v>5161</v>
      </c>
      <c r="T956" t="str" cm="1">
        <f t="array" ref="T956">_xlfn.IFS(
  TEXT(TRIM(S956),"00000")="NULL", "Missing/Unknown",
  OR(TEXT(TRIM(S956),"00000")="89101", TEXT(TRIM(S956),"00000")="89104", TEXT(TRIM(S956),"00000")="89106", TEXT(TRIM(S956),"00000")="89102", TEXT(TRIM(S956),"00000")="89107", TEXT(TRIM(S956),"00000")="89108"), "Urban Core",
  OR(TEXT(TRIM(S956),"00000")="89110", TEXT(TRIM(S956),"00000")="89115", TEXT(TRIM(S956),"00000")="89121", TEXT(TRIM(S956),"00000")="89122", TEXT(TRIM(S956),"00000")="89142", TEXT(TRIM(S956),"00000")="89156"), "East Valley",
  OR(TEXT(TRIM(S956),"00000")="89030", TEXT(TRIM(S956),"00000")="89031", TEXT(TRIM(S956),"00000")="89032", TEXT(TRIM(S956),"00000")="89086", TEXT(TRIM(S956),"00000")="89084", TEXT(TRIM(S956),"00000")="89081"), "North LV",
  OR(TEXT(TRIM(S956),"00000")="89109", TEXT(TRIM(S956),"00000")="89103", TEXT(TRIM(S956),"00000")="89119", TEXT(TRIM(S956),"00000")="89123", TEXT(TRIM(S956),"00000")="89169", TEXT(TRIM(S956),"00000")="89118"), "South/Strip",
  OR(TEXT(TRIM(S956),"00000")="89074", TEXT(TRIM(S956),"00000")="89014", TEXT(TRIM(S956),"00000")="89015", TEXT(TRIM(S956),"00000")="89011", TEXT(TRIM(S956),"00000")="89012"), "Suburban SE",
  OR(TEXT(TRIM(S956),"00000")="89117", TEXT(TRIM(S956),"00000")="89128", TEXT(TRIM(S956),"00000")="89135", TEXT(TRIM(S956),"00000")="89144", TEXT(TRIM(S956),"00000")="89145", TEXT(TRIM(S956),"00000")="89147"), "West Valley",
  TRUE, "Other"
)</f>
        <v>Other</v>
      </c>
      <c r="U956" t="s">
        <v>38</v>
      </c>
      <c r="V956" t="str">
        <f t="shared" si="59"/>
        <v>Home/Residence</v>
      </c>
    </row>
    <row r="957" spans="1:22">
      <c r="A957" t="s">
        <v>2338</v>
      </c>
      <c r="B957" t="s">
        <v>2339</v>
      </c>
      <c r="C957" s="1">
        <v>44428</v>
      </c>
      <c r="D957" s="4">
        <v>96.080000000000013</v>
      </c>
      <c r="E957">
        <v>44</v>
      </c>
      <c r="F957" t="str">
        <f t="shared" si="56"/>
        <v>40's</v>
      </c>
      <c r="G957" t="str" cm="1">
        <f t="array" ref="G957">_xlfn.IFS(
  F957="10's", "Child (5–12)",
  OR(F957="20's", F957="30's"), "Young Adult (20–39)",
  OR(F957="40's", F957="50's"), "Adult (40–59)",
  OR(F957="60's", F957="70's", F957="80's", F957="90's"), "Senior (60+)",
  TRUE, "Unknown"
)</f>
        <v>Adult (40–59)</v>
      </c>
      <c r="H957" t="s">
        <v>841</v>
      </c>
      <c r="I957" t="s">
        <v>1028</v>
      </c>
      <c r="J957" t="str">
        <f t="shared" si="57"/>
        <v>Methamphetamine-related</v>
      </c>
      <c r="K957" t="s">
        <v>2340</v>
      </c>
      <c r="L957" t="s">
        <v>250</v>
      </c>
      <c r="M957" t="s">
        <v>4826</v>
      </c>
      <c r="N957" t="s">
        <v>5123</v>
      </c>
      <c r="O957" t="str" cm="1">
        <f t="array" ref="O957">_xlfn.IFS(
  TEXT(TRIM(N957),"00000")="NULL", "Missing/Unknown",
  OR(TEXT(TRIM(N957),"00000")="89101", TEXT(TRIM(N957),"00000")="89104", TEXT(TRIM(N957),"00000")="89106", TEXT(TRIM(N957),"00000")="89102", TEXT(TRIM(N957),"00000")="89107", TEXT(TRIM(N957),"00000")="89108"), "Urban Core",
  OR(TEXT(TRIM(N957),"00000")="89110", TEXT(TRIM(N957),"00000")="89115", TEXT(TRIM(N957),"00000")="89121", TEXT(TRIM(N957),"00000")="89122", TEXT(TRIM(N957),"00000")="89142", TEXT(TRIM(N957),"00000")="89156"), "East Valley",
  OR(TEXT(TRIM(N957),"00000")="89030", TEXT(TRIM(N957),"00000")="89031", TEXT(TRIM(N957),"00000")="89032", TEXT(TRIM(N957),"00000")="89086", TEXT(TRIM(N957),"00000")="89084", TEXT(TRIM(N957),"00000")="89081"), "North LV",
  OR(TEXT(TRIM(N957),"00000")="89109", TEXT(TRIM(N957),"00000")="89103", TEXT(TRIM(N957),"00000")="89119", TEXT(TRIM(N957),"00000")="89123", TEXT(TRIM(N957),"00000")="89169", TEXT(TRIM(N957),"00000")="89118"), "South/Strip",
  OR(TEXT(TRIM(N957),"00000")="89074", TEXT(TRIM(N957),"00000")="89014", TEXT(TRIM(N957),"00000")="89015", TEXT(TRIM(N957),"00000")="89011", TEXT(TRIM(N957),"00000")="89012"), "Suburban SE",
  OR(TEXT(TRIM(N957),"00000")="89117", TEXT(TRIM(N957),"00000")="89128", TEXT(TRIM(N957),"00000")="89135", TEXT(TRIM(N957),"00000")="89144", TEXT(TRIM(N957),"00000")="89145", TEXT(TRIM(N957),"00000")="89147"), "West Valley",
  TRUE, "Other"
)</f>
        <v>South/Strip</v>
      </c>
      <c r="P957" t="s">
        <v>3298</v>
      </c>
      <c r="Q957" t="str">
        <f t="shared" si="58"/>
        <v>Outdoors/Public</v>
      </c>
      <c r="R957" t="s">
        <v>4826</v>
      </c>
      <c r="S957" t="s">
        <v>5123</v>
      </c>
      <c r="T957" t="str" cm="1">
        <f t="array" ref="T957">_xlfn.IFS(
  TEXT(TRIM(S957),"00000")="NULL", "Missing/Unknown",
  OR(TEXT(TRIM(S957),"00000")="89101", TEXT(TRIM(S957),"00000")="89104", TEXT(TRIM(S957),"00000")="89106", TEXT(TRIM(S957),"00000")="89102", TEXT(TRIM(S957),"00000")="89107", TEXT(TRIM(S957),"00000")="89108"), "Urban Core",
  OR(TEXT(TRIM(S957),"00000")="89110", TEXT(TRIM(S957),"00000")="89115", TEXT(TRIM(S957),"00000")="89121", TEXT(TRIM(S957),"00000")="89122", TEXT(TRIM(S957),"00000")="89142", TEXT(TRIM(S957),"00000")="89156"), "East Valley",
  OR(TEXT(TRIM(S957),"00000")="89030", TEXT(TRIM(S957),"00000")="89031", TEXT(TRIM(S957),"00000")="89032", TEXT(TRIM(S957),"00000")="89086", TEXT(TRIM(S957),"00000")="89084", TEXT(TRIM(S957),"00000")="89081"), "North LV",
  OR(TEXT(TRIM(S957),"00000")="89109", TEXT(TRIM(S957),"00000")="89103", TEXT(TRIM(S957),"00000")="89119", TEXT(TRIM(S957),"00000")="89123", TEXT(TRIM(S957),"00000")="89169", TEXT(TRIM(S957),"00000")="89118"), "South/Strip",
  OR(TEXT(TRIM(S957),"00000")="89074", TEXT(TRIM(S957),"00000")="89014", TEXT(TRIM(S957),"00000")="89015", TEXT(TRIM(S957),"00000")="89011", TEXT(TRIM(S957),"00000")="89012"), "Suburban SE",
  OR(TEXT(TRIM(S957),"00000")="89117", TEXT(TRIM(S957),"00000")="89128", TEXT(TRIM(S957),"00000")="89135", TEXT(TRIM(S957),"00000")="89144", TEXT(TRIM(S957),"00000")="89145", TEXT(TRIM(S957),"00000")="89147"), "West Valley",
  TRUE, "Other"
)</f>
        <v>South/Strip</v>
      </c>
      <c r="U957" t="s">
        <v>3298</v>
      </c>
      <c r="V957" t="str">
        <f t="shared" si="59"/>
        <v>Outdoors/Public</v>
      </c>
    </row>
    <row r="958" spans="1:22">
      <c r="A958" t="s">
        <v>2330</v>
      </c>
      <c r="B958" t="s">
        <v>2331</v>
      </c>
      <c r="C958" s="1">
        <v>44428</v>
      </c>
      <c r="D958" s="4">
        <v>96.080000000000013</v>
      </c>
      <c r="E958">
        <v>56</v>
      </c>
      <c r="F958" t="str">
        <f t="shared" si="56"/>
        <v>50's</v>
      </c>
      <c r="G958" t="str" cm="1">
        <f t="array" ref="G958">_xlfn.IFS(
  F958="10's", "Child (5–12)",
  OR(F958="20's", F958="30's"), "Young Adult (20–39)",
  OR(F958="40's", F958="50's"), "Adult (40–59)",
  OR(F958="60's", F958="70's", F958="80's", F958="90's"), "Senior (60+)",
  TRUE, "Unknown"
)</f>
        <v>Adult (40–59)</v>
      </c>
      <c r="H958" t="s">
        <v>4309</v>
      </c>
      <c r="I958" t="s">
        <v>4115</v>
      </c>
      <c r="J958" t="str">
        <f t="shared" si="57"/>
        <v>Environmental Heat</v>
      </c>
      <c r="K958" t="s">
        <v>2332</v>
      </c>
      <c r="L958" t="s">
        <v>250</v>
      </c>
      <c r="N958" t="s">
        <v>5095</v>
      </c>
      <c r="O958" t="str" cm="1">
        <f t="array" ref="O958">_xlfn.IFS(
  TEXT(TRIM(N958),"00000")="NULL", "Missing/Unknown",
  OR(TEXT(TRIM(N958),"00000")="89101", TEXT(TRIM(N958),"00000")="89104", TEXT(TRIM(N958),"00000")="89106", TEXT(TRIM(N958),"00000")="89102", TEXT(TRIM(N958),"00000")="89107", TEXT(TRIM(N958),"00000")="89108"), "Urban Core",
  OR(TEXT(TRIM(N958),"00000")="89110", TEXT(TRIM(N958),"00000")="89115", TEXT(TRIM(N958),"00000")="89121", TEXT(TRIM(N958),"00000")="89122", TEXT(TRIM(N958),"00000")="89142", TEXT(TRIM(N958),"00000")="89156"), "East Valley",
  OR(TEXT(TRIM(N958),"00000")="89030", TEXT(TRIM(N958),"00000")="89031", TEXT(TRIM(N958),"00000")="89032", TEXT(TRIM(N958),"00000")="89086", TEXT(TRIM(N958),"00000")="89084", TEXT(TRIM(N958),"00000")="89081"), "North LV",
  OR(TEXT(TRIM(N958),"00000")="89109", TEXT(TRIM(N958),"00000")="89103", TEXT(TRIM(N958),"00000")="89119", TEXT(TRIM(N958),"00000")="89123", TEXT(TRIM(N958),"00000")="89169", TEXT(TRIM(N958),"00000")="89118"), "South/Strip",
  OR(TEXT(TRIM(N958),"00000")="89074", TEXT(TRIM(N958),"00000")="89014", TEXT(TRIM(N958),"00000")="89015", TEXT(TRIM(N958),"00000")="89011", TEXT(TRIM(N958),"00000")="89012"), "Suburban SE",
  OR(TEXT(TRIM(N958),"00000")="89117", TEXT(TRIM(N958),"00000")="89128", TEXT(TRIM(N958),"00000")="89135", TEXT(TRIM(N958),"00000")="89144", TEXT(TRIM(N958),"00000")="89145", TEXT(TRIM(N958),"00000")="89147"), "West Valley",
  TRUE, "Other"
)</f>
        <v>Missing/Unknown</v>
      </c>
      <c r="P958" t="s">
        <v>3298</v>
      </c>
      <c r="Q958" t="str">
        <f t="shared" si="58"/>
        <v>Outdoors/Public</v>
      </c>
      <c r="S958" t="s">
        <v>5095</v>
      </c>
      <c r="T958" t="str" cm="1">
        <f t="array" ref="T958">_xlfn.IFS(
  TEXT(TRIM(S958),"00000")="NULL", "Missing/Unknown",
  OR(TEXT(TRIM(S958),"00000")="89101", TEXT(TRIM(S958),"00000")="89104", TEXT(TRIM(S958),"00000")="89106", TEXT(TRIM(S958),"00000")="89102", TEXT(TRIM(S958),"00000")="89107", TEXT(TRIM(S958),"00000")="89108"), "Urban Core",
  OR(TEXT(TRIM(S958),"00000")="89110", TEXT(TRIM(S958),"00000")="89115", TEXT(TRIM(S958),"00000")="89121", TEXT(TRIM(S958),"00000")="89122", TEXT(TRIM(S958),"00000")="89142", TEXT(TRIM(S958),"00000")="89156"), "East Valley",
  OR(TEXT(TRIM(S958),"00000")="89030", TEXT(TRIM(S958),"00000")="89031", TEXT(TRIM(S958),"00000")="89032", TEXT(TRIM(S958),"00000")="89086", TEXT(TRIM(S958),"00000")="89084", TEXT(TRIM(S958),"00000")="89081"), "North LV",
  OR(TEXT(TRIM(S958),"00000")="89109", TEXT(TRIM(S958),"00000")="89103", TEXT(TRIM(S958),"00000")="89119", TEXT(TRIM(S958),"00000")="89123", TEXT(TRIM(S958),"00000")="89169", TEXT(TRIM(S958),"00000")="89118"), "South/Strip",
  OR(TEXT(TRIM(S958),"00000")="89074", TEXT(TRIM(S958),"00000")="89014", TEXT(TRIM(S958),"00000")="89015", TEXT(TRIM(S958),"00000")="89011", TEXT(TRIM(S958),"00000")="89012"), "Suburban SE",
  OR(TEXT(TRIM(S958),"00000")="89117", TEXT(TRIM(S958),"00000")="89128", TEXT(TRIM(S958),"00000")="89135", TEXT(TRIM(S958),"00000")="89144", TEXT(TRIM(S958),"00000")="89145", TEXT(TRIM(S958),"00000")="89147"), "West Valley",
  TRUE, "Other"
)</f>
        <v>Missing/Unknown</v>
      </c>
      <c r="U958" t="s">
        <v>3298</v>
      </c>
      <c r="V958" t="str">
        <f t="shared" si="59"/>
        <v>Outdoors/Public</v>
      </c>
    </row>
    <row r="959" spans="1:22">
      <c r="A959" t="s">
        <v>2327</v>
      </c>
      <c r="B959" t="s">
        <v>2328</v>
      </c>
      <c r="C959" s="1">
        <v>44427</v>
      </c>
      <c r="D959" s="4">
        <v>93.919999999999987</v>
      </c>
      <c r="E959">
        <v>71</v>
      </c>
      <c r="F959" t="str">
        <f t="shared" si="56"/>
        <v>70's</v>
      </c>
      <c r="G959" t="str" cm="1">
        <f t="array" ref="G959">_xlfn.IFS(
  F959="10's", "Child (5–12)",
  OR(F959="20's", F959="30's"), "Young Adult (20–39)",
  OR(F959="40's", F959="50's"), "Adult (40–59)",
  OR(F959="60's", F959="70's", F959="80's", F959="90's"), "Senior (60+)",
  TRUE, "Unknown"
)</f>
        <v>Senior (60+)</v>
      </c>
      <c r="H959" t="s">
        <v>841</v>
      </c>
      <c r="I959" t="s">
        <v>54</v>
      </c>
      <c r="J959" t="str">
        <f t="shared" si="57"/>
        <v>Environmental Heat</v>
      </c>
      <c r="K959" t="s">
        <v>63</v>
      </c>
      <c r="L959" t="s">
        <v>1071</v>
      </c>
      <c r="M959" t="s">
        <v>4321</v>
      </c>
      <c r="N959" t="s">
        <v>5098</v>
      </c>
      <c r="O959" t="str" cm="1">
        <f t="array" ref="O959">_xlfn.IFS(
  TEXT(TRIM(N959),"00000")="NULL", "Missing/Unknown",
  OR(TEXT(TRIM(N959),"00000")="89101", TEXT(TRIM(N959),"00000")="89104", TEXT(TRIM(N959),"00000")="89106", TEXT(TRIM(N959),"00000")="89102", TEXT(TRIM(N959),"00000")="89107", TEXT(TRIM(N959),"00000")="89108"), "Urban Core",
  OR(TEXT(TRIM(N959),"00000")="89110", TEXT(TRIM(N959),"00000")="89115", TEXT(TRIM(N959),"00000")="89121", TEXT(TRIM(N959),"00000")="89122", TEXT(TRIM(N959),"00000")="89142", TEXT(TRIM(N959),"00000")="89156"), "East Valley",
  OR(TEXT(TRIM(N959),"00000")="89030", TEXT(TRIM(N959),"00000")="89031", TEXT(TRIM(N959),"00000")="89032", TEXT(TRIM(N959),"00000")="89086", TEXT(TRIM(N959),"00000")="89084", TEXT(TRIM(N959),"00000")="89081"), "North LV",
  OR(TEXT(TRIM(N959),"00000")="89109", TEXT(TRIM(N959),"00000")="89103", TEXT(TRIM(N959),"00000")="89119", TEXT(TRIM(N959),"00000")="89123", TEXT(TRIM(N959),"00000")="89169", TEXT(TRIM(N959),"00000")="89118"), "South/Strip",
  OR(TEXT(TRIM(N959),"00000")="89074", TEXT(TRIM(N959),"00000")="89014", TEXT(TRIM(N959),"00000")="89015", TEXT(TRIM(N959),"00000")="89011", TEXT(TRIM(N959),"00000")="89012"), "Suburban SE",
  OR(TEXT(TRIM(N959),"00000")="89117", TEXT(TRIM(N959),"00000")="89128", TEXT(TRIM(N959),"00000")="89135", TEXT(TRIM(N959),"00000")="89144", TEXT(TRIM(N959),"00000")="89145", TEXT(TRIM(N959),"00000")="89147"), "West Valley",
  TRUE, "Other"
)</f>
        <v>Urban Core</v>
      </c>
      <c r="P959" t="s">
        <v>132</v>
      </c>
      <c r="Q959" t="str">
        <f t="shared" si="58"/>
        <v>Outdoors/Public</v>
      </c>
      <c r="R959" t="s">
        <v>4321</v>
      </c>
      <c r="S959" t="s">
        <v>5098</v>
      </c>
      <c r="T959" t="str" cm="1">
        <f t="array" ref="T959">_xlfn.IFS(
  TEXT(TRIM(S959),"00000")="NULL", "Missing/Unknown",
  OR(TEXT(TRIM(S959),"00000")="89101", TEXT(TRIM(S959),"00000")="89104", TEXT(TRIM(S959),"00000")="89106", TEXT(TRIM(S959),"00000")="89102", TEXT(TRIM(S959),"00000")="89107", TEXT(TRIM(S959),"00000")="89108"), "Urban Core",
  OR(TEXT(TRIM(S959),"00000")="89110", TEXT(TRIM(S959),"00000")="89115", TEXT(TRIM(S959),"00000")="89121", TEXT(TRIM(S959),"00000")="89122", TEXT(TRIM(S959),"00000")="89142", TEXT(TRIM(S959),"00000")="89156"), "East Valley",
  OR(TEXT(TRIM(S959),"00000")="89030", TEXT(TRIM(S959),"00000")="89031", TEXT(TRIM(S959),"00000")="89032", TEXT(TRIM(S959),"00000")="89086", TEXT(TRIM(S959),"00000")="89084", TEXT(TRIM(S959),"00000")="89081"), "North LV",
  OR(TEXT(TRIM(S959),"00000")="89109", TEXT(TRIM(S959),"00000")="89103", TEXT(TRIM(S959),"00000")="89119", TEXT(TRIM(S959),"00000")="89123", TEXT(TRIM(S959),"00000")="89169", TEXT(TRIM(S959),"00000")="89118"), "South/Strip",
  OR(TEXT(TRIM(S959),"00000")="89074", TEXT(TRIM(S959),"00000")="89014", TEXT(TRIM(S959),"00000")="89015", TEXT(TRIM(S959),"00000")="89011", TEXT(TRIM(S959),"00000")="89012"), "Suburban SE",
  OR(TEXT(TRIM(S959),"00000")="89117", TEXT(TRIM(S959),"00000")="89128", TEXT(TRIM(S959),"00000")="89135", TEXT(TRIM(S959),"00000")="89144", TEXT(TRIM(S959),"00000")="89145", TEXT(TRIM(S959),"00000")="89147"), "West Valley",
  TRUE, "Other"
)</f>
        <v>Urban Core</v>
      </c>
      <c r="U959" t="s">
        <v>132</v>
      </c>
      <c r="V959" t="str">
        <f t="shared" si="59"/>
        <v>Outdoors/Public</v>
      </c>
    </row>
    <row r="960" spans="1:22">
      <c r="A960" t="s">
        <v>2324</v>
      </c>
      <c r="B960" t="s">
        <v>2325</v>
      </c>
      <c r="C960" s="1">
        <v>44426</v>
      </c>
      <c r="D960" s="4">
        <v>100.04</v>
      </c>
      <c r="E960">
        <v>61</v>
      </c>
      <c r="F960" t="str">
        <f t="shared" si="56"/>
        <v>60's</v>
      </c>
      <c r="G960" t="str" cm="1">
        <f t="array" ref="G960">_xlfn.IFS(
  F960="10's", "Child (5–12)",
  OR(F960="20's", F960="30's"), "Young Adult (20–39)",
  OR(F960="40's", F960="50's"), "Adult (40–59)",
  OR(F960="60's", F960="70's", F960="80's", F960="90's"), "Senior (60+)",
  TRUE, "Unknown"
)</f>
        <v>Senior (60+)</v>
      </c>
      <c r="H960" t="s">
        <v>841</v>
      </c>
      <c r="I960" t="s">
        <v>54</v>
      </c>
      <c r="J960" t="str">
        <f t="shared" si="57"/>
        <v>Environmental Heat</v>
      </c>
      <c r="K960" t="s">
        <v>468</v>
      </c>
      <c r="L960" t="s">
        <v>1071</v>
      </c>
      <c r="M960" t="s">
        <v>4459</v>
      </c>
      <c r="N960" t="s">
        <v>5102</v>
      </c>
      <c r="O960" t="str" cm="1">
        <f t="array" ref="O960">_xlfn.IFS(
  TEXT(TRIM(N960),"00000")="NULL", "Missing/Unknown",
  OR(TEXT(TRIM(N960),"00000")="89101", TEXT(TRIM(N960),"00000")="89104", TEXT(TRIM(N960),"00000")="89106", TEXT(TRIM(N960),"00000")="89102", TEXT(TRIM(N960),"00000")="89107", TEXT(TRIM(N960),"00000")="89108"), "Urban Core",
  OR(TEXT(TRIM(N960),"00000")="89110", TEXT(TRIM(N960),"00000")="89115", TEXT(TRIM(N960),"00000")="89121", TEXT(TRIM(N960),"00000")="89122", TEXT(TRIM(N960),"00000")="89142", TEXT(TRIM(N960),"00000")="89156"), "East Valley",
  OR(TEXT(TRIM(N960),"00000")="89030", TEXT(TRIM(N960),"00000")="89031", TEXT(TRIM(N960),"00000")="89032", TEXT(TRIM(N960),"00000")="89086", TEXT(TRIM(N960),"00000")="89084", TEXT(TRIM(N960),"00000")="89081"), "North LV",
  OR(TEXT(TRIM(N960),"00000")="89109", TEXT(TRIM(N960),"00000")="89103", TEXT(TRIM(N960),"00000")="89119", TEXT(TRIM(N960),"00000")="89123", TEXT(TRIM(N960),"00000")="89169", TEXT(TRIM(N960),"00000")="89118"), "South/Strip",
  OR(TEXT(TRIM(N960),"00000")="89074", TEXT(TRIM(N960),"00000")="89014", TEXT(TRIM(N960),"00000")="89015", TEXT(TRIM(N960),"00000")="89011", TEXT(TRIM(N960),"00000")="89012"), "Suburban SE",
  OR(TEXT(TRIM(N960),"00000")="89117", TEXT(TRIM(N960),"00000")="89128", TEXT(TRIM(N960),"00000")="89135", TEXT(TRIM(N960),"00000")="89144", TEXT(TRIM(N960),"00000")="89145", TEXT(TRIM(N960),"00000")="89147"), "West Valley",
  TRUE, "Other"
)</f>
        <v>Urban Core</v>
      </c>
      <c r="P960" t="s">
        <v>38</v>
      </c>
      <c r="Q960" t="str">
        <f t="shared" si="58"/>
        <v>Home/Residence</v>
      </c>
      <c r="R960" t="s">
        <v>4459</v>
      </c>
      <c r="S960" t="s">
        <v>5102</v>
      </c>
      <c r="T960" t="str" cm="1">
        <f t="array" ref="T960">_xlfn.IFS(
  TEXT(TRIM(S960),"00000")="NULL", "Missing/Unknown",
  OR(TEXT(TRIM(S960),"00000")="89101", TEXT(TRIM(S960),"00000")="89104", TEXT(TRIM(S960),"00000")="89106", TEXT(TRIM(S960),"00000")="89102", TEXT(TRIM(S960),"00000")="89107", TEXT(TRIM(S960),"00000")="89108"), "Urban Core",
  OR(TEXT(TRIM(S960),"00000")="89110", TEXT(TRIM(S960),"00000")="89115", TEXT(TRIM(S960),"00000")="89121", TEXT(TRIM(S960),"00000")="89122", TEXT(TRIM(S960),"00000")="89142", TEXT(TRIM(S960),"00000")="89156"), "East Valley",
  OR(TEXT(TRIM(S960),"00000")="89030", TEXT(TRIM(S960),"00000")="89031", TEXT(TRIM(S960),"00000")="89032", TEXT(TRIM(S960),"00000")="89086", TEXT(TRIM(S960),"00000")="89084", TEXT(TRIM(S960),"00000")="89081"), "North LV",
  OR(TEXT(TRIM(S960),"00000")="89109", TEXT(TRIM(S960),"00000")="89103", TEXT(TRIM(S960),"00000")="89119", TEXT(TRIM(S960),"00000")="89123", TEXT(TRIM(S960),"00000")="89169", TEXT(TRIM(S960),"00000")="89118"), "South/Strip",
  OR(TEXT(TRIM(S960),"00000")="89074", TEXT(TRIM(S960),"00000")="89014", TEXT(TRIM(S960),"00000")="89015", TEXT(TRIM(S960),"00000")="89011", TEXT(TRIM(S960),"00000")="89012"), "Suburban SE",
  OR(TEXT(TRIM(S960),"00000")="89117", TEXT(TRIM(S960),"00000")="89128", TEXT(TRIM(S960),"00000")="89135", TEXT(TRIM(S960),"00000")="89144", TEXT(TRIM(S960),"00000")="89145", TEXT(TRIM(S960),"00000")="89147"), "West Valley",
  TRUE, "Other"
)</f>
        <v>Urban Core</v>
      </c>
      <c r="U960" t="s">
        <v>38</v>
      </c>
      <c r="V960" t="str">
        <f t="shared" si="59"/>
        <v>Home/Residence</v>
      </c>
    </row>
    <row r="961" spans="1:22">
      <c r="A961" t="s">
        <v>2319</v>
      </c>
      <c r="B961" t="s">
        <v>2320</v>
      </c>
      <c r="C961" s="1">
        <v>44426</v>
      </c>
      <c r="D961" s="4">
        <v>100.04</v>
      </c>
      <c r="E961">
        <v>54</v>
      </c>
      <c r="F961" t="str">
        <f t="shared" si="56"/>
        <v>50's</v>
      </c>
      <c r="G961" t="str" cm="1">
        <f t="array" ref="G961">_xlfn.IFS(
  F961="10's", "Child (5–12)",
  OR(F961="20's", F961="30's"), "Young Adult (20–39)",
  OR(F961="40's", F961="50's"), "Adult (40–59)",
  OR(F961="60's", F961="70's", F961="80's", F961="90's"), "Senior (60+)",
  TRUE, "Unknown"
)</f>
        <v>Adult (40–59)</v>
      </c>
      <c r="H961" t="s">
        <v>841</v>
      </c>
      <c r="I961" t="s">
        <v>172</v>
      </c>
      <c r="J961" t="str">
        <f t="shared" si="57"/>
        <v>Methamphetamine-related</v>
      </c>
      <c r="K961" t="s">
        <v>54</v>
      </c>
      <c r="L961" t="s">
        <v>250</v>
      </c>
      <c r="M961" t="s">
        <v>4317</v>
      </c>
      <c r="N961" t="s">
        <v>5100</v>
      </c>
      <c r="O961" t="str" cm="1">
        <f t="array" ref="O961">_xlfn.IFS(
  TEXT(TRIM(N961),"00000")="NULL", "Missing/Unknown",
  OR(TEXT(TRIM(N961),"00000")="89101", TEXT(TRIM(N961),"00000")="89104", TEXT(TRIM(N961),"00000")="89106", TEXT(TRIM(N961),"00000")="89102", TEXT(TRIM(N961),"00000")="89107", TEXT(TRIM(N961),"00000")="89108"), "Urban Core",
  OR(TEXT(TRIM(N961),"00000")="89110", TEXT(TRIM(N961),"00000")="89115", TEXT(TRIM(N961),"00000")="89121", TEXT(TRIM(N961),"00000")="89122", TEXT(TRIM(N961),"00000")="89142", TEXT(TRIM(N961),"00000")="89156"), "East Valley",
  OR(TEXT(TRIM(N961),"00000")="89030", TEXT(TRIM(N961),"00000")="89031", TEXT(TRIM(N961),"00000")="89032", TEXT(TRIM(N961),"00000")="89086", TEXT(TRIM(N961),"00000")="89084", TEXT(TRIM(N961),"00000")="89081"), "North LV",
  OR(TEXT(TRIM(N961),"00000")="89109", TEXT(TRIM(N961),"00000")="89103", TEXT(TRIM(N961),"00000")="89119", TEXT(TRIM(N961),"00000")="89123", TEXT(TRIM(N961),"00000")="89169", TEXT(TRIM(N961),"00000")="89118"), "South/Strip",
  OR(TEXT(TRIM(N961),"00000")="89074", TEXT(TRIM(N961),"00000")="89014", TEXT(TRIM(N961),"00000")="89015", TEXT(TRIM(N961),"00000")="89011", TEXT(TRIM(N961),"00000")="89012"), "Suburban SE",
  OR(TEXT(TRIM(N961),"00000")="89117", TEXT(TRIM(N961),"00000")="89128", TEXT(TRIM(N961),"00000")="89135", TEXT(TRIM(N961),"00000")="89144", TEXT(TRIM(N961),"00000")="89145", TEXT(TRIM(N961),"00000")="89147"), "West Valley",
  TRUE, "Other"
)</f>
        <v>North LV</v>
      </c>
      <c r="P961" t="s">
        <v>3298</v>
      </c>
      <c r="Q961" t="str">
        <f t="shared" si="58"/>
        <v>Outdoors/Public</v>
      </c>
      <c r="R961" t="s">
        <v>4317</v>
      </c>
      <c r="S961" t="s">
        <v>5100</v>
      </c>
      <c r="T961" t="str" cm="1">
        <f t="array" ref="T961">_xlfn.IFS(
  TEXT(TRIM(S961),"00000")="NULL", "Missing/Unknown",
  OR(TEXT(TRIM(S961),"00000")="89101", TEXT(TRIM(S961),"00000")="89104", TEXT(TRIM(S961),"00000")="89106", TEXT(TRIM(S961),"00000")="89102", TEXT(TRIM(S961),"00000")="89107", TEXT(TRIM(S961),"00000")="89108"), "Urban Core",
  OR(TEXT(TRIM(S961),"00000")="89110", TEXT(TRIM(S961),"00000")="89115", TEXT(TRIM(S961),"00000")="89121", TEXT(TRIM(S961),"00000")="89122", TEXT(TRIM(S961),"00000")="89142", TEXT(TRIM(S961),"00000")="89156"), "East Valley",
  OR(TEXT(TRIM(S961),"00000")="89030", TEXT(TRIM(S961),"00000")="89031", TEXT(TRIM(S961),"00000")="89032", TEXT(TRIM(S961),"00000")="89086", TEXT(TRIM(S961),"00000")="89084", TEXT(TRIM(S961),"00000")="89081"), "North LV",
  OR(TEXT(TRIM(S961),"00000")="89109", TEXT(TRIM(S961),"00000")="89103", TEXT(TRIM(S961),"00000")="89119", TEXT(TRIM(S961),"00000")="89123", TEXT(TRIM(S961),"00000")="89169", TEXT(TRIM(S961),"00000")="89118"), "South/Strip",
  OR(TEXT(TRIM(S961),"00000")="89074", TEXT(TRIM(S961),"00000")="89014", TEXT(TRIM(S961),"00000")="89015", TEXT(TRIM(S961),"00000")="89011", TEXT(TRIM(S961),"00000")="89012"), "Suburban SE",
  OR(TEXT(TRIM(S961),"00000")="89117", TEXT(TRIM(S961),"00000")="89128", TEXT(TRIM(S961),"00000")="89135", TEXT(TRIM(S961),"00000")="89144", TEXT(TRIM(S961),"00000")="89145", TEXT(TRIM(S961),"00000")="89147"), "West Valley",
  TRUE, "Other"
)</f>
        <v>North LV</v>
      </c>
      <c r="U961" t="s">
        <v>3298</v>
      </c>
      <c r="V961" t="str">
        <f t="shared" si="59"/>
        <v>Outdoors/Public</v>
      </c>
    </row>
    <row r="962" spans="1:22">
      <c r="A962" t="s">
        <v>2322</v>
      </c>
      <c r="B962" t="s">
        <v>2323</v>
      </c>
      <c r="C962" s="1">
        <v>44426</v>
      </c>
      <c r="D962" s="4">
        <v>100.04</v>
      </c>
      <c r="E962">
        <v>61</v>
      </c>
      <c r="F962" t="str">
        <f t="shared" ref="F962:F1025" si="60">_xlfn.CONCAT(INT(E962/10)*10, "'s")</f>
        <v>60's</v>
      </c>
      <c r="G962" t="str" cm="1">
        <f t="array" ref="G962">_xlfn.IFS(
  F962="10's", "Child (5–12)",
  OR(F962="20's", F962="30's"), "Young Adult (20–39)",
  OR(F962="40's", F962="50's"), "Adult (40–59)",
  OR(F962="60's", F962="70's", F962="80's", F962="90's"), "Senior (60+)",
  TRUE, "Unknown"
)</f>
        <v>Senior (60+)</v>
      </c>
      <c r="H962" t="s">
        <v>841</v>
      </c>
      <c r="I962" t="s">
        <v>4115</v>
      </c>
      <c r="J962" t="str">
        <f t="shared" ref="J962:J1025" si="61">IF(ISNUMBER(SEARCH("heat", I962)) + ISNUMBER(SEARCH("hyperthermia", I962)) + ISNUMBER(SEARCH("heat stroke", I962)) + ISNUMBER(SEARCH("environmental", I962)), "Environmental Heat",
IF(ISNUMBER(SEARCH("meth", I962)), "Methamphetamine-related",
IF(ISNUMBER(SEARCH("fentanyl", I962)), "Fentanyl-related",
IF(ISNUMBER(SEARCH("cardio", I962)) + ISNUMBER(SEARCH("heart", I962)) + ISNUMBER(SEARCH("atherosclerotic", I962)) + ISNUMBER(SEARCH("hypertensive", I962)) + ISNUMBER(SEARCH("myocardial", I962)) + ISNUMBER(SEARCH("infarction", I962)), "Cardiovascular Disease",
IF(ISNUMBER(SEARCH("ethanol", I962)) + ISNUMBER(SEARCH("alcohol", I962)), "Ethanol-related",
IF(ISNUMBER(SEARCH("dehydration", I962)) + ISNUMBER(SEARCH("hypernatrem", I962)) + ISNUMBER(SEARCH("hyponatrem", I962)), "Dehydration / Electrolyte",
IF(ISNUMBER(SEARCH("intoxication", I962)) + ISNUMBER(SEARCH("toxicity", I962)) + ISNUMBER(SEARCH("overdose", I962)), "Mixed Drug Toxicity",
"Other / Unknown")))))))</f>
        <v>Environmental Heat</v>
      </c>
      <c r="K962" t="s">
        <v>503</v>
      </c>
      <c r="L962" t="s">
        <v>250</v>
      </c>
      <c r="N962" t="s">
        <v>5095</v>
      </c>
      <c r="O962" t="str" cm="1">
        <f t="array" ref="O962">_xlfn.IFS(
  TEXT(TRIM(N962),"00000")="NULL", "Missing/Unknown",
  OR(TEXT(TRIM(N962),"00000")="89101", TEXT(TRIM(N962),"00000")="89104", TEXT(TRIM(N962),"00000")="89106", TEXT(TRIM(N962),"00000")="89102", TEXT(TRIM(N962),"00000")="89107", TEXT(TRIM(N962),"00000")="89108"), "Urban Core",
  OR(TEXT(TRIM(N962),"00000")="89110", TEXT(TRIM(N962),"00000")="89115", TEXT(TRIM(N962),"00000")="89121", TEXT(TRIM(N962),"00000")="89122", TEXT(TRIM(N962),"00000")="89142", TEXT(TRIM(N962),"00000")="89156"), "East Valley",
  OR(TEXT(TRIM(N962),"00000")="89030", TEXT(TRIM(N962),"00000")="89031", TEXT(TRIM(N962),"00000")="89032", TEXT(TRIM(N962),"00000")="89086", TEXT(TRIM(N962),"00000")="89084", TEXT(TRIM(N962),"00000")="89081"), "North LV",
  OR(TEXT(TRIM(N962),"00000")="89109", TEXT(TRIM(N962),"00000")="89103", TEXT(TRIM(N962),"00000")="89119", TEXT(TRIM(N962),"00000")="89123", TEXT(TRIM(N962),"00000")="89169", TEXT(TRIM(N962),"00000")="89118"), "South/Strip",
  OR(TEXT(TRIM(N962),"00000")="89074", TEXT(TRIM(N962),"00000")="89014", TEXT(TRIM(N962),"00000")="89015", TEXT(TRIM(N962),"00000")="89011", TEXT(TRIM(N962),"00000")="89012"), "Suburban SE",
  OR(TEXT(TRIM(N962),"00000")="89117", TEXT(TRIM(N962),"00000")="89128", TEXT(TRIM(N962),"00000")="89135", TEXT(TRIM(N962),"00000")="89144", TEXT(TRIM(N962),"00000")="89145", TEXT(TRIM(N962),"00000")="89147"), "West Valley",
  TRUE, "Other"
)</f>
        <v>Missing/Unknown</v>
      </c>
      <c r="P962" t="s">
        <v>3298</v>
      </c>
      <c r="Q962" t="str">
        <f t="shared" ref="Q962:Q1025" si="62">IF(OR(ISNUMBER(SEARCH("outdoor", P962)), ISNUMBER(SEARCH("park", P962)), ISNUMBER(SEARCH("road", P962)), ISNUMBER(SEARCH("sidewalk", P962)), ISNUMBER(SEARCH("desert", P962)), ISNUMBER(SEARCH("tunnel", P962)), ISNUMBER(SEARCH("lot", P962)), ISNUMBER(SEARCH("lake", P962)), ISNUMBER(SEARCH("bus", P962)), ISNUMBER(SEARCH("shed", P962)), ISNUMBER(SEARCH("amusement", P962))), "Outdoors/Public",
IF(OR(ISNUMBER(SEARCH("home", P962)), ISNUMBER(SEARCH("residence", P962)), ISNUMBER(SEARCH("rv", P962)), ISNUMBER(SEARCH("tent", P962)), ISNUMBER(SEARCH("bedroom", P962)), ISNUMBER(SEARCH("garage", P962)), ISNUMBER(SEARCH("trailer", P962)), ISNUMBER(SEARCH("backyard", P962))), "Home/Residence",
IF(OR(ISNUMBER(SEARCH("vehicle", P962)), ISNUMBER(SEARCH("car", P962)), ISNUMBER(SEARCH("wash", P962))), "Vehicle-related",
IF(OR(ISNUMBER(SEARCH("business", P962)), ISNUMBER(SEARCH("school", P962)), ISNUMBER(SEARCH("hotel", P962)), ISNUMBER(SEARCH("construction", P962)), ISNUMBER(SEARCH("furniture", P962)), ISNUMBER(SEARCH("public", P962))), "Business/Commercial",
IF(OR(ISNUMBER(SEARCH("hospital", P962)), ISNUMBER(SEARCH("assisted", P962)), ISNUMBER(SEARCH("residential care", P962))), "Medical Facility",
IF(OR(ISNUMBER(SEARCH("shelter", P962)), ISNUMBER(SEARCH("jail", P962))), "Shelter/Temporary Housing",
"Other / Unknown"))))))</f>
        <v>Outdoors/Public</v>
      </c>
      <c r="S962" t="s">
        <v>5095</v>
      </c>
      <c r="T962" t="str" cm="1">
        <f t="array" ref="T962">_xlfn.IFS(
  TEXT(TRIM(S962),"00000")="NULL", "Missing/Unknown",
  OR(TEXT(TRIM(S962),"00000")="89101", TEXT(TRIM(S962),"00000")="89104", TEXT(TRIM(S962),"00000")="89106", TEXT(TRIM(S962),"00000")="89102", TEXT(TRIM(S962),"00000")="89107", TEXT(TRIM(S962),"00000")="89108"), "Urban Core",
  OR(TEXT(TRIM(S962),"00000")="89110", TEXT(TRIM(S962),"00000")="89115", TEXT(TRIM(S962),"00000")="89121", TEXT(TRIM(S962),"00000")="89122", TEXT(TRIM(S962),"00000")="89142", TEXT(TRIM(S962),"00000")="89156"), "East Valley",
  OR(TEXT(TRIM(S962),"00000")="89030", TEXT(TRIM(S962),"00000")="89031", TEXT(TRIM(S962),"00000")="89032", TEXT(TRIM(S962),"00000")="89086", TEXT(TRIM(S962),"00000")="89084", TEXT(TRIM(S962),"00000")="89081"), "North LV",
  OR(TEXT(TRIM(S962),"00000")="89109", TEXT(TRIM(S962),"00000")="89103", TEXT(TRIM(S962),"00000")="89119", TEXT(TRIM(S962),"00000")="89123", TEXT(TRIM(S962),"00000")="89169", TEXT(TRIM(S962),"00000")="89118"), "South/Strip",
  OR(TEXT(TRIM(S962),"00000")="89074", TEXT(TRIM(S962),"00000")="89014", TEXT(TRIM(S962),"00000")="89015", TEXT(TRIM(S962),"00000")="89011", TEXT(TRIM(S962),"00000")="89012"), "Suburban SE",
  OR(TEXT(TRIM(S962),"00000")="89117", TEXT(TRIM(S962),"00000")="89128", TEXT(TRIM(S962),"00000")="89135", TEXT(TRIM(S962),"00000")="89144", TEXT(TRIM(S962),"00000")="89145", TEXT(TRIM(S962),"00000")="89147"), "West Valley",
  TRUE, "Other"
)</f>
        <v>Missing/Unknown</v>
      </c>
      <c r="U962" t="s">
        <v>3298</v>
      </c>
      <c r="V962" t="str">
        <f t="shared" ref="V962:V1025" si="63">IF(OR(ISNUMBER(SEARCH("outdoor", U962)), ISNUMBER(SEARCH("park", U962)), ISNUMBER(SEARCH("road", U962)), ISNUMBER(SEARCH("sidewalk", U962)), ISNUMBER(SEARCH("desert", U962)), ISNUMBER(SEARCH("tunnel", U962)), ISNUMBER(SEARCH("lot", U962)), ISNUMBER(SEARCH("lake", U962)), ISNUMBER(SEARCH("bus", U962)), ISNUMBER(SEARCH("shed", U962)), ISNUMBER(SEARCH("amusement", U962))), "Outdoors/Public",
IF(OR(ISNUMBER(SEARCH("home", U962)), ISNUMBER(SEARCH("residence", U962)), ISNUMBER(SEARCH("rv", U962)), ISNUMBER(SEARCH("tent", U962)), ISNUMBER(SEARCH("bedroom", U962)), ISNUMBER(SEARCH("garage", U962)), ISNUMBER(SEARCH("trailer", U962)), ISNUMBER(SEARCH("backyard", U962))), "Home/Residence",
IF(OR(ISNUMBER(SEARCH("vehicle", U962)), ISNUMBER(SEARCH("wash", U962))), "Vehicle-related",
IF(OR(ISNUMBER(SEARCH("business", U962)), ISNUMBER(SEARCH("school", U962)), ISNUMBER(SEARCH("hotel", U962)), ISNUMBER(SEARCH("construction", U962)), ISNUMBER(SEARCH("furniture", U962)), ISNUMBER(SEARCH("public", U962))), "Business/Commercial",
IF(OR(ISNUMBER(SEARCH("hospital", U962)), ISNUMBER(SEARCH("assisted", U962)), ISNUMBER(SEARCH("residential care", U962)), ISNUMBER(SEARCH("emergency room", U962)), ISNUMBER(SEARCH("emergency", U962)), ISNUMBER(SEARCH("intensive care unit", U962)), ISNUMBER(SEARCH("icu", U962))), "Medical Facility",
IF(OR(ISNUMBER(SEARCH("shelter", U962)), ISNUMBER(SEARCH("jail", U962))), "Shelter/Temporary Housing",
"Other / Unknown"))))))</f>
        <v>Outdoors/Public</v>
      </c>
    </row>
    <row r="963" spans="1:22">
      <c r="A963" t="s">
        <v>2315</v>
      </c>
      <c r="B963" t="s">
        <v>2316</v>
      </c>
      <c r="C963" s="1">
        <v>44425</v>
      </c>
      <c r="D963" s="4">
        <v>105.98</v>
      </c>
      <c r="E963">
        <v>35</v>
      </c>
      <c r="F963" t="str">
        <f t="shared" si="60"/>
        <v>30's</v>
      </c>
      <c r="G963" t="str" cm="1">
        <f t="array" ref="G963">_xlfn.IFS(
  F963="10's", "Child (5–12)",
  OR(F963="20's", F963="30's"), "Young Adult (20–39)",
  OR(F963="40's", F963="50's"), "Adult (40–59)",
  OR(F963="60's", F963="70's", F963="80's", F963="90's"), "Senior (60+)",
  TRUE, "Unknown"
)</f>
        <v>Young Adult (20–39)</v>
      </c>
      <c r="H963" t="s">
        <v>4310</v>
      </c>
      <c r="I963" t="s">
        <v>4025</v>
      </c>
      <c r="J963" t="str">
        <f t="shared" si="61"/>
        <v>Methamphetamine-related</v>
      </c>
      <c r="K963" t="s">
        <v>4270</v>
      </c>
      <c r="L963" t="s">
        <v>250</v>
      </c>
      <c r="M963" t="s">
        <v>4336</v>
      </c>
      <c r="N963" t="s">
        <v>5101</v>
      </c>
      <c r="O963" t="str" cm="1">
        <f t="array" ref="O963">_xlfn.IFS(
  TEXT(TRIM(N963),"00000")="NULL", "Missing/Unknown",
  OR(TEXT(TRIM(N963),"00000")="89101", TEXT(TRIM(N963),"00000")="89104", TEXT(TRIM(N963),"00000")="89106", TEXT(TRIM(N963),"00000")="89102", TEXT(TRIM(N963),"00000")="89107", TEXT(TRIM(N963),"00000")="89108"), "Urban Core",
  OR(TEXT(TRIM(N963),"00000")="89110", TEXT(TRIM(N963),"00000")="89115", TEXT(TRIM(N963),"00000")="89121", TEXT(TRIM(N963),"00000")="89122", TEXT(TRIM(N963),"00000")="89142", TEXT(TRIM(N963),"00000")="89156"), "East Valley",
  OR(TEXT(TRIM(N963),"00000")="89030", TEXT(TRIM(N963),"00000")="89031", TEXT(TRIM(N963),"00000")="89032", TEXT(TRIM(N963),"00000")="89086", TEXT(TRIM(N963),"00000")="89084", TEXT(TRIM(N963),"00000")="89081"), "North LV",
  OR(TEXT(TRIM(N963),"00000")="89109", TEXT(TRIM(N963),"00000")="89103", TEXT(TRIM(N963),"00000")="89119", TEXT(TRIM(N963),"00000")="89123", TEXT(TRIM(N963),"00000")="89169", TEXT(TRIM(N963),"00000")="89118"), "South/Strip",
  OR(TEXT(TRIM(N963),"00000")="89074", TEXT(TRIM(N963),"00000")="89014", TEXT(TRIM(N963),"00000")="89015", TEXT(TRIM(N963),"00000")="89011", TEXT(TRIM(N963),"00000")="89012"), "Suburban SE",
  OR(TEXT(TRIM(N963),"00000")="89117", TEXT(TRIM(N963),"00000")="89128", TEXT(TRIM(N963),"00000")="89135", TEXT(TRIM(N963),"00000")="89144", TEXT(TRIM(N963),"00000")="89145", TEXT(TRIM(N963),"00000")="89147"), "West Valley",
  TRUE, "Other"
)</f>
        <v>Urban Core</v>
      </c>
      <c r="P963" t="s">
        <v>3298</v>
      </c>
      <c r="Q963" t="str">
        <f t="shared" si="62"/>
        <v>Outdoors/Public</v>
      </c>
      <c r="R963" t="s">
        <v>4336</v>
      </c>
      <c r="S963" t="s">
        <v>5101</v>
      </c>
      <c r="T963" t="str" cm="1">
        <f t="array" ref="T963">_xlfn.IFS(
  TEXT(TRIM(S963),"00000")="NULL", "Missing/Unknown",
  OR(TEXT(TRIM(S963),"00000")="89101", TEXT(TRIM(S963),"00000")="89104", TEXT(TRIM(S963),"00000")="89106", TEXT(TRIM(S963),"00000")="89102", TEXT(TRIM(S963),"00000")="89107", TEXT(TRIM(S963),"00000")="89108"), "Urban Core",
  OR(TEXT(TRIM(S963),"00000")="89110", TEXT(TRIM(S963),"00000")="89115", TEXT(TRIM(S963),"00000")="89121", TEXT(TRIM(S963),"00000")="89122", TEXT(TRIM(S963),"00000")="89142", TEXT(TRIM(S963),"00000")="89156"), "East Valley",
  OR(TEXT(TRIM(S963),"00000")="89030", TEXT(TRIM(S963),"00000")="89031", TEXT(TRIM(S963),"00000")="89032", TEXT(TRIM(S963),"00000")="89086", TEXT(TRIM(S963),"00000")="89084", TEXT(TRIM(S963),"00000")="89081"), "North LV",
  OR(TEXT(TRIM(S963),"00000")="89109", TEXT(TRIM(S963),"00000")="89103", TEXT(TRIM(S963),"00000")="89119", TEXT(TRIM(S963),"00000")="89123", TEXT(TRIM(S963),"00000")="89169", TEXT(TRIM(S963),"00000")="89118"), "South/Strip",
  OR(TEXT(TRIM(S963),"00000")="89074", TEXT(TRIM(S963),"00000")="89014", TEXT(TRIM(S963),"00000")="89015", TEXT(TRIM(S963),"00000")="89011", TEXT(TRIM(S963),"00000")="89012"), "Suburban SE",
  OR(TEXT(TRIM(S963),"00000")="89117", TEXT(TRIM(S963),"00000")="89128", TEXT(TRIM(S963),"00000")="89135", TEXT(TRIM(S963),"00000")="89144", TEXT(TRIM(S963),"00000")="89145", TEXT(TRIM(S963),"00000")="89147"), "West Valley",
  TRUE, "Other"
)</f>
        <v>Urban Core</v>
      </c>
      <c r="U963" t="s">
        <v>3298</v>
      </c>
      <c r="V963" t="str">
        <f t="shared" si="63"/>
        <v>Outdoors/Public</v>
      </c>
    </row>
    <row r="964" spans="1:22">
      <c r="A964" t="s">
        <v>2312</v>
      </c>
      <c r="B964" t="s">
        <v>2313</v>
      </c>
      <c r="C964" s="1">
        <v>44423</v>
      </c>
      <c r="D964" s="4">
        <v>107.06</v>
      </c>
      <c r="E964">
        <v>47</v>
      </c>
      <c r="F964" t="str">
        <f t="shared" si="60"/>
        <v>40's</v>
      </c>
      <c r="G964" t="str" cm="1">
        <f t="array" ref="G964">_xlfn.IFS(
  F964="10's", "Child (5–12)",
  OR(F964="20's", F964="30's"), "Young Adult (20–39)",
  OR(F964="40's", F964="50's"), "Adult (40–59)",
  OR(F964="60's", F964="70's", F964="80's", F964="90's"), "Senior (60+)",
  TRUE, "Unknown"
)</f>
        <v>Adult (40–59)</v>
      </c>
      <c r="H964" t="s">
        <v>778</v>
      </c>
      <c r="I964" t="s">
        <v>135</v>
      </c>
      <c r="J964" t="str">
        <f t="shared" si="61"/>
        <v>Methamphetamine-related</v>
      </c>
      <c r="K964" t="s">
        <v>54</v>
      </c>
      <c r="L964" t="s">
        <v>250</v>
      </c>
      <c r="M964" t="s">
        <v>4986</v>
      </c>
      <c r="N964" t="s">
        <v>5100</v>
      </c>
      <c r="O964" t="str" cm="1">
        <f t="array" ref="O964">_xlfn.IFS(
  TEXT(TRIM(N964),"00000")="NULL", "Missing/Unknown",
  OR(TEXT(TRIM(N964),"00000")="89101", TEXT(TRIM(N964),"00000")="89104", TEXT(TRIM(N964),"00000")="89106", TEXT(TRIM(N964),"00000")="89102", TEXT(TRIM(N964),"00000")="89107", TEXT(TRIM(N964),"00000")="89108"), "Urban Core",
  OR(TEXT(TRIM(N964),"00000")="89110", TEXT(TRIM(N964),"00000")="89115", TEXT(TRIM(N964),"00000")="89121", TEXT(TRIM(N964),"00000")="89122", TEXT(TRIM(N964),"00000")="89142", TEXT(TRIM(N964),"00000")="89156"), "East Valley",
  OR(TEXT(TRIM(N964),"00000")="89030", TEXT(TRIM(N964),"00000")="89031", TEXT(TRIM(N964),"00000")="89032", TEXT(TRIM(N964),"00000")="89086", TEXT(TRIM(N964),"00000")="89084", TEXT(TRIM(N964),"00000")="89081"), "North LV",
  OR(TEXT(TRIM(N964),"00000")="89109", TEXT(TRIM(N964),"00000")="89103", TEXT(TRIM(N964),"00000")="89119", TEXT(TRIM(N964),"00000")="89123", TEXT(TRIM(N964),"00000")="89169", TEXT(TRIM(N964),"00000")="89118"), "South/Strip",
  OR(TEXT(TRIM(N964),"00000")="89074", TEXT(TRIM(N964),"00000")="89014", TEXT(TRIM(N964),"00000")="89015", TEXT(TRIM(N964),"00000")="89011", TEXT(TRIM(N964),"00000")="89012"), "Suburban SE",
  OR(TEXT(TRIM(N964),"00000")="89117", TEXT(TRIM(N964),"00000")="89128", TEXT(TRIM(N964),"00000")="89135", TEXT(TRIM(N964),"00000")="89144", TEXT(TRIM(N964),"00000")="89145", TEXT(TRIM(N964),"00000")="89147"), "West Valley",
  TRUE, "Other"
)</f>
        <v>North LV</v>
      </c>
      <c r="P964" t="s">
        <v>65</v>
      </c>
      <c r="Q964" t="str">
        <f t="shared" si="62"/>
        <v>Vehicle-related</v>
      </c>
      <c r="R964" t="s">
        <v>4986</v>
      </c>
      <c r="S964" t="s">
        <v>5100</v>
      </c>
      <c r="T964" t="str" cm="1">
        <f t="array" ref="T964">_xlfn.IFS(
  TEXT(TRIM(S964),"00000")="NULL", "Missing/Unknown",
  OR(TEXT(TRIM(S964),"00000")="89101", TEXT(TRIM(S964),"00000")="89104", TEXT(TRIM(S964),"00000")="89106", TEXT(TRIM(S964),"00000")="89102", TEXT(TRIM(S964),"00000")="89107", TEXT(TRIM(S964),"00000")="89108"), "Urban Core",
  OR(TEXT(TRIM(S964),"00000")="89110", TEXT(TRIM(S964),"00000")="89115", TEXT(TRIM(S964),"00000")="89121", TEXT(TRIM(S964),"00000")="89122", TEXT(TRIM(S964),"00000")="89142", TEXT(TRIM(S964),"00000")="89156"), "East Valley",
  OR(TEXT(TRIM(S964),"00000")="89030", TEXT(TRIM(S964),"00000")="89031", TEXT(TRIM(S964),"00000")="89032", TEXT(TRIM(S964),"00000")="89086", TEXT(TRIM(S964),"00000")="89084", TEXT(TRIM(S964),"00000")="89081"), "North LV",
  OR(TEXT(TRIM(S964),"00000")="89109", TEXT(TRIM(S964),"00000")="89103", TEXT(TRIM(S964),"00000")="89119", TEXT(TRIM(S964),"00000")="89123", TEXT(TRIM(S964),"00000")="89169", TEXT(TRIM(S964),"00000")="89118"), "South/Strip",
  OR(TEXT(TRIM(S964),"00000")="89074", TEXT(TRIM(S964),"00000")="89014", TEXT(TRIM(S964),"00000")="89015", TEXT(TRIM(S964),"00000")="89011", TEXT(TRIM(S964),"00000")="89012"), "Suburban SE",
  OR(TEXT(TRIM(S964),"00000")="89117", TEXT(TRIM(S964),"00000")="89128", TEXT(TRIM(S964),"00000")="89135", TEXT(TRIM(S964),"00000")="89144", TEXT(TRIM(S964),"00000")="89145", TEXT(TRIM(S964),"00000")="89147"), "West Valley",
  TRUE, "Other"
)</f>
        <v>North LV</v>
      </c>
      <c r="U964" t="s">
        <v>65</v>
      </c>
      <c r="V964" t="str">
        <f t="shared" si="63"/>
        <v>Vehicle-related</v>
      </c>
    </row>
    <row r="965" spans="1:22">
      <c r="A965" t="s">
        <v>2309</v>
      </c>
      <c r="B965" t="s">
        <v>2310</v>
      </c>
      <c r="C965" s="1">
        <v>44422</v>
      </c>
      <c r="D965" s="4">
        <v>104</v>
      </c>
      <c r="E965">
        <v>56</v>
      </c>
      <c r="F965" t="str">
        <f t="shared" si="60"/>
        <v>50's</v>
      </c>
      <c r="G965" t="str" cm="1">
        <f t="array" ref="G965">_xlfn.IFS(
  F965="10's", "Child (5–12)",
  OR(F965="20's", F965="30's"), "Young Adult (20–39)",
  OR(F965="40's", F965="50's"), "Adult (40–59)",
  OR(F965="60's", F965="70's", F965="80's", F965="90's"), "Senior (60+)",
  TRUE, "Unknown"
)</f>
        <v>Adult (40–59)</v>
      </c>
      <c r="H965" t="s">
        <v>778</v>
      </c>
      <c r="I965" t="s">
        <v>54</v>
      </c>
      <c r="J965" t="str">
        <f t="shared" si="61"/>
        <v>Environmental Heat</v>
      </c>
      <c r="K965" t="s">
        <v>503</v>
      </c>
      <c r="L965" t="s">
        <v>250</v>
      </c>
      <c r="M965" t="s">
        <v>4827</v>
      </c>
      <c r="N965" t="s">
        <v>5123</v>
      </c>
      <c r="O965" t="str" cm="1">
        <f t="array" ref="O965">_xlfn.IFS(
  TEXT(TRIM(N965),"00000")="NULL", "Missing/Unknown",
  OR(TEXT(TRIM(N965),"00000")="89101", TEXT(TRIM(N965),"00000")="89104", TEXT(TRIM(N965),"00000")="89106", TEXT(TRIM(N965),"00000")="89102", TEXT(TRIM(N965),"00000")="89107", TEXT(TRIM(N965),"00000")="89108"), "Urban Core",
  OR(TEXT(TRIM(N965),"00000")="89110", TEXT(TRIM(N965),"00000")="89115", TEXT(TRIM(N965),"00000")="89121", TEXT(TRIM(N965),"00000")="89122", TEXT(TRIM(N965),"00000")="89142", TEXT(TRIM(N965),"00000")="89156"), "East Valley",
  OR(TEXT(TRIM(N965),"00000")="89030", TEXT(TRIM(N965),"00000")="89031", TEXT(TRIM(N965),"00000")="89032", TEXT(TRIM(N965),"00000")="89086", TEXT(TRIM(N965),"00000")="89084", TEXT(TRIM(N965),"00000")="89081"), "North LV",
  OR(TEXT(TRIM(N965),"00000")="89109", TEXT(TRIM(N965),"00000")="89103", TEXT(TRIM(N965),"00000")="89119", TEXT(TRIM(N965),"00000")="89123", TEXT(TRIM(N965),"00000")="89169", TEXT(TRIM(N965),"00000")="89118"), "South/Strip",
  OR(TEXT(TRIM(N965),"00000")="89074", TEXT(TRIM(N965),"00000")="89014", TEXT(TRIM(N965),"00000")="89015", TEXT(TRIM(N965),"00000")="89011", TEXT(TRIM(N965),"00000")="89012"), "Suburban SE",
  OR(TEXT(TRIM(N965),"00000")="89117", TEXT(TRIM(N965),"00000")="89128", TEXT(TRIM(N965),"00000")="89135", TEXT(TRIM(N965),"00000")="89144", TEXT(TRIM(N965),"00000")="89145", TEXT(TRIM(N965),"00000")="89147"), "West Valley",
  TRUE, "Other"
)</f>
        <v>South/Strip</v>
      </c>
      <c r="P965" t="s">
        <v>3298</v>
      </c>
      <c r="Q965" t="str">
        <f t="shared" si="62"/>
        <v>Outdoors/Public</v>
      </c>
      <c r="R965" t="s">
        <v>4827</v>
      </c>
      <c r="S965" t="s">
        <v>5123</v>
      </c>
      <c r="T965" t="str" cm="1">
        <f t="array" ref="T965">_xlfn.IFS(
  TEXT(TRIM(S965),"00000")="NULL", "Missing/Unknown",
  OR(TEXT(TRIM(S965),"00000")="89101", TEXT(TRIM(S965),"00000")="89104", TEXT(TRIM(S965),"00000")="89106", TEXT(TRIM(S965),"00000")="89102", TEXT(TRIM(S965),"00000")="89107", TEXT(TRIM(S965),"00000")="89108"), "Urban Core",
  OR(TEXT(TRIM(S965),"00000")="89110", TEXT(TRIM(S965),"00000")="89115", TEXT(TRIM(S965),"00000")="89121", TEXT(TRIM(S965),"00000")="89122", TEXT(TRIM(S965),"00000")="89142", TEXT(TRIM(S965),"00000")="89156"), "East Valley",
  OR(TEXT(TRIM(S965),"00000")="89030", TEXT(TRIM(S965),"00000")="89031", TEXT(TRIM(S965),"00000")="89032", TEXT(TRIM(S965),"00000")="89086", TEXT(TRIM(S965),"00000")="89084", TEXT(TRIM(S965),"00000")="89081"), "North LV",
  OR(TEXT(TRIM(S965),"00000")="89109", TEXT(TRIM(S965),"00000")="89103", TEXT(TRIM(S965),"00000")="89119", TEXT(TRIM(S965),"00000")="89123", TEXT(TRIM(S965),"00000")="89169", TEXT(TRIM(S965),"00000")="89118"), "South/Strip",
  OR(TEXT(TRIM(S965),"00000")="89074", TEXT(TRIM(S965),"00000")="89014", TEXT(TRIM(S965),"00000")="89015", TEXT(TRIM(S965),"00000")="89011", TEXT(TRIM(S965),"00000")="89012"), "Suburban SE",
  OR(TEXT(TRIM(S965),"00000")="89117", TEXT(TRIM(S965),"00000")="89128", TEXT(TRIM(S965),"00000")="89135", TEXT(TRIM(S965),"00000")="89144", TEXT(TRIM(S965),"00000")="89145", TEXT(TRIM(S965),"00000")="89147"), "West Valley",
  TRUE, "Other"
)</f>
        <v>South/Strip</v>
      </c>
      <c r="U965" t="s">
        <v>3298</v>
      </c>
      <c r="V965" t="str">
        <f t="shared" si="63"/>
        <v>Outdoors/Public</v>
      </c>
    </row>
    <row r="966" spans="1:22">
      <c r="A966" t="s">
        <v>2303</v>
      </c>
      <c r="B966" t="s">
        <v>2304</v>
      </c>
      <c r="C966" s="1">
        <v>44421</v>
      </c>
      <c r="D966" s="4">
        <v>102.02</v>
      </c>
      <c r="E966">
        <v>50</v>
      </c>
      <c r="F966" t="str">
        <f t="shared" si="60"/>
        <v>50's</v>
      </c>
      <c r="G966" t="str" cm="1">
        <f t="array" ref="G966">_xlfn.IFS(
  F966="10's", "Child (5–12)",
  OR(F966="20's", F966="30's"), "Young Adult (20–39)",
  OR(F966="40's", F966="50's"), "Adult (40–59)",
  OR(F966="60's", F966="70's", F966="80's", F966="90's"), "Senior (60+)",
  TRUE, "Unknown"
)</f>
        <v>Adult (40–59)</v>
      </c>
      <c r="H966" t="s">
        <v>778</v>
      </c>
      <c r="I966" t="s">
        <v>54</v>
      </c>
      <c r="J966" t="str">
        <f t="shared" si="61"/>
        <v>Environmental Heat</v>
      </c>
      <c r="K966" t="s">
        <v>172</v>
      </c>
      <c r="L966" t="s">
        <v>250</v>
      </c>
      <c r="M966" t="s">
        <v>4828</v>
      </c>
      <c r="N966" t="s">
        <v>5117</v>
      </c>
      <c r="O966" t="str" cm="1">
        <f t="array" ref="O966">_xlfn.IFS(
  TEXT(TRIM(N966),"00000")="NULL", "Missing/Unknown",
  OR(TEXT(TRIM(N966),"00000")="89101", TEXT(TRIM(N966),"00000")="89104", TEXT(TRIM(N966),"00000")="89106", TEXT(TRIM(N966),"00000")="89102", TEXT(TRIM(N966),"00000")="89107", TEXT(TRIM(N966),"00000")="89108"), "Urban Core",
  OR(TEXT(TRIM(N966),"00000")="89110", TEXT(TRIM(N966),"00000")="89115", TEXT(TRIM(N966),"00000")="89121", TEXT(TRIM(N966),"00000")="89122", TEXT(TRIM(N966),"00000")="89142", TEXT(TRIM(N966),"00000")="89156"), "East Valley",
  OR(TEXT(TRIM(N966),"00000")="89030", TEXT(TRIM(N966),"00000")="89031", TEXT(TRIM(N966),"00000")="89032", TEXT(TRIM(N966),"00000")="89086", TEXT(TRIM(N966),"00000")="89084", TEXT(TRIM(N966),"00000")="89081"), "North LV",
  OR(TEXT(TRIM(N966),"00000")="89109", TEXT(TRIM(N966),"00000")="89103", TEXT(TRIM(N966),"00000")="89119", TEXT(TRIM(N966),"00000")="89123", TEXT(TRIM(N966),"00000")="89169", TEXT(TRIM(N966),"00000")="89118"), "South/Strip",
  OR(TEXT(TRIM(N966),"00000")="89074", TEXT(TRIM(N966),"00000")="89014", TEXT(TRIM(N966),"00000")="89015", TEXT(TRIM(N966),"00000")="89011", TEXT(TRIM(N966),"00000")="89012"), "Suburban SE",
  OR(TEXT(TRIM(N966),"00000")="89117", TEXT(TRIM(N966),"00000")="89128", TEXT(TRIM(N966),"00000")="89135", TEXT(TRIM(N966),"00000")="89144", TEXT(TRIM(N966),"00000")="89145", TEXT(TRIM(N966),"00000")="89147"), "West Valley",
  TRUE, "Other"
)</f>
        <v>North LV</v>
      </c>
      <c r="P966" t="s">
        <v>3298</v>
      </c>
      <c r="Q966" t="str">
        <f t="shared" si="62"/>
        <v>Outdoors/Public</v>
      </c>
      <c r="R966" t="s">
        <v>4828</v>
      </c>
      <c r="S966" t="s">
        <v>5117</v>
      </c>
      <c r="T966" t="str" cm="1">
        <f t="array" ref="T966">_xlfn.IFS(
  TEXT(TRIM(S966),"00000")="NULL", "Missing/Unknown",
  OR(TEXT(TRIM(S966),"00000")="89101", TEXT(TRIM(S966),"00000")="89104", TEXT(TRIM(S966),"00000")="89106", TEXT(TRIM(S966),"00000")="89102", TEXT(TRIM(S966),"00000")="89107", TEXT(TRIM(S966),"00000")="89108"), "Urban Core",
  OR(TEXT(TRIM(S966),"00000")="89110", TEXT(TRIM(S966),"00000")="89115", TEXT(TRIM(S966),"00000")="89121", TEXT(TRIM(S966),"00000")="89122", TEXT(TRIM(S966),"00000")="89142", TEXT(TRIM(S966),"00000")="89156"), "East Valley",
  OR(TEXT(TRIM(S966),"00000")="89030", TEXT(TRIM(S966),"00000")="89031", TEXT(TRIM(S966),"00000")="89032", TEXT(TRIM(S966),"00000")="89086", TEXT(TRIM(S966),"00000")="89084", TEXT(TRIM(S966),"00000")="89081"), "North LV",
  OR(TEXT(TRIM(S966),"00000")="89109", TEXT(TRIM(S966),"00000")="89103", TEXT(TRIM(S966),"00000")="89119", TEXT(TRIM(S966),"00000")="89123", TEXT(TRIM(S966),"00000")="89169", TEXT(TRIM(S966),"00000")="89118"), "South/Strip",
  OR(TEXT(TRIM(S966),"00000")="89074", TEXT(TRIM(S966),"00000")="89014", TEXT(TRIM(S966),"00000")="89015", TEXT(TRIM(S966),"00000")="89011", TEXT(TRIM(S966),"00000")="89012"), "Suburban SE",
  OR(TEXT(TRIM(S966),"00000")="89117", TEXT(TRIM(S966),"00000")="89128", TEXT(TRIM(S966),"00000")="89135", TEXT(TRIM(S966),"00000")="89144", TEXT(TRIM(S966),"00000")="89145", TEXT(TRIM(S966),"00000")="89147"), "West Valley",
  TRUE, "Other"
)</f>
        <v>North LV</v>
      </c>
      <c r="U966" t="s">
        <v>3298</v>
      </c>
      <c r="V966" t="str">
        <f t="shared" si="63"/>
        <v>Outdoors/Public</v>
      </c>
    </row>
    <row r="967" spans="1:22">
      <c r="A967" t="s">
        <v>2306</v>
      </c>
      <c r="B967" t="s">
        <v>2307</v>
      </c>
      <c r="C967" s="1">
        <v>44421</v>
      </c>
      <c r="D967" s="4">
        <v>102.02</v>
      </c>
      <c r="E967">
        <v>70</v>
      </c>
      <c r="F967" t="str">
        <f t="shared" si="60"/>
        <v>70's</v>
      </c>
      <c r="G967" t="str" cm="1">
        <f t="array" ref="G967">_xlfn.IFS(
  F967="10's", "Child (5–12)",
  OR(F967="20's", F967="30's"), "Young Adult (20–39)",
  OR(F967="40's", F967="50's"), "Adult (40–59)",
  OR(F967="60's", F967="70's", F967="80's", F967="90's"), "Senior (60+)",
  TRUE, "Unknown"
)</f>
        <v>Senior (60+)</v>
      </c>
      <c r="H967" t="s">
        <v>4310</v>
      </c>
      <c r="I967" t="s">
        <v>54</v>
      </c>
      <c r="J967" t="str">
        <f t="shared" si="61"/>
        <v>Environmental Heat</v>
      </c>
      <c r="K967" t="s">
        <v>503</v>
      </c>
      <c r="L967" t="s">
        <v>250</v>
      </c>
      <c r="M967" t="s">
        <v>4884</v>
      </c>
      <c r="N967" t="s">
        <v>5098</v>
      </c>
      <c r="O967" t="str" cm="1">
        <f t="array" ref="O967">_xlfn.IFS(
  TEXT(TRIM(N967),"00000")="NULL", "Missing/Unknown",
  OR(TEXT(TRIM(N967),"00000")="89101", TEXT(TRIM(N967),"00000")="89104", TEXT(TRIM(N967),"00000")="89106", TEXT(TRIM(N967),"00000")="89102", TEXT(TRIM(N967),"00000")="89107", TEXT(TRIM(N967),"00000")="89108"), "Urban Core",
  OR(TEXT(TRIM(N967),"00000")="89110", TEXT(TRIM(N967),"00000")="89115", TEXT(TRIM(N967),"00000")="89121", TEXT(TRIM(N967),"00000")="89122", TEXT(TRIM(N967),"00000")="89142", TEXT(TRIM(N967),"00000")="89156"), "East Valley",
  OR(TEXT(TRIM(N967),"00000")="89030", TEXT(TRIM(N967),"00000")="89031", TEXT(TRIM(N967),"00000")="89032", TEXT(TRIM(N967),"00000")="89086", TEXT(TRIM(N967),"00000")="89084", TEXT(TRIM(N967),"00000")="89081"), "North LV",
  OR(TEXT(TRIM(N967),"00000")="89109", TEXT(TRIM(N967),"00000")="89103", TEXT(TRIM(N967),"00000")="89119", TEXT(TRIM(N967),"00000")="89123", TEXT(TRIM(N967),"00000")="89169", TEXT(TRIM(N967),"00000")="89118"), "South/Strip",
  OR(TEXT(TRIM(N967),"00000")="89074", TEXT(TRIM(N967),"00000")="89014", TEXT(TRIM(N967),"00000")="89015", TEXT(TRIM(N967),"00000")="89011", TEXT(TRIM(N967),"00000")="89012"), "Suburban SE",
  OR(TEXT(TRIM(N967),"00000")="89117", TEXT(TRIM(N967),"00000")="89128", TEXT(TRIM(N967),"00000")="89135", TEXT(TRIM(N967),"00000")="89144", TEXT(TRIM(N967),"00000")="89145", TEXT(TRIM(N967),"00000")="89147"), "West Valley",
  TRUE, "Other"
)</f>
        <v>Urban Core</v>
      </c>
      <c r="P967" t="s">
        <v>24</v>
      </c>
      <c r="Q967" t="str">
        <f t="shared" si="62"/>
        <v>Outdoors/Public</v>
      </c>
      <c r="R967" t="s">
        <v>4884</v>
      </c>
      <c r="S967" t="s">
        <v>5098</v>
      </c>
      <c r="T967" t="str" cm="1">
        <f t="array" ref="T967">_xlfn.IFS(
  TEXT(TRIM(S967),"00000")="NULL", "Missing/Unknown",
  OR(TEXT(TRIM(S967),"00000")="89101", TEXT(TRIM(S967),"00000")="89104", TEXT(TRIM(S967),"00000")="89106", TEXT(TRIM(S967),"00000")="89102", TEXT(TRIM(S967),"00000")="89107", TEXT(TRIM(S967),"00000")="89108"), "Urban Core",
  OR(TEXT(TRIM(S967),"00000")="89110", TEXT(TRIM(S967),"00000")="89115", TEXT(TRIM(S967),"00000")="89121", TEXT(TRIM(S967),"00000")="89122", TEXT(TRIM(S967),"00000")="89142", TEXT(TRIM(S967),"00000")="89156"), "East Valley",
  OR(TEXT(TRIM(S967),"00000")="89030", TEXT(TRIM(S967),"00000")="89031", TEXT(TRIM(S967),"00000")="89032", TEXT(TRIM(S967),"00000")="89086", TEXT(TRIM(S967),"00000")="89084", TEXT(TRIM(S967),"00000")="89081"), "North LV",
  OR(TEXT(TRIM(S967),"00000")="89109", TEXT(TRIM(S967),"00000")="89103", TEXT(TRIM(S967),"00000")="89119", TEXT(TRIM(S967),"00000")="89123", TEXT(TRIM(S967),"00000")="89169", TEXT(TRIM(S967),"00000")="89118"), "South/Strip",
  OR(TEXT(TRIM(S967),"00000")="89074", TEXT(TRIM(S967),"00000")="89014", TEXT(TRIM(S967),"00000")="89015", TEXT(TRIM(S967),"00000")="89011", TEXT(TRIM(S967),"00000")="89012"), "Suburban SE",
  OR(TEXT(TRIM(S967),"00000")="89117", TEXT(TRIM(S967),"00000")="89128", TEXT(TRIM(S967),"00000")="89135", TEXT(TRIM(S967),"00000")="89144", TEXT(TRIM(S967),"00000")="89145", TEXT(TRIM(S967),"00000")="89147"), "West Valley",
  TRUE, "Other"
)</f>
        <v>Urban Core</v>
      </c>
      <c r="U967" t="s">
        <v>24</v>
      </c>
      <c r="V967" t="str">
        <f t="shared" si="63"/>
        <v>Outdoors/Public</v>
      </c>
    </row>
    <row r="968" spans="1:22">
      <c r="A968" t="s">
        <v>2297</v>
      </c>
      <c r="B968" t="s">
        <v>2298</v>
      </c>
      <c r="C968" s="1">
        <v>44419</v>
      </c>
      <c r="D968" s="4">
        <v>100.94</v>
      </c>
      <c r="E968">
        <v>49</v>
      </c>
      <c r="F968" t="str">
        <f t="shared" si="60"/>
        <v>40's</v>
      </c>
      <c r="G968" t="str" cm="1">
        <f t="array" ref="G968">_xlfn.IFS(
  F968="10's", "Child (5–12)",
  OR(F968="20's", F968="30's"), "Young Adult (20–39)",
  OR(F968="40's", F968="50's"), "Adult (40–59)",
  OR(F968="60's", F968="70's", F968="80's", F968="90's"), "Senior (60+)",
  TRUE, "Unknown"
)</f>
        <v>Adult (40–59)</v>
      </c>
      <c r="H968" t="s">
        <v>841</v>
      </c>
      <c r="I968" t="s">
        <v>34</v>
      </c>
      <c r="J968" t="str">
        <f t="shared" si="61"/>
        <v>Methamphetamine-related</v>
      </c>
      <c r="K968" t="s">
        <v>54</v>
      </c>
      <c r="L968" t="s">
        <v>250</v>
      </c>
      <c r="M968" t="s">
        <v>4518</v>
      </c>
      <c r="N968" t="s">
        <v>5106</v>
      </c>
      <c r="O968" t="str" cm="1">
        <f t="array" ref="O968">_xlfn.IFS(
  TEXT(TRIM(N968),"00000")="NULL", "Missing/Unknown",
  OR(TEXT(TRIM(N968),"00000")="89101", TEXT(TRIM(N968),"00000")="89104", TEXT(TRIM(N968),"00000")="89106", TEXT(TRIM(N968),"00000")="89102", TEXT(TRIM(N968),"00000")="89107", TEXT(TRIM(N968),"00000")="89108"), "Urban Core",
  OR(TEXT(TRIM(N968),"00000")="89110", TEXT(TRIM(N968),"00000")="89115", TEXT(TRIM(N968),"00000")="89121", TEXT(TRIM(N968),"00000")="89122", TEXT(TRIM(N968),"00000")="89142", TEXT(TRIM(N968),"00000")="89156"), "East Valley",
  OR(TEXT(TRIM(N968),"00000")="89030", TEXT(TRIM(N968),"00000")="89031", TEXT(TRIM(N968),"00000")="89032", TEXT(TRIM(N968),"00000")="89086", TEXT(TRIM(N968),"00000")="89084", TEXT(TRIM(N968),"00000")="89081"), "North LV",
  OR(TEXT(TRIM(N968),"00000")="89109", TEXT(TRIM(N968),"00000")="89103", TEXT(TRIM(N968),"00000")="89119", TEXT(TRIM(N968),"00000")="89123", TEXT(TRIM(N968),"00000")="89169", TEXT(TRIM(N968),"00000")="89118"), "South/Strip",
  OR(TEXT(TRIM(N968),"00000")="89074", TEXT(TRIM(N968),"00000")="89014", TEXT(TRIM(N968),"00000")="89015", TEXT(TRIM(N968),"00000")="89011", TEXT(TRIM(N968),"00000")="89012"), "Suburban SE",
  OR(TEXT(TRIM(N968),"00000")="89117", TEXT(TRIM(N968),"00000")="89128", TEXT(TRIM(N968),"00000")="89135", TEXT(TRIM(N968),"00000")="89144", TEXT(TRIM(N968),"00000")="89145", TEXT(TRIM(N968),"00000")="89147"), "West Valley",
  TRUE, "Other"
)</f>
        <v>East Valley</v>
      </c>
      <c r="P968" t="s">
        <v>132</v>
      </c>
      <c r="Q968" t="str">
        <f t="shared" si="62"/>
        <v>Outdoors/Public</v>
      </c>
      <c r="R968" t="s">
        <v>4341</v>
      </c>
      <c r="S968" t="s">
        <v>5100</v>
      </c>
      <c r="T968" t="str" cm="1">
        <f t="array" ref="T968">_xlfn.IFS(
  TEXT(TRIM(S968),"00000")="NULL", "Missing/Unknown",
  OR(TEXT(TRIM(S968),"00000")="89101", TEXT(TRIM(S968),"00000")="89104", TEXT(TRIM(S968),"00000")="89106", TEXT(TRIM(S968),"00000")="89102", TEXT(TRIM(S968),"00000")="89107", TEXT(TRIM(S968),"00000")="89108"), "Urban Core",
  OR(TEXT(TRIM(S968),"00000")="89110", TEXT(TRIM(S968),"00000")="89115", TEXT(TRIM(S968),"00000")="89121", TEXT(TRIM(S968),"00000")="89122", TEXT(TRIM(S968),"00000")="89142", TEXT(TRIM(S968),"00000")="89156"), "East Valley",
  OR(TEXT(TRIM(S968),"00000")="89030", TEXT(TRIM(S968),"00000")="89031", TEXT(TRIM(S968),"00000")="89032", TEXT(TRIM(S968),"00000")="89086", TEXT(TRIM(S968),"00000")="89084", TEXT(TRIM(S968),"00000")="89081"), "North LV",
  OR(TEXT(TRIM(S968),"00000")="89109", TEXT(TRIM(S968),"00000")="89103", TEXT(TRIM(S968),"00000")="89119", TEXT(TRIM(S968),"00000")="89123", TEXT(TRIM(S968),"00000")="89169", TEXT(TRIM(S968),"00000")="89118"), "South/Strip",
  OR(TEXT(TRIM(S968),"00000")="89074", TEXT(TRIM(S968),"00000")="89014", TEXT(TRIM(S968),"00000")="89015", TEXT(TRIM(S968),"00000")="89011", TEXT(TRIM(S968),"00000")="89012"), "Suburban SE",
  OR(TEXT(TRIM(S968),"00000")="89117", TEXT(TRIM(S968),"00000")="89128", TEXT(TRIM(S968),"00000")="89135", TEXT(TRIM(S968),"00000")="89144", TEXT(TRIM(S968),"00000")="89145", TEXT(TRIM(S968),"00000")="89147"), "West Valley",
  TRUE, "Other"
)</f>
        <v>North LV</v>
      </c>
      <c r="U968" t="s">
        <v>4301</v>
      </c>
      <c r="V968" t="str">
        <f t="shared" si="63"/>
        <v>Medical Facility</v>
      </c>
    </row>
    <row r="969" spans="1:22">
      <c r="A969" t="s">
        <v>2300</v>
      </c>
      <c r="B969" t="s">
        <v>2301</v>
      </c>
      <c r="C969" s="1">
        <v>44419</v>
      </c>
      <c r="D969" s="4">
        <v>100.94</v>
      </c>
      <c r="E969">
        <v>30</v>
      </c>
      <c r="F969" t="str">
        <f t="shared" si="60"/>
        <v>30's</v>
      </c>
      <c r="G969" t="str" cm="1">
        <f t="array" ref="G969">_xlfn.IFS(
  F969="10's", "Child (5–12)",
  OR(F969="20's", F969="30's"), "Young Adult (20–39)",
  OR(F969="40's", F969="50's"), "Adult (40–59)",
  OR(F969="60's", F969="70's", F969="80's", F969="90's"), "Senior (60+)",
  TRUE, "Unknown"
)</f>
        <v>Young Adult (20–39)</v>
      </c>
      <c r="H969" t="s">
        <v>841</v>
      </c>
      <c r="I969" t="s">
        <v>172</v>
      </c>
      <c r="J969" t="str">
        <f t="shared" si="61"/>
        <v>Methamphetamine-related</v>
      </c>
      <c r="K969" t="s">
        <v>54</v>
      </c>
      <c r="L969" t="s">
        <v>250</v>
      </c>
      <c r="M969" t="s">
        <v>4829</v>
      </c>
      <c r="N969" t="s">
        <v>5123</v>
      </c>
      <c r="O969" t="str" cm="1">
        <f t="array" ref="O969">_xlfn.IFS(
  TEXT(TRIM(N969),"00000")="NULL", "Missing/Unknown",
  OR(TEXT(TRIM(N969),"00000")="89101", TEXT(TRIM(N969),"00000")="89104", TEXT(TRIM(N969),"00000")="89106", TEXT(TRIM(N969),"00000")="89102", TEXT(TRIM(N969),"00000")="89107", TEXT(TRIM(N969),"00000")="89108"), "Urban Core",
  OR(TEXT(TRIM(N969),"00000")="89110", TEXT(TRIM(N969),"00000")="89115", TEXT(TRIM(N969),"00000")="89121", TEXT(TRIM(N969),"00000")="89122", TEXT(TRIM(N969),"00000")="89142", TEXT(TRIM(N969),"00000")="89156"), "East Valley",
  OR(TEXT(TRIM(N969),"00000")="89030", TEXT(TRIM(N969),"00000")="89031", TEXT(TRIM(N969),"00000")="89032", TEXT(TRIM(N969),"00000")="89086", TEXT(TRIM(N969),"00000")="89084", TEXT(TRIM(N969),"00000")="89081"), "North LV",
  OR(TEXT(TRIM(N969),"00000")="89109", TEXT(TRIM(N969),"00000")="89103", TEXT(TRIM(N969),"00000")="89119", TEXT(TRIM(N969),"00000")="89123", TEXT(TRIM(N969),"00000")="89169", TEXT(TRIM(N969),"00000")="89118"), "South/Strip",
  OR(TEXT(TRIM(N969),"00000")="89074", TEXT(TRIM(N969),"00000")="89014", TEXT(TRIM(N969),"00000")="89015", TEXT(TRIM(N969),"00000")="89011", TEXT(TRIM(N969),"00000")="89012"), "Suburban SE",
  OR(TEXT(TRIM(N969),"00000")="89117", TEXT(TRIM(N969),"00000")="89128", TEXT(TRIM(N969),"00000")="89135", TEXT(TRIM(N969),"00000")="89144", TEXT(TRIM(N969),"00000")="89145", TEXT(TRIM(N969),"00000")="89147"), "West Valley",
  TRUE, "Other"
)</f>
        <v>South/Strip</v>
      </c>
      <c r="P969" t="s">
        <v>3298</v>
      </c>
      <c r="Q969" t="str">
        <f t="shared" si="62"/>
        <v>Outdoors/Public</v>
      </c>
      <c r="R969" t="s">
        <v>4829</v>
      </c>
      <c r="S969" t="s">
        <v>5123</v>
      </c>
      <c r="T969" t="str" cm="1">
        <f t="array" ref="T969">_xlfn.IFS(
  TEXT(TRIM(S969),"00000")="NULL", "Missing/Unknown",
  OR(TEXT(TRIM(S969),"00000")="89101", TEXT(TRIM(S969),"00000")="89104", TEXT(TRIM(S969),"00000")="89106", TEXT(TRIM(S969),"00000")="89102", TEXT(TRIM(S969),"00000")="89107", TEXT(TRIM(S969),"00000")="89108"), "Urban Core",
  OR(TEXT(TRIM(S969),"00000")="89110", TEXT(TRIM(S969),"00000")="89115", TEXT(TRIM(S969),"00000")="89121", TEXT(TRIM(S969),"00000")="89122", TEXT(TRIM(S969),"00000")="89142", TEXT(TRIM(S969),"00000")="89156"), "East Valley",
  OR(TEXT(TRIM(S969),"00000")="89030", TEXT(TRIM(S969),"00000")="89031", TEXT(TRIM(S969),"00000")="89032", TEXT(TRIM(S969),"00000")="89086", TEXT(TRIM(S969),"00000")="89084", TEXT(TRIM(S969),"00000")="89081"), "North LV",
  OR(TEXT(TRIM(S969),"00000")="89109", TEXT(TRIM(S969),"00000")="89103", TEXT(TRIM(S969),"00000")="89119", TEXT(TRIM(S969),"00000")="89123", TEXT(TRIM(S969),"00000")="89169", TEXT(TRIM(S969),"00000")="89118"), "South/Strip",
  OR(TEXT(TRIM(S969),"00000")="89074", TEXT(TRIM(S969),"00000")="89014", TEXT(TRIM(S969),"00000")="89015", TEXT(TRIM(S969),"00000")="89011", TEXT(TRIM(S969),"00000")="89012"), "Suburban SE",
  OR(TEXT(TRIM(S969),"00000")="89117", TEXT(TRIM(S969),"00000")="89128", TEXT(TRIM(S969),"00000")="89135", TEXT(TRIM(S969),"00000")="89144", TEXT(TRIM(S969),"00000")="89145", TEXT(TRIM(S969),"00000")="89147"), "West Valley",
  TRUE, "Other"
)</f>
        <v>South/Strip</v>
      </c>
      <c r="U969" t="s">
        <v>3298</v>
      </c>
      <c r="V969" t="str">
        <f t="shared" si="63"/>
        <v>Outdoors/Public</v>
      </c>
    </row>
    <row r="970" spans="1:22">
      <c r="A970" t="s">
        <v>2295</v>
      </c>
      <c r="B970" t="s">
        <v>2296</v>
      </c>
      <c r="C970" s="1">
        <v>44418</v>
      </c>
      <c r="D970" s="4">
        <v>105.98</v>
      </c>
      <c r="E970">
        <v>52</v>
      </c>
      <c r="F970" t="str">
        <f t="shared" si="60"/>
        <v>50's</v>
      </c>
      <c r="G970" t="str" cm="1">
        <f t="array" ref="G970">_xlfn.IFS(
  F970="10's", "Child (5–12)",
  OR(F970="20's", F970="30's"), "Young Adult (20–39)",
  OR(F970="40's", F970="50's"), "Adult (40–59)",
  OR(F970="60's", F970="70's", F970="80's", F970="90's"), "Senior (60+)",
  TRUE, "Unknown"
)</f>
        <v>Adult (40–59)</v>
      </c>
      <c r="H970" t="s">
        <v>841</v>
      </c>
      <c r="I970" t="s">
        <v>135</v>
      </c>
      <c r="J970" t="str">
        <f t="shared" si="61"/>
        <v>Methamphetamine-related</v>
      </c>
      <c r="K970" t="s">
        <v>54</v>
      </c>
      <c r="L970" t="s">
        <v>250</v>
      </c>
      <c r="M970" t="s">
        <v>4831</v>
      </c>
      <c r="N970" t="s">
        <v>5098</v>
      </c>
      <c r="O970" t="str" cm="1">
        <f t="array" ref="O970">_xlfn.IFS(
  TEXT(TRIM(N970),"00000")="NULL", "Missing/Unknown",
  OR(TEXT(TRIM(N970),"00000")="89101", TEXT(TRIM(N970),"00000")="89104", TEXT(TRIM(N970),"00000")="89106", TEXT(TRIM(N970),"00000")="89102", TEXT(TRIM(N970),"00000")="89107", TEXT(TRIM(N970),"00000")="89108"), "Urban Core",
  OR(TEXT(TRIM(N970),"00000")="89110", TEXT(TRIM(N970),"00000")="89115", TEXT(TRIM(N970),"00000")="89121", TEXT(TRIM(N970),"00000")="89122", TEXT(TRIM(N970),"00000")="89142", TEXT(TRIM(N970),"00000")="89156"), "East Valley",
  OR(TEXT(TRIM(N970),"00000")="89030", TEXT(TRIM(N970),"00000")="89031", TEXT(TRIM(N970),"00000")="89032", TEXT(TRIM(N970),"00000")="89086", TEXT(TRIM(N970),"00000")="89084", TEXT(TRIM(N970),"00000")="89081"), "North LV",
  OR(TEXT(TRIM(N970),"00000")="89109", TEXT(TRIM(N970),"00000")="89103", TEXT(TRIM(N970),"00000")="89119", TEXT(TRIM(N970),"00000")="89123", TEXT(TRIM(N970),"00000")="89169", TEXT(TRIM(N970),"00000")="89118"), "South/Strip",
  OR(TEXT(TRIM(N970),"00000")="89074", TEXT(TRIM(N970),"00000")="89014", TEXT(TRIM(N970),"00000")="89015", TEXT(TRIM(N970),"00000")="89011", TEXT(TRIM(N970),"00000")="89012"), "Suburban SE",
  OR(TEXT(TRIM(N970),"00000")="89117", TEXT(TRIM(N970),"00000")="89128", TEXT(TRIM(N970),"00000")="89135", TEXT(TRIM(N970),"00000")="89144", TEXT(TRIM(N970),"00000")="89145", TEXT(TRIM(N970),"00000")="89147"), "West Valley",
  TRUE, "Other"
)</f>
        <v>Urban Core</v>
      </c>
      <c r="P970" t="s">
        <v>3298</v>
      </c>
      <c r="Q970" t="str">
        <f t="shared" si="62"/>
        <v>Outdoors/Public</v>
      </c>
      <c r="R970" t="s">
        <v>4831</v>
      </c>
      <c r="S970" t="s">
        <v>5098</v>
      </c>
      <c r="T970" t="str" cm="1">
        <f t="array" ref="T970">_xlfn.IFS(
  TEXT(TRIM(S970),"00000")="NULL", "Missing/Unknown",
  OR(TEXT(TRIM(S970),"00000")="89101", TEXT(TRIM(S970),"00000")="89104", TEXT(TRIM(S970),"00000")="89106", TEXT(TRIM(S970),"00000")="89102", TEXT(TRIM(S970),"00000")="89107", TEXT(TRIM(S970),"00000")="89108"), "Urban Core",
  OR(TEXT(TRIM(S970),"00000")="89110", TEXT(TRIM(S970),"00000")="89115", TEXT(TRIM(S970),"00000")="89121", TEXT(TRIM(S970),"00000")="89122", TEXT(TRIM(S970),"00000")="89142", TEXT(TRIM(S970),"00000")="89156"), "East Valley",
  OR(TEXT(TRIM(S970),"00000")="89030", TEXT(TRIM(S970),"00000")="89031", TEXT(TRIM(S970),"00000")="89032", TEXT(TRIM(S970),"00000")="89086", TEXT(TRIM(S970),"00000")="89084", TEXT(TRIM(S970),"00000")="89081"), "North LV",
  OR(TEXT(TRIM(S970),"00000")="89109", TEXT(TRIM(S970),"00000")="89103", TEXT(TRIM(S970),"00000")="89119", TEXT(TRIM(S970),"00000")="89123", TEXT(TRIM(S970),"00000")="89169", TEXT(TRIM(S970),"00000")="89118"), "South/Strip",
  OR(TEXT(TRIM(S970),"00000")="89074", TEXT(TRIM(S970),"00000")="89014", TEXT(TRIM(S970),"00000")="89015", TEXT(TRIM(S970),"00000")="89011", TEXT(TRIM(S970),"00000")="89012"), "Suburban SE",
  OR(TEXT(TRIM(S970),"00000")="89117", TEXT(TRIM(S970),"00000")="89128", TEXT(TRIM(S970),"00000")="89135", TEXT(TRIM(S970),"00000")="89144", TEXT(TRIM(S970),"00000")="89145", TEXT(TRIM(S970),"00000")="89147"), "West Valley",
  TRUE, "Other"
)</f>
        <v>Urban Core</v>
      </c>
      <c r="U970" t="s">
        <v>3298</v>
      </c>
      <c r="V970" t="str">
        <f t="shared" si="63"/>
        <v>Outdoors/Public</v>
      </c>
    </row>
    <row r="971" spans="1:22">
      <c r="A971" t="s">
        <v>2292</v>
      </c>
      <c r="B971" t="s">
        <v>2293</v>
      </c>
      <c r="C971" s="1">
        <v>44418</v>
      </c>
      <c r="D971" s="4">
        <v>105.98</v>
      </c>
      <c r="E971">
        <v>66</v>
      </c>
      <c r="F971" t="str">
        <f t="shared" si="60"/>
        <v>60's</v>
      </c>
      <c r="G971" t="str" cm="1">
        <f t="array" ref="G971">_xlfn.IFS(
  F971="10's", "Child (5–12)",
  OR(F971="20's", F971="30's"), "Young Adult (20–39)",
  OR(F971="40's", F971="50's"), "Adult (40–59)",
  OR(F971="60's", F971="70's", F971="80's", F971="90's"), "Senior (60+)",
  TRUE, "Unknown"
)</f>
        <v>Senior (60+)</v>
      </c>
      <c r="H971" t="s">
        <v>27</v>
      </c>
      <c r="I971" t="s">
        <v>54</v>
      </c>
      <c r="J971" t="str">
        <f t="shared" si="61"/>
        <v>Environmental Heat</v>
      </c>
      <c r="K971" t="s">
        <v>166</v>
      </c>
      <c r="L971" t="s">
        <v>250</v>
      </c>
      <c r="M971" t="s">
        <v>4830</v>
      </c>
      <c r="N971" t="s">
        <v>5119</v>
      </c>
      <c r="O971" t="str" cm="1">
        <f t="array" ref="O971">_xlfn.IFS(
  TEXT(TRIM(N971),"00000")="NULL", "Missing/Unknown",
  OR(TEXT(TRIM(N971),"00000")="89101", TEXT(TRIM(N971),"00000")="89104", TEXT(TRIM(N971),"00000")="89106", TEXT(TRIM(N971),"00000")="89102", TEXT(TRIM(N971),"00000")="89107", TEXT(TRIM(N971),"00000")="89108"), "Urban Core",
  OR(TEXT(TRIM(N971),"00000")="89110", TEXT(TRIM(N971),"00000")="89115", TEXT(TRIM(N971),"00000")="89121", TEXT(TRIM(N971),"00000")="89122", TEXT(TRIM(N971),"00000")="89142", TEXT(TRIM(N971),"00000")="89156"), "East Valley",
  OR(TEXT(TRIM(N971),"00000")="89030", TEXT(TRIM(N971),"00000")="89031", TEXT(TRIM(N971),"00000")="89032", TEXT(TRIM(N971),"00000")="89086", TEXT(TRIM(N971),"00000")="89084", TEXT(TRIM(N971),"00000")="89081"), "North LV",
  OR(TEXT(TRIM(N971),"00000")="89109", TEXT(TRIM(N971),"00000")="89103", TEXT(TRIM(N971),"00000")="89119", TEXT(TRIM(N971),"00000")="89123", TEXT(TRIM(N971),"00000")="89169", TEXT(TRIM(N971),"00000")="89118"), "South/Strip",
  OR(TEXT(TRIM(N971),"00000")="89074", TEXT(TRIM(N971),"00000")="89014", TEXT(TRIM(N971),"00000")="89015", TEXT(TRIM(N971),"00000")="89011", TEXT(TRIM(N971),"00000")="89012"), "Suburban SE",
  OR(TEXT(TRIM(N971),"00000")="89117", TEXT(TRIM(N971),"00000")="89128", TEXT(TRIM(N971),"00000")="89135", TEXT(TRIM(N971),"00000")="89144", TEXT(TRIM(N971),"00000")="89145", TEXT(TRIM(N971),"00000")="89147"), "West Valley",
  TRUE, "Other"
)</f>
        <v>Urban Core</v>
      </c>
      <c r="P971" t="s">
        <v>3298</v>
      </c>
      <c r="Q971" t="str">
        <f t="shared" si="62"/>
        <v>Outdoors/Public</v>
      </c>
      <c r="R971" t="s">
        <v>4830</v>
      </c>
      <c r="S971" t="s">
        <v>5119</v>
      </c>
      <c r="T971" t="str" cm="1">
        <f t="array" ref="T971">_xlfn.IFS(
  TEXT(TRIM(S971),"00000")="NULL", "Missing/Unknown",
  OR(TEXT(TRIM(S971),"00000")="89101", TEXT(TRIM(S971),"00000")="89104", TEXT(TRIM(S971),"00000")="89106", TEXT(TRIM(S971),"00000")="89102", TEXT(TRIM(S971),"00000")="89107", TEXT(TRIM(S971),"00000")="89108"), "Urban Core",
  OR(TEXT(TRIM(S971),"00000")="89110", TEXT(TRIM(S971),"00000")="89115", TEXT(TRIM(S971),"00000")="89121", TEXT(TRIM(S971),"00000")="89122", TEXT(TRIM(S971),"00000")="89142", TEXT(TRIM(S971),"00000")="89156"), "East Valley",
  OR(TEXT(TRIM(S971),"00000")="89030", TEXT(TRIM(S971),"00000")="89031", TEXT(TRIM(S971),"00000")="89032", TEXT(TRIM(S971),"00000")="89086", TEXT(TRIM(S971),"00000")="89084", TEXT(TRIM(S971),"00000")="89081"), "North LV",
  OR(TEXT(TRIM(S971),"00000")="89109", TEXT(TRIM(S971),"00000")="89103", TEXT(TRIM(S971),"00000")="89119", TEXT(TRIM(S971),"00000")="89123", TEXT(TRIM(S971),"00000")="89169", TEXT(TRIM(S971),"00000")="89118"), "South/Strip",
  OR(TEXT(TRIM(S971),"00000")="89074", TEXT(TRIM(S971),"00000")="89014", TEXT(TRIM(S971),"00000")="89015", TEXT(TRIM(S971),"00000")="89011", TEXT(TRIM(S971),"00000")="89012"), "Suburban SE",
  OR(TEXT(TRIM(S971),"00000")="89117", TEXT(TRIM(S971),"00000")="89128", TEXT(TRIM(S971),"00000")="89135", TEXT(TRIM(S971),"00000")="89144", TEXT(TRIM(S971),"00000")="89145", TEXT(TRIM(S971),"00000")="89147"), "West Valley",
  TRUE, "Other"
)</f>
        <v>Urban Core</v>
      </c>
      <c r="U971" t="s">
        <v>3298</v>
      </c>
      <c r="V971" t="str">
        <f t="shared" si="63"/>
        <v>Outdoors/Public</v>
      </c>
    </row>
    <row r="972" spans="1:22">
      <c r="A972" t="s">
        <v>2283</v>
      </c>
      <c r="B972" t="s">
        <v>2284</v>
      </c>
      <c r="C972" s="1">
        <v>44415</v>
      </c>
      <c r="D972" s="4">
        <v>105.98</v>
      </c>
      <c r="E972">
        <v>59</v>
      </c>
      <c r="F972" t="str">
        <f t="shared" si="60"/>
        <v>50's</v>
      </c>
      <c r="G972" t="str" cm="1">
        <f t="array" ref="G972">_xlfn.IFS(
  F972="10's", "Child (5–12)",
  OR(F972="20's", F972="30's"), "Young Adult (20–39)",
  OR(F972="40's", F972="50's"), "Adult (40–59)",
  OR(F972="60's", F972="70's", F972="80's", F972="90's"), "Senior (60+)",
  TRUE, "Unknown"
)</f>
        <v>Adult (40–59)</v>
      </c>
      <c r="H972" t="s">
        <v>778</v>
      </c>
      <c r="I972" t="s">
        <v>54</v>
      </c>
      <c r="J972" t="str">
        <f t="shared" si="61"/>
        <v>Environmental Heat</v>
      </c>
      <c r="K972" t="s">
        <v>4271</v>
      </c>
      <c r="L972" t="s">
        <v>250</v>
      </c>
      <c r="M972" t="s">
        <v>4832</v>
      </c>
      <c r="N972" t="s">
        <v>5154</v>
      </c>
      <c r="O972" t="str" cm="1">
        <f t="array" ref="O972">_xlfn.IFS(
  TEXT(TRIM(N972),"00000")="NULL", "Missing/Unknown",
  OR(TEXT(TRIM(N972),"00000")="89101", TEXT(TRIM(N972),"00000")="89104", TEXT(TRIM(N972),"00000")="89106", TEXT(TRIM(N972),"00000")="89102", TEXT(TRIM(N972),"00000")="89107", TEXT(TRIM(N972),"00000")="89108"), "Urban Core",
  OR(TEXT(TRIM(N972),"00000")="89110", TEXT(TRIM(N972),"00000")="89115", TEXT(TRIM(N972),"00000")="89121", TEXT(TRIM(N972),"00000")="89122", TEXT(TRIM(N972),"00000")="89142", TEXT(TRIM(N972),"00000")="89156"), "East Valley",
  OR(TEXT(TRIM(N972),"00000")="89030", TEXT(TRIM(N972),"00000")="89031", TEXT(TRIM(N972),"00000")="89032", TEXT(TRIM(N972),"00000")="89086", TEXT(TRIM(N972),"00000")="89084", TEXT(TRIM(N972),"00000")="89081"), "North LV",
  OR(TEXT(TRIM(N972),"00000")="89109", TEXT(TRIM(N972),"00000")="89103", TEXT(TRIM(N972),"00000")="89119", TEXT(TRIM(N972),"00000")="89123", TEXT(TRIM(N972),"00000")="89169", TEXT(TRIM(N972),"00000")="89118"), "South/Strip",
  OR(TEXT(TRIM(N972),"00000")="89074", TEXT(TRIM(N972),"00000")="89014", TEXT(TRIM(N972),"00000")="89015", TEXT(TRIM(N972),"00000")="89011", TEXT(TRIM(N972),"00000")="89012"), "Suburban SE",
  OR(TEXT(TRIM(N972),"00000")="89117", TEXT(TRIM(N972),"00000")="89128", TEXT(TRIM(N972),"00000")="89135", TEXT(TRIM(N972),"00000")="89144", TEXT(TRIM(N972),"00000")="89145", TEXT(TRIM(N972),"00000")="89147"), "West Valley",
  TRUE, "Other"
)</f>
        <v>West Valley</v>
      </c>
      <c r="P972" t="s">
        <v>3298</v>
      </c>
      <c r="Q972" t="str">
        <f t="shared" si="62"/>
        <v>Outdoors/Public</v>
      </c>
      <c r="R972" t="s">
        <v>4832</v>
      </c>
      <c r="S972" t="s">
        <v>5154</v>
      </c>
      <c r="T972" t="str" cm="1">
        <f t="array" ref="T972">_xlfn.IFS(
  TEXT(TRIM(S972),"00000")="NULL", "Missing/Unknown",
  OR(TEXT(TRIM(S972),"00000")="89101", TEXT(TRIM(S972),"00000")="89104", TEXT(TRIM(S972),"00000")="89106", TEXT(TRIM(S972),"00000")="89102", TEXT(TRIM(S972),"00000")="89107", TEXT(TRIM(S972),"00000")="89108"), "Urban Core",
  OR(TEXT(TRIM(S972),"00000")="89110", TEXT(TRIM(S972),"00000")="89115", TEXT(TRIM(S972),"00000")="89121", TEXT(TRIM(S972),"00000")="89122", TEXT(TRIM(S972),"00000")="89142", TEXT(TRIM(S972),"00000")="89156"), "East Valley",
  OR(TEXT(TRIM(S972),"00000")="89030", TEXT(TRIM(S972),"00000")="89031", TEXT(TRIM(S972),"00000")="89032", TEXT(TRIM(S972),"00000")="89086", TEXT(TRIM(S972),"00000")="89084", TEXT(TRIM(S972),"00000")="89081"), "North LV",
  OR(TEXT(TRIM(S972),"00000")="89109", TEXT(TRIM(S972),"00000")="89103", TEXT(TRIM(S972),"00000")="89119", TEXT(TRIM(S972),"00000")="89123", TEXT(TRIM(S972),"00000")="89169", TEXT(TRIM(S972),"00000")="89118"), "South/Strip",
  OR(TEXT(TRIM(S972),"00000")="89074", TEXT(TRIM(S972),"00000")="89014", TEXT(TRIM(S972),"00000")="89015", TEXT(TRIM(S972),"00000")="89011", TEXT(TRIM(S972),"00000")="89012"), "Suburban SE",
  OR(TEXT(TRIM(S972),"00000")="89117", TEXT(TRIM(S972),"00000")="89128", TEXT(TRIM(S972),"00000")="89135", TEXT(TRIM(S972),"00000")="89144", TEXT(TRIM(S972),"00000")="89145", TEXT(TRIM(S972),"00000")="89147"), "West Valley",
  TRUE, "Other"
)</f>
        <v>West Valley</v>
      </c>
      <c r="U972" t="s">
        <v>3298</v>
      </c>
      <c r="V972" t="str">
        <f t="shared" si="63"/>
        <v>Outdoors/Public</v>
      </c>
    </row>
    <row r="973" spans="1:22">
      <c r="A973" t="s">
        <v>2289</v>
      </c>
      <c r="B973" t="s">
        <v>2290</v>
      </c>
      <c r="C973" s="1">
        <v>44415</v>
      </c>
      <c r="D973" s="4">
        <v>105.98</v>
      </c>
      <c r="E973">
        <v>57</v>
      </c>
      <c r="F973" t="str">
        <f t="shared" si="60"/>
        <v>50's</v>
      </c>
      <c r="G973" t="str" cm="1">
        <f t="array" ref="G973">_xlfn.IFS(
  F973="10's", "Child (5–12)",
  OR(F973="20's", F973="30's"), "Young Adult (20–39)",
  OR(F973="40's", F973="50's"), "Adult (40–59)",
  OR(F973="60's", F973="70's", F973="80's", F973="90's"), "Senior (60+)",
  TRUE, "Unknown"
)</f>
        <v>Adult (40–59)</v>
      </c>
      <c r="H973" t="s">
        <v>778</v>
      </c>
      <c r="I973" t="s">
        <v>4020</v>
      </c>
      <c r="J973" t="str">
        <f t="shared" si="61"/>
        <v>Dehydration / Electrolyte</v>
      </c>
      <c r="K973" t="s">
        <v>54</v>
      </c>
      <c r="L973" t="s">
        <v>250</v>
      </c>
      <c r="N973" t="s">
        <v>5095</v>
      </c>
      <c r="O973" t="str" cm="1">
        <f t="array" ref="O973">_xlfn.IFS(
  TEXT(TRIM(N973),"00000")="NULL", "Missing/Unknown",
  OR(TEXT(TRIM(N973),"00000")="89101", TEXT(TRIM(N973),"00000")="89104", TEXT(TRIM(N973),"00000")="89106", TEXT(TRIM(N973),"00000")="89102", TEXT(TRIM(N973),"00000")="89107", TEXT(TRIM(N973),"00000")="89108"), "Urban Core",
  OR(TEXT(TRIM(N973),"00000")="89110", TEXT(TRIM(N973),"00000")="89115", TEXT(TRIM(N973),"00000")="89121", TEXT(TRIM(N973),"00000")="89122", TEXT(TRIM(N973),"00000")="89142", TEXT(TRIM(N973),"00000")="89156"), "East Valley",
  OR(TEXT(TRIM(N973),"00000")="89030", TEXT(TRIM(N973),"00000")="89031", TEXT(TRIM(N973),"00000")="89032", TEXT(TRIM(N973),"00000")="89086", TEXT(TRIM(N973),"00000")="89084", TEXT(TRIM(N973),"00000")="89081"), "North LV",
  OR(TEXT(TRIM(N973),"00000")="89109", TEXT(TRIM(N973),"00000")="89103", TEXT(TRIM(N973),"00000")="89119", TEXT(TRIM(N973),"00000")="89123", TEXT(TRIM(N973),"00000")="89169", TEXT(TRIM(N973),"00000")="89118"), "South/Strip",
  OR(TEXT(TRIM(N973),"00000")="89074", TEXT(TRIM(N973),"00000")="89014", TEXT(TRIM(N973),"00000")="89015", TEXT(TRIM(N973),"00000")="89011", TEXT(TRIM(N973),"00000")="89012"), "Suburban SE",
  OR(TEXT(TRIM(N973),"00000")="89117", TEXT(TRIM(N973),"00000")="89128", TEXT(TRIM(N973),"00000")="89135", TEXT(TRIM(N973),"00000")="89144", TEXT(TRIM(N973),"00000")="89145", TEXT(TRIM(N973),"00000")="89147"), "West Valley",
  TRUE, "Other"
)</f>
        <v>Missing/Unknown</v>
      </c>
      <c r="P973" t="s">
        <v>3298</v>
      </c>
      <c r="Q973" t="str">
        <f t="shared" si="62"/>
        <v>Outdoors/Public</v>
      </c>
      <c r="R973" t="s">
        <v>5055</v>
      </c>
      <c r="S973" t="s">
        <v>5119</v>
      </c>
      <c r="T973" t="str" cm="1">
        <f t="array" ref="T973">_xlfn.IFS(
  TEXT(TRIM(S973),"00000")="NULL", "Missing/Unknown",
  OR(TEXT(TRIM(S973),"00000")="89101", TEXT(TRIM(S973),"00000")="89104", TEXT(TRIM(S973),"00000")="89106", TEXT(TRIM(S973),"00000")="89102", TEXT(TRIM(S973),"00000")="89107", TEXT(TRIM(S973),"00000")="89108"), "Urban Core",
  OR(TEXT(TRIM(S973),"00000")="89110", TEXT(TRIM(S973),"00000")="89115", TEXT(TRIM(S973),"00000")="89121", TEXT(TRIM(S973),"00000")="89122", TEXT(TRIM(S973),"00000")="89142", TEXT(TRIM(S973),"00000")="89156"), "East Valley",
  OR(TEXT(TRIM(S973),"00000")="89030", TEXT(TRIM(S973),"00000")="89031", TEXT(TRIM(S973),"00000")="89032", TEXT(TRIM(S973),"00000")="89086", TEXT(TRIM(S973),"00000")="89084", TEXT(TRIM(S973),"00000")="89081"), "North LV",
  OR(TEXT(TRIM(S973),"00000")="89109", TEXT(TRIM(S973),"00000")="89103", TEXT(TRIM(S973),"00000")="89119", TEXT(TRIM(S973),"00000")="89123", TEXT(TRIM(S973),"00000")="89169", TEXT(TRIM(S973),"00000")="89118"), "South/Strip",
  OR(TEXT(TRIM(S973),"00000")="89074", TEXT(TRIM(S973),"00000")="89014", TEXT(TRIM(S973),"00000")="89015", TEXT(TRIM(S973),"00000")="89011", TEXT(TRIM(S973),"00000")="89012"), "Suburban SE",
  OR(TEXT(TRIM(S973),"00000")="89117", TEXT(TRIM(S973),"00000")="89128", TEXT(TRIM(S973),"00000")="89135", TEXT(TRIM(S973),"00000")="89144", TEXT(TRIM(S973),"00000")="89145", TEXT(TRIM(S973),"00000")="89147"), "West Valley",
  TRUE, "Other"
)</f>
        <v>Urban Core</v>
      </c>
      <c r="U973" t="s">
        <v>228</v>
      </c>
      <c r="V973" t="str">
        <f t="shared" si="63"/>
        <v>Medical Facility</v>
      </c>
    </row>
    <row r="974" spans="1:22">
      <c r="A974" t="s">
        <v>2287</v>
      </c>
      <c r="B974" t="s">
        <v>2288</v>
      </c>
      <c r="C974" s="1">
        <v>44415</v>
      </c>
      <c r="D974" s="4">
        <v>105.98</v>
      </c>
      <c r="E974">
        <v>51</v>
      </c>
      <c r="F974" t="str">
        <f t="shared" si="60"/>
        <v>50's</v>
      </c>
      <c r="G974" t="str" cm="1">
        <f t="array" ref="G974">_xlfn.IFS(
  F974="10's", "Child (5–12)",
  OR(F974="20's", F974="30's"), "Young Adult (20–39)",
  OR(F974="40's", F974="50's"), "Adult (40–59)",
  OR(F974="60's", F974="70's", F974="80's", F974="90's"), "Senior (60+)",
  TRUE, "Unknown"
)</f>
        <v>Adult (40–59)</v>
      </c>
      <c r="H974" t="s">
        <v>778</v>
      </c>
      <c r="I974" t="s">
        <v>299</v>
      </c>
      <c r="J974" t="str">
        <f t="shared" si="61"/>
        <v>Cardiovascular Disease</v>
      </c>
      <c r="K974" t="s">
        <v>4196</v>
      </c>
      <c r="L974" t="s">
        <v>250</v>
      </c>
      <c r="N974" t="s">
        <v>5095</v>
      </c>
      <c r="O974" t="str" cm="1">
        <f t="array" ref="O974">_xlfn.IFS(
  TEXT(TRIM(N974),"00000")="NULL", "Missing/Unknown",
  OR(TEXT(TRIM(N974),"00000")="89101", TEXT(TRIM(N974),"00000")="89104", TEXT(TRIM(N974),"00000")="89106", TEXT(TRIM(N974),"00000")="89102", TEXT(TRIM(N974),"00000")="89107", TEXT(TRIM(N974),"00000")="89108"), "Urban Core",
  OR(TEXT(TRIM(N974),"00000")="89110", TEXT(TRIM(N974),"00000")="89115", TEXT(TRIM(N974),"00000")="89121", TEXT(TRIM(N974),"00000")="89122", TEXT(TRIM(N974),"00000")="89142", TEXT(TRIM(N974),"00000")="89156"), "East Valley",
  OR(TEXT(TRIM(N974),"00000")="89030", TEXT(TRIM(N974),"00000")="89031", TEXT(TRIM(N974),"00000")="89032", TEXT(TRIM(N974),"00000")="89086", TEXT(TRIM(N974),"00000")="89084", TEXT(TRIM(N974),"00000")="89081"), "North LV",
  OR(TEXT(TRIM(N974),"00000")="89109", TEXT(TRIM(N974),"00000")="89103", TEXT(TRIM(N974),"00000")="89119", TEXT(TRIM(N974),"00000")="89123", TEXT(TRIM(N974),"00000")="89169", TEXT(TRIM(N974),"00000")="89118"), "South/Strip",
  OR(TEXT(TRIM(N974),"00000")="89074", TEXT(TRIM(N974),"00000")="89014", TEXT(TRIM(N974),"00000")="89015", TEXT(TRIM(N974),"00000")="89011", TEXT(TRIM(N974),"00000")="89012"), "Suburban SE",
  OR(TEXT(TRIM(N974),"00000")="89117", TEXT(TRIM(N974),"00000")="89128", TEXT(TRIM(N974),"00000")="89135", TEXT(TRIM(N974),"00000")="89144", TEXT(TRIM(N974),"00000")="89145", TEXT(TRIM(N974),"00000")="89147"), "West Valley",
  TRUE, "Other"
)</f>
        <v>Missing/Unknown</v>
      </c>
      <c r="P974" t="s">
        <v>726</v>
      </c>
      <c r="Q974" t="str">
        <f t="shared" si="62"/>
        <v>Outdoors/Public</v>
      </c>
      <c r="S974" t="s">
        <v>5095</v>
      </c>
      <c r="T974" t="str" cm="1">
        <f t="array" ref="T974">_xlfn.IFS(
  TEXT(TRIM(S974),"00000")="NULL", "Missing/Unknown",
  OR(TEXT(TRIM(S974),"00000")="89101", TEXT(TRIM(S974),"00000")="89104", TEXT(TRIM(S974),"00000")="89106", TEXT(TRIM(S974),"00000")="89102", TEXT(TRIM(S974),"00000")="89107", TEXT(TRIM(S974),"00000")="89108"), "Urban Core",
  OR(TEXT(TRIM(S974),"00000")="89110", TEXT(TRIM(S974),"00000")="89115", TEXT(TRIM(S974),"00000")="89121", TEXT(TRIM(S974),"00000")="89122", TEXT(TRIM(S974),"00000")="89142", TEXT(TRIM(S974),"00000")="89156"), "East Valley",
  OR(TEXT(TRIM(S974),"00000")="89030", TEXT(TRIM(S974),"00000")="89031", TEXT(TRIM(S974),"00000")="89032", TEXT(TRIM(S974),"00000")="89086", TEXT(TRIM(S974),"00000")="89084", TEXT(TRIM(S974),"00000")="89081"), "North LV",
  OR(TEXT(TRIM(S974),"00000")="89109", TEXT(TRIM(S974),"00000")="89103", TEXT(TRIM(S974),"00000")="89119", TEXT(TRIM(S974),"00000")="89123", TEXT(TRIM(S974),"00000")="89169", TEXT(TRIM(S974),"00000")="89118"), "South/Strip",
  OR(TEXT(TRIM(S974),"00000")="89074", TEXT(TRIM(S974),"00000")="89014", TEXT(TRIM(S974),"00000")="89015", TEXT(TRIM(S974),"00000")="89011", TEXT(TRIM(S974),"00000")="89012"), "Suburban SE",
  OR(TEXT(TRIM(S974),"00000")="89117", TEXT(TRIM(S974),"00000")="89128", TEXT(TRIM(S974),"00000")="89135", TEXT(TRIM(S974),"00000")="89144", TEXT(TRIM(S974),"00000")="89145", TEXT(TRIM(S974),"00000")="89147"), "West Valley",
  TRUE, "Other"
)</f>
        <v>Missing/Unknown</v>
      </c>
      <c r="U974" t="s">
        <v>726</v>
      </c>
      <c r="V974" t="str">
        <f t="shared" si="63"/>
        <v>Outdoors/Public</v>
      </c>
    </row>
    <row r="975" spans="1:22">
      <c r="A975" t="s">
        <v>2280</v>
      </c>
      <c r="B975" t="s">
        <v>2281</v>
      </c>
      <c r="C975" s="1">
        <v>44414</v>
      </c>
      <c r="D975" s="4">
        <v>107.06</v>
      </c>
      <c r="E975">
        <v>52</v>
      </c>
      <c r="F975" t="str">
        <f t="shared" si="60"/>
        <v>50's</v>
      </c>
      <c r="G975" t="str" cm="1">
        <f t="array" ref="G975">_xlfn.IFS(
  F975="10's", "Child (5–12)",
  OR(F975="20's", F975="30's"), "Young Adult (20–39)",
  OR(F975="40's", F975="50's"), "Adult (40–59)",
  OR(F975="60's", F975="70's", F975="80's", F975="90's"), "Senior (60+)",
  TRUE, "Unknown"
)</f>
        <v>Adult (40–59)</v>
      </c>
      <c r="H975" t="s">
        <v>4309</v>
      </c>
      <c r="I975" t="s">
        <v>63</v>
      </c>
      <c r="J975" t="str">
        <f t="shared" si="61"/>
        <v>Cardiovascular Disease</v>
      </c>
      <c r="K975" t="s">
        <v>54</v>
      </c>
      <c r="L975" t="s">
        <v>1071</v>
      </c>
      <c r="M975" t="s">
        <v>4460</v>
      </c>
      <c r="N975" t="s">
        <v>5106</v>
      </c>
      <c r="O975" t="str" cm="1">
        <f t="array" ref="O975">_xlfn.IFS(
  TEXT(TRIM(N975),"00000")="NULL", "Missing/Unknown",
  OR(TEXT(TRIM(N975),"00000")="89101", TEXT(TRIM(N975),"00000")="89104", TEXT(TRIM(N975),"00000")="89106", TEXT(TRIM(N975),"00000")="89102", TEXT(TRIM(N975),"00000")="89107", TEXT(TRIM(N975),"00000")="89108"), "Urban Core",
  OR(TEXT(TRIM(N975),"00000")="89110", TEXT(TRIM(N975),"00000")="89115", TEXT(TRIM(N975),"00000")="89121", TEXT(TRIM(N975),"00000")="89122", TEXT(TRIM(N975),"00000")="89142", TEXT(TRIM(N975),"00000")="89156"), "East Valley",
  OR(TEXT(TRIM(N975),"00000")="89030", TEXT(TRIM(N975),"00000")="89031", TEXT(TRIM(N975),"00000")="89032", TEXT(TRIM(N975),"00000")="89086", TEXT(TRIM(N975),"00000")="89084", TEXT(TRIM(N975),"00000")="89081"), "North LV",
  OR(TEXT(TRIM(N975),"00000")="89109", TEXT(TRIM(N975),"00000")="89103", TEXT(TRIM(N975),"00000")="89119", TEXT(TRIM(N975),"00000")="89123", TEXT(TRIM(N975),"00000")="89169", TEXT(TRIM(N975),"00000")="89118"), "South/Strip",
  OR(TEXT(TRIM(N975),"00000")="89074", TEXT(TRIM(N975),"00000")="89014", TEXT(TRIM(N975),"00000")="89015", TEXT(TRIM(N975),"00000")="89011", TEXT(TRIM(N975),"00000")="89012"), "Suburban SE",
  OR(TEXT(TRIM(N975),"00000")="89117", TEXT(TRIM(N975),"00000")="89128", TEXT(TRIM(N975),"00000")="89135", TEXT(TRIM(N975),"00000")="89144", TEXT(TRIM(N975),"00000")="89145", TEXT(TRIM(N975),"00000")="89147"), "West Valley",
  TRUE, "Other"
)</f>
        <v>East Valley</v>
      </c>
      <c r="P975" t="s">
        <v>38</v>
      </c>
      <c r="Q975" t="str">
        <f t="shared" si="62"/>
        <v>Home/Residence</v>
      </c>
      <c r="R975" t="s">
        <v>4460</v>
      </c>
      <c r="S975" t="s">
        <v>5106</v>
      </c>
      <c r="T975" t="str" cm="1">
        <f t="array" ref="T975">_xlfn.IFS(
  TEXT(TRIM(S975),"00000")="NULL", "Missing/Unknown",
  OR(TEXT(TRIM(S975),"00000")="89101", TEXT(TRIM(S975),"00000")="89104", TEXT(TRIM(S975),"00000")="89106", TEXT(TRIM(S975),"00000")="89102", TEXT(TRIM(S975),"00000")="89107", TEXT(TRIM(S975),"00000")="89108"), "Urban Core",
  OR(TEXT(TRIM(S975),"00000")="89110", TEXT(TRIM(S975),"00000")="89115", TEXT(TRIM(S975),"00000")="89121", TEXT(TRIM(S975),"00000")="89122", TEXT(TRIM(S975),"00000")="89142", TEXT(TRIM(S975),"00000")="89156"), "East Valley",
  OR(TEXT(TRIM(S975),"00000")="89030", TEXT(TRIM(S975),"00000")="89031", TEXT(TRIM(S975),"00000")="89032", TEXT(TRIM(S975),"00000")="89086", TEXT(TRIM(S975),"00000")="89084", TEXT(TRIM(S975),"00000")="89081"), "North LV",
  OR(TEXT(TRIM(S975),"00000")="89109", TEXT(TRIM(S975),"00000")="89103", TEXT(TRIM(S975),"00000")="89119", TEXT(TRIM(S975),"00000")="89123", TEXT(TRIM(S975),"00000")="89169", TEXT(TRIM(S975),"00000")="89118"), "South/Strip",
  OR(TEXT(TRIM(S975),"00000")="89074", TEXT(TRIM(S975),"00000")="89014", TEXT(TRIM(S975),"00000")="89015", TEXT(TRIM(S975),"00000")="89011", TEXT(TRIM(S975),"00000")="89012"), "Suburban SE",
  OR(TEXT(TRIM(S975),"00000")="89117", TEXT(TRIM(S975),"00000")="89128", TEXT(TRIM(S975),"00000")="89135", TEXT(TRIM(S975),"00000")="89144", TEXT(TRIM(S975),"00000")="89145", TEXT(TRIM(S975),"00000")="89147"), "West Valley",
  TRUE, "Other"
)</f>
        <v>East Valley</v>
      </c>
      <c r="U975" t="s">
        <v>38</v>
      </c>
      <c r="V975" t="str">
        <f t="shared" si="63"/>
        <v>Home/Residence</v>
      </c>
    </row>
    <row r="976" spans="1:22">
      <c r="A976" t="s">
        <v>2277</v>
      </c>
      <c r="B976" t="s">
        <v>2278</v>
      </c>
      <c r="C976" s="1">
        <v>44414</v>
      </c>
      <c r="D976" s="4">
        <v>107.06</v>
      </c>
      <c r="E976">
        <v>45</v>
      </c>
      <c r="F976" t="str">
        <f t="shared" si="60"/>
        <v>40's</v>
      </c>
      <c r="G976" t="str" cm="1">
        <f t="array" ref="G976">_xlfn.IFS(
  F976="10's", "Child (5–12)",
  OR(F976="20's", F976="30's"), "Young Adult (20–39)",
  OR(F976="40's", F976="50's"), "Adult (40–59)",
  OR(F976="60's", F976="70's", F976="80's", F976="90's"), "Senior (60+)",
  TRUE, "Unknown"
)</f>
        <v>Adult (40–59)</v>
      </c>
      <c r="H976" t="s">
        <v>841</v>
      </c>
      <c r="I976" t="s">
        <v>1028</v>
      </c>
      <c r="J976" t="str">
        <f t="shared" si="61"/>
        <v>Methamphetamine-related</v>
      </c>
      <c r="K976" t="s">
        <v>54</v>
      </c>
      <c r="L976" t="s">
        <v>250</v>
      </c>
      <c r="M976" t="s">
        <v>4325</v>
      </c>
      <c r="N976" t="s">
        <v>5146</v>
      </c>
      <c r="O976" t="str" cm="1">
        <f t="array" ref="O976">_xlfn.IFS(
  TEXT(TRIM(N976),"00000")="NULL", "Missing/Unknown",
  OR(TEXT(TRIM(N976),"00000")="89101", TEXT(TRIM(N976),"00000")="89104", TEXT(TRIM(N976),"00000")="89106", TEXT(TRIM(N976),"00000")="89102", TEXT(TRIM(N976),"00000")="89107", TEXT(TRIM(N976),"00000")="89108"), "Urban Core",
  OR(TEXT(TRIM(N976),"00000")="89110", TEXT(TRIM(N976),"00000")="89115", TEXT(TRIM(N976),"00000")="89121", TEXT(TRIM(N976),"00000")="89122", TEXT(TRIM(N976),"00000")="89142", TEXT(TRIM(N976),"00000")="89156"), "East Valley",
  OR(TEXT(TRIM(N976),"00000")="89030", TEXT(TRIM(N976),"00000")="89031", TEXT(TRIM(N976),"00000")="89032", TEXT(TRIM(N976),"00000")="89086", TEXT(TRIM(N976),"00000")="89084", TEXT(TRIM(N976),"00000")="89081"), "North LV",
  OR(TEXT(TRIM(N976),"00000")="89109", TEXT(TRIM(N976),"00000")="89103", TEXT(TRIM(N976),"00000")="89119", TEXT(TRIM(N976),"00000")="89123", TEXT(TRIM(N976),"00000")="89169", TEXT(TRIM(N976),"00000")="89118"), "South/Strip",
  OR(TEXT(TRIM(N976),"00000")="89074", TEXT(TRIM(N976),"00000")="89014", TEXT(TRIM(N976),"00000")="89015", TEXT(TRIM(N976),"00000")="89011", TEXT(TRIM(N976),"00000")="89012"), "Suburban SE",
  OR(TEXT(TRIM(N976),"00000")="89117", TEXT(TRIM(N976),"00000")="89128", TEXT(TRIM(N976),"00000")="89135", TEXT(TRIM(N976),"00000")="89144", TEXT(TRIM(N976),"00000")="89145", TEXT(TRIM(N976),"00000")="89147"), "West Valley",
  TRUE, "Other"
)</f>
        <v>North LV</v>
      </c>
      <c r="P976" t="s">
        <v>132</v>
      </c>
      <c r="Q976" t="str">
        <f t="shared" si="62"/>
        <v>Outdoors/Public</v>
      </c>
      <c r="R976" t="s">
        <v>4325</v>
      </c>
      <c r="S976" t="s">
        <v>5146</v>
      </c>
      <c r="T976" t="str" cm="1">
        <f t="array" ref="T976">_xlfn.IFS(
  TEXT(TRIM(S976),"00000")="NULL", "Missing/Unknown",
  OR(TEXT(TRIM(S976),"00000")="89101", TEXT(TRIM(S976),"00000")="89104", TEXT(TRIM(S976),"00000")="89106", TEXT(TRIM(S976),"00000")="89102", TEXT(TRIM(S976),"00000")="89107", TEXT(TRIM(S976),"00000")="89108"), "Urban Core",
  OR(TEXT(TRIM(S976),"00000")="89110", TEXT(TRIM(S976),"00000")="89115", TEXT(TRIM(S976),"00000")="89121", TEXT(TRIM(S976),"00000")="89122", TEXT(TRIM(S976),"00000")="89142", TEXT(TRIM(S976),"00000")="89156"), "East Valley",
  OR(TEXT(TRIM(S976),"00000")="89030", TEXT(TRIM(S976),"00000")="89031", TEXT(TRIM(S976),"00000")="89032", TEXT(TRIM(S976),"00000")="89086", TEXT(TRIM(S976),"00000")="89084", TEXT(TRIM(S976),"00000")="89081"), "North LV",
  OR(TEXT(TRIM(S976),"00000")="89109", TEXT(TRIM(S976),"00000")="89103", TEXT(TRIM(S976),"00000")="89119", TEXT(TRIM(S976),"00000")="89123", TEXT(TRIM(S976),"00000")="89169", TEXT(TRIM(S976),"00000")="89118"), "South/Strip",
  OR(TEXT(TRIM(S976),"00000")="89074", TEXT(TRIM(S976),"00000")="89014", TEXT(TRIM(S976),"00000")="89015", TEXT(TRIM(S976),"00000")="89011", TEXT(TRIM(S976),"00000")="89012"), "Suburban SE",
  OR(TEXT(TRIM(S976),"00000")="89117", TEXT(TRIM(S976),"00000")="89128", TEXT(TRIM(S976),"00000")="89135", TEXT(TRIM(S976),"00000")="89144", TEXT(TRIM(S976),"00000")="89145", TEXT(TRIM(S976),"00000")="89147"), "West Valley",
  TRUE, "Other"
)</f>
        <v>North LV</v>
      </c>
      <c r="U976" t="s">
        <v>132</v>
      </c>
      <c r="V976" t="str">
        <f t="shared" si="63"/>
        <v>Outdoors/Public</v>
      </c>
    </row>
    <row r="977" spans="1:22">
      <c r="A977" t="s">
        <v>2271</v>
      </c>
      <c r="B977" t="s">
        <v>2272</v>
      </c>
      <c r="C977" s="1">
        <v>44413</v>
      </c>
      <c r="D977" s="4">
        <v>111.92</v>
      </c>
      <c r="E977">
        <v>46</v>
      </c>
      <c r="F977" t="str">
        <f t="shared" si="60"/>
        <v>40's</v>
      </c>
      <c r="G977" t="str" cm="1">
        <f t="array" ref="G977">_xlfn.IFS(
  F977="10's", "Child (5–12)",
  OR(F977="20's", F977="30's"), "Young Adult (20–39)",
  OR(F977="40's", F977="50's"), "Adult (40–59)",
  OR(F977="60's", F977="70's", F977="80's", F977="90's"), "Senior (60+)",
  TRUE, "Unknown"
)</f>
        <v>Adult (40–59)</v>
      </c>
      <c r="H977" t="s">
        <v>778</v>
      </c>
      <c r="I977" t="s">
        <v>54</v>
      </c>
      <c r="J977" t="str">
        <f t="shared" si="61"/>
        <v>Environmental Heat</v>
      </c>
      <c r="K977" t="s">
        <v>98</v>
      </c>
      <c r="L977" t="s">
        <v>250</v>
      </c>
      <c r="M977" t="s">
        <v>4833</v>
      </c>
      <c r="N977" t="s">
        <v>5123</v>
      </c>
      <c r="O977" t="str" cm="1">
        <f t="array" ref="O977">_xlfn.IFS(
  TEXT(TRIM(N977),"00000")="NULL", "Missing/Unknown",
  OR(TEXT(TRIM(N977),"00000")="89101", TEXT(TRIM(N977),"00000")="89104", TEXT(TRIM(N977),"00000")="89106", TEXT(TRIM(N977),"00000")="89102", TEXT(TRIM(N977),"00000")="89107", TEXT(TRIM(N977),"00000")="89108"), "Urban Core",
  OR(TEXT(TRIM(N977),"00000")="89110", TEXT(TRIM(N977),"00000")="89115", TEXT(TRIM(N977),"00000")="89121", TEXT(TRIM(N977),"00000")="89122", TEXT(TRIM(N977),"00000")="89142", TEXT(TRIM(N977),"00000")="89156"), "East Valley",
  OR(TEXT(TRIM(N977),"00000")="89030", TEXT(TRIM(N977),"00000")="89031", TEXT(TRIM(N977),"00000")="89032", TEXT(TRIM(N977),"00000")="89086", TEXT(TRIM(N977),"00000")="89084", TEXT(TRIM(N977),"00000")="89081"), "North LV",
  OR(TEXT(TRIM(N977),"00000")="89109", TEXT(TRIM(N977),"00000")="89103", TEXT(TRIM(N977),"00000")="89119", TEXT(TRIM(N977),"00000")="89123", TEXT(TRIM(N977),"00000")="89169", TEXT(TRIM(N977),"00000")="89118"), "South/Strip",
  OR(TEXT(TRIM(N977),"00000")="89074", TEXT(TRIM(N977),"00000")="89014", TEXT(TRIM(N977),"00000")="89015", TEXT(TRIM(N977),"00000")="89011", TEXT(TRIM(N977),"00000")="89012"), "Suburban SE",
  OR(TEXT(TRIM(N977),"00000")="89117", TEXT(TRIM(N977),"00000")="89128", TEXT(TRIM(N977),"00000")="89135", TEXT(TRIM(N977),"00000")="89144", TEXT(TRIM(N977),"00000")="89145", TEXT(TRIM(N977),"00000")="89147"), "West Valley",
  TRUE, "Other"
)</f>
        <v>South/Strip</v>
      </c>
      <c r="P977" t="s">
        <v>3298</v>
      </c>
      <c r="Q977" t="str">
        <f t="shared" si="62"/>
        <v>Outdoors/Public</v>
      </c>
      <c r="R977" t="s">
        <v>4833</v>
      </c>
      <c r="S977" t="s">
        <v>5123</v>
      </c>
      <c r="T977" t="str" cm="1">
        <f t="array" ref="T977">_xlfn.IFS(
  TEXT(TRIM(S977),"00000")="NULL", "Missing/Unknown",
  OR(TEXT(TRIM(S977),"00000")="89101", TEXT(TRIM(S977),"00000")="89104", TEXT(TRIM(S977),"00000")="89106", TEXT(TRIM(S977),"00000")="89102", TEXT(TRIM(S977),"00000")="89107", TEXT(TRIM(S977),"00000")="89108"), "Urban Core",
  OR(TEXT(TRIM(S977),"00000")="89110", TEXT(TRIM(S977),"00000")="89115", TEXT(TRIM(S977),"00000")="89121", TEXT(TRIM(S977),"00000")="89122", TEXT(TRIM(S977),"00000")="89142", TEXT(TRIM(S977),"00000")="89156"), "East Valley",
  OR(TEXT(TRIM(S977),"00000")="89030", TEXT(TRIM(S977),"00000")="89031", TEXT(TRIM(S977),"00000")="89032", TEXT(TRIM(S977),"00000")="89086", TEXT(TRIM(S977),"00000")="89084", TEXT(TRIM(S977),"00000")="89081"), "North LV",
  OR(TEXT(TRIM(S977),"00000")="89109", TEXT(TRIM(S977),"00000")="89103", TEXT(TRIM(S977),"00000")="89119", TEXT(TRIM(S977),"00000")="89123", TEXT(TRIM(S977),"00000")="89169", TEXT(TRIM(S977),"00000")="89118"), "South/Strip",
  OR(TEXT(TRIM(S977),"00000")="89074", TEXT(TRIM(S977),"00000")="89014", TEXT(TRIM(S977),"00000")="89015", TEXT(TRIM(S977),"00000")="89011", TEXT(TRIM(S977),"00000")="89012"), "Suburban SE",
  OR(TEXT(TRIM(S977),"00000")="89117", TEXT(TRIM(S977),"00000")="89128", TEXT(TRIM(S977),"00000")="89135", TEXT(TRIM(S977),"00000")="89144", TEXT(TRIM(S977),"00000")="89145", TEXT(TRIM(S977),"00000")="89147"), "West Valley",
  TRUE, "Other"
)</f>
        <v>South/Strip</v>
      </c>
      <c r="U977" t="s">
        <v>3298</v>
      </c>
      <c r="V977" t="str">
        <f t="shared" si="63"/>
        <v>Outdoors/Public</v>
      </c>
    </row>
    <row r="978" spans="1:22">
      <c r="A978" t="s">
        <v>2274</v>
      </c>
      <c r="B978" t="s">
        <v>2275</v>
      </c>
      <c r="C978" s="1">
        <v>44413</v>
      </c>
      <c r="D978" s="4">
        <v>111.92</v>
      </c>
      <c r="E978">
        <v>80</v>
      </c>
      <c r="F978" t="str">
        <f t="shared" si="60"/>
        <v>80's</v>
      </c>
      <c r="G978" t="str" cm="1">
        <f t="array" ref="G978">_xlfn.IFS(
  F978="10's", "Child (5–12)",
  OR(F978="20's", F978="30's"), "Young Adult (20–39)",
  OR(F978="40's", F978="50's"), "Adult (40–59)",
  OR(F978="60's", F978="70's", F978="80's", F978="90's"), "Senior (60+)",
  TRUE, "Unknown"
)</f>
        <v>Senior (60+)</v>
      </c>
      <c r="H978" t="s">
        <v>841</v>
      </c>
      <c r="I978" t="s">
        <v>54</v>
      </c>
      <c r="J978" t="str">
        <f t="shared" si="61"/>
        <v>Environmental Heat</v>
      </c>
      <c r="K978" t="s">
        <v>63</v>
      </c>
      <c r="L978" t="s">
        <v>250</v>
      </c>
      <c r="M978" t="s">
        <v>4794</v>
      </c>
      <c r="N978" t="s">
        <v>5163</v>
      </c>
      <c r="O978" t="str" cm="1">
        <f t="array" ref="O978">_xlfn.IFS(
  TEXT(TRIM(N978),"00000")="NULL", "Missing/Unknown",
  OR(TEXT(TRIM(N978),"00000")="89101", TEXT(TRIM(N978),"00000")="89104", TEXT(TRIM(N978),"00000")="89106", TEXT(TRIM(N978),"00000")="89102", TEXT(TRIM(N978),"00000")="89107", TEXT(TRIM(N978),"00000")="89108"), "Urban Core",
  OR(TEXT(TRIM(N978),"00000")="89110", TEXT(TRIM(N978),"00000")="89115", TEXT(TRIM(N978),"00000")="89121", TEXT(TRIM(N978),"00000")="89122", TEXT(TRIM(N978),"00000")="89142", TEXT(TRIM(N978),"00000")="89156"), "East Valley",
  OR(TEXT(TRIM(N978),"00000")="89030", TEXT(TRIM(N978),"00000")="89031", TEXT(TRIM(N978),"00000")="89032", TEXT(TRIM(N978),"00000")="89086", TEXT(TRIM(N978),"00000")="89084", TEXT(TRIM(N978),"00000")="89081"), "North LV",
  OR(TEXT(TRIM(N978),"00000")="89109", TEXT(TRIM(N978),"00000")="89103", TEXT(TRIM(N978),"00000")="89119", TEXT(TRIM(N978),"00000")="89123", TEXT(TRIM(N978),"00000")="89169", TEXT(TRIM(N978),"00000")="89118"), "South/Strip",
  OR(TEXT(TRIM(N978),"00000")="89074", TEXT(TRIM(N978),"00000")="89014", TEXT(TRIM(N978),"00000")="89015", TEXT(TRIM(N978),"00000")="89011", TEXT(TRIM(N978),"00000")="89012"), "Suburban SE",
  OR(TEXT(TRIM(N978),"00000")="89117", TEXT(TRIM(N978),"00000")="89128", TEXT(TRIM(N978),"00000")="89135", TEXT(TRIM(N978),"00000")="89144", TEXT(TRIM(N978),"00000")="89145", TEXT(TRIM(N978),"00000")="89147"), "West Valley",
  TRUE, "Other"
)</f>
        <v>Other</v>
      </c>
      <c r="P978" t="s">
        <v>3298</v>
      </c>
      <c r="Q978" t="str">
        <f t="shared" si="62"/>
        <v>Outdoors/Public</v>
      </c>
      <c r="R978" t="s">
        <v>4794</v>
      </c>
      <c r="S978" t="s">
        <v>5163</v>
      </c>
      <c r="T978" t="str" cm="1">
        <f t="array" ref="T978">_xlfn.IFS(
  TEXT(TRIM(S978),"00000")="NULL", "Missing/Unknown",
  OR(TEXT(TRIM(S978),"00000")="89101", TEXT(TRIM(S978),"00000")="89104", TEXT(TRIM(S978),"00000")="89106", TEXT(TRIM(S978),"00000")="89102", TEXT(TRIM(S978),"00000")="89107", TEXT(TRIM(S978),"00000")="89108"), "Urban Core",
  OR(TEXT(TRIM(S978),"00000")="89110", TEXT(TRIM(S978),"00000")="89115", TEXT(TRIM(S978),"00000")="89121", TEXT(TRIM(S978),"00000")="89122", TEXT(TRIM(S978),"00000")="89142", TEXT(TRIM(S978),"00000")="89156"), "East Valley",
  OR(TEXT(TRIM(S978),"00000")="89030", TEXT(TRIM(S978),"00000")="89031", TEXT(TRIM(S978),"00000")="89032", TEXT(TRIM(S978),"00000")="89086", TEXT(TRIM(S978),"00000")="89084", TEXT(TRIM(S978),"00000")="89081"), "North LV",
  OR(TEXT(TRIM(S978),"00000")="89109", TEXT(TRIM(S978),"00000")="89103", TEXT(TRIM(S978),"00000")="89119", TEXT(TRIM(S978),"00000")="89123", TEXT(TRIM(S978),"00000")="89169", TEXT(TRIM(S978),"00000")="89118"), "South/Strip",
  OR(TEXT(TRIM(S978),"00000")="89074", TEXT(TRIM(S978),"00000")="89014", TEXT(TRIM(S978),"00000")="89015", TEXT(TRIM(S978),"00000")="89011", TEXT(TRIM(S978),"00000")="89012"), "Suburban SE",
  OR(TEXT(TRIM(S978),"00000")="89117", TEXT(TRIM(S978),"00000")="89128", TEXT(TRIM(S978),"00000")="89135", TEXT(TRIM(S978),"00000")="89144", TEXT(TRIM(S978),"00000")="89145", TEXT(TRIM(S978),"00000")="89147"), "West Valley",
  TRUE, "Other"
)</f>
        <v>Other</v>
      </c>
      <c r="U978" t="s">
        <v>3298</v>
      </c>
      <c r="V978" t="str">
        <f t="shared" si="63"/>
        <v>Outdoors/Public</v>
      </c>
    </row>
    <row r="979" spans="1:22">
      <c r="A979" t="s">
        <v>2263</v>
      </c>
      <c r="B979" t="s">
        <v>2264</v>
      </c>
      <c r="C979" s="1">
        <v>44412</v>
      </c>
      <c r="D979" s="4">
        <v>111.02</v>
      </c>
      <c r="E979">
        <v>53</v>
      </c>
      <c r="F979" t="str">
        <f t="shared" si="60"/>
        <v>50's</v>
      </c>
      <c r="G979" t="str" cm="1">
        <f t="array" ref="G979">_xlfn.IFS(
  F979="10's", "Child (5–12)",
  OR(F979="20's", F979="30's"), "Young Adult (20–39)",
  OR(F979="40's", F979="50's"), "Adult (40–59)",
  OR(F979="60's", F979="70's", F979="80's", F979="90's"), "Senior (60+)",
  TRUE, "Unknown"
)</f>
        <v>Adult (40–59)</v>
      </c>
      <c r="H979" t="s">
        <v>27</v>
      </c>
      <c r="I979" t="s">
        <v>660</v>
      </c>
      <c r="J979" t="str">
        <f t="shared" si="61"/>
        <v>Environmental Heat</v>
      </c>
      <c r="K979" t="s">
        <v>315</v>
      </c>
      <c r="L979" t="s">
        <v>250</v>
      </c>
      <c r="M979" t="s">
        <v>4554</v>
      </c>
      <c r="N979" t="s">
        <v>5101</v>
      </c>
      <c r="O979" t="str" cm="1">
        <f t="array" ref="O979">_xlfn.IFS(
  TEXT(TRIM(N979),"00000")="NULL", "Missing/Unknown",
  OR(TEXT(TRIM(N979),"00000")="89101", TEXT(TRIM(N979),"00000")="89104", TEXT(TRIM(N979),"00000")="89106", TEXT(TRIM(N979),"00000")="89102", TEXT(TRIM(N979),"00000")="89107", TEXT(TRIM(N979),"00000")="89108"), "Urban Core",
  OR(TEXT(TRIM(N979),"00000")="89110", TEXT(TRIM(N979),"00000")="89115", TEXT(TRIM(N979),"00000")="89121", TEXT(TRIM(N979),"00000")="89122", TEXT(TRIM(N979),"00000")="89142", TEXT(TRIM(N979),"00000")="89156"), "East Valley",
  OR(TEXT(TRIM(N979),"00000")="89030", TEXT(TRIM(N979),"00000")="89031", TEXT(TRIM(N979),"00000")="89032", TEXT(TRIM(N979),"00000")="89086", TEXT(TRIM(N979),"00000")="89084", TEXT(TRIM(N979),"00000")="89081"), "North LV",
  OR(TEXT(TRIM(N979),"00000")="89109", TEXT(TRIM(N979),"00000")="89103", TEXT(TRIM(N979),"00000")="89119", TEXT(TRIM(N979),"00000")="89123", TEXT(TRIM(N979),"00000")="89169", TEXT(TRIM(N979),"00000")="89118"), "South/Strip",
  OR(TEXT(TRIM(N979),"00000")="89074", TEXT(TRIM(N979),"00000")="89014", TEXT(TRIM(N979),"00000")="89015", TEXT(TRIM(N979),"00000")="89011", TEXT(TRIM(N979),"00000")="89012"), "Suburban SE",
  OR(TEXT(TRIM(N979),"00000")="89117", TEXT(TRIM(N979),"00000")="89128", TEXT(TRIM(N979),"00000")="89135", TEXT(TRIM(N979),"00000")="89144", TEXT(TRIM(N979),"00000")="89145", TEXT(TRIM(N979),"00000")="89147"), "West Valley",
  TRUE, "Other"
)</f>
        <v>Urban Core</v>
      </c>
      <c r="P979" t="s">
        <v>3298</v>
      </c>
      <c r="Q979" t="str">
        <f t="shared" si="62"/>
        <v>Outdoors/Public</v>
      </c>
      <c r="R979" t="s">
        <v>4713</v>
      </c>
      <c r="S979" t="s">
        <v>5125</v>
      </c>
      <c r="T979" t="str" cm="1">
        <f t="array" ref="T979">_xlfn.IFS(
  TEXT(TRIM(S979),"00000")="NULL", "Missing/Unknown",
  OR(TEXT(TRIM(S979),"00000")="89101", TEXT(TRIM(S979),"00000")="89104", TEXT(TRIM(S979),"00000")="89106", TEXT(TRIM(S979),"00000")="89102", TEXT(TRIM(S979),"00000")="89107", TEXT(TRIM(S979),"00000")="89108"), "Urban Core",
  OR(TEXT(TRIM(S979),"00000")="89110", TEXT(TRIM(S979),"00000")="89115", TEXT(TRIM(S979),"00000")="89121", TEXT(TRIM(S979),"00000")="89122", TEXT(TRIM(S979),"00000")="89142", TEXT(TRIM(S979),"00000")="89156"), "East Valley",
  OR(TEXT(TRIM(S979),"00000")="89030", TEXT(TRIM(S979),"00000")="89031", TEXT(TRIM(S979),"00000")="89032", TEXT(TRIM(S979),"00000")="89086", TEXT(TRIM(S979),"00000")="89084", TEXT(TRIM(S979),"00000")="89081"), "North LV",
  OR(TEXT(TRIM(S979),"00000")="89109", TEXT(TRIM(S979),"00000")="89103", TEXT(TRIM(S979),"00000")="89119", TEXT(TRIM(S979),"00000")="89123", TEXT(TRIM(S979),"00000")="89169", TEXT(TRIM(S979),"00000")="89118"), "South/Strip",
  OR(TEXT(TRIM(S979),"00000")="89074", TEXT(TRIM(S979),"00000")="89014", TEXT(TRIM(S979),"00000")="89015", TEXT(TRIM(S979),"00000")="89011", TEXT(TRIM(S979),"00000")="89012"), "Suburban SE",
  OR(TEXT(TRIM(S979),"00000")="89117", TEXT(TRIM(S979),"00000")="89128", TEXT(TRIM(S979),"00000")="89135", TEXT(TRIM(S979),"00000")="89144", TEXT(TRIM(S979),"00000")="89145", TEXT(TRIM(S979),"00000")="89147"), "West Valley",
  TRUE, "Other"
)</f>
        <v>South/Strip</v>
      </c>
      <c r="U979" t="s">
        <v>4301</v>
      </c>
      <c r="V979" t="str">
        <f t="shared" si="63"/>
        <v>Medical Facility</v>
      </c>
    </row>
    <row r="980" spans="1:22">
      <c r="A980" t="s">
        <v>2267</v>
      </c>
      <c r="B980" t="s">
        <v>2268</v>
      </c>
      <c r="C980" s="1">
        <v>44412</v>
      </c>
      <c r="D980" s="4">
        <v>111.02</v>
      </c>
      <c r="E980">
        <v>64</v>
      </c>
      <c r="F980" t="str">
        <f t="shared" si="60"/>
        <v>60's</v>
      </c>
      <c r="G980" t="str" cm="1">
        <f t="array" ref="G980">_xlfn.IFS(
  F980="10's", "Child (5–12)",
  OR(F980="20's", F980="30's"), "Young Adult (20–39)",
  OR(F980="40's", F980="50's"), "Adult (40–59)",
  OR(F980="60's", F980="70's", F980="80's", F980="90's"), "Senior (60+)",
  TRUE, "Unknown"
)</f>
        <v>Senior (60+)</v>
      </c>
      <c r="H980" t="s">
        <v>841</v>
      </c>
      <c r="I980" t="s">
        <v>461</v>
      </c>
      <c r="J980" t="str">
        <f t="shared" si="61"/>
        <v>Dehydration / Electrolyte</v>
      </c>
      <c r="K980" t="s">
        <v>4272</v>
      </c>
      <c r="L980" t="s">
        <v>1071</v>
      </c>
      <c r="M980" t="s">
        <v>4987</v>
      </c>
      <c r="N980" t="s">
        <v>5098</v>
      </c>
      <c r="O980" t="str" cm="1">
        <f t="array" ref="O980">_xlfn.IFS(
  TEXT(TRIM(N980),"00000")="NULL", "Missing/Unknown",
  OR(TEXT(TRIM(N980),"00000")="89101", TEXT(TRIM(N980),"00000")="89104", TEXT(TRIM(N980),"00000")="89106", TEXT(TRIM(N980),"00000")="89102", TEXT(TRIM(N980),"00000")="89107", TEXT(TRIM(N980),"00000")="89108"), "Urban Core",
  OR(TEXT(TRIM(N980),"00000")="89110", TEXT(TRIM(N980),"00000")="89115", TEXT(TRIM(N980),"00000")="89121", TEXT(TRIM(N980),"00000")="89122", TEXT(TRIM(N980),"00000")="89142", TEXT(TRIM(N980),"00000")="89156"), "East Valley",
  OR(TEXT(TRIM(N980),"00000")="89030", TEXT(TRIM(N980),"00000")="89031", TEXT(TRIM(N980),"00000")="89032", TEXT(TRIM(N980),"00000")="89086", TEXT(TRIM(N980),"00000")="89084", TEXT(TRIM(N980),"00000")="89081"), "North LV",
  OR(TEXT(TRIM(N980),"00000")="89109", TEXT(TRIM(N980),"00000")="89103", TEXT(TRIM(N980),"00000")="89119", TEXT(TRIM(N980),"00000")="89123", TEXT(TRIM(N980),"00000")="89169", TEXT(TRIM(N980),"00000")="89118"), "South/Strip",
  OR(TEXT(TRIM(N980),"00000")="89074", TEXT(TRIM(N980),"00000")="89014", TEXT(TRIM(N980),"00000")="89015", TEXT(TRIM(N980),"00000")="89011", TEXT(TRIM(N980),"00000")="89012"), "Suburban SE",
  OR(TEXT(TRIM(N980),"00000")="89117", TEXT(TRIM(N980),"00000")="89128", TEXT(TRIM(N980),"00000")="89135", TEXT(TRIM(N980),"00000")="89144", TEXT(TRIM(N980),"00000")="89145", TEXT(TRIM(N980),"00000")="89147"), "West Valley",
  TRUE, "Other"
)</f>
        <v>Urban Core</v>
      </c>
      <c r="P980" t="s">
        <v>65</v>
      </c>
      <c r="Q980" t="str">
        <f t="shared" si="62"/>
        <v>Vehicle-related</v>
      </c>
      <c r="R980" t="s">
        <v>4987</v>
      </c>
      <c r="S980" t="s">
        <v>5098</v>
      </c>
      <c r="T980" t="str" cm="1">
        <f t="array" ref="T980">_xlfn.IFS(
  TEXT(TRIM(S980),"00000")="NULL", "Missing/Unknown",
  OR(TEXT(TRIM(S980),"00000")="89101", TEXT(TRIM(S980),"00000")="89104", TEXT(TRIM(S980),"00000")="89106", TEXT(TRIM(S980),"00000")="89102", TEXT(TRIM(S980),"00000")="89107", TEXT(TRIM(S980),"00000")="89108"), "Urban Core",
  OR(TEXT(TRIM(S980),"00000")="89110", TEXT(TRIM(S980),"00000")="89115", TEXT(TRIM(S980),"00000")="89121", TEXT(TRIM(S980),"00000")="89122", TEXT(TRIM(S980),"00000")="89142", TEXT(TRIM(S980),"00000")="89156"), "East Valley",
  OR(TEXT(TRIM(S980),"00000")="89030", TEXT(TRIM(S980),"00000")="89031", TEXT(TRIM(S980),"00000")="89032", TEXT(TRIM(S980),"00000")="89086", TEXT(TRIM(S980),"00000")="89084", TEXT(TRIM(S980),"00000")="89081"), "North LV",
  OR(TEXT(TRIM(S980),"00000")="89109", TEXT(TRIM(S980),"00000")="89103", TEXT(TRIM(S980),"00000")="89119", TEXT(TRIM(S980),"00000")="89123", TEXT(TRIM(S980),"00000")="89169", TEXT(TRIM(S980),"00000")="89118"), "South/Strip",
  OR(TEXT(TRIM(S980),"00000")="89074", TEXT(TRIM(S980),"00000")="89014", TEXT(TRIM(S980),"00000")="89015", TEXT(TRIM(S980),"00000")="89011", TEXT(TRIM(S980),"00000")="89012"), "Suburban SE",
  OR(TEXT(TRIM(S980),"00000")="89117", TEXT(TRIM(S980),"00000")="89128", TEXT(TRIM(S980),"00000")="89135", TEXT(TRIM(S980),"00000")="89144", TEXT(TRIM(S980),"00000")="89145", TEXT(TRIM(S980),"00000")="89147"), "West Valley",
  TRUE, "Other"
)</f>
        <v>Urban Core</v>
      </c>
      <c r="U980" t="s">
        <v>65</v>
      </c>
      <c r="V980" t="str">
        <f t="shared" si="63"/>
        <v>Vehicle-related</v>
      </c>
    </row>
    <row r="981" spans="1:22">
      <c r="A981" t="s">
        <v>2258</v>
      </c>
      <c r="B981" t="s">
        <v>2259</v>
      </c>
      <c r="C981" s="1">
        <v>44411</v>
      </c>
      <c r="D981" s="4">
        <v>109.04</v>
      </c>
      <c r="E981">
        <v>18</v>
      </c>
      <c r="F981" t="str">
        <f t="shared" si="60"/>
        <v>10's</v>
      </c>
      <c r="G981" t="str" cm="1">
        <f t="array" ref="G981">_xlfn.IFS(
  F981="10's", "Child (5–12)",
  OR(F981="20's", F981="30's"), "Young Adult (20–39)",
  OR(F981="40's", F981="50's"), "Adult (40–59)",
  OR(F981="60's", F981="70's", F981="80's", F981="90's"), "Senior (60+)",
  TRUE, "Unknown"
)</f>
        <v>Child (5–12)</v>
      </c>
      <c r="H981" t="s">
        <v>778</v>
      </c>
      <c r="I981" t="s">
        <v>2260</v>
      </c>
      <c r="J981" t="str">
        <f t="shared" si="61"/>
        <v>Other / Unknown</v>
      </c>
      <c r="K981" t="s">
        <v>4273</v>
      </c>
      <c r="L981" t="s">
        <v>1071</v>
      </c>
      <c r="M981" t="s">
        <v>4461</v>
      </c>
      <c r="N981" t="s">
        <v>5105</v>
      </c>
      <c r="O981" t="str" cm="1">
        <f t="array" ref="O981">_xlfn.IFS(
  TEXT(TRIM(N981),"00000")="NULL", "Missing/Unknown",
  OR(TEXT(TRIM(N981),"00000")="89101", TEXT(TRIM(N981),"00000")="89104", TEXT(TRIM(N981),"00000")="89106", TEXT(TRIM(N981),"00000")="89102", TEXT(TRIM(N981),"00000")="89107", TEXT(TRIM(N981),"00000")="89108"), "Urban Core",
  OR(TEXT(TRIM(N981),"00000")="89110", TEXT(TRIM(N981),"00000")="89115", TEXT(TRIM(N981),"00000")="89121", TEXT(TRIM(N981),"00000")="89122", TEXT(TRIM(N981),"00000")="89142", TEXT(TRIM(N981),"00000")="89156"), "East Valley",
  OR(TEXT(TRIM(N981),"00000")="89030", TEXT(TRIM(N981),"00000")="89031", TEXT(TRIM(N981),"00000")="89032", TEXT(TRIM(N981),"00000")="89086", TEXT(TRIM(N981),"00000")="89084", TEXT(TRIM(N981),"00000")="89081"), "North LV",
  OR(TEXT(TRIM(N981),"00000")="89109", TEXT(TRIM(N981),"00000")="89103", TEXT(TRIM(N981),"00000")="89119", TEXT(TRIM(N981),"00000")="89123", TEXT(TRIM(N981),"00000")="89169", TEXT(TRIM(N981),"00000")="89118"), "South/Strip",
  OR(TEXT(TRIM(N981),"00000")="89074", TEXT(TRIM(N981),"00000")="89014", TEXT(TRIM(N981),"00000")="89015", TEXT(TRIM(N981),"00000")="89011", TEXT(TRIM(N981),"00000")="89012"), "Suburban SE",
  OR(TEXT(TRIM(N981),"00000")="89117", TEXT(TRIM(N981),"00000")="89128", TEXT(TRIM(N981),"00000")="89135", TEXT(TRIM(N981),"00000")="89144", TEXT(TRIM(N981),"00000")="89145", TEXT(TRIM(N981),"00000")="89147"), "West Valley",
  TRUE, "Other"
)</f>
        <v>East Valley</v>
      </c>
      <c r="P981" t="s">
        <v>38</v>
      </c>
      <c r="Q981" t="str">
        <f t="shared" si="62"/>
        <v>Home/Residence</v>
      </c>
      <c r="R981" t="s">
        <v>4461</v>
      </c>
      <c r="S981" t="s">
        <v>5105</v>
      </c>
      <c r="T981" t="str" cm="1">
        <f t="array" ref="T981">_xlfn.IFS(
  TEXT(TRIM(S981),"00000")="NULL", "Missing/Unknown",
  OR(TEXT(TRIM(S981),"00000")="89101", TEXT(TRIM(S981),"00000")="89104", TEXT(TRIM(S981),"00000")="89106", TEXT(TRIM(S981),"00000")="89102", TEXT(TRIM(S981),"00000")="89107", TEXT(TRIM(S981),"00000")="89108"), "Urban Core",
  OR(TEXT(TRIM(S981),"00000")="89110", TEXT(TRIM(S981),"00000")="89115", TEXT(TRIM(S981),"00000")="89121", TEXT(TRIM(S981),"00000")="89122", TEXT(TRIM(S981),"00000")="89142", TEXT(TRIM(S981),"00000")="89156"), "East Valley",
  OR(TEXT(TRIM(S981),"00000")="89030", TEXT(TRIM(S981),"00000")="89031", TEXT(TRIM(S981),"00000")="89032", TEXT(TRIM(S981),"00000")="89086", TEXT(TRIM(S981),"00000")="89084", TEXT(TRIM(S981),"00000")="89081"), "North LV",
  OR(TEXT(TRIM(S981),"00000")="89109", TEXT(TRIM(S981),"00000")="89103", TEXT(TRIM(S981),"00000")="89119", TEXT(TRIM(S981),"00000")="89123", TEXT(TRIM(S981),"00000")="89169", TEXT(TRIM(S981),"00000")="89118"), "South/Strip",
  OR(TEXT(TRIM(S981),"00000")="89074", TEXT(TRIM(S981),"00000")="89014", TEXT(TRIM(S981),"00000")="89015", TEXT(TRIM(S981),"00000")="89011", TEXT(TRIM(S981),"00000")="89012"), "Suburban SE",
  OR(TEXT(TRIM(S981),"00000")="89117", TEXT(TRIM(S981),"00000")="89128", TEXT(TRIM(S981),"00000")="89135", TEXT(TRIM(S981),"00000")="89144", TEXT(TRIM(S981),"00000")="89145", TEXT(TRIM(S981),"00000")="89147"), "West Valley",
  TRUE, "Other"
)</f>
        <v>East Valley</v>
      </c>
      <c r="U981" t="s">
        <v>38</v>
      </c>
      <c r="V981" t="str">
        <f t="shared" si="63"/>
        <v>Home/Residence</v>
      </c>
    </row>
    <row r="982" spans="1:22">
      <c r="A982" t="s">
        <v>2256</v>
      </c>
      <c r="B982" t="s">
        <v>2257</v>
      </c>
      <c r="C982" s="1">
        <v>44410</v>
      </c>
      <c r="D982" s="4">
        <v>107.06</v>
      </c>
      <c r="E982">
        <v>61</v>
      </c>
      <c r="F982" t="str">
        <f t="shared" si="60"/>
        <v>60's</v>
      </c>
      <c r="G982" t="str" cm="1">
        <f t="array" ref="G982">_xlfn.IFS(
  F982="10's", "Child (5–12)",
  OR(F982="20's", F982="30's"), "Young Adult (20–39)",
  OR(F982="40's", F982="50's"), "Adult (40–59)",
  OR(F982="60's", F982="70's", F982="80's", F982="90's"), "Senior (60+)",
  TRUE, "Unknown"
)</f>
        <v>Senior (60+)</v>
      </c>
      <c r="H982" t="s">
        <v>298</v>
      </c>
      <c r="I982" t="s">
        <v>4117</v>
      </c>
      <c r="J982" t="str">
        <f t="shared" si="61"/>
        <v>Methamphetamine-related</v>
      </c>
      <c r="K982" t="s">
        <v>97</v>
      </c>
      <c r="L982" t="s">
        <v>250</v>
      </c>
      <c r="N982" t="s">
        <v>5095</v>
      </c>
      <c r="O982" t="str" cm="1">
        <f t="array" ref="O982">_xlfn.IFS(
  TEXT(TRIM(N982),"00000")="NULL", "Missing/Unknown",
  OR(TEXT(TRIM(N982),"00000")="89101", TEXT(TRIM(N982),"00000")="89104", TEXT(TRIM(N982),"00000")="89106", TEXT(TRIM(N982),"00000")="89102", TEXT(TRIM(N982),"00000")="89107", TEXT(TRIM(N982),"00000")="89108"), "Urban Core",
  OR(TEXT(TRIM(N982),"00000")="89110", TEXT(TRIM(N982),"00000")="89115", TEXT(TRIM(N982),"00000")="89121", TEXT(TRIM(N982),"00000")="89122", TEXT(TRIM(N982),"00000")="89142", TEXT(TRIM(N982),"00000")="89156"), "East Valley",
  OR(TEXT(TRIM(N982),"00000")="89030", TEXT(TRIM(N982),"00000")="89031", TEXT(TRIM(N982),"00000")="89032", TEXT(TRIM(N982),"00000")="89086", TEXT(TRIM(N982),"00000")="89084", TEXT(TRIM(N982),"00000")="89081"), "North LV",
  OR(TEXT(TRIM(N982),"00000")="89109", TEXT(TRIM(N982),"00000")="89103", TEXT(TRIM(N982),"00000")="89119", TEXT(TRIM(N982),"00000")="89123", TEXT(TRIM(N982),"00000")="89169", TEXT(TRIM(N982),"00000")="89118"), "South/Strip",
  OR(TEXT(TRIM(N982),"00000")="89074", TEXT(TRIM(N982),"00000")="89014", TEXT(TRIM(N982),"00000")="89015", TEXT(TRIM(N982),"00000")="89011", TEXT(TRIM(N982),"00000")="89012"), "Suburban SE",
  OR(TEXT(TRIM(N982),"00000")="89117", TEXT(TRIM(N982),"00000")="89128", TEXT(TRIM(N982),"00000")="89135", TEXT(TRIM(N982),"00000")="89144", TEXT(TRIM(N982),"00000")="89145", TEXT(TRIM(N982),"00000")="89147"), "West Valley",
  TRUE, "Other"
)</f>
        <v>Missing/Unknown</v>
      </c>
      <c r="P982" t="s">
        <v>3298</v>
      </c>
      <c r="Q982" t="str">
        <f t="shared" si="62"/>
        <v>Outdoors/Public</v>
      </c>
      <c r="R982" t="s">
        <v>4341</v>
      </c>
      <c r="S982" t="s">
        <v>5100</v>
      </c>
      <c r="T982" t="str" cm="1">
        <f t="array" ref="T982">_xlfn.IFS(
  TEXT(TRIM(S982),"00000")="NULL", "Missing/Unknown",
  OR(TEXT(TRIM(S982),"00000")="89101", TEXT(TRIM(S982),"00000")="89104", TEXT(TRIM(S982),"00000")="89106", TEXT(TRIM(S982),"00000")="89102", TEXT(TRIM(S982),"00000")="89107", TEXT(TRIM(S982),"00000")="89108"), "Urban Core",
  OR(TEXT(TRIM(S982),"00000")="89110", TEXT(TRIM(S982),"00000")="89115", TEXT(TRIM(S982),"00000")="89121", TEXT(TRIM(S982),"00000")="89122", TEXT(TRIM(S982),"00000")="89142", TEXT(TRIM(S982),"00000")="89156"), "East Valley",
  OR(TEXT(TRIM(S982),"00000")="89030", TEXT(TRIM(S982),"00000")="89031", TEXT(TRIM(S982),"00000")="89032", TEXT(TRIM(S982),"00000")="89086", TEXT(TRIM(S982),"00000")="89084", TEXT(TRIM(S982),"00000")="89081"), "North LV",
  OR(TEXT(TRIM(S982),"00000")="89109", TEXT(TRIM(S982),"00000")="89103", TEXT(TRIM(S982),"00000")="89119", TEXT(TRIM(S982),"00000")="89123", TEXT(TRIM(S982),"00000")="89169", TEXT(TRIM(S982),"00000")="89118"), "South/Strip",
  OR(TEXT(TRIM(S982),"00000")="89074", TEXT(TRIM(S982),"00000")="89014", TEXT(TRIM(S982),"00000")="89015", TEXT(TRIM(S982),"00000")="89011", TEXT(TRIM(S982),"00000")="89012"), "Suburban SE",
  OR(TEXT(TRIM(S982),"00000")="89117", TEXT(TRIM(S982),"00000")="89128", TEXT(TRIM(S982),"00000")="89135", TEXT(TRIM(S982),"00000")="89144", TEXT(TRIM(S982),"00000")="89145", TEXT(TRIM(S982),"00000")="89147"), "West Valley",
  TRUE, "Other"
)</f>
        <v>North LV</v>
      </c>
      <c r="U982" t="s">
        <v>4301</v>
      </c>
      <c r="V982" t="str">
        <f t="shared" si="63"/>
        <v>Medical Facility</v>
      </c>
    </row>
    <row r="983" spans="1:22">
      <c r="A983" t="s">
        <v>2251</v>
      </c>
      <c r="B983" t="s">
        <v>2252</v>
      </c>
      <c r="C983" s="1">
        <v>44409</v>
      </c>
      <c r="D983" s="4">
        <v>100.04</v>
      </c>
      <c r="E983">
        <v>25</v>
      </c>
      <c r="F983" t="str">
        <f t="shared" si="60"/>
        <v>20's</v>
      </c>
      <c r="G983" t="str" cm="1">
        <f t="array" ref="G983">_xlfn.IFS(
  F983="10's", "Child (5–12)",
  OR(F983="20's", F983="30's"), "Young Adult (20–39)",
  OR(F983="40's", F983="50's"), "Adult (40–59)",
  OR(F983="60's", F983="70's", F983="80's", F983="90's"), "Senior (60+)",
  TRUE, "Unknown"
)</f>
        <v>Young Adult (20–39)</v>
      </c>
      <c r="H983" t="s">
        <v>778</v>
      </c>
      <c r="I983" t="s">
        <v>54</v>
      </c>
      <c r="J983" t="str">
        <f t="shared" si="61"/>
        <v>Environmental Heat</v>
      </c>
      <c r="K983" t="s">
        <v>1827</v>
      </c>
      <c r="L983" t="s">
        <v>250</v>
      </c>
      <c r="M983" t="s">
        <v>4885</v>
      </c>
      <c r="N983" t="s">
        <v>5112</v>
      </c>
      <c r="O983" t="str" cm="1">
        <f t="array" ref="O983">_xlfn.IFS(
  TEXT(TRIM(N983),"00000")="NULL", "Missing/Unknown",
  OR(TEXT(TRIM(N983),"00000")="89101", TEXT(TRIM(N983),"00000")="89104", TEXT(TRIM(N983),"00000")="89106", TEXT(TRIM(N983),"00000")="89102", TEXT(TRIM(N983),"00000")="89107", TEXT(TRIM(N983),"00000")="89108"), "Urban Core",
  OR(TEXT(TRIM(N983),"00000")="89110", TEXT(TRIM(N983),"00000")="89115", TEXT(TRIM(N983),"00000")="89121", TEXT(TRIM(N983),"00000")="89122", TEXT(TRIM(N983),"00000")="89142", TEXT(TRIM(N983),"00000")="89156"), "East Valley",
  OR(TEXT(TRIM(N983),"00000")="89030", TEXT(TRIM(N983),"00000")="89031", TEXT(TRIM(N983),"00000")="89032", TEXT(TRIM(N983),"00000")="89086", TEXT(TRIM(N983),"00000")="89084", TEXT(TRIM(N983),"00000")="89081"), "North LV",
  OR(TEXT(TRIM(N983),"00000")="89109", TEXT(TRIM(N983),"00000")="89103", TEXT(TRIM(N983),"00000")="89119", TEXT(TRIM(N983),"00000")="89123", TEXT(TRIM(N983),"00000")="89169", TEXT(TRIM(N983),"00000")="89118"), "South/Strip",
  OR(TEXT(TRIM(N983),"00000")="89074", TEXT(TRIM(N983),"00000")="89014", TEXT(TRIM(N983),"00000")="89015", TEXT(TRIM(N983),"00000")="89011", TEXT(TRIM(N983),"00000")="89012"), "Suburban SE",
  OR(TEXT(TRIM(N983),"00000")="89117", TEXT(TRIM(N983),"00000")="89128", TEXT(TRIM(N983),"00000")="89135", TEXT(TRIM(N983),"00000")="89144", TEXT(TRIM(N983),"00000")="89145", TEXT(TRIM(N983),"00000")="89147"), "West Valley",
  TRUE, "Other"
)</f>
        <v>North LV</v>
      </c>
      <c r="P983" t="s">
        <v>24</v>
      </c>
      <c r="Q983" t="str">
        <f t="shared" si="62"/>
        <v>Outdoors/Public</v>
      </c>
      <c r="R983" t="s">
        <v>4885</v>
      </c>
      <c r="S983" t="s">
        <v>5112</v>
      </c>
      <c r="T983" t="str" cm="1">
        <f t="array" ref="T983">_xlfn.IFS(
  TEXT(TRIM(S983),"00000")="NULL", "Missing/Unknown",
  OR(TEXT(TRIM(S983),"00000")="89101", TEXT(TRIM(S983),"00000")="89104", TEXT(TRIM(S983),"00000")="89106", TEXT(TRIM(S983),"00000")="89102", TEXT(TRIM(S983),"00000")="89107", TEXT(TRIM(S983),"00000")="89108"), "Urban Core",
  OR(TEXT(TRIM(S983),"00000")="89110", TEXT(TRIM(S983),"00000")="89115", TEXT(TRIM(S983),"00000")="89121", TEXT(TRIM(S983),"00000")="89122", TEXT(TRIM(S983),"00000")="89142", TEXT(TRIM(S983),"00000")="89156"), "East Valley",
  OR(TEXT(TRIM(S983),"00000")="89030", TEXT(TRIM(S983),"00000")="89031", TEXT(TRIM(S983),"00000")="89032", TEXT(TRIM(S983),"00000")="89086", TEXT(TRIM(S983),"00000")="89084", TEXT(TRIM(S983),"00000")="89081"), "North LV",
  OR(TEXT(TRIM(S983),"00000")="89109", TEXT(TRIM(S983),"00000")="89103", TEXT(TRIM(S983),"00000")="89119", TEXT(TRIM(S983),"00000")="89123", TEXT(TRIM(S983),"00000")="89169", TEXT(TRIM(S983),"00000")="89118"), "South/Strip",
  OR(TEXT(TRIM(S983),"00000")="89074", TEXT(TRIM(S983),"00000")="89014", TEXT(TRIM(S983),"00000")="89015", TEXT(TRIM(S983),"00000")="89011", TEXT(TRIM(S983),"00000")="89012"), "Suburban SE",
  OR(TEXT(TRIM(S983),"00000")="89117", TEXT(TRIM(S983),"00000")="89128", TEXT(TRIM(S983),"00000")="89135", TEXT(TRIM(S983),"00000")="89144", TEXT(TRIM(S983),"00000")="89145", TEXT(TRIM(S983),"00000")="89147"), "West Valley",
  TRUE, "Other"
)</f>
        <v>North LV</v>
      </c>
      <c r="U983" t="s">
        <v>24</v>
      </c>
      <c r="V983" t="str">
        <f t="shared" si="63"/>
        <v>Outdoors/Public</v>
      </c>
    </row>
    <row r="984" spans="1:22">
      <c r="A984" t="s">
        <v>2248</v>
      </c>
      <c r="B984" t="s">
        <v>2249</v>
      </c>
      <c r="C984" s="1">
        <v>44407</v>
      </c>
      <c r="D984" s="4">
        <v>96.080000000000013</v>
      </c>
      <c r="E984">
        <v>70</v>
      </c>
      <c r="F984" t="str">
        <f t="shared" si="60"/>
        <v>70's</v>
      </c>
      <c r="G984" t="str" cm="1">
        <f t="array" ref="G984">_xlfn.IFS(
  F984="10's", "Child (5–12)",
  OR(F984="20's", F984="30's"), "Young Adult (20–39)",
  OR(F984="40's", F984="50's"), "Adult (40–59)",
  OR(F984="60's", F984="70's", F984="80's", F984="90's"), "Senior (60+)",
  TRUE, "Unknown"
)</f>
        <v>Senior (60+)</v>
      </c>
      <c r="H984" t="s">
        <v>778</v>
      </c>
      <c r="I984" t="s">
        <v>63</v>
      </c>
      <c r="J984" t="str">
        <f t="shared" si="61"/>
        <v>Cardiovascular Disease</v>
      </c>
      <c r="K984" t="s">
        <v>54</v>
      </c>
      <c r="L984" t="s">
        <v>1071</v>
      </c>
      <c r="M984" t="s">
        <v>4462</v>
      </c>
      <c r="N984" t="s">
        <v>5117</v>
      </c>
      <c r="O984" t="str" cm="1">
        <f t="array" ref="O984">_xlfn.IFS(
  TEXT(TRIM(N984),"00000")="NULL", "Missing/Unknown",
  OR(TEXT(TRIM(N984),"00000")="89101", TEXT(TRIM(N984),"00000")="89104", TEXT(TRIM(N984),"00000")="89106", TEXT(TRIM(N984),"00000")="89102", TEXT(TRIM(N984),"00000")="89107", TEXT(TRIM(N984),"00000")="89108"), "Urban Core",
  OR(TEXT(TRIM(N984),"00000")="89110", TEXT(TRIM(N984),"00000")="89115", TEXT(TRIM(N984),"00000")="89121", TEXT(TRIM(N984),"00000")="89122", TEXT(TRIM(N984),"00000")="89142", TEXT(TRIM(N984),"00000")="89156"), "East Valley",
  OR(TEXT(TRIM(N984),"00000")="89030", TEXT(TRIM(N984),"00000")="89031", TEXT(TRIM(N984),"00000")="89032", TEXT(TRIM(N984),"00000")="89086", TEXT(TRIM(N984),"00000")="89084", TEXT(TRIM(N984),"00000")="89081"), "North LV",
  OR(TEXT(TRIM(N984),"00000")="89109", TEXT(TRIM(N984),"00000")="89103", TEXT(TRIM(N984),"00000")="89119", TEXT(TRIM(N984),"00000")="89123", TEXT(TRIM(N984),"00000")="89169", TEXT(TRIM(N984),"00000")="89118"), "South/Strip",
  OR(TEXT(TRIM(N984),"00000")="89074", TEXT(TRIM(N984),"00000")="89014", TEXT(TRIM(N984),"00000")="89015", TEXT(TRIM(N984),"00000")="89011", TEXT(TRIM(N984),"00000")="89012"), "Suburban SE",
  OR(TEXT(TRIM(N984),"00000")="89117", TEXT(TRIM(N984),"00000")="89128", TEXT(TRIM(N984),"00000")="89135", TEXT(TRIM(N984),"00000")="89144", TEXT(TRIM(N984),"00000")="89145", TEXT(TRIM(N984),"00000")="89147"), "West Valley",
  TRUE, "Other"
)</f>
        <v>North LV</v>
      </c>
      <c r="P984" t="s">
        <v>38</v>
      </c>
      <c r="Q984" t="str">
        <f t="shared" si="62"/>
        <v>Home/Residence</v>
      </c>
      <c r="R984" t="s">
        <v>4462</v>
      </c>
      <c r="S984" t="s">
        <v>5117</v>
      </c>
      <c r="T984" t="str" cm="1">
        <f t="array" ref="T984">_xlfn.IFS(
  TEXT(TRIM(S984),"00000")="NULL", "Missing/Unknown",
  OR(TEXT(TRIM(S984),"00000")="89101", TEXT(TRIM(S984),"00000")="89104", TEXT(TRIM(S984),"00000")="89106", TEXT(TRIM(S984),"00000")="89102", TEXT(TRIM(S984),"00000")="89107", TEXT(TRIM(S984),"00000")="89108"), "Urban Core",
  OR(TEXT(TRIM(S984),"00000")="89110", TEXT(TRIM(S984),"00000")="89115", TEXT(TRIM(S984),"00000")="89121", TEXT(TRIM(S984),"00000")="89122", TEXT(TRIM(S984),"00000")="89142", TEXT(TRIM(S984),"00000")="89156"), "East Valley",
  OR(TEXT(TRIM(S984),"00000")="89030", TEXT(TRIM(S984),"00000")="89031", TEXT(TRIM(S984),"00000")="89032", TEXT(TRIM(S984),"00000")="89086", TEXT(TRIM(S984),"00000")="89084", TEXT(TRIM(S984),"00000")="89081"), "North LV",
  OR(TEXT(TRIM(S984),"00000")="89109", TEXT(TRIM(S984),"00000")="89103", TEXT(TRIM(S984),"00000")="89119", TEXT(TRIM(S984),"00000")="89123", TEXT(TRIM(S984),"00000")="89169", TEXT(TRIM(S984),"00000")="89118"), "South/Strip",
  OR(TEXT(TRIM(S984),"00000")="89074", TEXT(TRIM(S984),"00000")="89014", TEXT(TRIM(S984),"00000")="89015", TEXT(TRIM(S984),"00000")="89011", TEXT(TRIM(S984),"00000")="89012"), "Suburban SE",
  OR(TEXT(TRIM(S984),"00000")="89117", TEXT(TRIM(S984),"00000")="89128", TEXT(TRIM(S984),"00000")="89135", TEXT(TRIM(S984),"00000")="89144", TEXT(TRIM(S984),"00000")="89145", TEXT(TRIM(S984),"00000")="89147"), "West Valley",
  TRUE, "Other"
)</f>
        <v>North LV</v>
      </c>
      <c r="U984" t="s">
        <v>38</v>
      </c>
      <c r="V984" t="str">
        <f t="shared" si="63"/>
        <v>Home/Residence</v>
      </c>
    </row>
    <row r="985" spans="1:22">
      <c r="A985" t="s">
        <v>2237</v>
      </c>
      <c r="B985" t="s">
        <v>2238</v>
      </c>
      <c r="C985" s="1">
        <v>44406</v>
      </c>
      <c r="D985" s="4">
        <v>107.06</v>
      </c>
      <c r="E985">
        <v>73</v>
      </c>
      <c r="F985" t="str">
        <f t="shared" si="60"/>
        <v>70's</v>
      </c>
      <c r="G985" t="str" cm="1">
        <f t="array" ref="G985">_xlfn.IFS(
  F985="10's", "Child (5–12)",
  OR(F985="20's", F985="30's"), "Young Adult (20–39)",
  OR(F985="40's", F985="50's"), "Adult (40–59)",
  OR(F985="60's", F985="70's", F985="80's", F985="90's"), "Senior (60+)",
  TRUE, "Unknown"
)</f>
        <v>Senior (60+)</v>
      </c>
      <c r="H985" t="s">
        <v>841</v>
      </c>
      <c r="I985" t="s">
        <v>54</v>
      </c>
      <c r="J985" t="str">
        <f t="shared" si="61"/>
        <v>Environmental Heat</v>
      </c>
      <c r="K985" t="s">
        <v>793</v>
      </c>
      <c r="L985" t="s">
        <v>1071</v>
      </c>
      <c r="M985" t="s">
        <v>4463</v>
      </c>
      <c r="N985" t="s">
        <v>5121</v>
      </c>
      <c r="O985" t="str" cm="1">
        <f t="array" ref="O985">_xlfn.IFS(
  TEXT(TRIM(N985),"00000")="NULL", "Missing/Unknown",
  OR(TEXT(TRIM(N985),"00000")="89101", TEXT(TRIM(N985),"00000")="89104", TEXT(TRIM(N985),"00000")="89106", TEXT(TRIM(N985),"00000")="89102", TEXT(TRIM(N985),"00000")="89107", TEXT(TRIM(N985),"00000")="89108"), "Urban Core",
  OR(TEXT(TRIM(N985),"00000")="89110", TEXT(TRIM(N985),"00000")="89115", TEXT(TRIM(N985),"00000")="89121", TEXT(TRIM(N985),"00000")="89122", TEXT(TRIM(N985),"00000")="89142", TEXT(TRIM(N985),"00000")="89156"), "East Valley",
  OR(TEXT(TRIM(N985),"00000")="89030", TEXT(TRIM(N985),"00000")="89031", TEXT(TRIM(N985),"00000")="89032", TEXT(TRIM(N985),"00000")="89086", TEXT(TRIM(N985),"00000")="89084", TEXT(TRIM(N985),"00000")="89081"), "North LV",
  OR(TEXT(TRIM(N985),"00000")="89109", TEXT(TRIM(N985),"00000")="89103", TEXT(TRIM(N985),"00000")="89119", TEXT(TRIM(N985),"00000")="89123", TEXT(TRIM(N985),"00000")="89169", TEXT(TRIM(N985),"00000")="89118"), "South/Strip",
  OR(TEXT(TRIM(N985),"00000")="89074", TEXT(TRIM(N985),"00000")="89014", TEXT(TRIM(N985),"00000")="89015", TEXT(TRIM(N985),"00000")="89011", TEXT(TRIM(N985),"00000")="89012"), "Suburban SE",
  OR(TEXT(TRIM(N985),"00000")="89117", TEXT(TRIM(N985),"00000")="89128", TEXT(TRIM(N985),"00000")="89135", TEXT(TRIM(N985),"00000")="89144", TEXT(TRIM(N985),"00000")="89145", TEXT(TRIM(N985),"00000")="89147"), "West Valley",
  TRUE, "Other"
)</f>
        <v>East Valley</v>
      </c>
      <c r="P985" t="s">
        <v>38</v>
      </c>
      <c r="Q985" t="str">
        <f t="shared" si="62"/>
        <v>Home/Residence</v>
      </c>
      <c r="R985" t="s">
        <v>4463</v>
      </c>
      <c r="S985" t="s">
        <v>5121</v>
      </c>
      <c r="T985" t="str" cm="1">
        <f t="array" ref="T985">_xlfn.IFS(
  TEXT(TRIM(S985),"00000")="NULL", "Missing/Unknown",
  OR(TEXT(TRIM(S985),"00000")="89101", TEXT(TRIM(S985),"00000")="89104", TEXT(TRIM(S985),"00000")="89106", TEXT(TRIM(S985),"00000")="89102", TEXT(TRIM(S985),"00000")="89107", TEXT(TRIM(S985),"00000")="89108"), "Urban Core",
  OR(TEXT(TRIM(S985),"00000")="89110", TEXT(TRIM(S985),"00000")="89115", TEXT(TRIM(S985),"00000")="89121", TEXT(TRIM(S985),"00000")="89122", TEXT(TRIM(S985),"00000")="89142", TEXT(TRIM(S985),"00000")="89156"), "East Valley",
  OR(TEXT(TRIM(S985),"00000")="89030", TEXT(TRIM(S985),"00000")="89031", TEXT(TRIM(S985),"00000")="89032", TEXT(TRIM(S985),"00000")="89086", TEXT(TRIM(S985),"00000")="89084", TEXT(TRIM(S985),"00000")="89081"), "North LV",
  OR(TEXT(TRIM(S985),"00000")="89109", TEXT(TRIM(S985),"00000")="89103", TEXT(TRIM(S985),"00000")="89119", TEXT(TRIM(S985),"00000")="89123", TEXT(TRIM(S985),"00000")="89169", TEXT(TRIM(S985),"00000")="89118"), "South/Strip",
  OR(TEXT(TRIM(S985),"00000")="89074", TEXT(TRIM(S985),"00000")="89014", TEXT(TRIM(S985),"00000")="89015", TEXT(TRIM(S985),"00000")="89011", TEXT(TRIM(S985),"00000")="89012"), "Suburban SE",
  OR(TEXT(TRIM(S985),"00000")="89117", TEXT(TRIM(S985),"00000")="89128", TEXT(TRIM(S985),"00000")="89135", TEXT(TRIM(S985),"00000")="89144", TEXT(TRIM(S985),"00000")="89145", TEXT(TRIM(S985),"00000")="89147"), "West Valley",
  TRUE, "Other"
)</f>
        <v>East Valley</v>
      </c>
      <c r="U985" t="s">
        <v>38</v>
      </c>
      <c r="V985" t="str">
        <f t="shared" si="63"/>
        <v>Home/Residence</v>
      </c>
    </row>
    <row r="986" spans="1:22">
      <c r="A986" t="s">
        <v>2240</v>
      </c>
      <c r="B986" t="s">
        <v>2241</v>
      </c>
      <c r="C986" s="1">
        <v>44406</v>
      </c>
      <c r="D986" s="4">
        <v>107.06</v>
      </c>
      <c r="E986">
        <v>62</v>
      </c>
      <c r="F986" t="str">
        <f t="shared" si="60"/>
        <v>60's</v>
      </c>
      <c r="G986" t="str" cm="1">
        <f t="array" ref="G986">_xlfn.IFS(
  F986="10's", "Child (5–12)",
  OR(F986="20's", F986="30's"), "Young Adult (20–39)",
  OR(F986="40's", F986="50's"), "Adult (40–59)",
  OR(F986="60's", F986="70's", F986="80's", F986="90's"), "Senior (60+)",
  TRUE, "Unknown"
)</f>
        <v>Senior (60+)</v>
      </c>
      <c r="H986" t="s">
        <v>841</v>
      </c>
      <c r="I986" t="s">
        <v>54</v>
      </c>
      <c r="J986" t="str">
        <f t="shared" si="61"/>
        <v>Environmental Heat</v>
      </c>
      <c r="K986" t="s">
        <v>793</v>
      </c>
      <c r="L986" t="s">
        <v>1071</v>
      </c>
      <c r="M986" t="s">
        <v>4463</v>
      </c>
      <c r="N986" t="s">
        <v>5121</v>
      </c>
      <c r="O986" t="str" cm="1">
        <f t="array" ref="O986">_xlfn.IFS(
  TEXT(TRIM(N986),"00000")="NULL", "Missing/Unknown",
  OR(TEXT(TRIM(N986),"00000")="89101", TEXT(TRIM(N986),"00000")="89104", TEXT(TRIM(N986),"00000")="89106", TEXT(TRIM(N986),"00000")="89102", TEXT(TRIM(N986),"00000")="89107", TEXT(TRIM(N986),"00000")="89108"), "Urban Core",
  OR(TEXT(TRIM(N986),"00000")="89110", TEXT(TRIM(N986),"00000")="89115", TEXT(TRIM(N986),"00000")="89121", TEXT(TRIM(N986),"00000")="89122", TEXT(TRIM(N986),"00000")="89142", TEXT(TRIM(N986),"00000")="89156"), "East Valley",
  OR(TEXT(TRIM(N986),"00000")="89030", TEXT(TRIM(N986),"00000")="89031", TEXT(TRIM(N986),"00000")="89032", TEXT(TRIM(N986),"00000")="89086", TEXT(TRIM(N986),"00000")="89084", TEXT(TRIM(N986),"00000")="89081"), "North LV",
  OR(TEXT(TRIM(N986),"00000")="89109", TEXT(TRIM(N986),"00000")="89103", TEXT(TRIM(N986),"00000")="89119", TEXT(TRIM(N986),"00000")="89123", TEXT(TRIM(N986),"00000")="89169", TEXT(TRIM(N986),"00000")="89118"), "South/Strip",
  OR(TEXT(TRIM(N986),"00000")="89074", TEXT(TRIM(N986),"00000")="89014", TEXT(TRIM(N986),"00000")="89015", TEXT(TRIM(N986),"00000")="89011", TEXT(TRIM(N986),"00000")="89012"), "Suburban SE",
  OR(TEXT(TRIM(N986),"00000")="89117", TEXT(TRIM(N986),"00000")="89128", TEXT(TRIM(N986),"00000")="89135", TEXT(TRIM(N986),"00000")="89144", TEXT(TRIM(N986),"00000")="89145", TEXT(TRIM(N986),"00000")="89147"), "West Valley",
  TRUE, "Other"
)</f>
        <v>East Valley</v>
      </c>
      <c r="P986" t="s">
        <v>38</v>
      </c>
      <c r="Q986" t="str">
        <f t="shared" si="62"/>
        <v>Home/Residence</v>
      </c>
      <c r="R986" t="s">
        <v>4463</v>
      </c>
      <c r="S986" t="s">
        <v>5121</v>
      </c>
      <c r="T986" t="str" cm="1">
        <f t="array" ref="T986">_xlfn.IFS(
  TEXT(TRIM(S986),"00000")="NULL", "Missing/Unknown",
  OR(TEXT(TRIM(S986),"00000")="89101", TEXT(TRIM(S986),"00000")="89104", TEXT(TRIM(S986),"00000")="89106", TEXT(TRIM(S986),"00000")="89102", TEXT(TRIM(S986),"00000")="89107", TEXT(TRIM(S986),"00000")="89108"), "Urban Core",
  OR(TEXT(TRIM(S986),"00000")="89110", TEXT(TRIM(S986),"00000")="89115", TEXT(TRIM(S986),"00000")="89121", TEXT(TRIM(S986),"00000")="89122", TEXT(TRIM(S986),"00000")="89142", TEXT(TRIM(S986),"00000")="89156"), "East Valley",
  OR(TEXT(TRIM(S986),"00000")="89030", TEXT(TRIM(S986),"00000")="89031", TEXT(TRIM(S986),"00000")="89032", TEXT(TRIM(S986),"00000")="89086", TEXT(TRIM(S986),"00000")="89084", TEXT(TRIM(S986),"00000")="89081"), "North LV",
  OR(TEXT(TRIM(S986),"00000")="89109", TEXT(TRIM(S986),"00000")="89103", TEXT(TRIM(S986),"00000")="89119", TEXT(TRIM(S986),"00000")="89123", TEXT(TRIM(S986),"00000")="89169", TEXT(TRIM(S986),"00000")="89118"), "South/Strip",
  OR(TEXT(TRIM(S986),"00000")="89074", TEXT(TRIM(S986),"00000")="89014", TEXT(TRIM(S986),"00000")="89015", TEXT(TRIM(S986),"00000")="89011", TEXT(TRIM(S986),"00000")="89012"), "Suburban SE",
  OR(TEXT(TRIM(S986),"00000")="89117", TEXT(TRIM(S986),"00000")="89128", TEXT(TRIM(S986),"00000")="89135", TEXT(TRIM(S986),"00000")="89144", TEXT(TRIM(S986),"00000")="89145", TEXT(TRIM(S986),"00000")="89147"), "West Valley",
  TRUE, "Other"
)</f>
        <v>East Valley</v>
      </c>
      <c r="U986" t="s">
        <v>38</v>
      </c>
      <c r="V986" t="str">
        <f t="shared" si="63"/>
        <v>Home/Residence</v>
      </c>
    </row>
    <row r="987" spans="1:22">
      <c r="A987" t="s">
        <v>2242</v>
      </c>
      <c r="B987" t="s">
        <v>2243</v>
      </c>
      <c r="C987" s="1">
        <v>44406</v>
      </c>
      <c r="D987" s="4">
        <v>107.06</v>
      </c>
      <c r="E987">
        <v>51</v>
      </c>
      <c r="F987" t="str">
        <f t="shared" si="60"/>
        <v>50's</v>
      </c>
      <c r="G987" t="str" cm="1">
        <f t="array" ref="G987">_xlfn.IFS(
  F987="10's", "Child (5–12)",
  OR(F987="20's", F987="30's"), "Young Adult (20–39)",
  OR(F987="40's", F987="50's"), "Adult (40–59)",
  OR(F987="60's", F987="70's", F987="80's", F987="90's"), "Senior (60+)",
  TRUE, "Unknown"
)</f>
        <v>Adult (40–59)</v>
      </c>
      <c r="H987" t="s">
        <v>841</v>
      </c>
      <c r="I987" t="s">
        <v>1028</v>
      </c>
      <c r="J987" t="str">
        <f t="shared" si="61"/>
        <v>Methamphetamine-related</v>
      </c>
      <c r="K987" t="s">
        <v>54</v>
      </c>
      <c r="L987" t="s">
        <v>250</v>
      </c>
      <c r="M987" t="s">
        <v>4886</v>
      </c>
      <c r="N987" t="s">
        <v>5123</v>
      </c>
      <c r="O987" t="str" cm="1">
        <f t="array" ref="O987">_xlfn.IFS(
  TEXT(TRIM(N987),"00000")="NULL", "Missing/Unknown",
  OR(TEXT(TRIM(N987),"00000")="89101", TEXT(TRIM(N987),"00000")="89104", TEXT(TRIM(N987),"00000")="89106", TEXT(TRIM(N987),"00000")="89102", TEXT(TRIM(N987),"00000")="89107", TEXT(TRIM(N987),"00000")="89108"), "Urban Core",
  OR(TEXT(TRIM(N987),"00000")="89110", TEXT(TRIM(N987),"00000")="89115", TEXT(TRIM(N987),"00000")="89121", TEXT(TRIM(N987),"00000")="89122", TEXT(TRIM(N987),"00000")="89142", TEXT(TRIM(N987),"00000")="89156"), "East Valley",
  OR(TEXT(TRIM(N987),"00000")="89030", TEXT(TRIM(N987),"00000")="89031", TEXT(TRIM(N987),"00000")="89032", TEXT(TRIM(N987),"00000")="89086", TEXT(TRIM(N987),"00000")="89084", TEXT(TRIM(N987),"00000")="89081"), "North LV",
  OR(TEXT(TRIM(N987),"00000")="89109", TEXT(TRIM(N987),"00000")="89103", TEXT(TRIM(N987),"00000")="89119", TEXT(TRIM(N987),"00000")="89123", TEXT(TRIM(N987),"00000")="89169", TEXT(TRIM(N987),"00000")="89118"), "South/Strip",
  OR(TEXT(TRIM(N987),"00000")="89074", TEXT(TRIM(N987),"00000")="89014", TEXT(TRIM(N987),"00000")="89015", TEXT(TRIM(N987),"00000")="89011", TEXT(TRIM(N987),"00000")="89012"), "Suburban SE",
  OR(TEXT(TRIM(N987),"00000")="89117", TEXT(TRIM(N987),"00000")="89128", TEXT(TRIM(N987),"00000")="89135", TEXT(TRIM(N987),"00000")="89144", TEXT(TRIM(N987),"00000")="89145", TEXT(TRIM(N987),"00000")="89147"), "West Valley",
  TRUE, "Other"
)</f>
        <v>South/Strip</v>
      </c>
      <c r="P987" t="s">
        <v>24</v>
      </c>
      <c r="Q987" t="str">
        <f t="shared" si="62"/>
        <v>Outdoors/Public</v>
      </c>
      <c r="R987" t="s">
        <v>4886</v>
      </c>
      <c r="S987" t="s">
        <v>5123</v>
      </c>
      <c r="T987" t="str" cm="1">
        <f t="array" ref="T987">_xlfn.IFS(
  TEXT(TRIM(S987),"00000")="NULL", "Missing/Unknown",
  OR(TEXT(TRIM(S987),"00000")="89101", TEXT(TRIM(S987),"00000")="89104", TEXT(TRIM(S987),"00000")="89106", TEXT(TRIM(S987),"00000")="89102", TEXT(TRIM(S987),"00000")="89107", TEXT(TRIM(S987),"00000")="89108"), "Urban Core",
  OR(TEXT(TRIM(S987),"00000")="89110", TEXT(TRIM(S987),"00000")="89115", TEXT(TRIM(S987),"00000")="89121", TEXT(TRIM(S987),"00000")="89122", TEXT(TRIM(S987),"00000")="89142", TEXT(TRIM(S987),"00000")="89156"), "East Valley",
  OR(TEXT(TRIM(S987),"00000")="89030", TEXT(TRIM(S987),"00000")="89031", TEXT(TRIM(S987),"00000")="89032", TEXT(TRIM(S987),"00000")="89086", TEXT(TRIM(S987),"00000")="89084", TEXT(TRIM(S987),"00000")="89081"), "North LV",
  OR(TEXT(TRIM(S987),"00000")="89109", TEXT(TRIM(S987),"00000")="89103", TEXT(TRIM(S987),"00000")="89119", TEXT(TRIM(S987),"00000")="89123", TEXT(TRIM(S987),"00000")="89169", TEXT(TRIM(S987),"00000")="89118"), "South/Strip",
  OR(TEXT(TRIM(S987),"00000")="89074", TEXT(TRIM(S987),"00000")="89014", TEXT(TRIM(S987),"00000")="89015", TEXT(TRIM(S987),"00000")="89011", TEXT(TRIM(S987),"00000")="89012"), "Suburban SE",
  OR(TEXT(TRIM(S987),"00000")="89117", TEXT(TRIM(S987),"00000")="89128", TEXT(TRIM(S987),"00000")="89135", TEXT(TRIM(S987),"00000")="89144", TEXT(TRIM(S987),"00000")="89145", TEXT(TRIM(S987),"00000")="89147"), "West Valley",
  TRUE, "Other"
)</f>
        <v>South/Strip</v>
      </c>
      <c r="U987" t="s">
        <v>24</v>
      </c>
      <c r="V987" t="str">
        <f t="shared" si="63"/>
        <v>Outdoors/Public</v>
      </c>
    </row>
    <row r="988" spans="1:22">
      <c r="A988" t="s">
        <v>2245</v>
      </c>
      <c r="B988" t="s">
        <v>2246</v>
      </c>
      <c r="C988" s="1">
        <v>44406</v>
      </c>
      <c r="D988" s="4">
        <v>107.06</v>
      </c>
      <c r="E988">
        <v>45</v>
      </c>
      <c r="F988" t="str">
        <f t="shared" si="60"/>
        <v>40's</v>
      </c>
      <c r="G988" t="str" cm="1">
        <f t="array" ref="G988">_xlfn.IFS(
  F988="10's", "Child (5–12)",
  OR(F988="20's", F988="30's"), "Young Adult (20–39)",
  OR(F988="40's", F988="50's"), "Adult (40–59)",
  OR(F988="60's", F988="70's", F988="80's", F988="90's"), "Senior (60+)",
  TRUE, "Unknown"
)</f>
        <v>Adult (40–59)</v>
      </c>
      <c r="H988" t="s">
        <v>778</v>
      </c>
      <c r="I988" t="s">
        <v>4027</v>
      </c>
      <c r="J988" t="str">
        <f t="shared" si="61"/>
        <v>Environmental Heat</v>
      </c>
      <c r="K988" t="s">
        <v>54</v>
      </c>
      <c r="L988" t="s">
        <v>250</v>
      </c>
      <c r="N988" t="s">
        <v>5095</v>
      </c>
      <c r="O988" t="str" cm="1">
        <f t="array" ref="O988">_xlfn.IFS(
  TEXT(TRIM(N988),"00000")="NULL", "Missing/Unknown",
  OR(TEXT(TRIM(N988),"00000")="89101", TEXT(TRIM(N988),"00000")="89104", TEXT(TRIM(N988),"00000")="89106", TEXT(TRIM(N988),"00000")="89102", TEXT(TRIM(N988),"00000")="89107", TEXT(TRIM(N988),"00000")="89108"), "Urban Core",
  OR(TEXT(TRIM(N988),"00000")="89110", TEXT(TRIM(N988),"00000")="89115", TEXT(TRIM(N988),"00000")="89121", TEXT(TRIM(N988),"00000")="89122", TEXT(TRIM(N988),"00000")="89142", TEXT(TRIM(N988),"00000")="89156"), "East Valley",
  OR(TEXT(TRIM(N988),"00000")="89030", TEXT(TRIM(N988),"00000")="89031", TEXT(TRIM(N988),"00000")="89032", TEXT(TRIM(N988),"00000")="89086", TEXT(TRIM(N988),"00000")="89084", TEXT(TRIM(N988),"00000")="89081"), "North LV",
  OR(TEXT(TRIM(N988),"00000")="89109", TEXT(TRIM(N988),"00000")="89103", TEXT(TRIM(N988),"00000")="89119", TEXT(TRIM(N988),"00000")="89123", TEXT(TRIM(N988),"00000")="89169", TEXT(TRIM(N988),"00000")="89118"), "South/Strip",
  OR(TEXT(TRIM(N988),"00000")="89074", TEXT(TRIM(N988),"00000")="89014", TEXT(TRIM(N988),"00000")="89015", TEXT(TRIM(N988),"00000")="89011", TEXT(TRIM(N988),"00000")="89012"), "Suburban SE",
  OR(TEXT(TRIM(N988),"00000")="89117", TEXT(TRIM(N988),"00000")="89128", TEXT(TRIM(N988),"00000")="89135", TEXT(TRIM(N988),"00000")="89144", TEXT(TRIM(N988),"00000")="89145", TEXT(TRIM(N988),"00000")="89147"), "West Valley",
  TRUE, "Other"
)</f>
        <v>Missing/Unknown</v>
      </c>
      <c r="P988" t="s">
        <v>3298</v>
      </c>
      <c r="Q988" t="str">
        <f t="shared" si="62"/>
        <v>Outdoors/Public</v>
      </c>
      <c r="R988" t="s">
        <v>5055</v>
      </c>
      <c r="S988" t="s">
        <v>5119</v>
      </c>
      <c r="T988" t="str" cm="1">
        <f t="array" ref="T988">_xlfn.IFS(
  TEXT(TRIM(S988),"00000")="NULL", "Missing/Unknown",
  OR(TEXT(TRIM(S988),"00000")="89101", TEXT(TRIM(S988),"00000")="89104", TEXT(TRIM(S988),"00000")="89106", TEXT(TRIM(S988),"00000")="89102", TEXT(TRIM(S988),"00000")="89107", TEXT(TRIM(S988),"00000")="89108"), "Urban Core",
  OR(TEXT(TRIM(S988),"00000")="89110", TEXT(TRIM(S988),"00000")="89115", TEXT(TRIM(S988),"00000")="89121", TEXT(TRIM(S988),"00000")="89122", TEXT(TRIM(S988),"00000")="89142", TEXT(TRIM(S988),"00000")="89156"), "East Valley",
  OR(TEXT(TRIM(S988),"00000")="89030", TEXT(TRIM(S988),"00000")="89031", TEXT(TRIM(S988),"00000")="89032", TEXT(TRIM(S988),"00000")="89086", TEXT(TRIM(S988),"00000")="89084", TEXT(TRIM(S988),"00000")="89081"), "North LV",
  OR(TEXT(TRIM(S988),"00000")="89109", TEXT(TRIM(S988),"00000")="89103", TEXT(TRIM(S988),"00000")="89119", TEXT(TRIM(S988),"00000")="89123", TEXT(TRIM(S988),"00000")="89169", TEXT(TRIM(S988),"00000")="89118"), "South/Strip",
  OR(TEXT(TRIM(S988),"00000")="89074", TEXT(TRIM(S988),"00000")="89014", TEXT(TRIM(S988),"00000")="89015", TEXT(TRIM(S988),"00000")="89011", TEXT(TRIM(S988),"00000")="89012"), "Suburban SE",
  OR(TEXT(TRIM(S988),"00000")="89117", TEXT(TRIM(S988),"00000")="89128", TEXT(TRIM(S988),"00000")="89135", TEXT(TRIM(S988),"00000")="89144", TEXT(TRIM(S988),"00000")="89145", TEXT(TRIM(S988),"00000")="89147"), "West Valley",
  TRUE, "Other"
)</f>
        <v>Urban Core</v>
      </c>
      <c r="U988" t="s">
        <v>228</v>
      </c>
      <c r="V988" t="str">
        <f t="shared" si="63"/>
        <v>Medical Facility</v>
      </c>
    </row>
    <row r="989" spans="1:22">
      <c r="A989" t="s">
        <v>2233</v>
      </c>
      <c r="B989" t="s">
        <v>2234</v>
      </c>
      <c r="C989" s="1">
        <v>44405</v>
      </c>
      <c r="D989" s="4">
        <v>102.92</v>
      </c>
      <c r="E989">
        <v>28</v>
      </c>
      <c r="F989" t="str">
        <f t="shared" si="60"/>
        <v>20's</v>
      </c>
      <c r="G989" t="str" cm="1">
        <f t="array" ref="G989">_xlfn.IFS(
  F989="10's", "Child (5–12)",
  OR(F989="20's", F989="30's"), "Young Adult (20–39)",
  OR(F989="40's", F989="50's"), "Adult (40–59)",
  OR(F989="60's", F989="70's", F989="80's", F989="90's"), "Senior (60+)",
  TRUE, "Unknown"
)</f>
        <v>Young Adult (20–39)</v>
      </c>
      <c r="H989" t="s">
        <v>841</v>
      </c>
      <c r="I989" t="s">
        <v>1028</v>
      </c>
      <c r="J989" t="str">
        <f t="shared" si="61"/>
        <v>Methamphetamine-related</v>
      </c>
      <c r="K989" t="s">
        <v>2235</v>
      </c>
      <c r="L989" t="s">
        <v>250</v>
      </c>
      <c r="M989" t="s">
        <v>4834</v>
      </c>
      <c r="N989" t="s">
        <v>5121</v>
      </c>
      <c r="O989" t="str" cm="1">
        <f t="array" ref="O989">_xlfn.IFS(
  TEXT(TRIM(N989),"00000")="NULL", "Missing/Unknown",
  OR(TEXT(TRIM(N989),"00000")="89101", TEXT(TRIM(N989),"00000")="89104", TEXT(TRIM(N989),"00000")="89106", TEXT(TRIM(N989),"00000")="89102", TEXT(TRIM(N989),"00000")="89107", TEXT(TRIM(N989),"00000")="89108"), "Urban Core",
  OR(TEXT(TRIM(N989),"00000")="89110", TEXT(TRIM(N989),"00000")="89115", TEXT(TRIM(N989),"00000")="89121", TEXT(TRIM(N989),"00000")="89122", TEXT(TRIM(N989),"00000")="89142", TEXT(TRIM(N989),"00000")="89156"), "East Valley",
  OR(TEXT(TRIM(N989),"00000")="89030", TEXT(TRIM(N989),"00000")="89031", TEXT(TRIM(N989),"00000")="89032", TEXT(TRIM(N989),"00000")="89086", TEXT(TRIM(N989),"00000")="89084", TEXT(TRIM(N989),"00000")="89081"), "North LV",
  OR(TEXT(TRIM(N989),"00000")="89109", TEXT(TRIM(N989),"00000")="89103", TEXT(TRIM(N989),"00000")="89119", TEXT(TRIM(N989),"00000")="89123", TEXT(TRIM(N989),"00000")="89169", TEXT(TRIM(N989),"00000")="89118"), "South/Strip",
  OR(TEXT(TRIM(N989),"00000")="89074", TEXT(TRIM(N989),"00000")="89014", TEXT(TRIM(N989),"00000")="89015", TEXT(TRIM(N989),"00000")="89011", TEXT(TRIM(N989),"00000")="89012"), "Suburban SE",
  OR(TEXT(TRIM(N989),"00000")="89117", TEXT(TRIM(N989),"00000")="89128", TEXT(TRIM(N989),"00000")="89135", TEXT(TRIM(N989),"00000")="89144", TEXT(TRIM(N989),"00000")="89145", TEXT(TRIM(N989),"00000")="89147"), "West Valley",
  TRUE, "Other"
)</f>
        <v>East Valley</v>
      </c>
      <c r="P989" t="s">
        <v>3298</v>
      </c>
      <c r="Q989" t="str">
        <f t="shared" si="62"/>
        <v>Outdoors/Public</v>
      </c>
      <c r="R989" t="s">
        <v>4834</v>
      </c>
      <c r="S989" t="s">
        <v>5121</v>
      </c>
      <c r="T989" t="str" cm="1">
        <f t="array" ref="T989">_xlfn.IFS(
  TEXT(TRIM(S989),"00000")="NULL", "Missing/Unknown",
  OR(TEXT(TRIM(S989),"00000")="89101", TEXT(TRIM(S989),"00000")="89104", TEXT(TRIM(S989),"00000")="89106", TEXT(TRIM(S989),"00000")="89102", TEXT(TRIM(S989),"00000")="89107", TEXT(TRIM(S989),"00000")="89108"), "Urban Core",
  OR(TEXT(TRIM(S989),"00000")="89110", TEXT(TRIM(S989),"00000")="89115", TEXT(TRIM(S989),"00000")="89121", TEXT(TRIM(S989),"00000")="89122", TEXT(TRIM(S989),"00000")="89142", TEXT(TRIM(S989),"00000")="89156"), "East Valley",
  OR(TEXT(TRIM(S989),"00000")="89030", TEXT(TRIM(S989),"00000")="89031", TEXT(TRIM(S989),"00000")="89032", TEXT(TRIM(S989),"00000")="89086", TEXT(TRIM(S989),"00000")="89084", TEXT(TRIM(S989),"00000")="89081"), "North LV",
  OR(TEXT(TRIM(S989),"00000")="89109", TEXT(TRIM(S989),"00000")="89103", TEXT(TRIM(S989),"00000")="89119", TEXT(TRIM(S989),"00000")="89123", TEXT(TRIM(S989),"00000")="89169", TEXT(TRIM(S989),"00000")="89118"), "South/Strip",
  OR(TEXT(TRIM(S989),"00000")="89074", TEXT(TRIM(S989),"00000")="89014", TEXT(TRIM(S989),"00000")="89015", TEXT(TRIM(S989),"00000")="89011", TEXT(TRIM(S989),"00000")="89012"), "Suburban SE",
  OR(TEXT(TRIM(S989),"00000")="89117", TEXT(TRIM(S989),"00000")="89128", TEXT(TRIM(S989),"00000")="89135", TEXT(TRIM(S989),"00000")="89144", TEXT(TRIM(S989),"00000")="89145", TEXT(TRIM(S989),"00000")="89147"), "West Valley",
  TRUE, "Other"
)</f>
        <v>East Valley</v>
      </c>
      <c r="U989" t="s">
        <v>3298</v>
      </c>
      <c r="V989" t="str">
        <f t="shared" si="63"/>
        <v>Outdoors/Public</v>
      </c>
    </row>
    <row r="990" spans="1:22">
      <c r="A990" t="s">
        <v>2230</v>
      </c>
      <c r="B990" t="s">
        <v>2231</v>
      </c>
      <c r="C990" s="1">
        <v>44402</v>
      </c>
      <c r="D990" s="4">
        <v>100.94</v>
      </c>
      <c r="E990">
        <v>69</v>
      </c>
      <c r="F990" t="str">
        <f t="shared" si="60"/>
        <v>60's</v>
      </c>
      <c r="G990" t="str" cm="1">
        <f t="array" ref="G990">_xlfn.IFS(
  F990="10's", "Child (5–12)",
  OR(F990="20's", F990="30's"), "Young Adult (20–39)",
  OR(F990="40's", F990="50's"), "Adult (40–59)",
  OR(F990="60's", F990="70's", F990="80's", F990="90's"), "Senior (60+)",
  TRUE, "Unknown"
)</f>
        <v>Senior (60+)</v>
      </c>
      <c r="H990" t="s">
        <v>841</v>
      </c>
      <c r="I990" t="s">
        <v>4124</v>
      </c>
      <c r="J990" t="str">
        <f t="shared" si="61"/>
        <v>Environmental Heat</v>
      </c>
      <c r="K990" t="s">
        <v>98</v>
      </c>
      <c r="L990" t="s">
        <v>250</v>
      </c>
      <c r="N990" t="s">
        <v>5095</v>
      </c>
      <c r="O990" t="str" cm="1">
        <f t="array" ref="O990">_xlfn.IFS(
  TEXT(TRIM(N990),"00000")="NULL", "Missing/Unknown",
  OR(TEXT(TRIM(N990),"00000")="89101", TEXT(TRIM(N990),"00000")="89104", TEXT(TRIM(N990),"00000")="89106", TEXT(TRIM(N990),"00000")="89102", TEXT(TRIM(N990),"00000")="89107", TEXT(TRIM(N990),"00000")="89108"), "Urban Core",
  OR(TEXT(TRIM(N990),"00000")="89110", TEXT(TRIM(N990),"00000")="89115", TEXT(TRIM(N990),"00000")="89121", TEXT(TRIM(N990),"00000")="89122", TEXT(TRIM(N990),"00000")="89142", TEXT(TRIM(N990),"00000")="89156"), "East Valley",
  OR(TEXT(TRIM(N990),"00000")="89030", TEXT(TRIM(N990),"00000")="89031", TEXT(TRIM(N990),"00000")="89032", TEXT(TRIM(N990),"00000")="89086", TEXT(TRIM(N990),"00000")="89084", TEXT(TRIM(N990),"00000")="89081"), "North LV",
  OR(TEXT(TRIM(N990),"00000")="89109", TEXT(TRIM(N990),"00000")="89103", TEXT(TRIM(N990),"00000")="89119", TEXT(TRIM(N990),"00000")="89123", TEXT(TRIM(N990),"00000")="89169", TEXT(TRIM(N990),"00000")="89118"), "South/Strip",
  OR(TEXT(TRIM(N990),"00000")="89074", TEXT(TRIM(N990),"00000")="89014", TEXT(TRIM(N990),"00000")="89015", TEXT(TRIM(N990),"00000")="89011", TEXT(TRIM(N990),"00000")="89012"), "Suburban SE",
  OR(TEXT(TRIM(N990),"00000")="89117", TEXT(TRIM(N990),"00000")="89128", TEXT(TRIM(N990),"00000")="89135", TEXT(TRIM(N990),"00000")="89144", TEXT(TRIM(N990),"00000")="89145", TEXT(TRIM(N990),"00000")="89147"), "West Valley",
  TRUE, "Other"
)</f>
        <v>Missing/Unknown</v>
      </c>
      <c r="P990" t="s">
        <v>38</v>
      </c>
      <c r="Q990" t="str">
        <f t="shared" si="62"/>
        <v>Home/Residence</v>
      </c>
      <c r="R990" t="s">
        <v>5055</v>
      </c>
      <c r="S990" t="s">
        <v>5119</v>
      </c>
      <c r="T990" t="str" cm="1">
        <f t="array" ref="T990">_xlfn.IFS(
  TEXT(TRIM(S990),"00000")="NULL", "Missing/Unknown",
  OR(TEXT(TRIM(S990),"00000")="89101", TEXT(TRIM(S990),"00000")="89104", TEXT(TRIM(S990),"00000")="89106", TEXT(TRIM(S990),"00000")="89102", TEXT(TRIM(S990),"00000")="89107", TEXT(TRIM(S990),"00000")="89108"), "Urban Core",
  OR(TEXT(TRIM(S990),"00000")="89110", TEXT(TRIM(S990),"00000")="89115", TEXT(TRIM(S990),"00000")="89121", TEXT(TRIM(S990),"00000")="89122", TEXT(TRIM(S990),"00000")="89142", TEXT(TRIM(S990),"00000")="89156"), "East Valley",
  OR(TEXT(TRIM(S990),"00000")="89030", TEXT(TRIM(S990),"00000")="89031", TEXT(TRIM(S990),"00000")="89032", TEXT(TRIM(S990),"00000")="89086", TEXT(TRIM(S990),"00000")="89084", TEXT(TRIM(S990),"00000")="89081"), "North LV",
  OR(TEXT(TRIM(S990),"00000")="89109", TEXT(TRIM(S990),"00000")="89103", TEXT(TRIM(S990),"00000")="89119", TEXT(TRIM(S990),"00000")="89123", TEXT(TRIM(S990),"00000")="89169", TEXT(TRIM(S990),"00000")="89118"), "South/Strip",
  OR(TEXT(TRIM(S990),"00000")="89074", TEXT(TRIM(S990),"00000")="89014", TEXT(TRIM(S990),"00000")="89015", TEXT(TRIM(S990),"00000")="89011", TEXT(TRIM(S990),"00000")="89012"), "Suburban SE",
  OR(TEXT(TRIM(S990),"00000")="89117", TEXT(TRIM(S990),"00000")="89128", TEXT(TRIM(S990),"00000")="89135", TEXT(TRIM(S990),"00000")="89144", TEXT(TRIM(S990),"00000")="89145", TEXT(TRIM(S990),"00000")="89147"), "West Valley",
  TRUE, "Other"
)</f>
        <v>Urban Core</v>
      </c>
      <c r="U990" t="s">
        <v>228</v>
      </c>
      <c r="V990" t="str">
        <f t="shared" si="63"/>
        <v>Medical Facility</v>
      </c>
    </row>
    <row r="991" spans="1:22">
      <c r="A991" t="s">
        <v>2228</v>
      </c>
      <c r="B991" t="s">
        <v>2229</v>
      </c>
      <c r="C991" s="1">
        <v>44401</v>
      </c>
      <c r="D991" s="4">
        <v>100.94</v>
      </c>
      <c r="E991">
        <v>61</v>
      </c>
      <c r="F991" t="str">
        <f t="shared" si="60"/>
        <v>60's</v>
      </c>
      <c r="G991" t="str" cm="1">
        <f t="array" ref="G991">_xlfn.IFS(
  F991="10's", "Child (5–12)",
  OR(F991="20's", F991="30's"), "Young Adult (20–39)",
  OR(F991="40's", F991="50's"), "Adult (40–59)",
  OR(F991="60's", F991="70's", F991="80's", F991="90's"), "Senior (60+)",
  TRUE, "Unknown"
)</f>
        <v>Senior (60+)</v>
      </c>
      <c r="H991" t="s">
        <v>841</v>
      </c>
      <c r="I991" t="s">
        <v>54</v>
      </c>
      <c r="J991" t="str">
        <f t="shared" si="61"/>
        <v>Environmental Heat</v>
      </c>
      <c r="K991" t="s">
        <v>172</v>
      </c>
      <c r="L991" t="s">
        <v>250</v>
      </c>
      <c r="N991" t="s">
        <v>5095</v>
      </c>
      <c r="O991" t="str" cm="1">
        <f t="array" ref="O991">_xlfn.IFS(
  TEXT(TRIM(N991),"00000")="NULL", "Missing/Unknown",
  OR(TEXT(TRIM(N991),"00000")="89101", TEXT(TRIM(N991),"00000")="89104", TEXT(TRIM(N991),"00000")="89106", TEXT(TRIM(N991),"00000")="89102", TEXT(TRIM(N991),"00000")="89107", TEXT(TRIM(N991),"00000")="89108"), "Urban Core",
  OR(TEXT(TRIM(N991),"00000")="89110", TEXT(TRIM(N991),"00000")="89115", TEXT(TRIM(N991),"00000")="89121", TEXT(TRIM(N991),"00000")="89122", TEXT(TRIM(N991),"00000")="89142", TEXT(TRIM(N991),"00000")="89156"), "East Valley",
  OR(TEXT(TRIM(N991),"00000")="89030", TEXT(TRIM(N991),"00000")="89031", TEXT(TRIM(N991),"00000")="89032", TEXT(TRIM(N991),"00000")="89086", TEXT(TRIM(N991),"00000")="89084", TEXT(TRIM(N991),"00000")="89081"), "North LV",
  OR(TEXT(TRIM(N991),"00000")="89109", TEXT(TRIM(N991),"00000")="89103", TEXT(TRIM(N991),"00000")="89119", TEXT(TRIM(N991),"00000")="89123", TEXT(TRIM(N991),"00000")="89169", TEXT(TRIM(N991),"00000")="89118"), "South/Strip",
  OR(TEXT(TRIM(N991),"00000")="89074", TEXT(TRIM(N991),"00000")="89014", TEXT(TRIM(N991),"00000")="89015", TEXT(TRIM(N991),"00000")="89011", TEXT(TRIM(N991),"00000")="89012"), "Suburban SE",
  OR(TEXT(TRIM(N991),"00000")="89117", TEXT(TRIM(N991),"00000")="89128", TEXT(TRIM(N991),"00000")="89135", TEXT(TRIM(N991),"00000")="89144", TEXT(TRIM(N991),"00000")="89145", TEXT(TRIM(N991),"00000")="89147"), "West Valley",
  TRUE, "Other"
)</f>
        <v>Missing/Unknown</v>
      </c>
      <c r="P991" t="s">
        <v>3298</v>
      </c>
      <c r="Q991" t="str">
        <f t="shared" si="62"/>
        <v>Outdoors/Public</v>
      </c>
      <c r="S991" t="s">
        <v>5095</v>
      </c>
      <c r="T991" t="str" cm="1">
        <f t="array" ref="T991">_xlfn.IFS(
  TEXT(TRIM(S991),"00000")="NULL", "Missing/Unknown",
  OR(TEXT(TRIM(S991),"00000")="89101", TEXT(TRIM(S991),"00000")="89104", TEXT(TRIM(S991),"00000")="89106", TEXT(TRIM(S991),"00000")="89102", TEXT(TRIM(S991),"00000")="89107", TEXT(TRIM(S991),"00000")="89108"), "Urban Core",
  OR(TEXT(TRIM(S991),"00000")="89110", TEXT(TRIM(S991),"00000")="89115", TEXT(TRIM(S991),"00000")="89121", TEXT(TRIM(S991),"00000")="89122", TEXT(TRIM(S991),"00000")="89142", TEXT(TRIM(S991),"00000")="89156"), "East Valley",
  OR(TEXT(TRIM(S991),"00000")="89030", TEXT(TRIM(S991),"00000")="89031", TEXT(TRIM(S991),"00000")="89032", TEXT(TRIM(S991),"00000")="89086", TEXT(TRIM(S991),"00000")="89084", TEXT(TRIM(S991),"00000")="89081"), "North LV",
  OR(TEXT(TRIM(S991),"00000")="89109", TEXT(TRIM(S991),"00000")="89103", TEXT(TRIM(S991),"00000")="89119", TEXT(TRIM(S991),"00000")="89123", TEXT(TRIM(S991),"00000")="89169", TEXT(TRIM(S991),"00000")="89118"), "South/Strip",
  OR(TEXT(TRIM(S991),"00000")="89074", TEXT(TRIM(S991),"00000")="89014", TEXT(TRIM(S991),"00000")="89015", TEXT(TRIM(S991),"00000")="89011", TEXT(TRIM(S991),"00000")="89012"), "Suburban SE",
  OR(TEXT(TRIM(S991),"00000")="89117", TEXT(TRIM(S991),"00000")="89128", TEXT(TRIM(S991),"00000")="89135", TEXT(TRIM(S991),"00000")="89144", TEXT(TRIM(S991),"00000")="89145", TEXT(TRIM(S991),"00000")="89147"), "West Valley",
  TRUE, "Other"
)</f>
        <v>Missing/Unknown</v>
      </c>
      <c r="U991" t="s">
        <v>3298</v>
      </c>
      <c r="V991" t="str">
        <f t="shared" si="63"/>
        <v>Outdoors/Public</v>
      </c>
    </row>
    <row r="992" spans="1:22">
      <c r="A992" t="s">
        <v>2223</v>
      </c>
      <c r="B992" t="s">
        <v>2224</v>
      </c>
      <c r="C992" s="1">
        <v>44400</v>
      </c>
      <c r="D992" s="4">
        <v>105.98</v>
      </c>
      <c r="E992">
        <v>54</v>
      </c>
      <c r="F992" t="str">
        <f t="shared" si="60"/>
        <v>50's</v>
      </c>
      <c r="G992" t="str" cm="1">
        <f t="array" ref="G992">_xlfn.IFS(
  F992="10's", "Child (5–12)",
  OR(F992="20's", F992="30's"), "Young Adult (20–39)",
  OR(F992="40's", F992="50's"), "Adult (40–59)",
  OR(F992="60's", F992="70's", F992="80's", F992="90's"), "Senior (60+)",
  TRUE, "Unknown"
)</f>
        <v>Adult (40–59)</v>
      </c>
      <c r="H992" t="s">
        <v>778</v>
      </c>
      <c r="I992" t="s">
        <v>660</v>
      </c>
      <c r="J992" t="str">
        <f t="shared" si="61"/>
        <v>Environmental Heat</v>
      </c>
      <c r="K992" t="s">
        <v>98</v>
      </c>
      <c r="L992" t="s">
        <v>250</v>
      </c>
      <c r="N992" t="s">
        <v>5095</v>
      </c>
      <c r="O992" t="str" cm="1">
        <f t="array" ref="O992">_xlfn.IFS(
  TEXT(TRIM(N992),"00000")="NULL", "Missing/Unknown",
  OR(TEXT(TRIM(N992),"00000")="89101", TEXT(TRIM(N992),"00000")="89104", TEXT(TRIM(N992),"00000")="89106", TEXT(TRIM(N992),"00000")="89102", TEXT(TRIM(N992),"00000")="89107", TEXT(TRIM(N992),"00000")="89108"), "Urban Core",
  OR(TEXT(TRIM(N992),"00000")="89110", TEXT(TRIM(N992),"00000")="89115", TEXT(TRIM(N992),"00000")="89121", TEXT(TRIM(N992),"00000")="89122", TEXT(TRIM(N992),"00000")="89142", TEXT(TRIM(N992),"00000")="89156"), "East Valley",
  OR(TEXT(TRIM(N992),"00000")="89030", TEXT(TRIM(N992),"00000")="89031", TEXT(TRIM(N992),"00000")="89032", TEXT(TRIM(N992),"00000")="89086", TEXT(TRIM(N992),"00000")="89084", TEXT(TRIM(N992),"00000")="89081"), "North LV",
  OR(TEXT(TRIM(N992),"00000")="89109", TEXT(TRIM(N992),"00000")="89103", TEXT(TRIM(N992),"00000")="89119", TEXT(TRIM(N992),"00000")="89123", TEXT(TRIM(N992),"00000")="89169", TEXT(TRIM(N992),"00000")="89118"), "South/Strip",
  OR(TEXT(TRIM(N992),"00000")="89074", TEXT(TRIM(N992),"00000")="89014", TEXT(TRIM(N992),"00000")="89015", TEXT(TRIM(N992),"00000")="89011", TEXT(TRIM(N992),"00000")="89012"), "Suburban SE",
  OR(TEXT(TRIM(N992),"00000")="89117", TEXT(TRIM(N992),"00000")="89128", TEXT(TRIM(N992),"00000")="89135", TEXT(TRIM(N992),"00000")="89144", TEXT(TRIM(N992),"00000")="89145", TEXT(TRIM(N992),"00000")="89147"), "West Valley",
  TRUE, "Other"
)</f>
        <v>Missing/Unknown</v>
      </c>
      <c r="P992" t="s">
        <v>3298</v>
      </c>
      <c r="Q992" t="str">
        <f t="shared" si="62"/>
        <v>Outdoors/Public</v>
      </c>
      <c r="R992" t="s">
        <v>4341</v>
      </c>
      <c r="S992" t="s">
        <v>5100</v>
      </c>
      <c r="T992" t="str" cm="1">
        <f t="array" ref="T992">_xlfn.IFS(
  TEXT(TRIM(S992),"00000")="NULL", "Missing/Unknown",
  OR(TEXT(TRIM(S992),"00000")="89101", TEXT(TRIM(S992),"00000")="89104", TEXT(TRIM(S992),"00000")="89106", TEXT(TRIM(S992),"00000")="89102", TEXT(TRIM(S992),"00000")="89107", TEXT(TRIM(S992),"00000")="89108"), "Urban Core",
  OR(TEXT(TRIM(S992),"00000")="89110", TEXT(TRIM(S992),"00000")="89115", TEXT(TRIM(S992),"00000")="89121", TEXT(TRIM(S992),"00000")="89122", TEXT(TRIM(S992),"00000")="89142", TEXT(TRIM(S992),"00000")="89156"), "East Valley",
  OR(TEXT(TRIM(S992),"00000")="89030", TEXT(TRIM(S992),"00000")="89031", TEXT(TRIM(S992),"00000")="89032", TEXT(TRIM(S992),"00000")="89086", TEXT(TRIM(S992),"00000")="89084", TEXT(TRIM(S992),"00000")="89081"), "North LV",
  OR(TEXT(TRIM(S992),"00000")="89109", TEXT(TRIM(S992),"00000")="89103", TEXT(TRIM(S992),"00000")="89119", TEXT(TRIM(S992),"00000")="89123", TEXT(TRIM(S992),"00000")="89169", TEXT(TRIM(S992),"00000")="89118"), "South/Strip",
  OR(TEXT(TRIM(S992),"00000")="89074", TEXT(TRIM(S992),"00000")="89014", TEXT(TRIM(S992),"00000")="89015", TEXT(TRIM(S992),"00000")="89011", TEXT(TRIM(S992),"00000")="89012"), "Suburban SE",
  OR(TEXT(TRIM(S992),"00000")="89117", TEXT(TRIM(S992),"00000")="89128", TEXT(TRIM(S992),"00000")="89135", TEXT(TRIM(S992),"00000")="89144", TEXT(TRIM(S992),"00000")="89145", TEXT(TRIM(S992),"00000")="89147"), "West Valley",
  TRUE, "Other"
)</f>
        <v>North LV</v>
      </c>
      <c r="U992" t="s">
        <v>4301</v>
      </c>
      <c r="V992" t="str">
        <f t="shared" si="63"/>
        <v>Medical Facility</v>
      </c>
    </row>
    <row r="993" spans="1:22">
      <c r="A993" t="s">
        <v>2225</v>
      </c>
      <c r="B993" t="s">
        <v>2226</v>
      </c>
      <c r="C993" s="1">
        <v>44400</v>
      </c>
      <c r="D993" s="4">
        <v>105.98</v>
      </c>
      <c r="E993">
        <v>68</v>
      </c>
      <c r="F993" t="str">
        <f t="shared" si="60"/>
        <v>60's</v>
      </c>
      <c r="G993" t="str" cm="1">
        <f t="array" ref="G993">_xlfn.IFS(
  F993="10's", "Child (5–12)",
  OR(F993="20's", F993="30's"), "Young Adult (20–39)",
  OR(F993="40's", F993="50's"), "Adult (40–59)",
  OR(F993="60's", F993="70's", F993="80's", F993="90's"), "Senior (60+)",
  TRUE, "Unknown"
)</f>
        <v>Senior (60+)</v>
      </c>
      <c r="H993" t="s">
        <v>4309</v>
      </c>
      <c r="I993" t="s">
        <v>54</v>
      </c>
      <c r="J993" t="str">
        <f t="shared" si="61"/>
        <v>Environmental Heat</v>
      </c>
      <c r="K993" t="s">
        <v>172</v>
      </c>
      <c r="L993" t="s">
        <v>1071</v>
      </c>
      <c r="M993" t="s">
        <v>4438</v>
      </c>
      <c r="N993" t="s">
        <v>5097</v>
      </c>
      <c r="O993" t="str" cm="1">
        <f t="array" ref="O993">_xlfn.IFS(
  TEXT(TRIM(N993),"00000")="NULL", "Missing/Unknown",
  OR(TEXT(TRIM(N993),"00000")="89101", TEXT(TRIM(N993),"00000")="89104", TEXT(TRIM(N993),"00000")="89106", TEXT(TRIM(N993),"00000")="89102", TEXT(TRIM(N993),"00000")="89107", TEXT(TRIM(N993),"00000")="89108"), "Urban Core",
  OR(TEXT(TRIM(N993),"00000")="89110", TEXT(TRIM(N993),"00000")="89115", TEXT(TRIM(N993),"00000")="89121", TEXT(TRIM(N993),"00000")="89122", TEXT(TRIM(N993),"00000")="89142", TEXT(TRIM(N993),"00000")="89156"), "East Valley",
  OR(TEXT(TRIM(N993),"00000")="89030", TEXT(TRIM(N993),"00000")="89031", TEXT(TRIM(N993),"00000")="89032", TEXT(TRIM(N993),"00000")="89086", TEXT(TRIM(N993),"00000")="89084", TEXT(TRIM(N993),"00000")="89081"), "North LV",
  OR(TEXT(TRIM(N993),"00000")="89109", TEXT(TRIM(N993),"00000")="89103", TEXT(TRIM(N993),"00000")="89119", TEXT(TRIM(N993),"00000")="89123", TEXT(TRIM(N993),"00000")="89169", TEXT(TRIM(N993),"00000")="89118"), "South/Strip",
  OR(TEXT(TRIM(N993),"00000")="89074", TEXT(TRIM(N993),"00000")="89014", TEXT(TRIM(N993),"00000")="89015", TEXT(TRIM(N993),"00000")="89011", TEXT(TRIM(N993),"00000")="89012"), "Suburban SE",
  OR(TEXT(TRIM(N993),"00000")="89117", TEXT(TRIM(N993),"00000")="89128", TEXT(TRIM(N993),"00000")="89135", TEXT(TRIM(N993),"00000")="89144", TEXT(TRIM(N993),"00000")="89145", TEXT(TRIM(N993),"00000")="89147"), "West Valley",
  TRUE, "Other"
)</f>
        <v>Urban Core</v>
      </c>
      <c r="P993" t="s">
        <v>38</v>
      </c>
      <c r="Q993" t="str">
        <f t="shared" si="62"/>
        <v>Home/Residence</v>
      </c>
      <c r="R993" t="s">
        <v>4438</v>
      </c>
      <c r="S993" t="s">
        <v>5097</v>
      </c>
      <c r="T993" t="str" cm="1">
        <f t="array" ref="T993">_xlfn.IFS(
  TEXT(TRIM(S993),"00000")="NULL", "Missing/Unknown",
  OR(TEXT(TRIM(S993),"00000")="89101", TEXT(TRIM(S993),"00000")="89104", TEXT(TRIM(S993),"00000")="89106", TEXT(TRIM(S993),"00000")="89102", TEXT(TRIM(S993),"00000")="89107", TEXT(TRIM(S993),"00000")="89108"), "Urban Core",
  OR(TEXT(TRIM(S993),"00000")="89110", TEXT(TRIM(S993),"00000")="89115", TEXT(TRIM(S993),"00000")="89121", TEXT(TRIM(S993),"00000")="89122", TEXT(TRIM(S993),"00000")="89142", TEXT(TRIM(S993),"00000")="89156"), "East Valley",
  OR(TEXT(TRIM(S993),"00000")="89030", TEXT(TRIM(S993),"00000")="89031", TEXT(TRIM(S993),"00000")="89032", TEXT(TRIM(S993),"00000")="89086", TEXT(TRIM(S993),"00000")="89084", TEXT(TRIM(S993),"00000")="89081"), "North LV",
  OR(TEXT(TRIM(S993),"00000")="89109", TEXT(TRIM(S993),"00000")="89103", TEXT(TRIM(S993),"00000")="89119", TEXT(TRIM(S993),"00000")="89123", TEXT(TRIM(S993),"00000")="89169", TEXT(TRIM(S993),"00000")="89118"), "South/Strip",
  OR(TEXT(TRIM(S993),"00000")="89074", TEXT(TRIM(S993),"00000")="89014", TEXT(TRIM(S993),"00000")="89015", TEXT(TRIM(S993),"00000")="89011", TEXT(TRIM(S993),"00000")="89012"), "Suburban SE",
  OR(TEXT(TRIM(S993),"00000")="89117", TEXT(TRIM(S993),"00000")="89128", TEXT(TRIM(S993),"00000")="89135", TEXT(TRIM(S993),"00000")="89144", TEXT(TRIM(S993),"00000")="89145", TEXT(TRIM(S993),"00000")="89147"), "West Valley",
  TRUE, "Other"
)</f>
        <v>Urban Core</v>
      </c>
      <c r="U993" t="s">
        <v>38</v>
      </c>
      <c r="V993" t="str">
        <f t="shared" si="63"/>
        <v>Home/Residence</v>
      </c>
    </row>
    <row r="994" spans="1:22">
      <c r="A994" t="s">
        <v>2220</v>
      </c>
      <c r="B994" t="s">
        <v>2221</v>
      </c>
      <c r="C994" s="1">
        <v>44400</v>
      </c>
      <c r="D994" s="4">
        <v>105.98</v>
      </c>
      <c r="E994">
        <v>47</v>
      </c>
      <c r="F994" t="str">
        <f t="shared" si="60"/>
        <v>40's</v>
      </c>
      <c r="G994" t="str" cm="1">
        <f t="array" ref="G994">_xlfn.IFS(
  F994="10's", "Child (5–12)",
  OR(F994="20's", F994="30's"), "Young Adult (20–39)",
  OR(F994="40's", F994="50's"), "Adult (40–59)",
  OR(F994="60's", F994="70's", F994="80's", F994="90's"), "Senior (60+)",
  TRUE, "Unknown"
)</f>
        <v>Adult (40–59)</v>
      </c>
      <c r="H994" t="s">
        <v>778</v>
      </c>
      <c r="I994" t="s">
        <v>34</v>
      </c>
      <c r="J994" t="str">
        <f t="shared" si="61"/>
        <v>Methamphetamine-related</v>
      </c>
      <c r="K994" t="s">
        <v>4173</v>
      </c>
      <c r="L994" t="s">
        <v>1071</v>
      </c>
      <c r="M994" t="s">
        <v>4464</v>
      </c>
      <c r="N994" t="s">
        <v>5100</v>
      </c>
      <c r="O994" t="str" cm="1">
        <f t="array" ref="O994">_xlfn.IFS(
  TEXT(TRIM(N994),"00000")="NULL", "Missing/Unknown",
  OR(TEXT(TRIM(N994),"00000")="89101", TEXT(TRIM(N994),"00000")="89104", TEXT(TRIM(N994),"00000")="89106", TEXT(TRIM(N994),"00000")="89102", TEXT(TRIM(N994),"00000")="89107", TEXT(TRIM(N994),"00000")="89108"), "Urban Core",
  OR(TEXT(TRIM(N994),"00000")="89110", TEXT(TRIM(N994),"00000")="89115", TEXT(TRIM(N994),"00000")="89121", TEXT(TRIM(N994),"00000")="89122", TEXT(TRIM(N994),"00000")="89142", TEXT(TRIM(N994),"00000")="89156"), "East Valley",
  OR(TEXT(TRIM(N994),"00000")="89030", TEXT(TRIM(N994),"00000")="89031", TEXT(TRIM(N994),"00000")="89032", TEXT(TRIM(N994),"00000")="89086", TEXT(TRIM(N994),"00000")="89084", TEXT(TRIM(N994),"00000")="89081"), "North LV",
  OR(TEXT(TRIM(N994),"00000")="89109", TEXT(TRIM(N994),"00000")="89103", TEXT(TRIM(N994),"00000")="89119", TEXT(TRIM(N994),"00000")="89123", TEXT(TRIM(N994),"00000")="89169", TEXT(TRIM(N994),"00000")="89118"), "South/Strip",
  OR(TEXT(TRIM(N994),"00000")="89074", TEXT(TRIM(N994),"00000")="89014", TEXT(TRIM(N994),"00000")="89015", TEXT(TRIM(N994),"00000")="89011", TEXT(TRIM(N994),"00000")="89012"), "Suburban SE",
  OR(TEXT(TRIM(N994),"00000")="89117", TEXT(TRIM(N994),"00000")="89128", TEXT(TRIM(N994),"00000")="89135", TEXT(TRIM(N994),"00000")="89144", TEXT(TRIM(N994),"00000")="89145", TEXT(TRIM(N994),"00000")="89147"), "West Valley",
  TRUE, "Other"
)</f>
        <v>North LV</v>
      </c>
      <c r="P994" t="s">
        <v>38</v>
      </c>
      <c r="Q994" t="str">
        <f t="shared" si="62"/>
        <v>Home/Residence</v>
      </c>
      <c r="R994" t="s">
        <v>4464</v>
      </c>
      <c r="S994" t="s">
        <v>5100</v>
      </c>
      <c r="T994" t="str" cm="1">
        <f t="array" ref="T994">_xlfn.IFS(
  TEXT(TRIM(S994),"00000")="NULL", "Missing/Unknown",
  OR(TEXT(TRIM(S994),"00000")="89101", TEXT(TRIM(S994),"00000")="89104", TEXT(TRIM(S994),"00000")="89106", TEXT(TRIM(S994),"00000")="89102", TEXT(TRIM(S994),"00000")="89107", TEXT(TRIM(S994),"00000")="89108"), "Urban Core",
  OR(TEXT(TRIM(S994),"00000")="89110", TEXT(TRIM(S994),"00000")="89115", TEXT(TRIM(S994),"00000")="89121", TEXT(TRIM(S994),"00000")="89122", TEXT(TRIM(S994),"00000")="89142", TEXT(TRIM(S994),"00000")="89156"), "East Valley",
  OR(TEXT(TRIM(S994),"00000")="89030", TEXT(TRIM(S994),"00000")="89031", TEXT(TRIM(S994),"00000")="89032", TEXT(TRIM(S994),"00000")="89086", TEXT(TRIM(S994),"00000")="89084", TEXT(TRIM(S994),"00000")="89081"), "North LV",
  OR(TEXT(TRIM(S994),"00000")="89109", TEXT(TRIM(S994),"00000")="89103", TEXT(TRIM(S994),"00000")="89119", TEXT(TRIM(S994),"00000")="89123", TEXT(TRIM(S994),"00000")="89169", TEXT(TRIM(S994),"00000")="89118"), "South/Strip",
  OR(TEXT(TRIM(S994),"00000")="89074", TEXT(TRIM(S994),"00000")="89014", TEXT(TRIM(S994),"00000")="89015", TEXT(TRIM(S994),"00000")="89011", TEXT(TRIM(S994),"00000")="89012"), "Suburban SE",
  OR(TEXT(TRIM(S994),"00000")="89117", TEXT(TRIM(S994),"00000")="89128", TEXT(TRIM(S994),"00000")="89135", TEXT(TRIM(S994),"00000")="89144", TEXT(TRIM(S994),"00000")="89145", TEXT(TRIM(S994),"00000")="89147"), "West Valley",
  TRUE, "Other"
)</f>
        <v>North LV</v>
      </c>
      <c r="U994" t="s">
        <v>38</v>
      </c>
      <c r="V994" t="str">
        <f t="shared" si="63"/>
        <v>Home/Residence</v>
      </c>
    </row>
    <row r="995" spans="1:22">
      <c r="A995" t="s">
        <v>2217</v>
      </c>
      <c r="B995" t="s">
        <v>2218</v>
      </c>
      <c r="C995" s="1">
        <v>44400</v>
      </c>
      <c r="D995" s="4">
        <v>105.98</v>
      </c>
      <c r="E995">
        <v>63</v>
      </c>
      <c r="F995" t="str">
        <f t="shared" si="60"/>
        <v>60's</v>
      </c>
      <c r="G995" t="str" cm="1">
        <f t="array" ref="G995">_xlfn.IFS(
  F995="10's", "Child (5–12)",
  OR(F995="20's", F995="30's"), "Young Adult (20–39)",
  OR(F995="40's", F995="50's"), "Adult (40–59)",
  OR(F995="60's", F995="70's", F995="80's", F995="90's"), "Senior (60+)",
  TRUE, "Unknown"
)</f>
        <v>Senior (60+)</v>
      </c>
      <c r="H995" t="s">
        <v>841</v>
      </c>
      <c r="I995" t="s">
        <v>54</v>
      </c>
      <c r="J995" t="str">
        <f t="shared" si="61"/>
        <v>Environmental Heat</v>
      </c>
      <c r="K995" t="s">
        <v>199</v>
      </c>
      <c r="L995" t="s">
        <v>250</v>
      </c>
      <c r="M995" t="s">
        <v>4835</v>
      </c>
      <c r="N995" t="s">
        <v>5142</v>
      </c>
      <c r="O995" t="str" cm="1">
        <f t="array" ref="O995">_xlfn.IFS(
  TEXT(TRIM(N995),"00000")="NULL", "Missing/Unknown",
  OR(TEXT(TRIM(N995),"00000")="89101", TEXT(TRIM(N995),"00000")="89104", TEXT(TRIM(N995),"00000")="89106", TEXT(TRIM(N995),"00000")="89102", TEXT(TRIM(N995),"00000")="89107", TEXT(TRIM(N995),"00000")="89108"), "Urban Core",
  OR(TEXT(TRIM(N995),"00000")="89110", TEXT(TRIM(N995),"00000")="89115", TEXT(TRIM(N995),"00000")="89121", TEXT(TRIM(N995),"00000")="89122", TEXT(TRIM(N995),"00000")="89142", TEXT(TRIM(N995),"00000")="89156"), "East Valley",
  OR(TEXT(TRIM(N995),"00000")="89030", TEXT(TRIM(N995),"00000")="89031", TEXT(TRIM(N995),"00000")="89032", TEXT(TRIM(N995),"00000")="89086", TEXT(TRIM(N995),"00000")="89084", TEXT(TRIM(N995),"00000")="89081"), "North LV",
  OR(TEXT(TRIM(N995),"00000")="89109", TEXT(TRIM(N995),"00000")="89103", TEXT(TRIM(N995),"00000")="89119", TEXT(TRIM(N995),"00000")="89123", TEXT(TRIM(N995),"00000")="89169", TEXT(TRIM(N995),"00000")="89118"), "South/Strip",
  OR(TEXT(TRIM(N995),"00000")="89074", TEXT(TRIM(N995),"00000")="89014", TEXT(TRIM(N995),"00000")="89015", TEXT(TRIM(N995),"00000")="89011", TEXT(TRIM(N995),"00000")="89012"), "Suburban SE",
  OR(TEXT(TRIM(N995),"00000")="89117", TEXT(TRIM(N995),"00000")="89128", TEXT(TRIM(N995),"00000")="89135", TEXT(TRIM(N995),"00000")="89144", TEXT(TRIM(N995),"00000")="89145", TEXT(TRIM(N995),"00000")="89147"), "West Valley",
  TRUE, "Other"
)</f>
        <v>Suburban SE</v>
      </c>
      <c r="P995" t="s">
        <v>3298</v>
      </c>
      <c r="Q995" t="str">
        <f t="shared" si="62"/>
        <v>Outdoors/Public</v>
      </c>
      <c r="R995" t="s">
        <v>4835</v>
      </c>
      <c r="S995" t="s">
        <v>5142</v>
      </c>
      <c r="T995" t="str" cm="1">
        <f t="array" ref="T995">_xlfn.IFS(
  TEXT(TRIM(S995),"00000")="NULL", "Missing/Unknown",
  OR(TEXT(TRIM(S995),"00000")="89101", TEXT(TRIM(S995),"00000")="89104", TEXT(TRIM(S995),"00000")="89106", TEXT(TRIM(S995),"00000")="89102", TEXT(TRIM(S995),"00000")="89107", TEXT(TRIM(S995),"00000")="89108"), "Urban Core",
  OR(TEXT(TRIM(S995),"00000")="89110", TEXT(TRIM(S995),"00000")="89115", TEXT(TRIM(S995),"00000")="89121", TEXT(TRIM(S995),"00000")="89122", TEXT(TRIM(S995),"00000")="89142", TEXT(TRIM(S995),"00000")="89156"), "East Valley",
  OR(TEXT(TRIM(S995),"00000")="89030", TEXT(TRIM(S995),"00000")="89031", TEXT(TRIM(S995),"00000")="89032", TEXT(TRIM(S995),"00000")="89086", TEXT(TRIM(S995),"00000")="89084", TEXT(TRIM(S995),"00000")="89081"), "North LV",
  OR(TEXT(TRIM(S995),"00000")="89109", TEXT(TRIM(S995),"00000")="89103", TEXT(TRIM(S995),"00000")="89119", TEXT(TRIM(S995),"00000")="89123", TEXT(TRIM(S995),"00000")="89169", TEXT(TRIM(S995),"00000")="89118"), "South/Strip",
  OR(TEXT(TRIM(S995),"00000")="89074", TEXT(TRIM(S995),"00000")="89014", TEXT(TRIM(S995),"00000")="89015", TEXT(TRIM(S995),"00000")="89011", TEXT(TRIM(S995),"00000")="89012"), "Suburban SE",
  OR(TEXT(TRIM(S995),"00000")="89117", TEXT(TRIM(S995),"00000")="89128", TEXT(TRIM(S995),"00000")="89135", TEXT(TRIM(S995),"00000")="89144", TEXT(TRIM(S995),"00000")="89145", TEXT(TRIM(S995),"00000")="89147"), "West Valley",
  TRUE, "Other"
)</f>
        <v>Suburban SE</v>
      </c>
      <c r="U995" t="s">
        <v>3298</v>
      </c>
      <c r="V995" t="str">
        <f t="shared" si="63"/>
        <v>Outdoors/Public</v>
      </c>
    </row>
    <row r="996" spans="1:22">
      <c r="A996" t="s">
        <v>2254</v>
      </c>
      <c r="B996" t="s">
        <v>2255</v>
      </c>
      <c r="C996" s="1">
        <v>44400</v>
      </c>
      <c r="D996" s="4">
        <v>105.98</v>
      </c>
      <c r="E996">
        <v>60</v>
      </c>
      <c r="F996" t="str">
        <f t="shared" si="60"/>
        <v>60's</v>
      </c>
      <c r="G996" t="str" cm="1">
        <f t="array" ref="G996">_xlfn.IFS(
  F996="10's", "Child (5–12)",
  OR(F996="20's", F996="30's"), "Young Adult (20–39)",
  OR(F996="40's", F996="50's"), "Adult (40–59)",
  OR(F996="60's", F996="70's", F996="80's", F996="90's"), "Senior (60+)",
  TRUE, "Unknown"
)</f>
        <v>Senior (60+)</v>
      </c>
      <c r="H996" t="s">
        <v>841</v>
      </c>
      <c r="I996" t="s">
        <v>54</v>
      </c>
      <c r="J996" t="str">
        <f t="shared" si="61"/>
        <v>Environmental Heat</v>
      </c>
      <c r="K996" t="s">
        <v>172</v>
      </c>
      <c r="L996" t="s">
        <v>3945</v>
      </c>
      <c r="N996" t="s">
        <v>5095</v>
      </c>
      <c r="O996" t="str" cm="1">
        <f t="array" ref="O996">_xlfn.IFS(
  TEXT(TRIM(N996),"00000")="NULL", "Missing/Unknown",
  OR(TEXT(TRIM(N996),"00000")="89101", TEXT(TRIM(N996),"00000")="89104", TEXT(TRIM(N996),"00000")="89106", TEXT(TRIM(N996),"00000")="89102", TEXT(TRIM(N996),"00000")="89107", TEXT(TRIM(N996),"00000")="89108"), "Urban Core",
  OR(TEXT(TRIM(N996),"00000")="89110", TEXT(TRIM(N996),"00000")="89115", TEXT(TRIM(N996),"00000")="89121", TEXT(TRIM(N996),"00000")="89122", TEXT(TRIM(N996),"00000")="89142", TEXT(TRIM(N996),"00000")="89156"), "East Valley",
  OR(TEXT(TRIM(N996),"00000")="89030", TEXT(TRIM(N996),"00000")="89031", TEXT(TRIM(N996),"00000")="89032", TEXT(TRIM(N996),"00000")="89086", TEXT(TRIM(N996),"00000")="89084", TEXT(TRIM(N996),"00000")="89081"), "North LV",
  OR(TEXT(TRIM(N996),"00000")="89109", TEXT(TRIM(N996),"00000")="89103", TEXT(TRIM(N996),"00000")="89119", TEXT(TRIM(N996),"00000")="89123", TEXT(TRIM(N996),"00000")="89169", TEXT(TRIM(N996),"00000")="89118"), "South/Strip",
  OR(TEXT(TRIM(N996),"00000")="89074", TEXT(TRIM(N996),"00000")="89014", TEXT(TRIM(N996),"00000")="89015", TEXT(TRIM(N996),"00000")="89011", TEXT(TRIM(N996),"00000")="89012"), "Suburban SE",
  OR(TEXT(TRIM(N996),"00000")="89117", TEXT(TRIM(N996),"00000")="89128", TEXT(TRIM(N996),"00000")="89135", TEXT(TRIM(N996),"00000")="89144", TEXT(TRIM(N996),"00000")="89145", TEXT(TRIM(N996),"00000")="89147"), "West Valley",
  TRUE, "Other"
)</f>
        <v>Missing/Unknown</v>
      </c>
      <c r="P996" t="s">
        <v>3298</v>
      </c>
      <c r="Q996" t="str">
        <f t="shared" si="62"/>
        <v>Outdoors/Public</v>
      </c>
      <c r="R996" t="s">
        <v>4713</v>
      </c>
      <c r="S996" t="s">
        <v>5125</v>
      </c>
      <c r="T996" t="str" cm="1">
        <f t="array" ref="T996">_xlfn.IFS(
  TEXT(TRIM(S996),"00000")="NULL", "Missing/Unknown",
  OR(TEXT(TRIM(S996),"00000")="89101", TEXT(TRIM(S996),"00000")="89104", TEXT(TRIM(S996),"00000")="89106", TEXT(TRIM(S996),"00000")="89102", TEXT(TRIM(S996),"00000")="89107", TEXT(TRIM(S996),"00000")="89108"), "Urban Core",
  OR(TEXT(TRIM(S996),"00000")="89110", TEXT(TRIM(S996),"00000")="89115", TEXT(TRIM(S996),"00000")="89121", TEXT(TRIM(S996),"00000")="89122", TEXT(TRIM(S996),"00000")="89142", TEXT(TRIM(S996),"00000")="89156"), "East Valley",
  OR(TEXT(TRIM(S996),"00000")="89030", TEXT(TRIM(S996),"00000")="89031", TEXT(TRIM(S996),"00000")="89032", TEXT(TRIM(S996),"00000")="89086", TEXT(TRIM(S996),"00000")="89084", TEXT(TRIM(S996),"00000")="89081"), "North LV",
  OR(TEXT(TRIM(S996),"00000")="89109", TEXT(TRIM(S996),"00000")="89103", TEXT(TRIM(S996),"00000")="89119", TEXT(TRIM(S996),"00000")="89123", TEXT(TRIM(S996),"00000")="89169", TEXT(TRIM(S996),"00000")="89118"), "South/Strip",
  OR(TEXT(TRIM(S996),"00000")="89074", TEXT(TRIM(S996),"00000")="89014", TEXT(TRIM(S996),"00000")="89015", TEXT(TRIM(S996),"00000")="89011", TEXT(TRIM(S996),"00000")="89012"), "Suburban SE",
  OR(TEXT(TRIM(S996),"00000")="89117", TEXT(TRIM(S996),"00000")="89128", TEXT(TRIM(S996),"00000")="89135", TEXT(TRIM(S996),"00000")="89144", TEXT(TRIM(S996),"00000")="89145", TEXT(TRIM(S996),"00000")="89147"), "West Valley",
  TRUE, "Other"
)</f>
        <v>South/Strip</v>
      </c>
      <c r="U996" t="s">
        <v>228</v>
      </c>
      <c r="V996" t="str">
        <f t="shared" si="63"/>
        <v>Medical Facility</v>
      </c>
    </row>
    <row r="997" spans="1:22">
      <c r="A997" t="s">
        <v>2213</v>
      </c>
      <c r="B997" t="s">
        <v>2214</v>
      </c>
      <c r="C997" s="1">
        <v>44399</v>
      </c>
      <c r="D997" s="4">
        <v>104</v>
      </c>
      <c r="E997">
        <v>66</v>
      </c>
      <c r="F997" t="str">
        <f t="shared" si="60"/>
        <v>60's</v>
      </c>
      <c r="G997" t="str" cm="1">
        <f t="array" ref="G997">_xlfn.IFS(
  F997="10's", "Child (5–12)",
  OR(F997="20's", F997="30's"), "Young Adult (20–39)",
  OR(F997="40's", F997="50's"), "Adult (40–59)",
  OR(F997="60's", F997="70's", F997="80's", F997="90's"), "Senior (60+)",
  TRUE, "Unknown"
)</f>
        <v>Senior (60+)</v>
      </c>
      <c r="H997" t="s">
        <v>841</v>
      </c>
      <c r="I997" t="s">
        <v>54</v>
      </c>
      <c r="J997" t="str">
        <f t="shared" si="61"/>
        <v>Environmental Heat</v>
      </c>
      <c r="K997" t="s">
        <v>2215</v>
      </c>
      <c r="L997" t="s">
        <v>250</v>
      </c>
      <c r="M997" t="s">
        <v>4836</v>
      </c>
      <c r="N997" t="s">
        <v>5098</v>
      </c>
      <c r="O997" t="str" cm="1">
        <f t="array" ref="O997">_xlfn.IFS(
  TEXT(TRIM(N997),"00000")="NULL", "Missing/Unknown",
  OR(TEXT(TRIM(N997),"00000")="89101", TEXT(TRIM(N997),"00000")="89104", TEXT(TRIM(N997),"00000")="89106", TEXT(TRIM(N997),"00000")="89102", TEXT(TRIM(N997),"00000")="89107", TEXT(TRIM(N997),"00000")="89108"), "Urban Core",
  OR(TEXT(TRIM(N997),"00000")="89110", TEXT(TRIM(N997),"00000")="89115", TEXT(TRIM(N997),"00000")="89121", TEXT(TRIM(N997),"00000")="89122", TEXT(TRIM(N997),"00000")="89142", TEXT(TRIM(N997),"00000")="89156"), "East Valley",
  OR(TEXT(TRIM(N997),"00000")="89030", TEXT(TRIM(N997),"00000")="89031", TEXT(TRIM(N997),"00000")="89032", TEXT(TRIM(N997),"00000")="89086", TEXT(TRIM(N997),"00000")="89084", TEXT(TRIM(N997),"00000")="89081"), "North LV",
  OR(TEXT(TRIM(N997),"00000")="89109", TEXT(TRIM(N997),"00000")="89103", TEXT(TRIM(N997),"00000")="89119", TEXT(TRIM(N997),"00000")="89123", TEXT(TRIM(N997),"00000")="89169", TEXT(TRIM(N997),"00000")="89118"), "South/Strip",
  OR(TEXT(TRIM(N997),"00000")="89074", TEXT(TRIM(N997),"00000")="89014", TEXT(TRIM(N997),"00000")="89015", TEXT(TRIM(N997),"00000")="89011", TEXT(TRIM(N997),"00000")="89012"), "Suburban SE",
  OR(TEXT(TRIM(N997),"00000")="89117", TEXT(TRIM(N997),"00000")="89128", TEXT(TRIM(N997),"00000")="89135", TEXT(TRIM(N997),"00000")="89144", TEXT(TRIM(N997),"00000")="89145", TEXT(TRIM(N997),"00000")="89147"), "West Valley",
  TRUE, "Other"
)</f>
        <v>Urban Core</v>
      </c>
      <c r="P997" t="s">
        <v>3298</v>
      </c>
      <c r="Q997" t="str">
        <f t="shared" si="62"/>
        <v>Outdoors/Public</v>
      </c>
      <c r="R997" t="s">
        <v>4836</v>
      </c>
      <c r="S997" t="s">
        <v>5098</v>
      </c>
      <c r="T997" t="str" cm="1">
        <f t="array" ref="T997">_xlfn.IFS(
  TEXT(TRIM(S997),"00000")="NULL", "Missing/Unknown",
  OR(TEXT(TRIM(S997),"00000")="89101", TEXT(TRIM(S997),"00000")="89104", TEXT(TRIM(S997),"00000")="89106", TEXT(TRIM(S997),"00000")="89102", TEXT(TRIM(S997),"00000")="89107", TEXT(TRIM(S997),"00000")="89108"), "Urban Core",
  OR(TEXT(TRIM(S997),"00000")="89110", TEXT(TRIM(S997),"00000")="89115", TEXT(TRIM(S997),"00000")="89121", TEXT(TRIM(S997),"00000")="89122", TEXT(TRIM(S997),"00000")="89142", TEXT(TRIM(S997),"00000")="89156"), "East Valley",
  OR(TEXT(TRIM(S997),"00000")="89030", TEXT(TRIM(S997),"00000")="89031", TEXT(TRIM(S997),"00000")="89032", TEXT(TRIM(S997),"00000")="89086", TEXT(TRIM(S997),"00000")="89084", TEXT(TRIM(S997),"00000")="89081"), "North LV",
  OR(TEXT(TRIM(S997),"00000")="89109", TEXT(TRIM(S997),"00000")="89103", TEXT(TRIM(S997),"00000")="89119", TEXT(TRIM(S997),"00000")="89123", TEXT(TRIM(S997),"00000")="89169", TEXT(TRIM(S997),"00000")="89118"), "South/Strip",
  OR(TEXT(TRIM(S997),"00000")="89074", TEXT(TRIM(S997),"00000")="89014", TEXT(TRIM(S997),"00000")="89015", TEXT(TRIM(S997),"00000")="89011", TEXT(TRIM(S997),"00000")="89012"), "Suburban SE",
  OR(TEXT(TRIM(S997),"00000")="89117", TEXT(TRIM(S997),"00000")="89128", TEXT(TRIM(S997),"00000")="89135", TEXT(TRIM(S997),"00000")="89144", TEXT(TRIM(S997),"00000")="89145", TEXT(TRIM(S997),"00000")="89147"), "West Valley",
  TRUE, "Other"
)</f>
        <v>Urban Core</v>
      </c>
      <c r="U997" t="s">
        <v>3298</v>
      </c>
      <c r="V997" t="str">
        <f t="shared" si="63"/>
        <v>Outdoors/Public</v>
      </c>
    </row>
    <row r="998" spans="1:22">
      <c r="A998" t="s">
        <v>2210</v>
      </c>
      <c r="B998" t="s">
        <v>2211</v>
      </c>
      <c r="C998" s="1">
        <v>44398</v>
      </c>
      <c r="D998" s="4">
        <v>102.02</v>
      </c>
      <c r="E998">
        <v>81</v>
      </c>
      <c r="F998" t="str">
        <f t="shared" si="60"/>
        <v>80's</v>
      </c>
      <c r="G998" t="str" cm="1">
        <f t="array" ref="G998">_xlfn.IFS(
  F998="10's", "Child (5–12)",
  OR(F998="20's", F998="30's"), "Young Adult (20–39)",
  OR(F998="40's", F998="50's"), "Adult (40–59)",
  OR(F998="60's", F998="70's", F998="80's", F998="90's"), "Senior (60+)",
  TRUE, "Unknown"
)</f>
        <v>Senior (60+)</v>
      </c>
      <c r="H998" t="s">
        <v>841</v>
      </c>
      <c r="I998" t="s">
        <v>54</v>
      </c>
      <c r="J998" t="str">
        <f t="shared" si="61"/>
        <v>Environmental Heat</v>
      </c>
      <c r="K998" t="s">
        <v>28</v>
      </c>
      <c r="L998" t="s">
        <v>1071</v>
      </c>
      <c r="M998" t="s">
        <v>4465</v>
      </c>
      <c r="N998" t="s">
        <v>5120</v>
      </c>
      <c r="O998" t="str" cm="1">
        <f t="array" ref="O998">_xlfn.IFS(
  TEXT(TRIM(N998),"00000")="NULL", "Missing/Unknown",
  OR(TEXT(TRIM(N998),"00000")="89101", TEXT(TRIM(N998),"00000")="89104", TEXT(TRIM(N998),"00000")="89106", TEXT(TRIM(N998),"00000")="89102", TEXT(TRIM(N998),"00000")="89107", TEXT(TRIM(N998),"00000")="89108"), "Urban Core",
  OR(TEXT(TRIM(N998),"00000")="89110", TEXT(TRIM(N998),"00000")="89115", TEXT(TRIM(N998),"00000")="89121", TEXT(TRIM(N998),"00000")="89122", TEXT(TRIM(N998),"00000")="89142", TEXT(TRIM(N998),"00000")="89156"), "East Valley",
  OR(TEXT(TRIM(N998),"00000")="89030", TEXT(TRIM(N998),"00000")="89031", TEXT(TRIM(N998),"00000")="89032", TEXT(TRIM(N998),"00000")="89086", TEXT(TRIM(N998),"00000")="89084", TEXT(TRIM(N998),"00000")="89081"), "North LV",
  OR(TEXT(TRIM(N998),"00000")="89109", TEXT(TRIM(N998),"00000")="89103", TEXT(TRIM(N998),"00000")="89119", TEXT(TRIM(N998),"00000")="89123", TEXT(TRIM(N998),"00000")="89169", TEXT(TRIM(N998),"00000")="89118"), "South/Strip",
  OR(TEXT(TRIM(N998),"00000")="89074", TEXT(TRIM(N998),"00000")="89014", TEXT(TRIM(N998),"00000")="89015", TEXT(TRIM(N998),"00000")="89011", TEXT(TRIM(N998),"00000")="89012"), "Suburban SE",
  OR(TEXT(TRIM(N998),"00000")="89117", TEXT(TRIM(N998),"00000")="89128", TEXT(TRIM(N998),"00000")="89135", TEXT(TRIM(N998),"00000")="89144", TEXT(TRIM(N998),"00000")="89145", TEXT(TRIM(N998),"00000")="89147"), "West Valley",
  TRUE, "Other"
)</f>
        <v>Suburban SE</v>
      </c>
      <c r="P998" t="s">
        <v>38</v>
      </c>
      <c r="Q998" t="str">
        <f t="shared" si="62"/>
        <v>Home/Residence</v>
      </c>
      <c r="R998" t="s">
        <v>4465</v>
      </c>
      <c r="S998" t="s">
        <v>5120</v>
      </c>
      <c r="T998" t="str" cm="1">
        <f t="array" ref="T998">_xlfn.IFS(
  TEXT(TRIM(S998),"00000")="NULL", "Missing/Unknown",
  OR(TEXT(TRIM(S998),"00000")="89101", TEXT(TRIM(S998),"00000")="89104", TEXT(TRIM(S998),"00000")="89106", TEXT(TRIM(S998),"00000")="89102", TEXT(TRIM(S998),"00000")="89107", TEXT(TRIM(S998),"00000")="89108"), "Urban Core",
  OR(TEXT(TRIM(S998),"00000")="89110", TEXT(TRIM(S998),"00000")="89115", TEXT(TRIM(S998),"00000")="89121", TEXT(TRIM(S998),"00000")="89122", TEXT(TRIM(S998),"00000")="89142", TEXT(TRIM(S998),"00000")="89156"), "East Valley",
  OR(TEXT(TRIM(S998),"00000")="89030", TEXT(TRIM(S998),"00000")="89031", TEXT(TRIM(S998),"00000")="89032", TEXT(TRIM(S998),"00000")="89086", TEXT(TRIM(S998),"00000")="89084", TEXT(TRIM(S998),"00000")="89081"), "North LV",
  OR(TEXT(TRIM(S998),"00000")="89109", TEXT(TRIM(S998),"00000")="89103", TEXT(TRIM(S998),"00000")="89119", TEXT(TRIM(S998),"00000")="89123", TEXT(TRIM(S998),"00000")="89169", TEXT(TRIM(S998),"00000")="89118"), "South/Strip",
  OR(TEXT(TRIM(S998),"00000")="89074", TEXT(TRIM(S998),"00000")="89014", TEXT(TRIM(S998),"00000")="89015", TEXT(TRIM(S998),"00000")="89011", TEXT(TRIM(S998),"00000")="89012"), "Suburban SE",
  OR(TEXT(TRIM(S998),"00000")="89117", TEXT(TRIM(S998),"00000")="89128", TEXT(TRIM(S998),"00000")="89135", TEXT(TRIM(S998),"00000")="89144", TEXT(TRIM(S998),"00000")="89145", TEXT(TRIM(S998),"00000")="89147"), "West Valley",
  TRUE, "Other"
)</f>
        <v>Suburban SE</v>
      </c>
      <c r="U998" t="s">
        <v>38</v>
      </c>
      <c r="V998" t="str">
        <f t="shared" si="63"/>
        <v>Home/Residence</v>
      </c>
    </row>
    <row r="999" spans="1:22">
      <c r="A999" t="s">
        <v>2202</v>
      </c>
      <c r="B999" t="s">
        <v>2203</v>
      </c>
      <c r="C999" s="1">
        <v>44397</v>
      </c>
      <c r="D999" s="4">
        <v>107.6</v>
      </c>
      <c r="E999">
        <v>69</v>
      </c>
      <c r="F999" t="str">
        <f t="shared" si="60"/>
        <v>60's</v>
      </c>
      <c r="G999" t="str" cm="1">
        <f t="array" ref="G999">_xlfn.IFS(
  F999="10's", "Child (5–12)",
  OR(F999="20's", F999="30's"), "Young Adult (20–39)",
  OR(F999="40's", F999="50's"), "Adult (40–59)",
  OR(F999="60's", F999="70's", F999="80's", F999="90's"), "Senior (60+)",
  TRUE, "Unknown"
)</f>
        <v>Senior (60+)</v>
      </c>
      <c r="H999" t="s">
        <v>4309</v>
      </c>
      <c r="I999" t="s">
        <v>54</v>
      </c>
      <c r="J999" t="str">
        <f t="shared" si="61"/>
        <v>Environmental Heat</v>
      </c>
      <c r="K999" t="s">
        <v>4274</v>
      </c>
      <c r="L999" t="s">
        <v>1071</v>
      </c>
      <c r="M999" t="s">
        <v>4466</v>
      </c>
      <c r="N999" t="s">
        <v>5110</v>
      </c>
      <c r="O999" t="str" cm="1">
        <f t="array" ref="O999">_xlfn.IFS(
  TEXT(TRIM(N999),"00000")="NULL", "Missing/Unknown",
  OR(TEXT(TRIM(N999),"00000")="89101", TEXT(TRIM(N999),"00000")="89104", TEXT(TRIM(N999),"00000")="89106", TEXT(TRIM(N999),"00000")="89102", TEXT(TRIM(N999),"00000")="89107", TEXT(TRIM(N999),"00000")="89108"), "Urban Core",
  OR(TEXT(TRIM(N999),"00000")="89110", TEXT(TRIM(N999),"00000")="89115", TEXT(TRIM(N999),"00000")="89121", TEXT(TRIM(N999),"00000")="89122", TEXT(TRIM(N999),"00000")="89142", TEXT(TRIM(N999),"00000")="89156"), "East Valley",
  OR(TEXT(TRIM(N999),"00000")="89030", TEXT(TRIM(N999),"00000")="89031", TEXT(TRIM(N999),"00000")="89032", TEXT(TRIM(N999),"00000")="89086", TEXT(TRIM(N999),"00000")="89084", TEXT(TRIM(N999),"00000")="89081"), "North LV",
  OR(TEXT(TRIM(N999),"00000")="89109", TEXT(TRIM(N999),"00000")="89103", TEXT(TRIM(N999),"00000")="89119", TEXT(TRIM(N999),"00000")="89123", TEXT(TRIM(N999),"00000")="89169", TEXT(TRIM(N999),"00000")="89118"), "South/Strip",
  OR(TEXT(TRIM(N999),"00000")="89074", TEXT(TRIM(N999),"00000")="89014", TEXT(TRIM(N999),"00000")="89015", TEXT(TRIM(N999),"00000")="89011", TEXT(TRIM(N999),"00000")="89012"), "Suburban SE",
  OR(TEXT(TRIM(N999),"00000")="89117", TEXT(TRIM(N999),"00000")="89128", TEXT(TRIM(N999),"00000")="89135", TEXT(TRIM(N999),"00000")="89144", TEXT(TRIM(N999),"00000")="89145", TEXT(TRIM(N999),"00000")="89147"), "West Valley",
  TRUE, "Other"
)</f>
        <v>Suburban SE</v>
      </c>
      <c r="P999" t="s">
        <v>38</v>
      </c>
      <c r="Q999" t="str">
        <f t="shared" si="62"/>
        <v>Home/Residence</v>
      </c>
      <c r="R999" t="s">
        <v>4466</v>
      </c>
      <c r="S999" t="s">
        <v>5110</v>
      </c>
      <c r="T999" t="str" cm="1">
        <f t="array" ref="T999">_xlfn.IFS(
  TEXT(TRIM(S999),"00000")="NULL", "Missing/Unknown",
  OR(TEXT(TRIM(S999),"00000")="89101", TEXT(TRIM(S999),"00000")="89104", TEXT(TRIM(S999),"00000")="89106", TEXT(TRIM(S999),"00000")="89102", TEXT(TRIM(S999),"00000")="89107", TEXT(TRIM(S999),"00000")="89108"), "Urban Core",
  OR(TEXT(TRIM(S999),"00000")="89110", TEXT(TRIM(S999),"00000")="89115", TEXT(TRIM(S999),"00000")="89121", TEXT(TRIM(S999),"00000")="89122", TEXT(TRIM(S999),"00000")="89142", TEXT(TRIM(S999),"00000")="89156"), "East Valley",
  OR(TEXT(TRIM(S999),"00000")="89030", TEXT(TRIM(S999),"00000")="89031", TEXT(TRIM(S999),"00000")="89032", TEXT(TRIM(S999),"00000")="89086", TEXT(TRIM(S999),"00000")="89084", TEXT(TRIM(S999),"00000")="89081"), "North LV",
  OR(TEXT(TRIM(S999),"00000")="89109", TEXT(TRIM(S999),"00000")="89103", TEXT(TRIM(S999),"00000")="89119", TEXT(TRIM(S999),"00000")="89123", TEXT(TRIM(S999),"00000")="89169", TEXT(TRIM(S999),"00000")="89118"), "South/Strip",
  OR(TEXT(TRIM(S999),"00000")="89074", TEXT(TRIM(S999),"00000")="89014", TEXT(TRIM(S999),"00000")="89015", TEXT(TRIM(S999),"00000")="89011", TEXT(TRIM(S999),"00000")="89012"), "Suburban SE",
  OR(TEXT(TRIM(S999),"00000")="89117", TEXT(TRIM(S999),"00000")="89128", TEXT(TRIM(S999),"00000")="89135", TEXT(TRIM(S999),"00000")="89144", TEXT(TRIM(S999),"00000")="89145", TEXT(TRIM(S999),"00000")="89147"), "West Valley",
  TRUE, "Other"
)</f>
        <v>Suburban SE</v>
      </c>
      <c r="U999" t="s">
        <v>38</v>
      </c>
      <c r="V999" t="str">
        <f t="shared" si="63"/>
        <v>Home/Residence</v>
      </c>
    </row>
    <row r="1000" spans="1:22">
      <c r="A1000" t="s">
        <v>2205</v>
      </c>
      <c r="B1000" t="s">
        <v>2206</v>
      </c>
      <c r="C1000" s="1">
        <v>44397</v>
      </c>
      <c r="D1000" s="4">
        <v>107.6</v>
      </c>
      <c r="E1000">
        <v>82</v>
      </c>
      <c r="F1000" t="str">
        <f t="shared" si="60"/>
        <v>80's</v>
      </c>
      <c r="G1000" t="str" cm="1">
        <f t="array" ref="G1000">_xlfn.IFS(
  F1000="10's", "Child (5–12)",
  OR(F1000="20's", F1000="30's"), "Young Adult (20–39)",
  OR(F1000="40's", F1000="50's"), "Adult (40–59)",
  OR(F1000="60's", F1000="70's", F1000="80's", F1000="90's"), "Senior (60+)",
  TRUE, "Unknown"
)</f>
        <v>Senior (60+)</v>
      </c>
      <c r="H1000" t="s">
        <v>841</v>
      </c>
      <c r="I1000" t="s">
        <v>54</v>
      </c>
      <c r="J1000" t="str">
        <f t="shared" si="61"/>
        <v>Environmental Heat</v>
      </c>
      <c r="K1000" t="s">
        <v>299</v>
      </c>
      <c r="L1000" t="s">
        <v>250</v>
      </c>
      <c r="M1000" t="s">
        <v>4837</v>
      </c>
      <c r="N1000" t="s">
        <v>5134</v>
      </c>
      <c r="O1000" t="str" cm="1">
        <f t="array" ref="O1000">_xlfn.IFS(
  TEXT(TRIM(N1000),"00000")="NULL", "Missing/Unknown",
  OR(TEXT(TRIM(N1000),"00000")="89101", TEXT(TRIM(N1000),"00000")="89104", TEXT(TRIM(N1000),"00000")="89106", TEXT(TRIM(N1000),"00000")="89102", TEXT(TRIM(N1000),"00000")="89107", TEXT(TRIM(N1000),"00000")="89108"), "Urban Core",
  OR(TEXT(TRIM(N1000),"00000")="89110", TEXT(TRIM(N1000),"00000")="89115", TEXT(TRIM(N1000),"00000")="89121", TEXT(TRIM(N1000),"00000")="89122", TEXT(TRIM(N1000),"00000")="89142", TEXT(TRIM(N1000),"00000")="89156"), "East Valley",
  OR(TEXT(TRIM(N1000),"00000")="89030", TEXT(TRIM(N1000),"00000")="89031", TEXT(TRIM(N1000),"00000")="89032", TEXT(TRIM(N1000),"00000")="89086", TEXT(TRIM(N1000),"00000")="89084", TEXT(TRIM(N1000),"00000")="89081"), "North LV",
  OR(TEXT(TRIM(N1000),"00000")="89109", TEXT(TRIM(N1000),"00000")="89103", TEXT(TRIM(N1000),"00000")="89119", TEXT(TRIM(N1000),"00000")="89123", TEXT(TRIM(N1000),"00000")="89169", TEXT(TRIM(N1000),"00000")="89118"), "South/Strip",
  OR(TEXT(TRIM(N1000),"00000")="89074", TEXT(TRIM(N1000),"00000")="89014", TEXT(TRIM(N1000),"00000")="89015", TEXT(TRIM(N1000),"00000")="89011", TEXT(TRIM(N1000),"00000")="89012"), "Suburban SE",
  OR(TEXT(TRIM(N1000),"00000")="89117", TEXT(TRIM(N1000),"00000")="89128", TEXT(TRIM(N1000),"00000")="89135", TEXT(TRIM(N1000),"00000")="89144", TEXT(TRIM(N1000),"00000")="89145", TEXT(TRIM(N1000),"00000")="89147"), "West Valley",
  TRUE, "Other"
)</f>
        <v>Other</v>
      </c>
      <c r="P1000" t="s">
        <v>3298</v>
      </c>
      <c r="Q1000" t="str">
        <f t="shared" si="62"/>
        <v>Outdoors/Public</v>
      </c>
      <c r="R1000" t="s">
        <v>4837</v>
      </c>
      <c r="S1000" t="s">
        <v>5134</v>
      </c>
      <c r="T1000" t="str" cm="1">
        <f t="array" ref="T1000">_xlfn.IFS(
  TEXT(TRIM(S1000),"00000")="NULL", "Missing/Unknown",
  OR(TEXT(TRIM(S1000),"00000")="89101", TEXT(TRIM(S1000),"00000")="89104", TEXT(TRIM(S1000),"00000")="89106", TEXT(TRIM(S1000),"00000")="89102", TEXT(TRIM(S1000),"00000")="89107", TEXT(TRIM(S1000),"00000")="89108"), "Urban Core",
  OR(TEXT(TRIM(S1000),"00000")="89110", TEXT(TRIM(S1000),"00000")="89115", TEXT(TRIM(S1000),"00000")="89121", TEXT(TRIM(S1000),"00000")="89122", TEXT(TRIM(S1000),"00000")="89142", TEXT(TRIM(S1000),"00000")="89156"), "East Valley",
  OR(TEXT(TRIM(S1000),"00000")="89030", TEXT(TRIM(S1000),"00000")="89031", TEXT(TRIM(S1000),"00000")="89032", TEXT(TRIM(S1000),"00000")="89086", TEXT(TRIM(S1000),"00000")="89084", TEXT(TRIM(S1000),"00000")="89081"), "North LV",
  OR(TEXT(TRIM(S1000),"00000")="89109", TEXT(TRIM(S1000),"00000")="89103", TEXT(TRIM(S1000),"00000")="89119", TEXT(TRIM(S1000),"00000")="89123", TEXT(TRIM(S1000),"00000")="89169", TEXT(TRIM(S1000),"00000")="89118"), "South/Strip",
  OR(TEXT(TRIM(S1000),"00000")="89074", TEXT(TRIM(S1000),"00000")="89014", TEXT(TRIM(S1000),"00000")="89015", TEXT(TRIM(S1000),"00000")="89011", TEXT(TRIM(S1000),"00000")="89012"), "Suburban SE",
  OR(TEXT(TRIM(S1000),"00000")="89117", TEXT(TRIM(S1000),"00000")="89128", TEXT(TRIM(S1000),"00000")="89135", TEXT(TRIM(S1000),"00000")="89144", TEXT(TRIM(S1000),"00000")="89145", TEXT(TRIM(S1000),"00000")="89147"), "West Valley",
  TRUE, "Other"
)</f>
        <v>Other</v>
      </c>
      <c r="U1000" t="s">
        <v>3298</v>
      </c>
      <c r="V1000" t="str">
        <f t="shared" si="63"/>
        <v>Outdoors/Public</v>
      </c>
    </row>
    <row r="1001" spans="1:22">
      <c r="A1001" t="s">
        <v>2199</v>
      </c>
      <c r="B1001" t="s">
        <v>2200</v>
      </c>
      <c r="C1001" s="1">
        <v>44394</v>
      </c>
      <c r="D1001" s="4">
        <v>107.06</v>
      </c>
      <c r="E1001">
        <v>48</v>
      </c>
      <c r="F1001" t="str">
        <f t="shared" si="60"/>
        <v>40's</v>
      </c>
      <c r="G1001" t="str" cm="1">
        <f t="array" ref="G1001">_xlfn.IFS(
  F1001="10's", "Child (5–12)",
  OR(F1001="20's", F1001="30's"), "Young Adult (20–39)",
  OR(F1001="40's", F1001="50's"), "Adult (40–59)",
  OR(F1001="60's", F1001="70's", F1001="80's", F1001="90's"), "Senior (60+)",
  TRUE, "Unknown"
)</f>
        <v>Adult (40–59)</v>
      </c>
      <c r="H1001" t="s">
        <v>841</v>
      </c>
      <c r="I1001" t="s">
        <v>172</v>
      </c>
      <c r="J1001" t="str">
        <f t="shared" si="61"/>
        <v>Methamphetamine-related</v>
      </c>
      <c r="K1001" t="s">
        <v>54</v>
      </c>
      <c r="L1001" t="s">
        <v>250</v>
      </c>
      <c r="M1001" t="s">
        <v>4838</v>
      </c>
      <c r="N1001" t="s">
        <v>5096</v>
      </c>
      <c r="O1001" t="str" cm="1">
        <f t="array" ref="O1001">_xlfn.IFS(
  TEXT(TRIM(N1001),"00000")="NULL", "Missing/Unknown",
  OR(TEXT(TRIM(N1001),"00000")="89101", TEXT(TRIM(N1001),"00000")="89104", TEXT(TRIM(N1001),"00000")="89106", TEXT(TRIM(N1001),"00000")="89102", TEXT(TRIM(N1001),"00000")="89107", TEXT(TRIM(N1001),"00000")="89108"), "Urban Core",
  OR(TEXT(TRIM(N1001),"00000")="89110", TEXT(TRIM(N1001),"00000")="89115", TEXT(TRIM(N1001),"00000")="89121", TEXT(TRIM(N1001),"00000")="89122", TEXT(TRIM(N1001),"00000")="89142", TEXT(TRIM(N1001),"00000")="89156"), "East Valley",
  OR(TEXT(TRIM(N1001),"00000")="89030", TEXT(TRIM(N1001),"00000")="89031", TEXT(TRIM(N1001),"00000")="89032", TEXT(TRIM(N1001),"00000")="89086", TEXT(TRIM(N1001),"00000")="89084", TEXT(TRIM(N1001),"00000")="89081"), "North LV",
  OR(TEXT(TRIM(N1001),"00000")="89109", TEXT(TRIM(N1001),"00000")="89103", TEXT(TRIM(N1001),"00000")="89119", TEXT(TRIM(N1001),"00000")="89123", TEXT(TRIM(N1001),"00000")="89169", TEXT(TRIM(N1001),"00000")="89118"), "South/Strip",
  OR(TEXT(TRIM(N1001),"00000")="89074", TEXT(TRIM(N1001),"00000")="89014", TEXT(TRIM(N1001),"00000")="89015", TEXT(TRIM(N1001),"00000")="89011", TEXT(TRIM(N1001),"00000")="89012"), "Suburban SE",
  OR(TEXT(TRIM(N1001),"00000")="89117", TEXT(TRIM(N1001),"00000")="89128", TEXT(TRIM(N1001),"00000")="89135", TEXT(TRIM(N1001),"00000")="89144", TEXT(TRIM(N1001),"00000")="89145", TEXT(TRIM(N1001),"00000")="89147"), "West Valley",
  TRUE, "Other"
)</f>
        <v>South/Strip</v>
      </c>
      <c r="P1001" t="s">
        <v>3298</v>
      </c>
      <c r="Q1001" t="str">
        <f t="shared" si="62"/>
        <v>Outdoors/Public</v>
      </c>
      <c r="R1001" t="s">
        <v>4838</v>
      </c>
      <c r="S1001" t="s">
        <v>5096</v>
      </c>
      <c r="T1001" t="str" cm="1">
        <f t="array" ref="T1001">_xlfn.IFS(
  TEXT(TRIM(S1001),"00000")="NULL", "Missing/Unknown",
  OR(TEXT(TRIM(S1001),"00000")="89101", TEXT(TRIM(S1001),"00000")="89104", TEXT(TRIM(S1001),"00000")="89106", TEXT(TRIM(S1001),"00000")="89102", TEXT(TRIM(S1001),"00000")="89107", TEXT(TRIM(S1001),"00000")="89108"), "Urban Core",
  OR(TEXT(TRIM(S1001),"00000")="89110", TEXT(TRIM(S1001),"00000")="89115", TEXT(TRIM(S1001),"00000")="89121", TEXT(TRIM(S1001),"00000")="89122", TEXT(TRIM(S1001),"00000")="89142", TEXT(TRIM(S1001),"00000")="89156"), "East Valley",
  OR(TEXT(TRIM(S1001),"00000")="89030", TEXT(TRIM(S1001),"00000")="89031", TEXT(TRIM(S1001),"00000")="89032", TEXT(TRIM(S1001),"00000")="89086", TEXT(TRIM(S1001),"00000")="89084", TEXT(TRIM(S1001),"00000")="89081"), "North LV",
  OR(TEXT(TRIM(S1001),"00000")="89109", TEXT(TRIM(S1001),"00000")="89103", TEXT(TRIM(S1001),"00000")="89119", TEXT(TRIM(S1001),"00000")="89123", TEXT(TRIM(S1001),"00000")="89169", TEXT(TRIM(S1001),"00000")="89118"), "South/Strip",
  OR(TEXT(TRIM(S1001),"00000")="89074", TEXT(TRIM(S1001),"00000")="89014", TEXT(TRIM(S1001),"00000")="89015", TEXT(TRIM(S1001),"00000")="89011", TEXT(TRIM(S1001),"00000")="89012"), "Suburban SE",
  OR(TEXT(TRIM(S1001),"00000")="89117", TEXT(TRIM(S1001),"00000")="89128", TEXT(TRIM(S1001),"00000")="89135", TEXT(TRIM(S1001),"00000")="89144", TEXT(TRIM(S1001),"00000")="89145", TEXT(TRIM(S1001),"00000")="89147"), "West Valley",
  TRUE, "Other"
)</f>
        <v>South/Strip</v>
      </c>
      <c r="U1001" t="s">
        <v>3298</v>
      </c>
      <c r="V1001" t="str">
        <f t="shared" si="63"/>
        <v>Outdoors/Public</v>
      </c>
    </row>
    <row r="1002" spans="1:22">
      <c r="A1002" t="s">
        <v>2175</v>
      </c>
      <c r="B1002" t="s">
        <v>2176</v>
      </c>
      <c r="C1002" s="1">
        <v>44393</v>
      </c>
      <c r="D1002" s="4">
        <v>107.96</v>
      </c>
      <c r="E1002">
        <v>65</v>
      </c>
      <c r="F1002" t="str">
        <f t="shared" si="60"/>
        <v>60's</v>
      </c>
      <c r="G1002" t="str" cm="1">
        <f t="array" ref="G1002">_xlfn.IFS(
  F1002="10's", "Child (5–12)",
  OR(F1002="20's", F1002="30's"), "Young Adult (20–39)",
  OR(F1002="40's", F1002="50's"), "Adult (40–59)",
  OR(F1002="60's", F1002="70's", F1002="80's", F1002="90's"), "Senior (60+)",
  TRUE, "Unknown"
)</f>
        <v>Senior (60+)</v>
      </c>
      <c r="H1002" t="s">
        <v>841</v>
      </c>
      <c r="I1002" t="s">
        <v>54</v>
      </c>
      <c r="J1002" t="str">
        <f t="shared" si="61"/>
        <v>Environmental Heat</v>
      </c>
      <c r="K1002" t="s">
        <v>4275</v>
      </c>
      <c r="L1002" t="s">
        <v>1071</v>
      </c>
      <c r="M1002" t="s">
        <v>4467</v>
      </c>
      <c r="N1002" t="s">
        <v>5098</v>
      </c>
      <c r="O1002" t="str" cm="1">
        <f t="array" ref="O1002">_xlfn.IFS(
  TEXT(TRIM(N1002),"00000")="NULL", "Missing/Unknown",
  OR(TEXT(TRIM(N1002),"00000")="89101", TEXT(TRIM(N1002),"00000")="89104", TEXT(TRIM(N1002),"00000")="89106", TEXT(TRIM(N1002),"00000")="89102", TEXT(TRIM(N1002),"00000")="89107", TEXT(TRIM(N1002),"00000")="89108"), "Urban Core",
  OR(TEXT(TRIM(N1002),"00000")="89110", TEXT(TRIM(N1002),"00000")="89115", TEXT(TRIM(N1002),"00000")="89121", TEXT(TRIM(N1002),"00000")="89122", TEXT(TRIM(N1002),"00000")="89142", TEXT(TRIM(N1002),"00000")="89156"), "East Valley",
  OR(TEXT(TRIM(N1002),"00000")="89030", TEXT(TRIM(N1002),"00000")="89031", TEXT(TRIM(N1002),"00000")="89032", TEXT(TRIM(N1002),"00000")="89086", TEXT(TRIM(N1002),"00000")="89084", TEXT(TRIM(N1002),"00000")="89081"), "North LV",
  OR(TEXT(TRIM(N1002),"00000")="89109", TEXT(TRIM(N1002),"00000")="89103", TEXT(TRIM(N1002),"00000")="89119", TEXT(TRIM(N1002),"00000")="89123", TEXT(TRIM(N1002),"00000")="89169", TEXT(TRIM(N1002),"00000")="89118"), "South/Strip",
  OR(TEXT(TRIM(N1002),"00000")="89074", TEXT(TRIM(N1002),"00000")="89014", TEXT(TRIM(N1002),"00000")="89015", TEXT(TRIM(N1002),"00000")="89011", TEXT(TRIM(N1002),"00000")="89012"), "Suburban SE",
  OR(TEXT(TRIM(N1002),"00000")="89117", TEXT(TRIM(N1002),"00000")="89128", TEXT(TRIM(N1002),"00000")="89135", TEXT(TRIM(N1002),"00000")="89144", TEXT(TRIM(N1002),"00000")="89145", TEXT(TRIM(N1002),"00000")="89147"), "West Valley",
  TRUE, "Other"
)</f>
        <v>Urban Core</v>
      </c>
      <c r="P1002" t="s">
        <v>38</v>
      </c>
      <c r="Q1002" t="str">
        <f t="shared" si="62"/>
        <v>Home/Residence</v>
      </c>
      <c r="R1002" t="s">
        <v>4467</v>
      </c>
      <c r="S1002" t="s">
        <v>5098</v>
      </c>
      <c r="T1002" t="str" cm="1">
        <f t="array" ref="T1002">_xlfn.IFS(
  TEXT(TRIM(S1002),"00000")="NULL", "Missing/Unknown",
  OR(TEXT(TRIM(S1002),"00000")="89101", TEXT(TRIM(S1002),"00000")="89104", TEXT(TRIM(S1002),"00000")="89106", TEXT(TRIM(S1002),"00000")="89102", TEXT(TRIM(S1002),"00000")="89107", TEXT(TRIM(S1002),"00000")="89108"), "Urban Core",
  OR(TEXT(TRIM(S1002),"00000")="89110", TEXT(TRIM(S1002),"00000")="89115", TEXT(TRIM(S1002),"00000")="89121", TEXT(TRIM(S1002),"00000")="89122", TEXT(TRIM(S1002),"00000")="89142", TEXT(TRIM(S1002),"00000")="89156"), "East Valley",
  OR(TEXT(TRIM(S1002),"00000")="89030", TEXT(TRIM(S1002),"00000")="89031", TEXT(TRIM(S1002),"00000")="89032", TEXT(TRIM(S1002),"00000")="89086", TEXT(TRIM(S1002),"00000")="89084", TEXT(TRIM(S1002),"00000")="89081"), "North LV",
  OR(TEXT(TRIM(S1002),"00000")="89109", TEXT(TRIM(S1002),"00000")="89103", TEXT(TRIM(S1002),"00000")="89119", TEXT(TRIM(S1002),"00000")="89123", TEXT(TRIM(S1002),"00000")="89169", TEXT(TRIM(S1002),"00000")="89118"), "South/Strip",
  OR(TEXT(TRIM(S1002),"00000")="89074", TEXT(TRIM(S1002),"00000")="89014", TEXT(TRIM(S1002),"00000")="89015", TEXT(TRIM(S1002),"00000")="89011", TEXT(TRIM(S1002),"00000")="89012"), "Suburban SE",
  OR(TEXT(TRIM(S1002),"00000")="89117", TEXT(TRIM(S1002),"00000")="89128", TEXT(TRIM(S1002),"00000")="89135", TEXT(TRIM(S1002),"00000")="89144", TEXT(TRIM(S1002),"00000")="89145", TEXT(TRIM(S1002),"00000")="89147"), "West Valley",
  TRUE, "Other"
)</f>
        <v>Urban Core</v>
      </c>
      <c r="U1002" t="s">
        <v>38</v>
      </c>
      <c r="V1002" t="str">
        <f t="shared" si="63"/>
        <v>Home/Residence</v>
      </c>
    </row>
    <row r="1003" spans="1:22">
      <c r="A1003" t="s">
        <v>2194</v>
      </c>
      <c r="B1003" t="s">
        <v>2195</v>
      </c>
      <c r="C1003" s="1">
        <v>44393</v>
      </c>
      <c r="D1003" s="4">
        <v>107.96</v>
      </c>
      <c r="E1003">
        <v>31</v>
      </c>
      <c r="F1003" t="str">
        <f t="shared" si="60"/>
        <v>30's</v>
      </c>
      <c r="G1003" t="str" cm="1">
        <f t="array" ref="G1003">_xlfn.IFS(
  F1003="10's", "Child (5–12)",
  OR(F1003="20's", F1003="30's"), "Young Adult (20–39)",
  OR(F1003="40's", F1003="50's"), "Adult (40–59)",
  OR(F1003="60's", F1003="70's", F1003="80's", F1003="90's"), "Senior (60+)",
  TRUE, "Unknown"
)</f>
        <v>Young Adult (20–39)</v>
      </c>
      <c r="H1003" t="s">
        <v>841</v>
      </c>
      <c r="I1003" t="s">
        <v>4118</v>
      </c>
      <c r="J1003" t="str">
        <f t="shared" si="61"/>
        <v>Fentanyl-related</v>
      </c>
      <c r="K1003" t="s">
        <v>2197</v>
      </c>
      <c r="L1003" t="s">
        <v>1071</v>
      </c>
      <c r="M1003" t="s">
        <v>4471</v>
      </c>
      <c r="N1003" t="s">
        <v>5106</v>
      </c>
      <c r="O1003" t="str" cm="1">
        <f t="array" ref="O1003">_xlfn.IFS(
  TEXT(TRIM(N1003),"00000")="NULL", "Missing/Unknown",
  OR(TEXT(TRIM(N1003),"00000")="89101", TEXT(TRIM(N1003),"00000")="89104", TEXT(TRIM(N1003),"00000")="89106", TEXT(TRIM(N1003),"00000")="89102", TEXT(TRIM(N1003),"00000")="89107", TEXT(TRIM(N1003),"00000")="89108"), "Urban Core",
  OR(TEXT(TRIM(N1003),"00000")="89110", TEXT(TRIM(N1003),"00000")="89115", TEXT(TRIM(N1003),"00000")="89121", TEXT(TRIM(N1003),"00000")="89122", TEXT(TRIM(N1003),"00000")="89142", TEXT(TRIM(N1003),"00000")="89156"), "East Valley",
  OR(TEXT(TRIM(N1003),"00000")="89030", TEXT(TRIM(N1003),"00000")="89031", TEXT(TRIM(N1003),"00000")="89032", TEXT(TRIM(N1003),"00000")="89086", TEXT(TRIM(N1003),"00000")="89084", TEXT(TRIM(N1003),"00000")="89081"), "North LV",
  OR(TEXT(TRIM(N1003),"00000")="89109", TEXT(TRIM(N1003),"00000")="89103", TEXT(TRIM(N1003),"00000")="89119", TEXT(TRIM(N1003),"00000")="89123", TEXT(TRIM(N1003),"00000")="89169", TEXT(TRIM(N1003),"00000")="89118"), "South/Strip",
  OR(TEXT(TRIM(N1003),"00000")="89074", TEXT(TRIM(N1003),"00000")="89014", TEXT(TRIM(N1003),"00000")="89015", TEXT(TRIM(N1003),"00000")="89011", TEXT(TRIM(N1003),"00000")="89012"), "Suburban SE",
  OR(TEXT(TRIM(N1003),"00000")="89117", TEXT(TRIM(N1003),"00000")="89128", TEXT(TRIM(N1003),"00000")="89135", TEXT(TRIM(N1003),"00000")="89144", TEXT(TRIM(N1003),"00000")="89145", TEXT(TRIM(N1003),"00000")="89147"), "West Valley",
  TRUE, "Other"
)</f>
        <v>East Valley</v>
      </c>
      <c r="P1003" t="s">
        <v>38</v>
      </c>
      <c r="Q1003" t="str">
        <f t="shared" si="62"/>
        <v>Home/Residence</v>
      </c>
      <c r="R1003" t="s">
        <v>4471</v>
      </c>
      <c r="S1003" t="s">
        <v>5106</v>
      </c>
      <c r="T1003" t="str" cm="1">
        <f t="array" ref="T1003">_xlfn.IFS(
  TEXT(TRIM(S1003),"00000")="NULL", "Missing/Unknown",
  OR(TEXT(TRIM(S1003),"00000")="89101", TEXT(TRIM(S1003),"00000")="89104", TEXT(TRIM(S1003),"00000")="89106", TEXT(TRIM(S1003),"00000")="89102", TEXT(TRIM(S1003),"00000")="89107", TEXT(TRIM(S1003),"00000")="89108"), "Urban Core",
  OR(TEXT(TRIM(S1003),"00000")="89110", TEXT(TRIM(S1003),"00000")="89115", TEXT(TRIM(S1003),"00000")="89121", TEXT(TRIM(S1003),"00000")="89122", TEXT(TRIM(S1003),"00000")="89142", TEXT(TRIM(S1003),"00000")="89156"), "East Valley",
  OR(TEXT(TRIM(S1003),"00000")="89030", TEXT(TRIM(S1003),"00000")="89031", TEXT(TRIM(S1003),"00000")="89032", TEXT(TRIM(S1003),"00000")="89086", TEXT(TRIM(S1003),"00000")="89084", TEXT(TRIM(S1003),"00000")="89081"), "North LV",
  OR(TEXT(TRIM(S1003),"00000")="89109", TEXT(TRIM(S1003),"00000")="89103", TEXT(TRIM(S1003),"00000")="89119", TEXT(TRIM(S1003),"00000")="89123", TEXT(TRIM(S1003),"00000")="89169", TEXT(TRIM(S1003),"00000")="89118"), "South/Strip",
  OR(TEXT(TRIM(S1003),"00000")="89074", TEXT(TRIM(S1003),"00000")="89014", TEXT(TRIM(S1003),"00000")="89015", TEXT(TRIM(S1003),"00000")="89011", TEXT(TRIM(S1003),"00000")="89012"), "Suburban SE",
  OR(TEXT(TRIM(S1003),"00000")="89117", TEXT(TRIM(S1003),"00000")="89128", TEXT(TRIM(S1003),"00000")="89135", TEXT(TRIM(S1003),"00000")="89144", TEXT(TRIM(S1003),"00000")="89145", TEXT(TRIM(S1003),"00000")="89147"), "West Valley",
  TRUE, "Other"
)</f>
        <v>East Valley</v>
      </c>
      <c r="U1003" t="s">
        <v>38</v>
      </c>
      <c r="V1003" t="str">
        <f t="shared" si="63"/>
        <v>Home/Residence</v>
      </c>
    </row>
    <row r="1004" spans="1:22">
      <c r="A1004" t="s">
        <v>2179</v>
      </c>
      <c r="B1004" t="s">
        <v>2180</v>
      </c>
      <c r="C1004" s="1">
        <v>44393</v>
      </c>
      <c r="D1004" s="4">
        <v>107.96</v>
      </c>
      <c r="E1004">
        <v>64</v>
      </c>
      <c r="F1004" t="str">
        <f t="shared" si="60"/>
        <v>60's</v>
      </c>
      <c r="G1004" t="str" cm="1">
        <f t="array" ref="G1004">_xlfn.IFS(
  F1004="10's", "Child (5–12)",
  OR(F1004="20's", F1004="30's"), "Young Adult (20–39)",
  OR(F1004="40's", F1004="50's"), "Adult (40–59)",
  OR(F1004="60's", F1004="70's", F1004="80's", F1004="90's"), "Senior (60+)",
  TRUE, "Unknown"
)</f>
        <v>Senior (60+)</v>
      </c>
      <c r="H1004" t="s">
        <v>778</v>
      </c>
      <c r="I1004" t="s">
        <v>34</v>
      </c>
      <c r="J1004" t="str">
        <f t="shared" si="61"/>
        <v>Methamphetamine-related</v>
      </c>
      <c r="K1004" t="s">
        <v>54</v>
      </c>
      <c r="L1004" t="s">
        <v>250</v>
      </c>
      <c r="M1004" t="s">
        <v>4839</v>
      </c>
      <c r="N1004" t="s">
        <v>5102</v>
      </c>
      <c r="O1004" t="str" cm="1">
        <f t="array" ref="O1004">_xlfn.IFS(
  TEXT(TRIM(N1004),"00000")="NULL", "Missing/Unknown",
  OR(TEXT(TRIM(N1004),"00000")="89101", TEXT(TRIM(N1004),"00000")="89104", TEXT(TRIM(N1004),"00000")="89106", TEXT(TRIM(N1004),"00000")="89102", TEXT(TRIM(N1004),"00000")="89107", TEXT(TRIM(N1004),"00000")="89108"), "Urban Core",
  OR(TEXT(TRIM(N1004),"00000")="89110", TEXT(TRIM(N1004),"00000")="89115", TEXT(TRIM(N1004),"00000")="89121", TEXT(TRIM(N1004),"00000")="89122", TEXT(TRIM(N1004),"00000")="89142", TEXT(TRIM(N1004),"00000")="89156"), "East Valley",
  OR(TEXT(TRIM(N1004),"00000")="89030", TEXT(TRIM(N1004),"00000")="89031", TEXT(TRIM(N1004),"00000")="89032", TEXT(TRIM(N1004),"00000")="89086", TEXT(TRIM(N1004),"00000")="89084", TEXT(TRIM(N1004),"00000")="89081"), "North LV",
  OR(TEXT(TRIM(N1004),"00000")="89109", TEXT(TRIM(N1004),"00000")="89103", TEXT(TRIM(N1004),"00000")="89119", TEXT(TRIM(N1004),"00000")="89123", TEXT(TRIM(N1004),"00000")="89169", TEXT(TRIM(N1004),"00000")="89118"), "South/Strip",
  OR(TEXT(TRIM(N1004),"00000")="89074", TEXT(TRIM(N1004),"00000")="89014", TEXT(TRIM(N1004),"00000")="89015", TEXT(TRIM(N1004),"00000")="89011", TEXT(TRIM(N1004),"00000")="89012"), "Suburban SE",
  OR(TEXT(TRIM(N1004),"00000")="89117", TEXT(TRIM(N1004),"00000")="89128", TEXT(TRIM(N1004),"00000")="89135", TEXT(TRIM(N1004),"00000")="89144", TEXT(TRIM(N1004),"00000")="89145", TEXT(TRIM(N1004),"00000")="89147"), "West Valley",
  TRUE, "Other"
)</f>
        <v>Urban Core</v>
      </c>
      <c r="P1004" t="s">
        <v>3298</v>
      </c>
      <c r="Q1004" t="str">
        <f t="shared" si="62"/>
        <v>Outdoors/Public</v>
      </c>
      <c r="R1004" t="s">
        <v>4839</v>
      </c>
      <c r="S1004" t="s">
        <v>5102</v>
      </c>
      <c r="T1004" t="str" cm="1">
        <f t="array" ref="T1004">_xlfn.IFS(
  TEXT(TRIM(S1004),"00000")="NULL", "Missing/Unknown",
  OR(TEXT(TRIM(S1004),"00000")="89101", TEXT(TRIM(S1004),"00000")="89104", TEXT(TRIM(S1004),"00000")="89106", TEXT(TRIM(S1004),"00000")="89102", TEXT(TRIM(S1004),"00000")="89107", TEXT(TRIM(S1004),"00000")="89108"), "Urban Core",
  OR(TEXT(TRIM(S1004),"00000")="89110", TEXT(TRIM(S1004),"00000")="89115", TEXT(TRIM(S1004),"00000")="89121", TEXT(TRIM(S1004),"00000")="89122", TEXT(TRIM(S1004),"00000")="89142", TEXT(TRIM(S1004),"00000")="89156"), "East Valley",
  OR(TEXT(TRIM(S1004),"00000")="89030", TEXT(TRIM(S1004),"00000")="89031", TEXT(TRIM(S1004),"00000")="89032", TEXT(TRIM(S1004),"00000")="89086", TEXT(TRIM(S1004),"00000")="89084", TEXT(TRIM(S1004),"00000")="89081"), "North LV",
  OR(TEXT(TRIM(S1004),"00000")="89109", TEXT(TRIM(S1004),"00000")="89103", TEXT(TRIM(S1004),"00000")="89119", TEXT(TRIM(S1004),"00000")="89123", TEXT(TRIM(S1004),"00000")="89169", TEXT(TRIM(S1004),"00000")="89118"), "South/Strip",
  OR(TEXT(TRIM(S1004),"00000")="89074", TEXT(TRIM(S1004),"00000")="89014", TEXT(TRIM(S1004),"00000")="89015", TEXT(TRIM(S1004),"00000")="89011", TEXT(TRIM(S1004),"00000")="89012"), "Suburban SE",
  OR(TEXT(TRIM(S1004),"00000")="89117", TEXT(TRIM(S1004),"00000")="89128", TEXT(TRIM(S1004),"00000")="89135", TEXT(TRIM(S1004),"00000")="89144", TEXT(TRIM(S1004),"00000")="89145", TEXT(TRIM(S1004),"00000")="89147"), "West Valley",
  TRUE, "Other"
)</f>
        <v>Urban Core</v>
      </c>
      <c r="U1004" t="s">
        <v>3298</v>
      </c>
      <c r="V1004" t="str">
        <f t="shared" si="63"/>
        <v>Outdoors/Public</v>
      </c>
    </row>
    <row r="1005" spans="1:22">
      <c r="A1005" t="s">
        <v>2185</v>
      </c>
      <c r="B1005" t="s">
        <v>2186</v>
      </c>
      <c r="C1005" s="1">
        <v>44393</v>
      </c>
      <c r="D1005" s="4">
        <v>107.96</v>
      </c>
      <c r="E1005">
        <v>67</v>
      </c>
      <c r="F1005" t="str">
        <f t="shared" si="60"/>
        <v>60's</v>
      </c>
      <c r="G1005" t="str" cm="1">
        <f t="array" ref="G1005">_xlfn.IFS(
  F1005="10's", "Child (5–12)",
  OR(F1005="20's", F1005="30's"), "Young Adult (20–39)",
  OR(F1005="40's", F1005="50's"), "Adult (40–59)",
  OR(F1005="60's", F1005="70's", F1005="80's", F1005="90's"), "Senior (60+)",
  TRUE, "Unknown"
)</f>
        <v>Senior (60+)</v>
      </c>
      <c r="H1005" t="s">
        <v>841</v>
      </c>
      <c r="I1005" t="s">
        <v>54</v>
      </c>
      <c r="J1005" t="str">
        <f t="shared" si="61"/>
        <v>Environmental Heat</v>
      </c>
      <c r="K1005" t="s">
        <v>28</v>
      </c>
      <c r="L1005" t="s">
        <v>1071</v>
      </c>
      <c r="M1005" t="s">
        <v>4469</v>
      </c>
      <c r="N1005" t="s">
        <v>5108</v>
      </c>
      <c r="O1005" t="str" cm="1">
        <f t="array" ref="O1005">_xlfn.IFS(
  TEXT(TRIM(N1005),"00000")="NULL", "Missing/Unknown",
  OR(TEXT(TRIM(N1005),"00000")="89101", TEXT(TRIM(N1005),"00000")="89104", TEXT(TRIM(N1005),"00000")="89106", TEXT(TRIM(N1005),"00000")="89102", TEXT(TRIM(N1005),"00000")="89107", TEXT(TRIM(N1005),"00000")="89108"), "Urban Core",
  OR(TEXT(TRIM(N1005),"00000")="89110", TEXT(TRIM(N1005),"00000")="89115", TEXT(TRIM(N1005),"00000")="89121", TEXT(TRIM(N1005),"00000")="89122", TEXT(TRIM(N1005),"00000")="89142", TEXT(TRIM(N1005),"00000")="89156"), "East Valley",
  OR(TEXT(TRIM(N1005),"00000")="89030", TEXT(TRIM(N1005),"00000")="89031", TEXT(TRIM(N1005),"00000")="89032", TEXT(TRIM(N1005),"00000")="89086", TEXT(TRIM(N1005),"00000")="89084", TEXT(TRIM(N1005),"00000")="89081"), "North LV",
  OR(TEXT(TRIM(N1005),"00000")="89109", TEXT(TRIM(N1005),"00000")="89103", TEXT(TRIM(N1005),"00000")="89119", TEXT(TRIM(N1005),"00000")="89123", TEXT(TRIM(N1005),"00000")="89169", TEXT(TRIM(N1005),"00000")="89118"), "South/Strip",
  OR(TEXT(TRIM(N1005),"00000")="89074", TEXT(TRIM(N1005),"00000")="89014", TEXT(TRIM(N1005),"00000")="89015", TEXT(TRIM(N1005),"00000")="89011", TEXT(TRIM(N1005),"00000")="89012"), "Suburban SE",
  OR(TEXT(TRIM(N1005),"00000")="89117", TEXT(TRIM(N1005),"00000")="89128", TEXT(TRIM(N1005),"00000")="89135", TEXT(TRIM(N1005),"00000")="89144", TEXT(TRIM(N1005),"00000")="89145", TEXT(TRIM(N1005),"00000")="89147"), "West Valley",
  TRUE, "Other"
)</f>
        <v>East Valley</v>
      </c>
      <c r="P1005" t="s">
        <v>38</v>
      </c>
      <c r="Q1005" t="str">
        <f t="shared" si="62"/>
        <v>Home/Residence</v>
      </c>
      <c r="R1005" t="s">
        <v>4469</v>
      </c>
      <c r="S1005" t="s">
        <v>5108</v>
      </c>
      <c r="T1005" t="str" cm="1">
        <f t="array" ref="T1005">_xlfn.IFS(
  TEXT(TRIM(S1005),"00000")="NULL", "Missing/Unknown",
  OR(TEXT(TRIM(S1005),"00000")="89101", TEXT(TRIM(S1005),"00000")="89104", TEXT(TRIM(S1005),"00000")="89106", TEXT(TRIM(S1005),"00000")="89102", TEXT(TRIM(S1005),"00000")="89107", TEXT(TRIM(S1005),"00000")="89108"), "Urban Core",
  OR(TEXT(TRIM(S1005),"00000")="89110", TEXT(TRIM(S1005),"00000")="89115", TEXT(TRIM(S1005),"00000")="89121", TEXT(TRIM(S1005),"00000")="89122", TEXT(TRIM(S1005),"00000")="89142", TEXT(TRIM(S1005),"00000")="89156"), "East Valley",
  OR(TEXT(TRIM(S1005),"00000")="89030", TEXT(TRIM(S1005),"00000")="89031", TEXT(TRIM(S1005),"00000")="89032", TEXT(TRIM(S1005),"00000")="89086", TEXT(TRIM(S1005),"00000")="89084", TEXT(TRIM(S1005),"00000")="89081"), "North LV",
  OR(TEXT(TRIM(S1005),"00000")="89109", TEXT(TRIM(S1005),"00000")="89103", TEXT(TRIM(S1005),"00000")="89119", TEXT(TRIM(S1005),"00000")="89123", TEXT(TRIM(S1005),"00000")="89169", TEXT(TRIM(S1005),"00000")="89118"), "South/Strip",
  OR(TEXT(TRIM(S1005),"00000")="89074", TEXT(TRIM(S1005),"00000")="89014", TEXT(TRIM(S1005),"00000")="89015", TEXT(TRIM(S1005),"00000")="89011", TEXT(TRIM(S1005),"00000")="89012"), "Suburban SE",
  OR(TEXT(TRIM(S1005),"00000")="89117", TEXT(TRIM(S1005),"00000")="89128", TEXT(TRIM(S1005),"00000")="89135", TEXT(TRIM(S1005),"00000")="89144", TEXT(TRIM(S1005),"00000")="89145", TEXT(TRIM(S1005),"00000")="89147"), "West Valley",
  TRUE, "Other"
)</f>
        <v>East Valley</v>
      </c>
      <c r="U1005" t="s">
        <v>38</v>
      </c>
      <c r="V1005" t="str">
        <f t="shared" si="63"/>
        <v>Home/Residence</v>
      </c>
    </row>
    <row r="1006" spans="1:22">
      <c r="A1006" t="s">
        <v>2191</v>
      </c>
      <c r="B1006" t="s">
        <v>2192</v>
      </c>
      <c r="C1006" s="1">
        <v>44393</v>
      </c>
      <c r="D1006" s="4">
        <v>107.96</v>
      </c>
      <c r="E1006">
        <v>43</v>
      </c>
      <c r="F1006" t="str">
        <f t="shared" si="60"/>
        <v>40's</v>
      </c>
      <c r="G1006" t="str" cm="1">
        <f t="array" ref="G1006">_xlfn.IFS(
  F1006="10's", "Child (5–12)",
  OR(F1006="20's", F1006="30's"), "Young Adult (20–39)",
  OR(F1006="40's", F1006="50's"), "Adult (40–59)",
  OR(F1006="60's", F1006="70's", F1006="80's", F1006="90's"), "Senior (60+)",
  TRUE, "Unknown"
)</f>
        <v>Adult (40–59)</v>
      </c>
      <c r="H1006" t="s">
        <v>841</v>
      </c>
      <c r="I1006" t="s">
        <v>172</v>
      </c>
      <c r="J1006" t="str">
        <f t="shared" si="61"/>
        <v>Methamphetamine-related</v>
      </c>
      <c r="K1006" t="s">
        <v>54</v>
      </c>
      <c r="L1006" t="s">
        <v>1071</v>
      </c>
      <c r="M1006" t="s">
        <v>4470</v>
      </c>
      <c r="N1006" t="s">
        <v>5117</v>
      </c>
      <c r="O1006" t="str" cm="1">
        <f t="array" ref="O1006">_xlfn.IFS(
  TEXT(TRIM(N1006),"00000")="NULL", "Missing/Unknown",
  OR(TEXT(TRIM(N1006),"00000")="89101", TEXT(TRIM(N1006),"00000")="89104", TEXT(TRIM(N1006),"00000")="89106", TEXT(TRIM(N1006),"00000")="89102", TEXT(TRIM(N1006),"00000")="89107", TEXT(TRIM(N1006),"00000")="89108"), "Urban Core",
  OR(TEXT(TRIM(N1006),"00000")="89110", TEXT(TRIM(N1006),"00000")="89115", TEXT(TRIM(N1006),"00000")="89121", TEXT(TRIM(N1006),"00000")="89122", TEXT(TRIM(N1006),"00000")="89142", TEXT(TRIM(N1006),"00000")="89156"), "East Valley",
  OR(TEXT(TRIM(N1006),"00000")="89030", TEXT(TRIM(N1006),"00000")="89031", TEXT(TRIM(N1006),"00000")="89032", TEXT(TRIM(N1006),"00000")="89086", TEXT(TRIM(N1006),"00000")="89084", TEXT(TRIM(N1006),"00000")="89081"), "North LV",
  OR(TEXT(TRIM(N1006),"00000")="89109", TEXT(TRIM(N1006),"00000")="89103", TEXT(TRIM(N1006),"00000")="89119", TEXT(TRIM(N1006),"00000")="89123", TEXT(TRIM(N1006),"00000")="89169", TEXT(TRIM(N1006),"00000")="89118"), "South/Strip",
  OR(TEXT(TRIM(N1006),"00000")="89074", TEXT(TRIM(N1006),"00000")="89014", TEXT(TRIM(N1006),"00000")="89015", TEXT(TRIM(N1006),"00000")="89011", TEXT(TRIM(N1006),"00000")="89012"), "Suburban SE",
  OR(TEXT(TRIM(N1006),"00000")="89117", TEXT(TRIM(N1006),"00000")="89128", TEXT(TRIM(N1006),"00000")="89135", TEXT(TRIM(N1006),"00000")="89144", TEXT(TRIM(N1006),"00000")="89145", TEXT(TRIM(N1006),"00000")="89147"), "West Valley",
  TRUE, "Other"
)</f>
        <v>North LV</v>
      </c>
      <c r="P1006" t="s">
        <v>38</v>
      </c>
      <c r="Q1006" t="str">
        <f t="shared" si="62"/>
        <v>Home/Residence</v>
      </c>
      <c r="R1006" t="s">
        <v>4470</v>
      </c>
      <c r="S1006" t="s">
        <v>5117</v>
      </c>
      <c r="T1006" t="str" cm="1">
        <f t="array" ref="T1006">_xlfn.IFS(
  TEXT(TRIM(S1006),"00000")="NULL", "Missing/Unknown",
  OR(TEXT(TRIM(S1006),"00000")="89101", TEXT(TRIM(S1006),"00000")="89104", TEXT(TRIM(S1006),"00000")="89106", TEXT(TRIM(S1006),"00000")="89102", TEXT(TRIM(S1006),"00000")="89107", TEXT(TRIM(S1006),"00000")="89108"), "Urban Core",
  OR(TEXT(TRIM(S1006),"00000")="89110", TEXT(TRIM(S1006),"00000")="89115", TEXT(TRIM(S1006),"00000")="89121", TEXT(TRIM(S1006),"00000")="89122", TEXT(TRIM(S1006),"00000")="89142", TEXT(TRIM(S1006),"00000")="89156"), "East Valley",
  OR(TEXT(TRIM(S1006),"00000")="89030", TEXT(TRIM(S1006),"00000")="89031", TEXT(TRIM(S1006),"00000")="89032", TEXT(TRIM(S1006),"00000")="89086", TEXT(TRIM(S1006),"00000")="89084", TEXT(TRIM(S1006),"00000")="89081"), "North LV",
  OR(TEXT(TRIM(S1006),"00000")="89109", TEXT(TRIM(S1006),"00000")="89103", TEXT(TRIM(S1006),"00000")="89119", TEXT(TRIM(S1006),"00000")="89123", TEXT(TRIM(S1006),"00000")="89169", TEXT(TRIM(S1006),"00000")="89118"), "South/Strip",
  OR(TEXT(TRIM(S1006),"00000")="89074", TEXT(TRIM(S1006),"00000")="89014", TEXT(TRIM(S1006),"00000")="89015", TEXT(TRIM(S1006),"00000")="89011", TEXT(TRIM(S1006),"00000")="89012"), "Suburban SE",
  OR(TEXT(TRIM(S1006),"00000")="89117", TEXT(TRIM(S1006),"00000")="89128", TEXT(TRIM(S1006),"00000")="89135", TEXT(TRIM(S1006),"00000")="89144", TEXT(TRIM(S1006),"00000")="89145", TEXT(TRIM(S1006),"00000")="89147"), "West Valley",
  TRUE, "Other"
)</f>
        <v>North LV</v>
      </c>
      <c r="U1006" t="s">
        <v>38</v>
      </c>
      <c r="V1006" t="str">
        <f t="shared" si="63"/>
        <v>Home/Residence</v>
      </c>
    </row>
    <row r="1007" spans="1:22">
      <c r="A1007" t="s">
        <v>2188</v>
      </c>
      <c r="B1007" t="s">
        <v>2189</v>
      </c>
      <c r="C1007" s="1">
        <v>44393</v>
      </c>
      <c r="D1007" s="4">
        <v>107.96</v>
      </c>
      <c r="E1007">
        <v>33</v>
      </c>
      <c r="F1007" t="str">
        <f t="shared" si="60"/>
        <v>30's</v>
      </c>
      <c r="G1007" t="str" cm="1">
        <f t="array" ref="G1007">_xlfn.IFS(
  F1007="10's", "Child (5–12)",
  OR(F1007="20's", F1007="30's"), "Young Adult (20–39)",
  OR(F1007="40's", F1007="50's"), "Adult (40–59)",
  OR(F1007="60's", F1007="70's", F1007="80's", F1007="90's"), "Senior (60+)",
  TRUE, "Unknown"
)</f>
        <v>Young Adult (20–39)</v>
      </c>
      <c r="H1007" t="s">
        <v>841</v>
      </c>
      <c r="I1007" t="s">
        <v>97</v>
      </c>
      <c r="J1007" t="str">
        <f t="shared" si="61"/>
        <v>Environmental Heat</v>
      </c>
      <c r="K1007" t="s">
        <v>503</v>
      </c>
      <c r="L1007" t="s">
        <v>250</v>
      </c>
      <c r="M1007" t="s">
        <v>4553</v>
      </c>
      <c r="N1007" t="s">
        <v>5101</v>
      </c>
      <c r="O1007" t="str" cm="1">
        <f t="array" ref="O1007">_xlfn.IFS(
  TEXT(TRIM(N1007),"00000")="NULL", "Missing/Unknown",
  OR(TEXT(TRIM(N1007),"00000")="89101", TEXT(TRIM(N1007),"00000")="89104", TEXT(TRIM(N1007),"00000")="89106", TEXT(TRIM(N1007),"00000")="89102", TEXT(TRIM(N1007),"00000")="89107", TEXT(TRIM(N1007),"00000")="89108"), "Urban Core",
  OR(TEXT(TRIM(N1007),"00000")="89110", TEXT(TRIM(N1007),"00000")="89115", TEXT(TRIM(N1007),"00000")="89121", TEXT(TRIM(N1007),"00000")="89122", TEXT(TRIM(N1007),"00000")="89142", TEXT(TRIM(N1007),"00000")="89156"), "East Valley",
  OR(TEXT(TRIM(N1007),"00000")="89030", TEXT(TRIM(N1007),"00000")="89031", TEXT(TRIM(N1007),"00000")="89032", TEXT(TRIM(N1007),"00000")="89086", TEXT(TRIM(N1007),"00000")="89084", TEXT(TRIM(N1007),"00000")="89081"), "North LV",
  OR(TEXT(TRIM(N1007),"00000")="89109", TEXT(TRIM(N1007),"00000")="89103", TEXT(TRIM(N1007),"00000")="89119", TEXT(TRIM(N1007),"00000")="89123", TEXT(TRIM(N1007),"00000")="89169", TEXT(TRIM(N1007),"00000")="89118"), "South/Strip",
  OR(TEXT(TRIM(N1007),"00000")="89074", TEXT(TRIM(N1007),"00000")="89014", TEXT(TRIM(N1007),"00000")="89015", TEXT(TRIM(N1007),"00000")="89011", TEXT(TRIM(N1007),"00000")="89012"), "Suburban SE",
  OR(TEXT(TRIM(N1007),"00000")="89117", TEXT(TRIM(N1007),"00000")="89128", TEXT(TRIM(N1007),"00000")="89135", TEXT(TRIM(N1007),"00000")="89144", TEXT(TRIM(N1007),"00000")="89145", TEXT(TRIM(N1007),"00000")="89147"), "West Valley",
  TRUE, "Other"
)</f>
        <v>Urban Core</v>
      </c>
      <c r="P1007" t="s">
        <v>3298</v>
      </c>
      <c r="Q1007" t="str">
        <f t="shared" si="62"/>
        <v>Outdoors/Public</v>
      </c>
      <c r="R1007" t="s">
        <v>5054</v>
      </c>
      <c r="S1007" t="s">
        <v>5097</v>
      </c>
      <c r="T1007" t="str" cm="1">
        <f t="array" ref="T1007">_xlfn.IFS(
  TEXT(TRIM(S1007),"00000")="NULL", "Missing/Unknown",
  OR(TEXT(TRIM(S1007),"00000")="89101", TEXT(TRIM(S1007),"00000")="89104", TEXT(TRIM(S1007),"00000")="89106", TEXT(TRIM(S1007),"00000")="89102", TEXT(TRIM(S1007),"00000")="89107", TEXT(TRIM(S1007),"00000")="89108"), "Urban Core",
  OR(TEXT(TRIM(S1007),"00000")="89110", TEXT(TRIM(S1007),"00000")="89115", TEXT(TRIM(S1007),"00000")="89121", TEXT(TRIM(S1007),"00000")="89122", TEXT(TRIM(S1007),"00000")="89142", TEXT(TRIM(S1007),"00000")="89156"), "East Valley",
  OR(TEXT(TRIM(S1007),"00000")="89030", TEXT(TRIM(S1007),"00000")="89031", TEXT(TRIM(S1007),"00000")="89032", TEXT(TRIM(S1007),"00000")="89086", TEXT(TRIM(S1007),"00000")="89084", TEXT(TRIM(S1007),"00000")="89081"), "North LV",
  OR(TEXT(TRIM(S1007),"00000")="89109", TEXT(TRIM(S1007),"00000")="89103", TEXT(TRIM(S1007),"00000")="89119", TEXT(TRIM(S1007),"00000")="89123", TEXT(TRIM(S1007),"00000")="89169", TEXT(TRIM(S1007),"00000")="89118"), "South/Strip",
  OR(TEXT(TRIM(S1007),"00000")="89074", TEXT(TRIM(S1007),"00000")="89014", TEXT(TRIM(S1007),"00000")="89015", TEXT(TRIM(S1007),"00000")="89011", TEXT(TRIM(S1007),"00000")="89012"), "Suburban SE",
  OR(TEXT(TRIM(S1007),"00000")="89117", TEXT(TRIM(S1007),"00000")="89128", TEXT(TRIM(S1007),"00000")="89135", TEXT(TRIM(S1007),"00000")="89144", TEXT(TRIM(S1007),"00000")="89145", TEXT(TRIM(S1007),"00000")="89147"), "West Valley",
  TRUE, "Other"
)</f>
        <v>Urban Core</v>
      </c>
      <c r="U1007" t="s">
        <v>4301</v>
      </c>
      <c r="V1007" t="str">
        <f t="shared" si="63"/>
        <v>Medical Facility</v>
      </c>
    </row>
    <row r="1008" spans="1:22">
      <c r="A1008" t="s">
        <v>2182</v>
      </c>
      <c r="B1008" t="s">
        <v>2183</v>
      </c>
      <c r="C1008" s="1">
        <v>44393</v>
      </c>
      <c r="D1008" s="4">
        <v>107.96</v>
      </c>
      <c r="E1008">
        <v>69</v>
      </c>
      <c r="F1008" t="str">
        <f t="shared" si="60"/>
        <v>60's</v>
      </c>
      <c r="G1008" t="str" cm="1">
        <f t="array" ref="G1008">_xlfn.IFS(
  F1008="10's", "Child (5–12)",
  OR(F1008="20's", F1008="30's"), "Young Adult (20–39)",
  OR(F1008="40's", F1008="50's"), "Adult (40–59)",
  OR(F1008="60's", F1008="70's", F1008="80's", F1008="90's"), "Senior (60+)",
  TRUE, "Unknown"
)</f>
        <v>Senior (60+)</v>
      </c>
      <c r="H1008" t="s">
        <v>841</v>
      </c>
      <c r="I1008" t="s">
        <v>54</v>
      </c>
      <c r="J1008" t="str">
        <f t="shared" si="61"/>
        <v>Environmental Heat</v>
      </c>
      <c r="K1008" t="s">
        <v>4274</v>
      </c>
      <c r="L1008" t="s">
        <v>1071</v>
      </c>
      <c r="M1008" t="s">
        <v>4468</v>
      </c>
      <c r="N1008" t="s">
        <v>5101</v>
      </c>
      <c r="O1008" t="str" cm="1">
        <f t="array" ref="O1008">_xlfn.IFS(
  TEXT(TRIM(N1008),"00000")="NULL", "Missing/Unknown",
  OR(TEXT(TRIM(N1008),"00000")="89101", TEXT(TRIM(N1008),"00000")="89104", TEXT(TRIM(N1008),"00000")="89106", TEXT(TRIM(N1008),"00000")="89102", TEXT(TRIM(N1008),"00000")="89107", TEXT(TRIM(N1008),"00000")="89108"), "Urban Core",
  OR(TEXT(TRIM(N1008),"00000")="89110", TEXT(TRIM(N1008),"00000")="89115", TEXT(TRIM(N1008),"00000")="89121", TEXT(TRIM(N1008),"00000")="89122", TEXT(TRIM(N1008),"00000")="89142", TEXT(TRIM(N1008),"00000")="89156"), "East Valley",
  OR(TEXT(TRIM(N1008),"00000")="89030", TEXT(TRIM(N1008),"00000")="89031", TEXT(TRIM(N1008),"00000")="89032", TEXT(TRIM(N1008),"00000")="89086", TEXT(TRIM(N1008),"00000")="89084", TEXT(TRIM(N1008),"00000")="89081"), "North LV",
  OR(TEXT(TRIM(N1008),"00000")="89109", TEXT(TRIM(N1008),"00000")="89103", TEXT(TRIM(N1008),"00000")="89119", TEXT(TRIM(N1008),"00000")="89123", TEXT(TRIM(N1008),"00000")="89169", TEXT(TRIM(N1008),"00000")="89118"), "South/Strip",
  OR(TEXT(TRIM(N1008),"00000")="89074", TEXT(TRIM(N1008),"00000")="89014", TEXT(TRIM(N1008),"00000")="89015", TEXT(TRIM(N1008),"00000")="89011", TEXT(TRIM(N1008),"00000")="89012"), "Suburban SE",
  OR(TEXT(TRIM(N1008),"00000")="89117", TEXT(TRIM(N1008),"00000")="89128", TEXT(TRIM(N1008),"00000")="89135", TEXT(TRIM(N1008),"00000")="89144", TEXT(TRIM(N1008),"00000")="89145", TEXT(TRIM(N1008),"00000")="89147"), "West Valley",
  TRUE, "Other"
)</f>
        <v>Urban Core</v>
      </c>
      <c r="P1008" t="s">
        <v>38</v>
      </c>
      <c r="Q1008" t="str">
        <f t="shared" si="62"/>
        <v>Home/Residence</v>
      </c>
      <c r="R1008" t="s">
        <v>4468</v>
      </c>
      <c r="S1008" t="s">
        <v>5101</v>
      </c>
      <c r="T1008" t="str" cm="1">
        <f t="array" ref="T1008">_xlfn.IFS(
  TEXT(TRIM(S1008),"00000")="NULL", "Missing/Unknown",
  OR(TEXT(TRIM(S1008),"00000")="89101", TEXT(TRIM(S1008),"00000")="89104", TEXT(TRIM(S1008),"00000")="89106", TEXT(TRIM(S1008),"00000")="89102", TEXT(TRIM(S1008),"00000")="89107", TEXT(TRIM(S1008),"00000")="89108"), "Urban Core",
  OR(TEXT(TRIM(S1008),"00000")="89110", TEXT(TRIM(S1008),"00000")="89115", TEXT(TRIM(S1008),"00000")="89121", TEXT(TRIM(S1008),"00000")="89122", TEXT(TRIM(S1008),"00000")="89142", TEXT(TRIM(S1008),"00000")="89156"), "East Valley",
  OR(TEXT(TRIM(S1008),"00000")="89030", TEXT(TRIM(S1008),"00000")="89031", TEXT(TRIM(S1008),"00000")="89032", TEXT(TRIM(S1008),"00000")="89086", TEXT(TRIM(S1008),"00000")="89084", TEXT(TRIM(S1008),"00000")="89081"), "North LV",
  OR(TEXT(TRIM(S1008),"00000")="89109", TEXT(TRIM(S1008),"00000")="89103", TEXT(TRIM(S1008),"00000")="89119", TEXT(TRIM(S1008),"00000")="89123", TEXT(TRIM(S1008),"00000")="89169", TEXT(TRIM(S1008),"00000")="89118"), "South/Strip",
  OR(TEXT(TRIM(S1008),"00000")="89074", TEXT(TRIM(S1008),"00000")="89014", TEXT(TRIM(S1008),"00000")="89015", TEXT(TRIM(S1008),"00000")="89011", TEXT(TRIM(S1008),"00000")="89012"), "Suburban SE",
  OR(TEXT(TRIM(S1008),"00000")="89117", TEXT(TRIM(S1008),"00000")="89128", TEXT(TRIM(S1008),"00000")="89135", TEXT(TRIM(S1008),"00000")="89144", TEXT(TRIM(S1008),"00000")="89145", TEXT(TRIM(S1008),"00000")="89147"), "West Valley",
  TRUE, "Other"
)</f>
        <v>Urban Core</v>
      </c>
      <c r="U1008" t="s">
        <v>38</v>
      </c>
      <c r="V1008" t="str">
        <f t="shared" si="63"/>
        <v>Home/Residence</v>
      </c>
    </row>
    <row r="1009" spans="1:22">
      <c r="A1009" t="s">
        <v>2172</v>
      </c>
      <c r="B1009" t="s">
        <v>2173</v>
      </c>
      <c r="C1009" s="1">
        <v>44392</v>
      </c>
      <c r="D1009" s="4">
        <v>105.08</v>
      </c>
      <c r="E1009">
        <v>50</v>
      </c>
      <c r="F1009" t="str">
        <f t="shared" si="60"/>
        <v>50's</v>
      </c>
      <c r="G1009" t="str" cm="1">
        <f t="array" ref="G1009">_xlfn.IFS(
  F1009="10's", "Child (5–12)",
  OR(F1009="20's", F1009="30's"), "Young Adult (20–39)",
  OR(F1009="40's", F1009="50's"), "Adult (40–59)",
  OR(F1009="60's", F1009="70's", F1009="80's", F1009="90's"), "Senior (60+)",
  TRUE, "Unknown"
)</f>
        <v>Adult (40–59)</v>
      </c>
      <c r="H1009" t="s">
        <v>27</v>
      </c>
      <c r="I1009" t="s">
        <v>172</v>
      </c>
      <c r="J1009" t="str">
        <f t="shared" si="61"/>
        <v>Methamphetamine-related</v>
      </c>
      <c r="K1009" t="s">
        <v>54</v>
      </c>
      <c r="L1009" t="s">
        <v>250</v>
      </c>
      <c r="M1009" t="s">
        <v>4840</v>
      </c>
      <c r="N1009" t="s">
        <v>5097</v>
      </c>
      <c r="O1009" t="str" cm="1">
        <f t="array" ref="O1009">_xlfn.IFS(
  TEXT(TRIM(N1009),"00000")="NULL", "Missing/Unknown",
  OR(TEXT(TRIM(N1009),"00000")="89101", TEXT(TRIM(N1009),"00000")="89104", TEXT(TRIM(N1009),"00000")="89106", TEXT(TRIM(N1009),"00000")="89102", TEXT(TRIM(N1009),"00000")="89107", TEXT(TRIM(N1009),"00000")="89108"), "Urban Core",
  OR(TEXT(TRIM(N1009),"00000")="89110", TEXT(TRIM(N1009),"00000")="89115", TEXT(TRIM(N1009),"00000")="89121", TEXT(TRIM(N1009),"00000")="89122", TEXT(TRIM(N1009),"00000")="89142", TEXT(TRIM(N1009),"00000")="89156"), "East Valley",
  OR(TEXT(TRIM(N1009),"00000")="89030", TEXT(TRIM(N1009),"00000")="89031", TEXT(TRIM(N1009),"00000")="89032", TEXT(TRIM(N1009),"00000")="89086", TEXT(TRIM(N1009),"00000")="89084", TEXT(TRIM(N1009),"00000")="89081"), "North LV",
  OR(TEXT(TRIM(N1009),"00000")="89109", TEXT(TRIM(N1009),"00000")="89103", TEXT(TRIM(N1009),"00000")="89119", TEXT(TRIM(N1009),"00000")="89123", TEXT(TRIM(N1009),"00000")="89169", TEXT(TRIM(N1009),"00000")="89118"), "South/Strip",
  OR(TEXT(TRIM(N1009),"00000")="89074", TEXT(TRIM(N1009),"00000")="89014", TEXT(TRIM(N1009),"00000")="89015", TEXT(TRIM(N1009),"00000")="89011", TEXT(TRIM(N1009),"00000")="89012"), "Suburban SE",
  OR(TEXT(TRIM(N1009),"00000")="89117", TEXT(TRIM(N1009),"00000")="89128", TEXT(TRIM(N1009),"00000")="89135", TEXT(TRIM(N1009),"00000")="89144", TEXT(TRIM(N1009),"00000")="89145", TEXT(TRIM(N1009),"00000")="89147"), "West Valley",
  TRUE, "Other"
)</f>
        <v>Urban Core</v>
      </c>
      <c r="P1009" t="s">
        <v>3298</v>
      </c>
      <c r="Q1009" t="str">
        <f t="shared" si="62"/>
        <v>Outdoors/Public</v>
      </c>
      <c r="R1009" t="s">
        <v>4840</v>
      </c>
      <c r="S1009" t="s">
        <v>5097</v>
      </c>
      <c r="T1009" t="str" cm="1">
        <f t="array" ref="T1009">_xlfn.IFS(
  TEXT(TRIM(S1009),"00000")="NULL", "Missing/Unknown",
  OR(TEXT(TRIM(S1009),"00000")="89101", TEXT(TRIM(S1009),"00000")="89104", TEXT(TRIM(S1009),"00000")="89106", TEXT(TRIM(S1009),"00000")="89102", TEXT(TRIM(S1009),"00000")="89107", TEXT(TRIM(S1009),"00000")="89108"), "Urban Core",
  OR(TEXT(TRIM(S1009),"00000")="89110", TEXT(TRIM(S1009),"00000")="89115", TEXT(TRIM(S1009),"00000")="89121", TEXT(TRIM(S1009),"00000")="89122", TEXT(TRIM(S1009),"00000")="89142", TEXT(TRIM(S1009),"00000")="89156"), "East Valley",
  OR(TEXT(TRIM(S1009),"00000")="89030", TEXT(TRIM(S1009),"00000")="89031", TEXT(TRIM(S1009),"00000")="89032", TEXT(TRIM(S1009),"00000")="89086", TEXT(TRIM(S1009),"00000")="89084", TEXT(TRIM(S1009),"00000")="89081"), "North LV",
  OR(TEXT(TRIM(S1009),"00000")="89109", TEXT(TRIM(S1009),"00000")="89103", TEXT(TRIM(S1009),"00000")="89119", TEXT(TRIM(S1009),"00000")="89123", TEXT(TRIM(S1009),"00000")="89169", TEXT(TRIM(S1009),"00000")="89118"), "South/Strip",
  OR(TEXT(TRIM(S1009),"00000")="89074", TEXT(TRIM(S1009),"00000")="89014", TEXT(TRIM(S1009),"00000")="89015", TEXT(TRIM(S1009),"00000")="89011", TEXT(TRIM(S1009),"00000")="89012"), "Suburban SE",
  OR(TEXT(TRIM(S1009),"00000")="89117", TEXT(TRIM(S1009),"00000")="89128", TEXT(TRIM(S1009),"00000")="89135", TEXT(TRIM(S1009),"00000")="89144", TEXT(TRIM(S1009),"00000")="89145", TEXT(TRIM(S1009),"00000")="89147"), "West Valley",
  TRUE, "Other"
)</f>
        <v>Urban Core</v>
      </c>
      <c r="U1009" t="s">
        <v>3298</v>
      </c>
      <c r="V1009" t="str">
        <f t="shared" si="63"/>
        <v>Outdoors/Public</v>
      </c>
    </row>
    <row r="1010" spans="1:22">
      <c r="A1010" t="s">
        <v>2169</v>
      </c>
      <c r="B1010" t="s">
        <v>2170</v>
      </c>
      <c r="C1010" s="1">
        <v>44392</v>
      </c>
      <c r="D1010" s="4">
        <v>105.08</v>
      </c>
      <c r="E1010">
        <v>65</v>
      </c>
      <c r="F1010" t="str">
        <f t="shared" si="60"/>
        <v>60's</v>
      </c>
      <c r="G1010" t="str" cm="1">
        <f t="array" ref="G1010">_xlfn.IFS(
  F1010="10's", "Child (5–12)",
  OR(F1010="20's", F1010="30's"), "Young Adult (20–39)",
  OR(F1010="40's", F1010="50's"), "Adult (40–59)",
  OR(F1010="60's", F1010="70's", F1010="80's", F1010="90's"), "Senior (60+)",
  TRUE, "Unknown"
)</f>
        <v>Senior (60+)</v>
      </c>
      <c r="H1010" t="s">
        <v>778</v>
      </c>
      <c r="I1010" t="s">
        <v>54</v>
      </c>
      <c r="J1010" t="str">
        <f t="shared" si="61"/>
        <v>Environmental Heat</v>
      </c>
      <c r="K1010" t="s">
        <v>28</v>
      </c>
      <c r="L1010" t="s">
        <v>1071</v>
      </c>
      <c r="M1010" t="s">
        <v>4472</v>
      </c>
      <c r="N1010" t="s">
        <v>5097</v>
      </c>
      <c r="O1010" t="str" cm="1">
        <f t="array" ref="O1010">_xlfn.IFS(
  TEXT(TRIM(N1010),"00000")="NULL", "Missing/Unknown",
  OR(TEXT(TRIM(N1010),"00000")="89101", TEXT(TRIM(N1010),"00000")="89104", TEXT(TRIM(N1010),"00000")="89106", TEXT(TRIM(N1010),"00000")="89102", TEXT(TRIM(N1010),"00000")="89107", TEXT(TRIM(N1010),"00000")="89108"), "Urban Core",
  OR(TEXT(TRIM(N1010),"00000")="89110", TEXT(TRIM(N1010),"00000")="89115", TEXT(TRIM(N1010),"00000")="89121", TEXT(TRIM(N1010),"00000")="89122", TEXT(TRIM(N1010),"00000")="89142", TEXT(TRIM(N1010),"00000")="89156"), "East Valley",
  OR(TEXT(TRIM(N1010),"00000")="89030", TEXT(TRIM(N1010),"00000")="89031", TEXT(TRIM(N1010),"00000")="89032", TEXT(TRIM(N1010),"00000")="89086", TEXT(TRIM(N1010),"00000")="89084", TEXT(TRIM(N1010),"00000")="89081"), "North LV",
  OR(TEXT(TRIM(N1010),"00000")="89109", TEXT(TRIM(N1010),"00000")="89103", TEXT(TRIM(N1010),"00000")="89119", TEXT(TRIM(N1010),"00000")="89123", TEXT(TRIM(N1010),"00000")="89169", TEXT(TRIM(N1010),"00000")="89118"), "South/Strip",
  OR(TEXT(TRIM(N1010),"00000")="89074", TEXT(TRIM(N1010),"00000")="89014", TEXT(TRIM(N1010),"00000")="89015", TEXT(TRIM(N1010),"00000")="89011", TEXT(TRIM(N1010),"00000")="89012"), "Suburban SE",
  OR(TEXT(TRIM(N1010),"00000")="89117", TEXT(TRIM(N1010),"00000")="89128", TEXT(TRIM(N1010),"00000")="89135", TEXT(TRIM(N1010),"00000")="89144", TEXT(TRIM(N1010),"00000")="89145", TEXT(TRIM(N1010),"00000")="89147"), "West Valley",
  TRUE, "Other"
)</f>
        <v>Urban Core</v>
      </c>
      <c r="P1010" t="s">
        <v>38</v>
      </c>
      <c r="Q1010" t="str">
        <f t="shared" si="62"/>
        <v>Home/Residence</v>
      </c>
      <c r="R1010" t="s">
        <v>4472</v>
      </c>
      <c r="S1010" t="s">
        <v>5097</v>
      </c>
      <c r="T1010" t="str" cm="1">
        <f t="array" ref="T1010">_xlfn.IFS(
  TEXT(TRIM(S1010),"00000")="NULL", "Missing/Unknown",
  OR(TEXT(TRIM(S1010),"00000")="89101", TEXT(TRIM(S1010),"00000")="89104", TEXT(TRIM(S1010),"00000")="89106", TEXT(TRIM(S1010),"00000")="89102", TEXT(TRIM(S1010),"00000")="89107", TEXT(TRIM(S1010),"00000")="89108"), "Urban Core",
  OR(TEXT(TRIM(S1010),"00000")="89110", TEXT(TRIM(S1010),"00000")="89115", TEXT(TRIM(S1010),"00000")="89121", TEXT(TRIM(S1010),"00000")="89122", TEXT(TRIM(S1010),"00000")="89142", TEXT(TRIM(S1010),"00000")="89156"), "East Valley",
  OR(TEXT(TRIM(S1010),"00000")="89030", TEXT(TRIM(S1010),"00000")="89031", TEXT(TRIM(S1010),"00000")="89032", TEXT(TRIM(S1010),"00000")="89086", TEXT(TRIM(S1010),"00000")="89084", TEXT(TRIM(S1010),"00000")="89081"), "North LV",
  OR(TEXT(TRIM(S1010),"00000")="89109", TEXT(TRIM(S1010),"00000")="89103", TEXT(TRIM(S1010),"00000")="89119", TEXT(TRIM(S1010),"00000")="89123", TEXT(TRIM(S1010),"00000")="89169", TEXT(TRIM(S1010),"00000")="89118"), "South/Strip",
  OR(TEXT(TRIM(S1010),"00000")="89074", TEXT(TRIM(S1010),"00000")="89014", TEXT(TRIM(S1010),"00000")="89015", TEXT(TRIM(S1010),"00000")="89011", TEXT(TRIM(S1010),"00000")="89012"), "Suburban SE",
  OR(TEXT(TRIM(S1010),"00000")="89117", TEXT(TRIM(S1010),"00000")="89128", TEXT(TRIM(S1010),"00000")="89135", TEXT(TRIM(S1010),"00000")="89144", TEXT(TRIM(S1010),"00000")="89145", TEXT(TRIM(S1010),"00000")="89147"), "West Valley",
  TRUE, "Other"
)</f>
        <v>Urban Core</v>
      </c>
      <c r="U1010" t="s">
        <v>38</v>
      </c>
      <c r="V1010" t="str">
        <f t="shared" si="63"/>
        <v>Home/Residence</v>
      </c>
    </row>
    <row r="1011" spans="1:22">
      <c r="A1011" t="s">
        <v>2151</v>
      </c>
      <c r="B1011" t="s">
        <v>2152</v>
      </c>
      <c r="C1011" s="1">
        <v>44391</v>
      </c>
      <c r="D1011" s="4">
        <v>107.06</v>
      </c>
      <c r="E1011">
        <v>60</v>
      </c>
      <c r="F1011" t="str">
        <f t="shared" si="60"/>
        <v>60's</v>
      </c>
      <c r="G1011" t="str" cm="1">
        <f t="array" ref="G1011">_xlfn.IFS(
  F1011="10's", "Child (5–12)",
  OR(F1011="20's", F1011="30's"), "Young Adult (20–39)",
  OR(F1011="40's", F1011="50's"), "Adult (40–59)",
  OR(F1011="60's", F1011="70's", F1011="80's", F1011="90's"), "Senior (60+)",
  TRUE, "Unknown"
)</f>
        <v>Senior (60+)</v>
      </c>
      <c r="H1011" t="s">
        <v>841</v>
      </c>
      <c r="I1011" t="s">
        <v>4119</v>
      </c>
      <c r="J1011" t="str">
        <f t="shared" si="61"/>
        <v>Methamphetamine-related</v>
      </c>
      <c r="K1011" t="s">
        <v>54</v>
      </c>
      <c r="L1011" t="s">
        <v>250</v>
      </c>
      <c r="M1011" t="s">
        <v>4841</v>
      </c>
      <c r="N1011" t="s">
        <v>5123</v>
      </c>
      <c r="O1011" t="str" cm="1">
        <f t="array" ref="O1011">_xlfn.IFS(
  TEXT(TRIM(N1011),"00000")="NULL", "Missing/Unknown",
  OR(TEXT(TRIM(N1011),"00000")="89101", TEXT(TRIM(N1011),"00000")="89104", TEXT(TRIM(N1011),"00000")="89106", TEXT(TRIM(N1011),"00000")="89102", TEXT(TRIM(N1011),"00000")="89107", TEXT(TRIM(N1011),"00000")="89108"), "Urban Core",
  OR(TEXT(TRIM(N1011),"00000")="89110", TEXT(TRIM(N1011),"00000")="89115", TEXT(TRIM(N1011),"00000")="89121", TEXT(TRIM(N1011),"00000")="89122", TEXT(TRIM(N1011),"00000")="89142", TEXT(TRIM(N1011),"00000")="89156"), "East Valley",
  OR(TEXT(TRIM(N1011),"00000")="89030", TEXT(TRIM(N1011),"00000")="89031", TEXT(TRIM(N1011),"00000")="89032", TEXT(TRIM(N1011),"00000")="89086", TEXT(TRIM(N1011),"00000")="89084", TEXT(TRIM(N1011),"00000")="89081"), "North LV",
  OR(TEXT(TRIM(N1011),"00000")="89109", TEXT(TRIM(N1011),"00000")="89103", TEXT(TRIM(N1011),"00000")="89119", TEXT(TRIM(N1011),"00000")="89123", TEXT(TRIM(N1011),"00000")="89169", TEXT(TRIM(N1011),"00000")="89118"), "South/Strip",
  OR(TEXT(TRIM(N1011),"00000")="89074", TEXT(TRIM(N1011),"00000")="89014", TEXT(TRIM(N1011),"00000")="89015", TEXT(TRIM(N1011),"00000")="89011", TEXT(TRIM(N1011),"00000")="89012"), "Suburban SE",
  OR(TEXT(TRIM(N1011),"00000")="89117", TEXT(TRIM(N1011),"00000")="89128", TEXT(TRIM(N1011),"00000")="89135", TEXT(TRIM(N1011),"00000")="89144", TEXT(TRIM(N1011),"00000")="89145", TEXT(TRIM(N1011),"00000")="89147"), "West Valley",
  TRUE, "Other"
)</f>
        <v>South/Strip</v>
      </c>
      <c r="P1011" t="s">
        <v>3298</v>
      </c>
      <c r="Q1011" t="str">
        <f t="shared" si="62"/>
        <v>Outdoors/Public</v>
      </c>
      <c r="R1011" t="s">
        <v>4841</v>
      </c>
      <c r="S1011" t="s">
        <v>5123</v>
      </c>
      <c r="T1011" t="str" cm="1">
        <f t="array" ref="T1011">_xlfn.IFS(
  TEXT(TRIM(S1011),"00000")="NULL", "Missing/Unknown",
  OR(TEXT(TRIM(S1011),"00000")="89101", TEXT(TRIM(S1011),"00000")="89104", TEXT(TRIM(S1011),"00000")="89106", TEXT(TRIM(S1011),"00000")="89102", TEXT(TRIM(S1011),"00000")="89107", TEXT(TRIM(S1011),"00000")="89108"), "Urban Core",
  OR(TEXT(TRIM(S1011),"00000")="89110", TEXT(TRIM(S1011),"00000")="89115", TEXT(TRIM(S1011),"00000")="89121", TEXT(TRIM(S1011),"00000")="89122", TEXT(TRIM(S1011),"00000")="89142", TEXT(TRIM(S1011),"00000")="89156"), "East Valley",
  OR(TEXT(TRIM(S1011),"00000")="89030", TEXT(TRIM(S1011),"00000")="89031", TEXT(TRIM(S1011),"00000")="89032", TEXT(TRIM(S1011),"00000")="89086", TEXT(TRIM(S1011),"00000")="89084", TEXT(TRIM(S1011),"00000")="89081"), "North LV",
  OR(TEXT(TRIM(S1011),"00000")="89109", TEXT(TRIM(S1011),"00000")="89103", TEXT(TRIM(S1011),"00000")="89119", TEXT(TRIM(S1011),"00000")="89123", TEXT(TRIM(S1011),"00000")="89169", TEXT(TRIM(S1011),"00000")="89118"), "South/Strip",
  OR(TEXT(TRIM(S1011),"00000")="89074", TEXT(TRIM(S1011),"00000")="89014", TEXT(TRIM(S1011),"00000")="89015", TEXT(TRIM(S1011),"00000")="89011", TEXT(TRIM(S1011),"00000")="89012"), "Suburban SE",
  OR(TEXT(TRIM(S1011),"00000")="89117", TEXT(TRIM(S1011),"00000")="89128", TEXT(TRIM(S1011),"00000")="89135", TEXT(TRIM(S1011),"00000")="89144", TEXT(TRIM(S1011),"00000")="89145", TEXT(TRIM(S1011),"00000")="89147"), "West Valley",
  TRUE, "Other"
)</f>
        <v>South/Strip</v>
      </c>
      <c r="U1011" t="s">
        <v>3298</v>
      </c>
      <c r="V1011" t="str">
        <f t="shared" si="63"/>
        <v>Outdoors/Public</v>
      </c>
    </row>
    <row r="1012" spans="1:22">
      <c r="A1012" t="s">
        <v>2163</v>
      </c>
      <c r="B1012" t="s">
        <v>2164</v>
      </c>
      <c r="C1012" s="1">
        <v>44391</v>
      </c>
      <c r="D1012" s="4">
        <v>107.06</v>
      </c>
      <c r="E1012">
        <v>64</v>
      </c>
      <c r="F1012" t="str">
        <f t="shared" si="60"/>
        <v>60's</v>
      </c>
      <c r="G1012" t="str" cm="1">
        <f t="array" ref="G1012">_xlfn.IFS(
  F1012="10's", "Child (5–12)",
  OR(F1012="20's", F1012="30's"), "Young Adult (20–39)",
  OR(F1012="40's", F1012="50's"), "Adult (40–59)",
  OR(F1012="60's", F1012="70's", F1012="80's", F1012="90's"), "Senior (60+)",
  TRUE, "Unknown"
)</f>
        <v>Senior (60+)</v>
      </c>
      <c r="H1012" t="s">
        <v>841</v>
      </c>
      <c r="I1012" t="s">
        <v>63</v>
      </c>
      <c r="J1012" t="str">
        <f t="shared" si="61"/>
        <v>Cardiovascular Disease</v>
      </c>
      <c r="K1012" t="s">
        <v>54</v>
      </c>
      <c r="L1012" t="s">
        <v>250</v>
      </c>
      <c r="M1012" t="s">
        <v>4843</v>
      </c>
      <c r="N1012" t="s">
        <v>5098</v>
      </c>
      <c r="O1012" t="str" cm="1">
        <f t="array" ref="O1012">_xlfn.IFS(
  TEXT(TRIM(N1012),"00000")="NULL", "Missing/Unknown",
  OR(TEXT(TRIM(N1012),"00000")="89101", TEXT(TRIM(N1012),"00000")="89104", TEXT(TRIM(N1012),"00000")="89106", TEXT(TRIM(N1012),"00000")="89102", TEXT(TRIM(N1012),"00000")="89107", TEXT(TRIM(N1012),"00000")="89108"), "Urban Core",
  OR(TEXT(TRIM(N1012),"00000")="89110", TEXT(TRIM(N1012),"00000")="89115", TEXT(TRIM(N1012),"00000")="89121", TEXT(TRIM(N1012),"00000")="89122", TEXT(TRIM(N1012),"00000")="89142", TEXT(TRIM(N1012),"00000")="89156"), "East Valley",
  OR(TEXT(TRIM(N1012),"00000")="89030", TEXT(TRIM(N1012),"00000")="89031", TEXT(TRIM(N1012),"00000")="89032", TEXT(TRIM(N1012),"00000")="89086", TEXT(TRIM(N1012),"00000")="89084", TEXT(TRIM(N1012),"00000")="89081"), "North LV",
  OR(TEXT(TRIM(N1012),"00000")="89109", TEXT(TRIM(N1012),"00000")="89103", TEXT(TRIM(N1012),"00000")="89119", TEXT(TRIM(N1012),"00000")="89123", TEXT(TRIM(N1012),"00000")="89169", TEXT(TRIM(N1012),"00000")="89118"), "South/Strip",
  OR(TEXT(TRIM(N1012),"00000")="89074", TEXT(TRIM(N1012),"00000")="89014", TEXT(TRIM(N1012),"00000")="89015", TEXT(TRIM(N1012),"00000")="89011", TEXT(TRIM(N1012),"00000")="89012"), "Suburban SE",
  OR(TEXT(TRIM(N1012),"00000")="89117", TEXT(TRIM(N1012),"00000")="89128", TEXT(TRIM(N1012),"00000")="89135", TEXT(TRIM(N1012),"00000")="89144", TEXT(TRIM(N1012),"00000")="89145", TEXT(TRIM(N1012),"00000")="89147"), "West Valley",
  TRUE, "Other"
)</f>
        <v>Urban Core</v>
      </c>
      <c r="P1012" t="s">
        <v>3298</v>
      </c>
      <c r="Q1012" t="str">
        <f t="shared" si="62"/>
        <v>Outdoors/Public</v>
      </c>
      <c r="R1012" t="s">
        <v>4843</v>
      </c>
      <c r="S1012" t="s">
        <v>5098</v>
      </c>
      <c r="T1012" t="str" cm="1">
        <f t="array" ref="T1012">_xlfn.IFS(
  TEXT(TRIM(S1012),"00000")="NULL", "Missing/Unknown",
  OR(TEXT(TRIM(S1012),"00000")="89101", TEXT(TRIM(S1012),"00000")="89104", TEXT(TRIM(S1012),"00000")="89106", TEXT(TRIM(S1012),"00000")="89102", TEXT(TRIM(S1012),"00000")="89107", TEXT(TRIM(S1012),"00000")="89108"), "Urban Core",
  OR(TEXT(TRIM(S1012),"00000")="89110", TEXT(TRIM(S1012),"00000")="89115", TEXT(TRIM(S1012),"00000")="89121", TEXT(TRIM(S1012),"00000")="89122", TEXT(TRIM(S1012),"00000")="89142", TEXT(TRIM(S1012),"00000")="89156"), "East Valley",
  OR(TEXT(TRIM(S1012),"00000")="89030", TEXT(TRIM(S1012),"00000")="89031", TEXT(TRIM(S1012),"00000")="89032", TEXT(TRIM(S1012),"00000")="89086", TEXT(TRIM(S1012),"00000")="89084", TEXT(TRIM(S1012),"00000")="89081"), "North LV",
  OR(TEXT(TRIM(S1012),"00000")="89109", TEXT(TRIM(S1012),"00000")="89103", TEXT(TRIM(S1012),"00000")="89119", TEXT(TRIM(S1012),"00000")="89123", TEXT(TRIM(S1012),"00000")="89169", TEXT(TRIM(S1012),"00000")="89118"), "South/Strip",
  OR(TEXT(TRIM(S1012),"00000")="89074", TEXT(TRIM(S1012),"00000")="89014", TEXT(TRIM(S1012),"00000")="89015", TEXT(TRIM(S1012),"00000")="89011", TEXT(TRIM(S1012),"00000")="89012"), "Suburban SE",
  OR(TEXT(TRIM(S1012),"00000")="89117", TEXT(TRIM(S1012),"00000")="89128", TEXT(TRIM(S1012),"00000")="89135", TEXT(TRIM(S1012),"00000")="89144", TEXT(TRIM(S1012),"00000")="89145", TEXT(TRIM(S1012),"00000")="89147"), "West Valley",
  TRUE, "Other"
)</f>
        <v>Urban Core</v>
      </c>
      <c r="U1012" t="s">
        <v>3298</v>
      </c>
      <c r="V1012" t="str">
        <f t="shared" si="63"/>
        <v>Outdoors/Public</v>
      </c>
    </row>
    <row r="1013" spans="1:22">
      <c r="A1013" t="s">
        <v>2148</v>
      </c>
      <c r="B1013" t="s">
        <v>2149</v>
      </c>
      <c r="C1013" s="1">
        <v>44391</v>
      </c>
      <c r="D1013" s="4">
        <v>107.06</v>
      </c>
      <c r="E1013">
        <v>64</v>
      </c>
      <c r="F1013" t="str">
        <f t="shared" si="60"/>
        <v>60's</v>
      </c>
      <c r="G1013" t="str" cm="1">
        <f t="array" ref="G1013">_xlfn.IFS(
  F1013="10's", "Child (5–12)",
  OR(F1013="20's", F1013="30's"), "Young Adult (20–39)",
  OR(F1013="40's", F1013="50's"), "Adult (40–59)",
  OR(F1013="60's", F1013="70's", F1013="80's", F1013="90's"), "Senior (60+)",
  TRUE, "Unknown"
)</f>
        <v>Senior (60+)</v>
      </c>
      <c r="H1013" t="s">
        <v>841</v>
      </c>
      <c r="I1013" t="s">
        <v>54</v>
      </c>
      <c r="J1013" t="str">
        <f t="shared" si="61"/>
        <v>Environmental Heat</v>
      </c>
      <c r="K1013" t="s">
        <v>793</v>
      </c>
      <c r="L1013" t="s">
        <v>1071</v>
      </c>
      <c r="M1013" t="s">
        <v>4473</v>
      </c>
      <c r="N1013" t="s">
        <v>5100</v>
      </c>
      <c r="O1013" t="str" cm="1">
        <f t="array" ref="O1013">_xlfn.IFS(
  TEXT(TRIM(N1013),"00000")="NULL", "Missing/Unknown",
  OR(TEXT(TRIM(N1013),"00000")="89101", TEXT(TRIM(N1013),"00000")="89104", TEXT(TRIM(N1013),"00000")="89106", TEXT(TRIM(N1013),"00000")="89102", TEXT(TRIM(N1013),"00000")="89107", TEXT(TRIM(N1013),"00000")="89108"), "Urban Core",
  OR(TEXT(TRIM(N1013),"00000")="89110", TEXT(TRIM(N1013),"00000")="89115", TEXT(TRIM(N1013),"00000")="89121", TEXT(TRIM(N1013),"00000")="89122", TEXT(TRIM(N1013),"00000")="89142", TEXT(TRIM(N1013),"00000")="89156"), "East Valley",
  OR(TEXT(TRIM(N1013),"00000")="89030", TEXT(TRIM(N1013),"00000")="89031", TEXT(TRIM(N1013),"00000")="89032", TEXT(TRIM(N1013),"00000")="89086", TEXT(TRIM(N1013),"00000")="89084", TEXT(TRIM(N1013),"00000")="89081"), "North LV",
  OR(TEXT(TRIM(N1013),"00000")="89109", TEXT(TRIM(N1013),"00000")="89103", TEXT(TRIM(N1013),"00000")="89119", TEXT(TRIM(N1013),"00000")="89123", TEXT(TRIM(N1013),"00000")="89169", TEXT(TRIM(N1013),"00000")="89118"), "South/Strip",
  OR(TEXT(TRIM(N1013),"00000")="89074", TEXT(TRIM(N1013),"00000")="89014", TEXT(TRIM(N1013),"00000")="89015", TEXT(TRIM(N1013),"00000")="89011", TEXT(TRIM(N1013),"00000")="89012"), "Suburban SE",
  OR(TEXT(TRIM(N1013),"00000")="89117", TEXT(TRIM(N1013),"00000")="89128", TEXT(TRIM(N1013),"00000")="89135", TEXT(TRIM(N1013),"00000")="89144", TEXT(TRIM(N1013),"00000")="89145", TEXT(TRIM(N1013),"00000")="89147"), "West Valley",
  TRUE, "Other"
)</f>
        <v>North LV</v>
      </c>
      <c r="P1013" t="s">
        <v>38</v>
      </c>
      <c r="Q1013" t="str">
        <f t="shared" si="62"/>
        <v>Home/Residence</v>
      </c>
      <c r="R1013" t="s">
        <v>4473</v>
      </c>
      <c r="S1013" t="s">
        <v>5100</v>
      </c>
      <c r="T1013" t="str" cm="1">
        <f t="array" ref="T1013">_xlfn.IFS(
  TEXT(TRIM(S1013),"00000")="NULL", "Missing/Unknown",
  OR(TEXT(TRIM(S1013),"00000")="89101", TEXT(TRIM(S1013),"00000")="89104", TEXT(TRIM(S1013),"00000")="89106", TEXT(TRIM(S1013),"00000")="89102", TEXT(TRIM(S1013),"00000")="89107", TEXT(TRIM(S1013),"00000")="89108"), "Urban Core",
  OR(TEXT(TRIM(S1013),"00000")="89110", TEXT(TRIM(S1013),"00000")="89115", TEXT(TRIM(S1013),"00000")="89121", TEXT(TRIM(S1013),"00000")="89122", TEXT(TRIM(S1013),"00000")="89142", TEXT(TRIM(S1013),"00000")="89156"), "East Valley",
  OR(TEXT(TRIM(S1013),"00000")="89030", TEXT(TRIM(S1013),"00000")="89031", TEXT(TRIM(S1013),"00000")="89032", TEXT(TRIM(S1013),"00000")="89086", TEXT(TRIM(S1013),"00000")="89084", TEXT(TRIM(S1013),"00000")="89081"), "North LV",
  OR(TEXT(TRIM(S1013),"00000")="89109", TEXT(TRIM(S1013),"00000")="89103", TEXT(TRIM(S1013),"00000")="89119", TEXT(TRIM(S1013),"00000")="89123", TEXT(TRIM(S1013),"00000")="89169", TEXT(TRIM(S1013),"00000")="89118"), "South/Strip",
  OR(TEXT(TRIM(S1013),"00000")="89074", TEXT(TRIM(S1013),"00000")="89014", TEXT(TRIM(S1013),"00000")="89015", TEXT(TRIM(S1013),"00000")="89011", TEXT(TRIM(S1013),"00000")="89012"), "Suburban SE",
  OR(TEXT(TRIM(S1013),"00000")="89117", TEXT(TRIM(S1013),"00000")="89128", TEXT(TRIM(S1013),"00000")="89135", TEXT(TRIM(S1013),"00000")="89144", TEXT(TRIM(S1013),"00000")="89145", TEXT(TRIM(S1013),"00000")="89147"), "West Valley",
  TRUE, "Other"
)</f>
        <v>North LV</v>
      </c>
      <c r="U1013" t="s">
        <v>38</v>
      </c>
      <c r="V1013" t="str">
        <f t="shared" si="63"/>
        <v>Home/Residence</v>
      </c>
    </row>
    <row r="1014" spans="1:22">
      <c r="A1014" t="s">
        <v>2155</v>
      </c>
      <c r="B1014" t="s">
        <v>2156</v>
      </c>
      <c r="C1014" s="1">
        <v>44391</v>
      </c>
      <c r="D1014" s="4">
        <v>107.06</v>
      </c>
      <c r="E1014">
        <v>61</v>
      </c>
      <c r="F1014" t="str">
        <f t="shared" si="60"/>
        <v>60's</v>
      </c>
      <c r="G1014" t="str" cm="1">
        <f t="array" ref="G1014">_xlfn.IFS(
  F1014="10's", "Child (5–12)",
  OR(F1014="20's", F1014="30's"), "Young Adult (20–39)",
  OR(F1014="40's", F1014="50's"), "Adult (40–59)",
  OR(F1014="60's", F1014="70's", F1014="80's", F1014="90's"), "Senior (60+)",
  TRUE, "Unknown"
)</f>
        <v>Senior (60+)</v>
      </c>
      <c r="H1014" t="s">
        <v>27</v>
      </c>
      <c r="I1014" t="s">
        <v>54</v>
      </c>
      <c r="J1014" t="str">
        <f t="shared" si="61"/>
        <v>Environmental Heat</v>
      </c>
      <c r="K1014" t="s">
        <v>4277</v>
      </c>
      <c r="L1014" t="s">
        <v>250</v>
      </c>
      <c r="M1014" t="s">
        <v>4842</v>
      </c>
      <c r="N1014" t="s">
        <v>5108</v>
      </c>
      <c r="O1014" t="str" cm="1">
        <f t="array" ref="O1014">_xlfn.IFS(
  TEXT(TRIM(N1014),"00000")="NULL", "Missing/Unknown",
  OR(TEXT(TRIM(N1014),"00000")="89101", TEXT(TRIM(N1014),"00000")="89104", TEXT(TRIM(N1014),"00000")="89106", TEXT(TRIM(N1014),"00000")="89102", TEXT(TRIM(N1014),"00000")="89107", TEXT(TRIM(N1014),"00000")="89108"), "Urban Core",
  OR(TEXT(TRIM(N1014),"00000")="89110", TEXT(TRIM(N1014),"00000")="89115", TEXT(TRIM(N1014),"00000")="89121", TEXT(TRIM(N1014),"00000")="89122", TEXT(TRIM(N1014),"00000")="89142", TEXT(TRIM(N1014),"00000")="89156"), "East Valley",
  OR(TEXT(TRIM(N1014),"00000")="89030", TEXT(TRIM(N1014),"00000")="89031", TEXT(TRIM(N1014),"00000")="89032", TEXT(TRIM(N1014),"00000")="89086", TEXT(TRIM(N1014),"00000")="89084", TEXT(TRIM(N1014),"00000")="89081"), "North LV",
  OR(TEXT(TRIM(N1014),"00000")="89109", TEXT(TRIM(N1014),"00000")="89103", TEXT(TRIM(N1014),"00000")="89119", TEXT(TRIM(N1014),"00000")="89123", TEXT(TRIM(N1014),"00000")="89169", TEXT(TRIM(N1014),"00000")="89118"), "South/Strip",
  OR(TEXT(TRIM(N1014),"00000")="89074", TEXT(TRIM(N1014),"00000")="89014", TEXT(TRIM(N1014),"00000")="89015", TEXT(TRIM(N1014),"00000")="89011", TEXT(TRIM(N1014),"00000")="89012"), "Suburban SE",
  OR(TEXT(TRIM(N1014),"00000")="89117", TEXT(TRIM(N1014),"00000")="89128", TEXT(TRIM(N1014),"00000")="89135", TEXT(TRIM(N1014),"00000")="89144", TEXT(TRIM(N1014),"00000")="89145", TEXT(TRIM(N1014),"00000")="89147"), "West Valley",
  TRUE, "Other"
)</f>
        <v>East Valley</v>
      </c>
      <c r="P1014" t="s">
        <v>3298</v>
      </c>
      <c r="Q1014" t="str">
        <f t="shared" si="62"/>
        <v>Outdoors/Public</v>
      </c>
      <c r="R1014" t="s">
        <v>4842</v>
      </c>
      <c r="S1014" t="s">
        <v>5108</v>
      </c>
      <c r="T1014" t="str" cm="1">
        <f t="array" ref="T1014">_xlfn.IFS(
  TEXT(TRIM(S1014),"00000")="NULL", "Missing/Unknown",
  OR(TEXT(TRIM(S1014),"00000")="89101", TEXT(TRIM(S1014),"00000")="89104", TEXT(TRIM(S1014),"00000")="89106", TEXT(TRIM(S1014),"00000")="89102", TEXT(TRIM(S1014),"00000")="89107", TEXT(TRIM(S1014),"00000")="89108"), "Urban Core",
  OR(TEXT(TRIM(S1014),"00000")="89110", TEXT(TRIM(S1014),"00000")="89115", TEXT(TRIM(S1014),"00000")="89121", TEXT(TRIM(S1014),"00000")="89122", TEXT(TRIM(S1014),"00000")="89142", TEXT(TRIM(S1014),"00000")="89156"), "East Valley",
  OR(TEXT(TRIM(S1014),"00000")="89030", TEXT(TRIM(S1014),"00000")="89031", TEXT(TRIM(S1014),"00000")="89032", TEXT(TRIM(S1014),"00000")="89086", TEXT(TRIM(S1014),"00000")="89084", TEXT(TRIM(S1014),"00000")="89081"), "North LV",
  OR(TEXT(TRIM(S1014),"00000")="89109", TEXT(TRIM(S1014),"00000")="89103", TEXT(TRIM(S1014),"00000")="89119", TEXT(TRIM(S1014),"00000")="89123", TEXT(TRIM(S1014),"00000")="89169", TEXT(TRIM(S1014),"00000")="89118"), "South/Strip",
  OR(TEXT(TRIM(S1014),"00000")="89074", TEXT(TRIM(S1014),"00000")="89014", TEXT(TRIM(S1014),"00000")="89015", TEXT(TRIM(S1014),"00000")="89011", TEXT(TRIM(S1014),"00000")="89012"), "Suburban SE",
  OR(TEXT(TRIM(S1014),"00000")="89117", TEXT(TRIM(S1014),"00000")="89128", TEXT(TRIM(S1014),"00000")="89135", TEXT(TRIM(S1014),"00000")="89144", TEXT(TRIM(S1014),"00000")="89145", TEXT(TRIM(S1014),"00000")="89147"), "West Valley",
  TRUE, "Other"
)</f>
        <v>East Valley</v>
      </c>
      <c r="U1014" t="s">
        <v>3298</v>
      </c>
      <c r="V1014" t="str">
        <f t="shared" si="63"/>
        <v>Outdoors/Public</v>
      </c>
    </row>
    <row r="1015" spans="1:22">
      <c r="A1015" t="s">
        <v>2144</v>
      </c>
      <c r="B1015" t="s">
        <v>2145</v>
      </c>
      <c r="C1015" s="1">
        <v>44391</v>
      </c>
      <c r="D1015" s="4">
        <v>107.06</v>
      </c>
      <c r="E1015">
        <v>53</v>
      </c>
      <c r="F1015" t="str">
        <f t="shared" si="60"/>
        <v>50's</v>
      </c>
      <c r="G1015" t="str" cm="1">
        <f t="array" ref="G1015">_xlfn.IFS(
  F1015="10's", "Child (5–12)",
  OR(F1015="20's", F1015="30's"), "Young Adult (20–39)",
  OR(F1015="40's", F1015="50's"), "Adult (40–59)",
  OR(F1015="60's", F1015="70's", F1015="80's", F1015="90's"), "Senior (60+)",
  TRUE, "Unknown"
)</f>
        <v>Adult (40–59)</v>
      </c>
      <c r="H1015" t="s">
        <v>778</v>
      </c>
      <c r="I1015" t="s">
        <v>4115</v>
      </c>
      <c r="J1015" t="str">
        <f t="shared" si="61"/>
        <v>Environmental Heat</v>
      </c>
      <c r="K1015" t="s">
        <v>4276</v>
      </c>
      <c r="L1015" t="s">
        <v>250</v>
      </c>
      <c r="M1015" t="s">
        <v>4317</v>
      </c>
      <c r="N1015" t="s">
        <v>5100</v>
      </c>
      <c r="O1015" t="str" cm="1">
        <f t="array" ref="O1015">_xlfn.IFS(
  TEXT(TRIM(N1015),"00000")="NULL", "Missing/Unknown",
  OR(TEXT(TRIM(N1015),"00000")="89101", TEXT(TRIM(N1015),"00000")="89104", TEXT(TRIM(N1015),"00000")="89106", TEXT(TRIM(N1015),"00000")="89102", TEXT(TRIM(N1015),"00000")="89107", TEXT(TRIM(N1015),"00000")="89108"), "Urban Core",
  OR(TEXT(TRIM(N1015),"00000")="89110", TEXT(TRIM(N1015),"00000")="89115", TEXT(TRIM(N1015),"00000")="89121", TEXT(TRIM(N1015),"00000")="89122", TEXT(TRIM(N1015),"00000")="89142", TEXT(TRIM(N1015),"00000")="89156"), "East Valley",
  OR(TEXT(TRIM(N1015),"00000")="89030", TEXT(TRIM(N1015),"00000")="89031", TEXT(TRIM(N1015),"00000")="89032", TEXT(TRIM(N1015),"00000")="89086", TEXT(TRIM(N1015),"00000")="89084", TEXT(TRIM(N1015),"00000")="89081"), "North LV",
  OR(TEXT(TRIM(N1015),"00000")="89109", TEXT(TRIM(N1015),"00000")="89103", TEXT(TRIM(N1015),"00000")="89119", TEXT(TRIM(N1015),"00000")="89123", TEXT(TRIM(N1015),"00000")="89169", TEXT(TRIM(N1015),"00000")="89118"), "South/Strip",
  OR(TEXT(TRIM(N1015),"00000")="89074", TEXT(TRIM(N1015),"00000")="89014", TEXT(TRIM(N1015),"00000")="89015", TEXT(TRIM(N1015),"00000")="89011", TEXT(TRIM(N1015),"00000")="89012"), "Suburban SE",
  OR(TEXT(TRIM(N1015),"00000")="89117", TEXT(TRIM(N1015),"00000")="89128", TEXT(TRIM(N1015),"00000")="89135", TEXT(TRIM(N1015),"00000")="89144", TEXT(TRIM(N1015),"00000")="89145", TEXT(TRIM(N1015),"00000")="89147"), "West Valley",
  TRUE, "Other"
)</f>
        <v>North LV</v>
      </c>
      <c r="P1015" t="s">
        <v>65</v>
      </c>
      <c r="Q1015" t="str">
        <f t="shared" si="62"/>
        <v>Vehicle-related</v>
      </c>
      <c r="R1015" t="s">
        <v>4317</v>
      </c>
      <c r="S1015" t="s">
        <v>5100</v>
      </c>
      <c r="T1015" t="str" cm="1">
        <f t="array" ref="T1015">_xlfn.IFS(
  TEXT(TRIM(S1015),"00000")="NULL", "Missing/Unknown",
  OR(TEXT(TRIM(S1015),"00000")="89101", TEXT(TRIM(S1015),"00000")="89104", TEXT(TRIM(S1015),"00000")="89106", TEXT(TRIM(S1015),"00000")="89102", TEXT(TRIM(S1015),"00000")="89107", TEXT(TRIM(S1015),"00000")="89108"), "Urban Core",
  OR(TEXT(TRIM(S1015),"00000")="89110", TEXT(TRIM(S1015),"00000")="89115", TEXT(TRIM(S1015),"00000")="89121", TEXT(TRIM(S1015),"00000")="89122", TEXT(TRIM(S1015),"00000")="89142", TEXT(TRIM(S1015),"00000")="89156"), "East Valley",
  OR(TEXT(TRIM(S1015),"00000")="89030", TEXT(TRIM(S1015),"00000")="89031", TEXT(TRIM(S1015),"00000")="89032", TEXT(TRIM(S1015),"00000")="89086", TEXT(TRIM(S1015),"00000")="89084", TEXT(TRIM(S1015),"00000")="89081"), "North LV",
  OR(TEXT(TRIM(S1015),"00000")="89109", TEXT(TRIM(S1015),"00000")="89103", TEXT(TRIM(S1015),"00000")="89119", TEXT(TRIM(S1015),"00000")="89123", TEXT(TRIM(S1015),"00000")="89169", TEXT(TRIM(S1015),"00000")="89118"), "South/Strip",
  OR(TEXT(TRIM(S1015),"00000")="89074", TEXT(TRIM(S1015),"00000")="89014", TEXT(TRIM(S1015),"00000")="89015", TEXT(TRIM(S1015),"00000")="89011", TEXT(TRIM(S1015),"00000")="89012"), "Suburban SE",
  OR(TEXT(TRIM(S1015),"00000")="89117", TEXT(TRIM(S1015),"00000")="89128", TEXT(TRIM(S1015),"00000")="89135", TEXT(TRIM(S1015),"00000")="89144", TEXT(TRIM(S1015),"00000")="89145", TEXT(TRIM(S1015),"00000")="89147"), "West Valley",
  TRUE, "Other"
)</f>
        <v>North LV</v>
      </c>
      <c r="U1015" t="s">
        <v>65</v>
      </c>
      <c r="V1015" t="str">
        <f t="shared" si="63"/>
        <v>Vehicle-related</v>
      </c>
    </row>
    <row r="1016" spans="1:22">
      <c r="A1016" t="s">
        <v>2159</v>
      </c>
      <c r="B1016" t="s">
        <v>2160</v>
      </c>
      <c r="C1016" s="1">
        <v>44391</v>
      </c>
      <c r="D1016" s="4">
        <v>107.06</v>
      </c>
      <c r="E1016">
        <v>41</v>
      </c>
      <c r="F1016" t="str">
        <f t="shared" si="60"/>
        <v>40's</v>
      </c>
      <c r="G1016" t="str" cm="1">
        <f t="array" ref="G1016">_xlfn.IFS(
  F1016="10's", "Child (5–12)",
  OR(F1016="20's", F1016="30's"), "Young Adult (20–39)",
  OR(F1016="40's", F1016="50's"), "Adult (40–59)",
  OR(F1016="60's", F1016="70's", F1016="80's", F1016="90's"), "Senior (60+)",
  TRUE, "Unknown"
)</f>
        <v>Adult (40–59)</v>
      </c>
      <c r="H1016" t="s">
        <v>778</v>
      </c>
      <c r="I1016" t="s">
        <v>97</v>
      </c>
      <c r="J1016" t="str">
        <f t="shared" si="61"/>
        <v>Environmental Heat</v>
      </c>
      <c r="K1016" t="s">
        <v>2161</v>
      </c>
      <c r="L1016" t="s">
        <v>1071</v>
      </c>
      <c r="M1016" t="s">
        <v>4574</v>
      </c>
      <c r="N1016" t="s">
        <v>5097</v>
      </c>
      <c r="O1016" t="str" cm="1">
        <f t="array" ref="O1016">_xlfn.IFS(
  TEXT(TRIM(N1016),"00000")="NULL", "Missing/Unknown",
  OR(TEXT(TRIM(N1016),"00000")="89101", TEXT(TRIM(N1016),"00000")="89104", TEXT(TRIM(N1016),"00000")="89106", TEXT(TRIM(N1016),"00000")="89102", TEXT(TRIM(N1016),"00000")="89107", TEXT(TRIM(N1016),"00000")="89108"), "Urban Core",
  OR(TEXT(TRIM(N1016),"00000")="89110", TEXT(TRIM(N1016),"00000")="89115", TEXT(TRIM(N1016),"00000")="89121", TEXT(TRIM(N1016),"00000")="89122", TEXT(TRIM(N1016),"00000")="89142", TEXT(TRIM(N1016),"00000")="89156"), "East Valley",
  OR(TEXT(TRIM(N1016),"00000")="89030", TEXT(TRIM(N1016),"00000")="89031", TEXT(TRIM(N1016),"00000")="89032", TEXT(TRIM(N1016),"00000")="89086", TEXT(TRIM(N1016),"00000")="89084", TEXT(TRIM(N1016),"00000")="89081"), "North LV",
  OR(TEXT(TRIM(N1016),"00000")="89109", TEXT(TRIM(N1016),"00000")="89103", TEXT(TRIM(N1016),"00000")="89119", TEXT(TRIM(N1016),"00000")="89123", TEXT(TRIM(N1016),"00000")="89169", TEXT(TRIM(N1016),"00000")="89118"), "South/Strip",
  OR(TEXT(TRIM(N1016),"00000")="89074", TEXT(TRIM(N1016),"00000")="89014", TEXT(TRIM(N1016),"00000")="89015", TEXT(TRIM(N1016),"00000")="89011", TEXT(TRIM(N1016),"00000")="89012"), "Suburban SE",
  OR(TEXT(TRIM(N1016),"00000")="89117", TEXT(TRIM(N1016),"00000")="89128", TEXT(TRIM(N1016),"00000")="89135", TEXT(TRIM(N1016),"00000")="89144", TEXT(TRIM(N1016),"00000")="89145", TEXT(TRIM(N1016),"00000")="89147"), "West Valley",
  TRUE, "Other"
)</f>
        <v>Urban Core</v>
      </c>
      <c r="P1016" t="s">
        <v>38</v>
      </c>
      <c r="Q1016" t="str">
        <f t="shared" si="62"/>
        <v>Home/Residence</v>
      </c>
      <c r="R1016" t="s">
        <v>5054</v>
      </c>
      <c r="S1016" t="s">
        <v>5097</v>
      </c>
      <c r="T1016" t="str" cm="1">
        <f t="array" ref="T1016">_xlfn.IFS(
  TEXT(TRIM(S1016),"00000")="NULL", "Missing/Unknown",
  OR(TEXT(TRIM(S1016),"00000")="89101", TEXT(TRIM(S1016),"00000")="89104", TEXT(TRIM(S1016),"00000")="89106", TEXT(TRIM(S1016),"00000")="89102", TEXT(TRIM(S1016),"00000")="89107", TEXT(TRIM(S1016),"00000")="89108"), "Urban Core",
  OR(TEXT(TRIM(S1016),"00000")="89110", TEXT(TRIM(S1016),"00000")="89115", TEXT(TRIM(S1016),"00000")="89121", TEXT(TRIM(S1016),"00000")="89122", TEXT(TRIM(S1016),"00000")="89142", TEXT(TRIM(S1016),"00000")="89156"), "East Valley",
  OR(TEXT(TRIM(S1016),"00000")="89030", TEXT(TRIM(S1016),"00000")="89031", TEXT(TRIM(S1016),"00000")="89032", TEXT(TRIM(S1016),"00000")="89086", TEXT(TRIM(S1016),"00000")="89084", TEXT(TRIM(S1016),"00000")="89081"), "North LV",
  OR(TEXT(TRIM(S1016),"00000")="89109", TEXT(TRIM(S1016),"00000")="89103", TEXT(TRIM(S1016),"00000")="89119", TEXT(TRIM(S1016),"00000")="89123", TEXT(TRIM(S1016),"00000")="89169", TEXT(TRIM(S1016),"00000")="89118"), "South/Strip",
  OR(TEXT(TRIM(S1016),"00000")="89074", TEXT(TRIM(S1016),"00000")="89014", TEXT(TRIM(S1016),"00000")="89015", TEXT(TRIM(S1016),"00000")="89011", TEXT(TRIM(S1016),"00000")="89012"), "Suburban SE",
  OR(TEXT(TRIM(S1016),"00000")="89117", TEXT(TRIM(S1016),"00000")="89128", TEXT(TRIM(S1016),"00000")="89135", TEXT(TRIM(S1016),"00000")="89144", TEXT(TRIM(S1016),"00000")="89145", TEXT(TRIM(S1016),"00000")="89147"), "West Valley",
  TRUE, "Other"
)</f>
        <v>Urban Core</v>
      </c>
      <c r="U1016" t="s">
        <v>4305</v>
      </c>
      <c r="V1016" t="str">
        <f t="shared" si="63"/>
        <v>Medical Facility</v>
      </c>
    </row>
    <row r="1017" spans="1:22">
      <c r="A1017" t="s">
        <v>2116</v>
      </c>
      <c r="B1017" t="s">
        <v>2117</v>
      </c>
      <c r="C1017" s="1">
        <v>44390</v>
      </c>
      <c r="D1017" s="4">
        <v>109.04</v>
      </c>
      <c r="E1017">
        <v>62</v>
      </c>
      <c r="F1017" t="str">
        <f t="shared" si="60"/>
        <v>60's</v>
      </c>
      <c r="G1017" t="str" cm="1">
        <f t="array" ref="G1017">_xlfn.IFS(
  F1017="10's", "Child (5–12)",
  OR(F1017="20's", F1017="30's"), "Young Adult (20–39)",
  OR(F1017="40's", F1017="50's"), "Adult (40–59)",
  OR(F1017="60's", F1017="70's", F1017="80's", F1017="90's"), "Senior (60+)",
  TRUE, "Unknown"
)</f>
        <v>Senior (60+)</v>
      </c>
      <c r="H1017" t="s">
        <v>841</v>
      </c>
      <c r="I1017" t="s">
        <v>54</v>
      </c>
      <c r="J1017" t="str">
        <f t="shared" si="61"/>
        <v>Environmental Heat</v>
      </c>
      <c r="K1017" t="s">
        <v>28</v>
      </c>
      <c r="L1017" t="s">
        <v>1071</v>
      </c>
      <c r="M1017" t="s">
        <v>4348</v>
      </c>
      <c r="N1017" t="s">
        <v>5116</v>
      </c>
      <c r="O1017" t="str" cm="1">
        <f t="array" ref="O1017">_xlfn.IFS(
  TEXT(TRIM(N1017),"00000")="NULL", "Missing/Unknown",
  OR(TEXT(TRIM(N1017),"00000")="89101", TEXT(TRIM(N1017),"00000")="89104", TEXT(TRIM(N1017),"00000")="89106", TEXT(TRIM(N1017),"00000")="89102", TEXT(TRIM(N1017),"00000")="89107", TEXT(TRIM(N1017),"00000")="89108"), "Urban Core",
  OR(TEXT(TRIM(N1017),"00000")="89110", TEXT(TRIM(N1017),"00000")="89115", TEXT(TRIM(N1017),"00000")="89121", TEXT(TRIM(N1017),"00000")="89122", TEXT(TRIM(N1017),"00000")="89142", TEXT(TRIM(N1017),"00000")="89156"), "East Valley",
  OR(TEXT(TRIM(N1017),"00000")="89030", TEXT(TRIM(N1017),"00000")="89031", TEXT(TRIM(N1017),"00000")="89032", TEXT(TRIM(N1017),"00000")="89086", TEXT(TRIM(N1017),"00000")="89084", TEXT(TRIM(N1017),"00000")="89081"), "North LV",
  OR(TEXT(TRIM(N1017),"00000")="89109", TEXT(TRIM(N1017),"00000")="89103", TEXT(TRIM(N1017),"00000")="89119", TEXT(TRIM(N1017),"00000")="89123", TEXT(TRIM(N1017),"00000")="89169", TEXT(TRIM(N1017),"00000")="89118"), "South/Strip",
  OR(TEXT(TRIM(N1017),"00000")="89074", TEXT(TRIM(N1017),"00000")="89014", TEXT(TRIM(N1017),"00000")="89015", TEXT(TRIM(N1017),"00000")="89011", TEXT(TRIM(N1017),"00000")="89012"), "Suburban SE",
  OR(TEXT(TRIM(N1017),"00000")="89117", TEXT(TRIM(N1017),"00000")="89128", TEXT(TRIM(N1017),"00000")="89135", TEXT(TRIM(N1017),"00000")="89144", TEXT(TRIM(N1017),"00000")="89145", TEXT(TRIM(N1017),"00000")="89147"), "West Valley",
  TRUE, "Other"
)</f>
        <v>West Valley</v>
      </c>
      <c r="P1017" t="s">
        <v>38</v>
      </c>
      <c r="Q1017" t="str">
        <f t="shared" si="62"/>
        <v>Home/Residence</v>
      </c>
      <c r="R1017" t="s">
        <v>4348</v>
      </c>
      <c r="S1017" t="s">
        <v>5116</v>
      </c>
      <c r="T1017" t="str" cm="1">
        <f t="array" ref="T1017">_xlfn.IFS(
  TEXT(TRIM(S1017),"00000")="NULL", "Missing/Unknown",
  OR(TEXT(TRIM(S1017),"00000")="89101", TEXT(TRIM(S1017),"00000")="89104", TEXT(TRIM(S1017),"00000")="89106", TEXT(TRIM(S1017),"00000")="89102", TEXT(TRIM(S1017),"00000")="89107", TEXT(TRIM(S1017),"00000")="89108"), "Urban Core",
  OR(TEXT(TRIM(S1017),"00000")="89110", TEXT(TRIM(S1017),"00000")="89115", TEXT(TRIM(S1017),"00000")="89121", TEXT(TRIM(S1017),"00000")="89122", TEXT(TRIM(S1017),"00000")="89142", TEXT(TRIM(S1017),"00000")="89156"), "East Valley",
  OR(TEXT(TRIM(S1017),"00000")="89030", TEXT(TRIM(S1017),"00000")="89031", TEXT(TRIM(S1017),"00000")="89032", TEXT(TRIM(S1017),"00000")="89086", TEXT(TRIM(S1017),"00000")="89084", TEXT(TRIM(S1017),"00000")="89081"), "North LV",
  OR(TEXT(TRIM(S1017),"00000")="89109", TEXT(TRIM(S1017),"00000")="89103", TEXT(TRIM(S1017),"00000")="89119", TEXT(TRIM(S1017),"00000")="89123", TEXT(TRIM(S1017),"00000")="89169", TEXT(TRIM(S1017),"00000")="89118"), "South/Strip",
  OR(TEXT(TRIM(S1017),"00000")="89074", TEXT(TRIM(S1017),"00000")="89014", TEXT(TRIM(S1017),"00000")="89015", TEXT(TRIM(S1017),"00000")="89011", TEXT(TRIM(S1017),"00000")="89012"), "Suburban SE",
  OR(TEXT(TRIM(S1017),"00000")="89117", TEXT(TRIM(S1017),"00000")="89128", TEXT(TRIM(S1017),"00000")="89135", TEXT(TRIM(S1017),"00000")="89144", TEXT(TRIM(S1017),"00000")="89145", TEXT(TRIM(S1017),"00000")="89147"), "West Valley",
  TRUE, "Other"
)</f>
        <v>West Valley</v>
      </c>
      <c r="U1017" t="s">
        <v>38</v>
      </c>
      <c r="V1017" t="str">
        <f t="shared" si="63"/>
        <v>Home/Residence</v>
      </c>
    </row>
    <row r="1018" spans="1:22">
      <c r="A1018" t="s">
        <v>2124</v>
      </c>
      <c r="B1018" t="s">
        <v>2125</v>
      </c>
      <c r="C1018" s="1">
        <v>44390</v>
      </c>
      <c r="D1018" s="4">
        <v>109.04</v>
      </c>
      <c r="E1018">
        <v>72</v>
      </c>
      <c r="F1018" t="str">
        <f t="shared" si="60"/>
        <v>70's</v>
      </c>
      <c r="G1018" t="str" cm="1">
        <f t="array" ref="G1018">_xlfn.IFS(
  F1018="10's", "Child (5–12)",
  OR(F1018="20's", F1018="30's"), "Young Adult (20–39)",
  OR(F1018="40's", F1018="50's"), "Adult (40–59)",
  OR(F1018="60's", F1018="70's", F1018="80's", F1018="90's"), "Senior (60+)",
  TRUE, "Unknown"
)</f>
        <v>Senior (60+)</v>
      </c>
      <c r="H1018" t="s">
        <v>778</v>
      </c>
      <c r="I1018" t="s">
        <v>54</v>
      </c>
      <c r="J1018" t="str">
        <f t="shared" si="61"/>
        <v>Environmental Heat</v>
      </c>
      <c r="K1018" t="s">
        <v>181</v>
      </c>
      <c r="L1018" t="s">
        <v>1071</v>
      </c>
      <c r="M1018" t="s">
        <v>4476</v>
      </c>
      <c r="N1018" t="s">
        <v>5098</v>
      </c>
      <c r="O1018" t="str" cm="1">
        <f t="array" ref="O1018">_xlfn.IFS(
  TEXT(TRIM(N1018),"00000")="NULL", "Missing/Unknown",
  OR(TEXT(TRIM(N1018),"00000")="89101", TEXT(TRIM(N1018),"00000")="89104", TEXT(TRIM(N1018),"00000")="89106", TEXT(TRIM(N1018),"00000")="89102", TEXT(TRIM(N1018),"00000")="89107", TEXT(TRIM(N1018),"00000")="89108"), "Urban Core",
  OR(TEXT(TRIM(N1018),"00000")="89110", TEXT(TRIM(N1018),"00000")="89115", TEXT(TRIM(N1018),"00000")="89121", TEXT(TRIM(N1018),"00000")="89122", TEXT(TRIM(N1018),"00000")="89142", TEXT(TRIM(N1018),"00000")="89156"), "East Valley",
  OR(TEXT(TRIM(N1018),"00000")="89030", TEXT(TRIM(N1018),"00000")="89031", TEXT(TRIM(N1018),"00000")="89032", TEXT(TRIM(N1018),"00000")="89086", TEXT(TRIM(N1018),"00000")="89084", TEXT(TRIM(N1018),"00000")="89081"), "North LV",
  OR(TEXT(TRIM(N1018),"00000")="89109", TEXT(TRIM(N1018),"00000")="89103", TEXT(TRIM(N1018),"00000")="89119", TEXT(TRIM(N1018),"00000")="89123", TEXT(TRIM(N1018),"00000")="89169", TEXT(TRIM(N1018),"00000")="89118"), "South/Strip",
  OR(TEXT(TRIM(N1018),"00000")="89074", TEXT(TRIM(N1018),"00000")="89014", TEXT(TRIM(N1018),"00000")="89015", TEXT(TRIM(N1018),"00000")="89011", TEXT(TRIM(N1018),"00000")="89012"), "Suburban SE",
  OR(TEXT(TRIM(N1018),"00000")="89117", TEXT(TRIM(N1018),"00000")="89128", TEXT(TRIM(N1018),"00000")="89135", TEXT(TRIM(N1018),"00000")="89144", TEXT(TRIM(N1018),"00000")="89145", TEXT(TRIM(N1018),"00000")="89147"), "West Valley",
  TRUE, "Other"
)</f>
        <v>Urban Core</v>
      </c>
      <c r="P1018" t="s">
        <v>38</v>
      </c>
      <c r="Q1018" t="str">
        <f t="shared" si="62"/>
        <v>Home/Residence</v>
      </c>
      <c r="R1018" t="s">
        <v>4476</v>
      </c>
      <c r="S1018" t="s">
        <v>5098</v>
      </c>
      <c r="T1018" t="str" cm="1">
        <f t="array" ref="T1018">_xlfn.IFS(
  TEXT(TRIM(S1018),"00000")="NULL", "Missing/Unknown",
  OR(TEXT(TRIM(S1018),"00000")="89101", TEXT(TRIM(S1018),"00000")="89104", TEXT(TRIM(S1018),"00000")="89106", TEXT(TRIM(S1018),"00000")="89102", TEXT(TRIM(S1018),"00000")="89107", TEXT(TRIM(S1018),"00000")="89108"), "Urban Core",
  OR(TEXT(TRIM(S1018),"00000")="89110", TEXT(TRIM(S1018),"00000")="89115", TEXT(TRIM(S1018),"00000")="89121", TEXT(TRIM(S1018),"00000")="89122", TEXT(TRIM(S1018),"00000")="89142", TEXT(TRIM(S1018),"00000")="89156"), "East Valley",
  OR(TEXT(TRIM(S1018),"00000")="89030", TEXT(TRIM(S1018),"00000")="89031", TEXT(TRIM(S1018),"00000")="89032", TEXT(TRIM(S1018),"00000")="89086", TEXT(TRIM(S1018),"00000")="89084", TEXT(TRIM(S1018),"00000")="89081"), "North LV",
  OR(TEXT(TRIM(S1018),"00000")="89109", TEXT(TRIM(S1018),"00000")="89103", TEXT(TRIM(S1018),"00000")="89119", TEXT(TRIM(S1018),"00000")="89123", TEXT(TRIM(S1018),"00000")="89169", TEXT(TRIM(S1018),"00000")="89118"), "South/Strip",
  OR(TEXT(TRIM(S1018),"00000")="89074", TEXT(TRIM(S1018),"00000")="89014", TEXT(TRIM(S1018),"00000")="89015", TEXT(TRIM(S1018),"00000")="89011", TEXT(TRIM(S1018),"00000")="89012"), "Suburban SE",
  OR(TEXT(TRIM(S1018),"00000")="89117", TEXT(TRIM(S1018),"00000")="89128", TEXT(TRIM(S1018),"00000")="89135", TEXT(TRIM(S1018),"00000")="89144", TEXT(TRIM(S1018),"00000")="89145", TEXT(TRIM(S1018),"00000")="89147"), "West Valley",
  TRUE, "Other"
)</f>
        <v>Urban Core</v>
      </c>
      <c r="U1018" t="s">
        <v>38</v>
      </c>
      <c r="V1018" t="str">
        <f t="shared" si="63"/>
        <v>Home/Residence</v>
      </c>
    </row>
    <row r="1019" spans="1:22">
      <c r="A1019" t="s">
        <v>2110</v>
      </c>
      <c r="B1019" t="s">
        <v>2111</v>
      </c>
      <c r="C1019" s="1">
        <v>44390</v>
      </c>
      <c r="D1019" s="4">
        <v>109.04</v>
      </c>
      <c r="E1019">
        <v>50</v>
      </c>
      <c r="F1019" t="str">
        <f t="shared" si="60"/>
        <v>50's</v>
      </c>
      <c r="G1019" t="str" cm="1">
        <f t="array" ref="G1019">_xlfn.IFS(
  F1019="10's", "Child (5–12)",
  OR(F1019="20's", F1019="30's"), "Young Adult (20–39)",
  OR(F1019="40's", F1019="50's"), "Adult (40–59)",
  OR(F1019="60's", F1019="70's", F1019="80's", F1019="90's"), "Senior (60+)",
  TRUE, "Unknown"
)</f>
        <v>Adult (40–59)</v>
      </c>
      <c r="H1019" t="s">
        <v>27</v>
      </c>
      <c r="I1019" t="s">
        <v>172</v>
      </c>
      <c r="J1019" t="str">
        <f t="shared" si="61"/>
        <v>Methamphetamine-related</v>
      </c>
      <c r="K1019" t="s">
        <v>54</v>
      </c>
      <c r="L1019" t="s">
        <v>250</v>
      </c>
      <c r="M1019" t="s">
        <v>4988</v>
      </c>
      <c r="N1019" t="s">
        <v>5128</v>
      </c>
      <c r="O1019" t="str" cm="1">
        <f t="array" ref="O1019">_xlfn.IFS(
  TEXT(TRIM(N1019),"00000")="NULL", "Missing/Unknown",
  OR(TEXT(TRIM(N1019),"00000")="89101", TEXT(TRIM(N1019),"00000")="89104", TEXT(TRIM(N1019),"00000")="89106", TEXT(TRIM(N1019),"00000")="89102", TEXT(TRIM(N1019),"00000")="89107", TEXT(TRIM(N1019),"00000")="89108"), "Urban Core",
  OR(TEXT(TRIM(N1019),"00000")="89110", TEXT(TRIM(N1019),"00000")="89115", TEXT(TRIM(N1019),"00000")="89121", TEXT(TRIM(N1019),"00000")="89122", TEXT(TRIM(N1019),"00000")="89142", TEXT(TRIM(N1019),"00000")="89156"), "East Valley",
  OR(TEXT(TRIM(N1019),"00000")="89030", TEXT(TRIM(N1019),"00000")="89031", TEXT(TRIM(N1019),"00000")="89032", TEXT(TRIM(N1019),"00000")="89086", TEXT(TRIM(N1019),"00000")="89084", TEXT(TRIM(N1019),"00000")="89081"), "North LV",
  OR(TEXT(TRIM(N1019),"00000")="89109", TEXT(TRIM(N1019),"00000")="89103", TEXT(TRIM(N1019),"00000")="89119", TEXT(TRIM(N1019),"00000")="89123", TEXT(TRIM(N1019),"00000")="89169", TEXT(TRIM(N1019),"00000")="89118"), "South/Strip",
  OR(TEXT(TRIM(N1019),"00000")="89074", TEXT(TRIM(N1019),"00000")="89014", TEXT(TRIM(N1019),"00000")="89015", TEXT(TRIM(N1019),"00000")="89011", TEXT(TRIM(N1019),"00000")="89012"), "Suburban SE",
  OR(TEXT(TRIM(N1019),"00000")="89117", TEXT(TRIM(N1019),"00000")="89128", TEXT(TRIM(N1019),"00000")="89135", TEXT(TRIM(N1019),"00000")="89144", TEXT(TRIM(N1019),"00000")="89145", TEXT(TRIM(N1019),"00000")="89147"), "West Valley",
  TRUE, "Other"
)</f>
        <v>East Valley</v>
      </c>
      <c r="P1019" t="s">
        <v>65</v>
      </c>
      <c r="Q1019" t="str">
        <f t="shared" si="62"/>
        <v>Vehicle-related</v>
      </c>
      <c r="R1019" t="s">
        <v>4988</v>
      </c>
      <c r="S1019" t="s">
        <v>5128</v>
      </c>
      <c r="T1019" t="str" cm="1">
        <f t="array" ref="T1019">_xlfn.IFS(
  TEXT(TRIM(S1019),"00000")="NULL", "Missing/Unknown",
  OR(TEXT(TRIM(S1019),"00000")="89101", TEXT(TRIM(S1019),"00000")="89104", TEXT(TRIM(S1019),"00000")="89106", TEXT(TRIM(S1019),"00000")="89102", TEXT(TRIM(S1019),"00000")="89107", TEXT(TRIM(S1019),"00000")="89108"), "Urban Core",
  OR(TEXT(TRIM(S1019),"00000")="89110", TEXT(TRIM(S1019),"00000")="89115", TEXT(TRIM(S1019),"00000")="89121", TEXT(TRIM(S1019),"00000")="89122", TEXT(TRIM(S1019),"00000")="89142", TEXT(TRIM(S1019),"00000")="89156"), "East Valley",
  OR(TEXT(TRIM(S1019),"00000")="89030", TEXT(TRIM(S1019),"00000")="89031", TEXT(TRIM(S1019),"00000")="89032", TEXT(TRIM(S1019),"00000")="89086", TEXT(TRIM(S1019),"00000")="89084", TEXT(TRIM(S1019),"00000")="89081"), "North LV",
  OR(TEXT(TRIM(S1019),"00000")="89109", TEXT(TRIM(S1019),"00000")="89103", TEXT(TRIM(S1019),"00000")="89119", TEXT(TRIM(S1019),"00000")="89123", TEXT(TRIM(S1019),"00000")="89169", TEXT(TRIM(S1019),"00000")="89118"), "South/Strip",
  OR(TEXT(TRIM(S1019),"00000")="89074", TEXT(TRIM(S1019),"00000")="89014", TEXT(TRIM(S1019),"00000")="89015", TEXT(TRIM(S1019),"00000")="89011", TEXT(TRIM(S1019),"00000")="89012"), "Suburban SE",
  OR(TEXT(TRIM(S1019),"00000")="89117", TEXT(TRIM(S1019),"00000")="89128", TEXT(TRIM(S1019),"00000")="89135", TEXT(TRIM(S1019),"00000")="89144", TEXT(TRIM(S1019),"00000")="89145", TEXT(TRIM(S1019),"00000")="89147"), "West Valley",
  TRUE, "Other"
)</f>
        <v>East Valley</v>
      </c>
      <c r="U1019" t="s">
        <v>65</v>
      </c>
      <c r="V1019" t="str">
        <f t="shared" si="63"/>
        <v>Vehicle-related</v>
      </c>
    </row>
    <row r="1020" spans="1:22">
      <c r="A1020" t="s">
        <v>2113</v>
      </c>
      <c r="B1020" t="s">
        <v>2114</v>
      </c>
      <c r="C1020" s="1">
        <v>44390</v>
      </c>
      <c r="D1020" s="4">
        <v>109.04</v>
      </c>
      <c r="E1020">
        <v>58</v>
      </c>
      <c r="F1020" t="str">
        <f t="shared" si="60"/>
        <v>50's</v>
      </c>
      <c r="G1020" t="str" cm="1">
        <f t="array" ref="G1020">_xlfn.IFS(
  F1020="10's", "Child (5–12)",
  OR(F1020="20's", F1020="30's"), "Young Adult (20–39)",
  OR(F1020="40's", F1020="50's"), "Adult (40–59)",
  OR(F1020="60's", F1020="70's", F1020="80's", F1020="90's"), "Senior (60+)",
  TRUE, "Unknown"
)</f>
        <v>Adult (40–59)</v>
      </c>
      <c r="H1020" t="s">
        <v>841</v>
      </c>
      <c r="I1020" t="s">
        <v>172</v>
      </c>
      <c r="J1020" t="str">
        <f t="shared" si="61"/>
        <v>Methamphetamine-related</v>
      </c>
      <c r="K1020" t="s">
        <v>54</v>
      </c>
      <c r="L1020" t="s">
        <v>1071</v>
      </c>
      <c r="M1020" t="s">
        <v>4475</v>
      </c>
      <c r="N1020" t="s">
        <v>5098</v>
      </c>
      <c r="O1020" t="str" cm="1">
        <f t="array" ref="O1020">_xlfn.IFS(
  TEXT(TRIM(N1020),"00000")="NULL", "Missing/Unknown",
  OR(TEXT(TRIM(N1020),"00000")="89101", TEXT(TRIM(N1020),"00000")="89104", TEXT(TRIM(N1020),"00000")="89106", TEXT(TRIM(N1020),"00000")="89102", TEXT(TRIM(N1020),"00000")="89107", TEXT(TRIM(N1020),"00000")="89108"), "Urban Core",
  OR(TEXT(TRIM(N1020),"00000")="89110", TEXT(TRIM(N1020),"00000")="89115", TEXT(TRIM(N1020),"00000")="89121", TEXT(TRIM(N1020),"00000")="89122", TEXT(TRIM(N1020),"00000")="89142", TEXT(TRIM(N1020),"00000")="89156"), "East Valley",
  OR(TEXT(TRIM(N1020),"00000")="89030", TEXT(TRIM(N1020),"00000")="89031", TEXT(TRIM(N1020),"00000")="89032", TEXT(TRIM(N1020),"00000")="89086", TEXT(TRIM(N1020),"00000")="89084", TEXT(TRIM(N1020),"00000")="89081"), "North LV",
  OR(TEXT(TRIM(N1020),"00000")="89109", TEXT(TRIM(N1020),"00000")="89103", TEXT(TRIM(N1020),"00000")="89119", TEXT(TRIM(N1020),"00000")="89123", TEXT(TRIM(N1020),"00000")="89169", TEXT(TRIM(N1020),"00000")="89118"), "South/Strip",
  OR(TEXT(TRIM(N1020),"00000")="89074", TEXT(TRIM(N1020),"00000")="89014", TEXT(TRIM(N1020),"00000")="89015", TEXT(TRIM(N1020),"00000")="89011", TEXT(TRIM(N1020),"00000")="89012"), "Suburban SE",
  OR(TEXT(TRIM(N1020),"00000")="89117", TEXT(TRIM(N1020),"00000")="89128", TEXT(TRIM(N1020),"00000")="89135", TEXT(TRIM(N1020),"00000")="89144", TEXT(TRIM(N1020),"00000")="89145", TEXT(TRIM(N1020),"00000")="89147"), "West Valley",
  TRUE, "Other"
)</f>
        <v>Urban Core</v>
      </c>
      <c r="P1020" t="s">
        <v>38</v>
      </c>
      <c r="Q1020" t="str">
        <f t="shared" si="62"/>
        <v>Home/Residence</v>
      </c>
      <c r="R1020" t="s">
        <v>4475</v>
      </c>
      <c r="S1020" t="s">
        <v>5098</v>
      </c>
      <c r="T1020" t="str" cm="1">
        <f t="array" ref="T1020">_xlfn.IFS(
  TEXT(TRIM(S1020),"00000")="NULL", "Missing/Unknown",
  OR(TEXT(TRIM(S1020),"00000")="89101", TEXT(TRIM(S1020),"00000")="89104", TEXT(TRIM(S1020),"00000")="89106", TEXT(TRIM(S1020),"00000")="89102", TEXT(TRIM(S1020),"00000")="89107", TEXT(TRIM(S1020),"00000")="89108"), "Urban Core",
  OR(TEXT(TRIM(S1020),"00000")="89110", TEXT(TRIM(S1020),"00000")="89115", TEXT(TRIM(S1020),"00000")="89121", TEXT(TRIM(S1020),"00000")="89122", TEXT(TRIM(S1020),"00000")="89142", TEXT(TRIM(S1020),"00000")="89156"), "East Valley",
  OR(TEXT(TRIM(S1020),"00000")="89030", TEXT(TRIM(S1020),"00000")="89031", TEXT(TRIM(S1020),"00000")="89032", TEXT(TRIM(S1020),"00000")="89086", TEXT(TRIM(S1020),"00000")="89084", TEXT(TRIM(S1020),"00000")="89081"), "North LV",
  OR(TEXT(TRIM(S1020),"00000")="89109", TEXT(TRIM(S1020),"00000")="89103", TEXT(TRIM(S1020),"00000")="89119", TEXT(TRIM(S1020),"00000")="89123", TEXT(TRIM(S1020),"00000")="89169", TEXT(TRIM(S1020),"00000")="89118"), "South/Strip",
  OR(TEXT(TRIM(S1020),"00000")="89074", TEXT(TRIM(S1020),"00000")="89014", TEXT(TRIM(S1020),"00000")="89015", TEXT(TRIM(S1020),"00000")="89011", TEXT(TRIM(S1020),"00000")="89012"), "Suburban SE",
  OR(TEXT(TRIM(S1020),"00000")="89117", TEXT(TRIM(S1020),"00000")="89128", TEXT(TRIM(S1020),"00000")="89135", TEXT(TRIM(S1020),"00000")="89144", TEXT(TRIM(S1020),"00000")="89145", TEXT(TRIM(S1020),"00000")="89147"), "West Valley",
  TRUE, "Other"
)</f>
        <v>Urban Core</v>
      </c>
      <c r="U1020" t="s">
        <v>38</v>
      </c>
      <c r="V1020" t="str">
        <f t="shared" si="63"/>
        <v>Home/Residence</v>
      </c>
    </row>
    <row r="1021" spans="1:22">
      <c r="A1021" t="s">
        <v>2133</v>
      </c>
      <c r="B1021" t="s">
        <v>2134</v>
      </c>
      <c r="C1021" s="1">
        <v>44390</v>
      </c>
      <c r="D1021" s="4">
        <v>109.04</v>
      </c>
      <c r="E1021">
        <v>60</v>
      </c>
      <c r="F1021" t="str">
        <f t="shared" si="60"/>
        <v>60's</v>
      </c>
      <c r="G1021" t="str" cm="1">
        <f t="array" ref="G1021">_xlfn.IFS(
  F1021="10's", "Child (5–12)",
  OR(F1021="20's", F1021="30's"), "Young Adult (20–39)",
  OR(F1021="40's", F1021="50's"), "Adult (40–59)",
  OR(F1021="60's", F1021="70's", F1021="80's", F1021="90's"), "Senior (60+)",
  TRUE, "Unknown"
)</f>
        <v>Senior (60+)</v>
      </c>
      <c r="H1021" t="s">
        <v>778</v>
      </c>
      <c r="I1021" t="s">
        <v>54</v>
      </c>
      <c r="J1021" t="str">
        <f t="shared" si="61"/>
        <v>Environmental Heat</v>
      </c>
      <c r="K1021" t="s">
        <v>503</v>
      </c>
      <c r="L1021" t="s">
        <v>250</v>
      </c>
      <c r="M1021" t="s">
        <v>4845</v>
      </c>
      <c r="N1021" t="s">
        <v>5128</v>
      </c>
      <c r="O1021" t="str" cm="1">
        <f t="array" ref="O1021">_xlfn.IFS(
  TEXT(TRIM(N1021),"00000")="NULL", "Missing/Unknown",
  OR(TEXT(TRIM(N1021),"00000")="89101", TEXT(TRIM(N1021),"00000")="89104", TEXT(TRIM(N1021),"00000")="89106", TEXT(TRIM(N1021),"00000")="89102", TEXT(TRIM(N1021),"00000")="89107", TEXT(TRIM(N1021),"00000")="89108"), "Urban Core",
  OR(TEXT(TRIM(N1021),"00000")="89110", TEXT(TRIM(N1021),"00000")="89115", TEXT(TRIM(N1021),"00000")="89121", TEXT(TRIM(N1021),"00000")="89122", TEXT(TRIM(N1021),"00000")="89142", TEXT(TRIM(N1021),"00000")="89156"), "East Valley",
  OR(TEXT(TRIM(N1021),"00000")="89030", TEXT(TRIM(N1021),"00000")="89031", TEXT(TRIM(N1021),"00000")="89032", TEXT(TRIM(N1021),"00000")="89086", TEXT(TRIM(N1021),"00000")="89084", TEXT(TRIM(N1021),"00000")="89081"), "North LV",
  OR(TEXT(TRIM(N1021),"00000")="89109", TEXT(TRIM(N1021),"00000")="89103", TEXT(TRIM(N1021),"00000")="89119", TEXT(TRIM(N1021),"00000")="89123", TEXT(TRIM(N1021),"00000")="89169", TEXT(TRIM(N1021),"00000")="89118"), "South/Strip",
  OR(TEXT(TRIM(N1021),"00000")="89074", TEXT(TRIM(N1021),"00000")="89014", TEXT(TRIM(N1021),"00000")="89015", TEXT(TRIM(N1021),"00000")="89011", TEXT(TRIM(N1021),"00000")="89012"), "Suburban SE",
  OR(TEXT(TRIM(N1021),"00000")="89117", TEXT(TRIM(N1021),"00000")="89128", TEXT(TRIM(N1021),"00000")="89135", TEXT(TRIM(N1021),"00000")="89144", TEXT(TRIM(N1021),"00000")="89145", TEXT(TRIM(N1021),"00000")="89147"), "West Valley",
  TRUE, "Other"
)</f>
        <v>East Valley</v>
      </c>
      <c r="P1021" t="s">
        <v>3298</v>
      </c>
      <c r="Q1021" t="str">
        <f t="shared" si="62"/>
        <v>Outdoors/Public</v>
      </c>
      <c r="R1021" t="s">
        <v>4845</v>
      </c>
      <c r="S1021" t="s">
        <v>5128</v>
      </c>
      <c r="T1021" t="str" cm="1">
        <f t="array" ref="T1021">_xlfn.IFS(
  TEXT(TRIM(S1021),"00000")="NULL", "Missing/Unknown",
  OR(TEXT(TRIM(S1021),"00000")="89101", TEXT(TRIM(S1021),"00000")="89104", TEXT(TRIM(S1021),"00000")="89106", TEXT(TRIM(S1021),"00000")="89102", TEXT(TRIM(S1021),"00000")="89107", TEXT(TRIM(S1021),"00000")="89108"), "Urban Core",
  OR(TEXT(TRIM(S1021),"00000")="89110", TEXT(TRIM(S1021),"00000")="89115", TEXT(TRIM(S1021),"00000")="89121", TEXT(TRIM(S1021),"00000")="89122", TEXT(TRIM(S1021),"00000")="89142", TEXT(TRIM(S1021),"00000")="89156"), "East Valley",
  OR(TEXT(TRIM(S1021),"00000")="89030", TEXT(TRIM(S1021),"00000")="89031", TEXT(TRIM(S1021),"00000")="89032", TEXT(TRIM(S1021),"00000")="89086", TEXT(TRIM(S1021),"00000")="89084", TEXT(TRIM(S1021),"00000")="89081"), "North LV",
  OR(TEXT(TRIM(S1021),"00000")="89109", TEXT(TRIM(S1021),"00000")="89103", TEXT(TRIM(S1021),"00000")="89119", TEXT(TRIM(S1021),"00000")="89123", TEXT(TRIM(S1021),"00000")="89169", TEXT(TRIM(S1021),"00000")="89118"), "South/Strip",
  OR(TEXT(TRIM(S1021),"00000")="89074", TEXT(TRIM(S1021),"00000")="89014", TEXT(TRIM(S1021),"00000")="89015", TEXT(TRIM(S1021),"00000")="89011", TEXT(TRIM(S1021),"00000")="89012"), "Suburban SE",
  OR(TEXT(TRIM(S1021),"00000")="89117", TEXT(TRIM(S1021),"00000")="89128", TEXT(TRIM(S1021),"00000")="89135", TEXT(TRIM(S1021),"00000")="89144", TEXT(TRIM(S1021),"00000")="89145", TEXT(TRIM(S1021),"00000")="89147"), "West Valley",
  TRUE, "Other"
)</f>
        <v>East Valley</v>
      </c>
      <c r="U1021" t="s">
        <v>3298</v>
      </c>
      <c r="V1021" t="str">
        <f t="shared" si="63"/>
        <v>Outdoors/Public</v>
      </c>
    </row>
    <row r="1022" spans="1:22">
      <c r="A1022" t="s">
        <v>2127</v>
      </c>
      <c r="B1022" t="s">
        <v>2128</v>
      </c>
      <c r="C1022" s="1">
        <v>44390</v>
      </c>
      <c r="D1022" s="4">
        <v>109.04</v>
      </c>
      <c r="E1022">
        <v>50</v>
      </c>
      <c r="F1022" t="str">
        <f t="shared" si="60"/>
        <v>50's</v>
      </c>
      <c r="G1022" t="str" cm="1">
        <f t="array" ref="G1022">_xlfn.IFS(
  F1022="10's", "Child (5–12)",
  OR(F1022="20's", F1022="30's"), "Young Adult (20–39)",
  OR(F1022="40's", F1022="50's"), "Adult (40–59)",
  OR(F1022="60's", F1022="70's", F1022="80's", F1022="90's"), "Senior (60+)",
  TRUE, "Unknown"
)</f>
        <v>Adult (40–59)</v>
      </c>
      <c r="H1022" t="s">
        <v>778</v>
      </c>
      <c r="I1022" t="s">
        <v>1028</v>
      </c>
      <c r="J1022" t="str">
        <f t="shared" si="61"/>
        <v>Methamphetamine-related</v>
      </c>
      <c r="K1022" t="s">
        <v>54</v>
      </c>
      <c r="L1022" t="s">
        <v>250</v>
      </c>
      <c r="M1022" t="s">
        <v>4844</v>
      </c>
      <c r="N1022" t="s">
        <v>5134</v>
      </c>
      <c r="O1022" t="str" cm="1">
        <f t="array" ref="O1022">_xlfn.IFS(
  TEXT(TRIM(N1022),"00000")="NULL", "Missing/Unknown",
  OR(TEXT(TRIM(N1022),"00000")="89101", TEXT(TRIM(N1022),"00000")="89104", TEXT(TRIM(N1022),"00000")="89106", TEXT(TRIM(N1022),"00000")="89102", TEXT(TRIM(N1022),"00000")="89107", TEXT(TRIM(N1022),"00000")="89108"), "Urban Core",
  OR(TEXT(TRIM(N1022),"00000")="89110", TEXT(TRIM(N1022),"00000")="89115", TEXT(TRIM(N1022),"00000")="89121", TEXT(TRIM(N1022),"00000")="89122", TEXT(TRIM(N1022),"00000")="89142", TEXT(TRIM(N1022),"00000")="89156"), "East Valley",
  OR(TEXT(TRIM(N1022),"00000")="89030", TEXT(TRIM(N1022),"00000")="89031", TEXT(TRIM(N1022),"00000")="89032", TEXT(TRIM(N1022),"00000")="89086", TEXT(TRIM(N1022),"00000")="89084", TEXT(TRIM(N1022),"00000")="89081"), "North LV",
  OR(TEXT(TRIM(N1022),"00000")="89109", TEXT(TRIM(N1022),"00000")="89103", TEXT(TRIM(N1022),"00000")="89119", TEXT(TRIM(N1022),"00000")="89123", TEXT(TRIM(N1022),"00000")="89169", TEXT(TRIM(N1022),"00000")="89118"), "South/Strip",
  OR(TEXT(TRIM(N1022),"00000")="89074", TEXT(TRIM(N1022),"00000")="89014", TEXT(TRIM(N1022),"00000")="89015", TEXT(TRIM(N1022),"00000")="89011", TEXT(TRIM(N1022),"00000")="89012"), "Suburban SE",
  OR(TEXT(TRIM(N1022),"00000")="89117", TEXT(TRIM(N1022),"00000")="89128", TEXT(TRIM(N1022),"00000")="89135", TEXT(TRIM(N1022),"00000")="89144", TEXT(TRIM(N1022),"00000")="89145", TEXT(TRIM(N1022),"00000")="89147"), "West Valley",
  TRUE, "Other"
)</f>
        <v>Other</v>
      </c>
      <c r="P1022" t="s">
        <v>3298</v>
      </c>
      <c r="Q1022" t="str">
        <f t="shared" si="62"/>
        <v>Outdoors/Public</v>
      </c>
      <c r="R1022" t="s">
        <v>4844</v>
      </c>
      <c r="S1022" t="s">
        <v>5134</v>
      </c>
      <c r="T1022" t="str" cm="1">
        <f t="array" ref="T1022">_xlfn.IFS(
  TEXT(TRIM(S1022),"00000")="NULL", "Missing/Unknown",
  OR(TEXT(TRIM(S1022),"00000")="89101", TEXT(TRIM(S1022),"00000")="89104", TEXT(TRIM(S1022),"00000")="89106", TEXT(TRIM(S1022),"00000")="89102", TEXT(TRIM(S1022),"00000")="89107", TEXT(TRIM(S1022),"00000")="89108"), "Urban Core",
  OR(TEXT(TRIM(S1022),"00000")="89110", TEXT(TRIM(S1022),"00000")="89115", TEXT(TRIM(S1022),"00000")="89121", TEXT(TRIM(S1022),"00000")="89122", TEXT(TRIM(S1022),"00000")="89142", TEXT(TRIM(S1022),"00000")="89156"), "East Valley",
  OR(TEXT(TRIM(S1022),"00000")="89030", TEXT(TRIM(S1022),"00000")="89031", TEXT(TRIM(S1022),"00000")="89032", TEXT(TRIM(S1022),"00000")="89086", TEXT(TRIM(S1022),"00000")="89084", TEXT(TRIM(S1022),"00000")="89081"), "North LV",
  OR(TEXT(TRIM(S1022),"00000")="89109", TEXT(TRIM(S1022),"00000")="89103", TEXT(TRIM(S1022),"00000")="89119", TEXT(TRIM(S1022),"00000")="89123", TEXT(TRIM(S1022),"00000")="89169", TEXT(TRIM(S1022),"00000")="89118"), "South/Strip",
  OR(TEXT(TRIM(S1022),"00000")="89074", TEXT(TRIM(S1022),"00000")="89014", TEXT(TRIM(S1022),"00000")="89015", TEXT(TRIM(S1022),"00000")="89011", TEXT(TRIM(S1022),"00000")="89012"), "Suburban SE",
  OR(TEXT(TRIM(S1022),"00000")="89117", TEXT(TRIM(S1022),"00000")="89128", TEXT(TRIM(S1022),"00000")="89135", TEXT(TRIM(S1022),"00000")="89144", TEXT(TRIM(S1022),"00000")="89145", TEXT(TRIM(S1022),"00000")="89147"), "West Valley",
  TRUE, "Other"
)</f>
        <v>Other</v>
      </c>
      <c r="U1022" t="s">
        <v>3298</v>
      </c>
      <c r="V1022" t="str">
        <f t="shared" si="63"/>
        <v>Outdoors/Public</v>
      </c>
    </row>
    <row r="1023" spans="1:22">
      <c r="A1023" t="s">
        <v>2107</v>
      </c>
      <c r="B1023" t="s">
        <v>2108</v>
      </c>
      <c r="C1023" s="1">
        <v>44390</v>
      </c>
      <c r="D1023" s="4">
        <v>109.04</v>
      </c>
      <c r="E1023">
        <v>59</v>
      </c>
      <c r="F1023" t="str">
        <f t="shared" si="60"/>
        <v>50's</v>
      </c>
      <c r="G1023" t="str" cm="1">
        <f t="array" ref="G1023">_xlfn.IFS(
  F1023="10's", "Child (5–12)",
  OR(F1023="20's", F1023="30's"), "Young Adult (20–39)",
  OR(F1023="40's", F1023="50's"), "Adult (40–59)",
  OR(F1023="60's", F1023="70's", F1023="80's", F1023="90's"), "Senior (60+)",
  TRUE, "Unknown"
)</f>
        <v>Adult (40–59)</v>
      </c>
      <c r="H1023" t="s">
        <v>27</v>
      </c>
      <c r="I1023" t="s">
        <v>172</v>
      </c>
      <c r="J1023" t="str">
        <f t="shared" si="61"/>
        <v>Methamphetamine-related</v>
      </c>
      <c r="K1023" t="s">
        <v>54</v>
      </c>
      <c r="L1023" t="s">
        <v>1071</v>
      </c>
      <c r="M1023" t="s">
        <v>4474</v>
      </c>
      <c r="N1023" t="s">
        <v>5101</v>
      </c>
      <c r="O1023" t="str" cm="1">
        <f t="array" ref="O1023">_xlfn.IFS(
  TEXT(TRIM(N1023),"00000")="NULL", "Missing/Unknown",
  OR(TEXT(TRIM(N1023),"00000")="89101", TEXT(TRIM(N1023),"00000")="89104", TEXT(TRIM(N1023),"00000")="89106", TEXT(TRIM(N1023),"00000")="89102", TEXT(TRIM(N1023),"00000")="89107", TEXT(TRIM(N1023),"00000")="89108"), "Urban Core",
  OR(TEXT(TRIM(N1023),"00000")="89110", TEXT(TRIM(N1023),"00000")="89115", TEXT(TRIM(N1023),"00000")="89121", TEXT(TRIM(N1023),"00000")="89122", TEXT(TRIM(N1023),"00000")="89142", TEXT(TRIM(N1023),"00000")="89156"), "East Valley",
  OR(TEXT(TRIM(N1023),"00000")="89030", TEXT(TRIM(N1023),"00000")="89031", TEXT(TRIM(N1023),"00000")="89032", TEXT(TRIM(N1023),"00000")="89086", TEXT(TRIM(N1023),"00000")="89084", TEXT(TRIM(N1023),"00000")="89081"), "North LV",
  OR(TEXT(TRIM(N1023),"00000")="89109", TEXT(TRIM(N1023),"00000")="89103", TEXT(TRIM(N1023),"00000")="89119", TEXT(TRIM(N1023),"00000")="89123", TEXT(TRIM(N1023),"00000")="89169", TEXT(TRIM(N1023),"00000")="89118"), "South/Strip",
  OR(TEXT(TRIM(N1023),"00000")="89074", TEXT(TRIM(N1023),"00000")="89014", TEXT(TRIM(N1023),"00000")="89015", TEXT(TRIM(N1023),"00000")="89011", TEXT(TRIM(N1023),"00000")="89012"), "Suburban SE",
  OR(TEXT(TRIM(N1023),"00000")="89117", TEXT(TRIM(N1023),"00000")="89128", TEXT(TRIM(N1023),"00000")="89135", TEXT(TRIM(N1023),"00000")="89144", TEXT(TRIM(N1023),"00000")="89145", TEXT(TRIM(N1023),"00000")="89147"), "West Valley",
  TRUE, "Other"
)</f>
        <v>Urban Core</v>
      </c>
      <c r="P1023" t="s">
        <v>38</v>
      </c>
      <c r="Q1023" t="str">
        <f t="shared" si="62"/>
        <v>Home/Residence</v>
      </c>
      <c r="R1023" t="s">
        <v>4474</v>
      </c>
      <c r="S1023" t="s">
        <v>5101</v>
      </c>
      <c r="T1023" t="str" cm="1">
        <f t="array" ref="T1023">_xlfn.IFS(
  TEXT(TRIM(S1023),"00000")="NULL", "Missing/Unknown",
  OR(TEXT(TRIM(S1023),"00000")="89101", TEXT(TRIM(S1023),"00000")="89104", TEXT(TRIM(S1023),"00000")="89106", TEXT(TRIM(S1023),"00000")="89102", TEXT(TRIM(S1023),"00000")="89107", TEXT(TRIM(S1023),"00000")="89108"), "Urban Core",
  OR(TEXT(TRIM(S1023),"00000")="89110", TEXT(TRIM(S1023),"00000")="89115", TEXT(TRIM(S1023),"00000")="89121", TEXT(TRIM(S1023),"00000")="89122", TEXT(TRIM(S1023),"00000")="89142", TEXT(TRIM(S1023),"00000")="89156"), "East Valley",
  OR(TEXT(TRIM(S1023),"00000")="89030", TEXT(TRIM(S1023),"00000")="89031", TEXT(TRIM(S1023),"00000")="89032", TEXT(TRIM(S1023),"00000")="89086", TEXT(TRIM(S1023),"00000")="89084", TEXT(TRIM(S1023),"00000")="89081"), "North LV",
  OR(TEXT(TRIM(S1023),"00000")="89109", TEXT(TRIM(S1023),"00000")="89103", TEXT(TRIM(S1023),"00000")="89119", TEXT(TRIM(S1023),"00000")="89123", TEXT(TRIM(S1023),"00000")="89169", TEXT(TRIM(S1023),"00000")="89118"), "South/Strip",
  OR(TEXT(TRIM(S1023),"00000")="89074", TEXT(TRIM(S1023),"00000")="89014", TEXT(TRIM(S1023),"00000")="89015", TEXT(TRIM(S1023),"00000")="89011", TEXT(TRIM(S1023),"00000")="89012"), "Suburban SE",
  OR(TEXT(TRIM(S1023),"00000")="89117", TEXT(TRIM(S1023),"00000")="89128", TEXT(TRIM(S1023),"00000")="89135", TEXT(TRIM(S1023),"00000")="89144", TEXT(TRIM(S1023),"00000")="89145", TEXT(TRIM(S1023),"00000")="89147"), "West Valley",
  TRUE, "Other"
)</f>
        <v>Urban Core</v>
      </c>
      <c r="U1023" t="s">
        <v>38</v>
      </c>
      <c r="V1023" t="str">
        <f t="shared" si="63"/>
        <v>Home/Residence</v>
      </c>
    </row>
    <row r="1024" spans="1:22">
      <c r="A1024" t="s">
        <v>2130</v>
      </c>
      <c r="B1024" t="s">
        <v>2131</v>
      </c>
      <c r="C1024" s="1">
        <v>44390</v>
      </c>
      <c r="D1024" s="4">
        <v>109.04</v>
      </c>
      <c r="E1024">
        <v>63</v>
      </c>
      <c r="F1024" t="str">
        <f t="shared" si="60"/>
        <v>60's</v>
      </c>
      <c r="G1024" t="str" cm="1">
        <f t="array" ref="G1024">_xlfn.IFS(
  F1024="10's", "Child (5–12)",
  OR(F1024="20's", F1024="30's"), "Young Adult (20–39)",
  OR(F1024="40's", F1024="50's"), "Adult (40–59)",
  OR(F1024="60's", F1024="70's", F1024="80's", F1024="90's"), "Senior (60+)",
  TRUE, "Unknown"
)</f>
        <v>Senior (60+)</v>
      </c>
      <c r="H1024" t="s">
        <v>27</v>
      </c>
      <c r="I1024" t="s">
        <v>172</v>
      </c>
      <c r="J1024" t="str">
        <f t="shared" si="61"/>
        <v>Methamphetamine-related</v>
      </c>
      <c r="K1024" t="s">
        <v>54</v>
      </c>
      <c r="L1024" t="s">
        <v>1071</v>
      </c>
      <c r="M1024" t="s">
        <v>4477</v>
      </c>
      <c r="N1024" t="s">
        <v>5143</v>
      </c>
      <c r="O1024" t="str" cm="1">
        <f t="array" ref="O1024">_xlfn.IFS(
  TEXT(TRIM(N1024),"00000")="NULL", "Missing/Unknown",
  OR(TEXT(TRIM(N1024),"00000")="89101", TEXT(TRIM(N1024),"00000")="89104", TEXT(TRIM(N1024),"00000")="89106", TEXT(TRIM(N1024),"00000")="89102", TEXT(TRIM(N1024),"00000")="89107", TEXT(TRIM(N1024),"00000")="89108"), "Urban Core",
  OR(TEXT(TRIM(N1024),"00000")="89110", TEXT(TRIM(N1024),"00000")="89115", TEXT(TRIM(N1024),"00000")="89121", TEXT(TRIM(N1024),"00000")="89122", TEXT(TRIM(N1024),"00000")="89142", TEXT(TRIM(N1024),"00000")="89156"), "East Valley",
  OR(TEXT(TRIM(N1024),"00000")="89030", TEXT(TRIM(N1024),"00000")="89031", TEXT(TRIM(N1024),"00000")="89032", TEXT(TRIM(N1024),"00000")="89086", TEXT(TRIM(N1024),"00000")="89084", TEXT(TRIM(N1024),"00000")="89081"), "North LV",
  OR(TEXT(TRIM(N1024),"00000")="89109", TEXT(TRIM(N1024),"00000")="89103", TEXT(TRIM(N1024),"00000")="89119", TEXT(TRIM(N1024),"00000")="89123", TEXT(TRIM(N1024),"00000")="89169", TEXT(TRIM(N1024),"00000")="89118"), "South/Strip",
  OR(TEXT(TRIM(N1024),"00000")="89074", TEXT(TRIM(N1024),"00000")="89014", TEXT(TRIM(N1024),"00000")="89015", TEXT(TRIM(N1024),"00000")="89011", TEXT(TRIM(N1024),"00000")="89012"), "Suburban SE",
  OR(TEXT(TRIM(N1024),"00000")="89117", TEXT(TRIM(N1024),"00000")="89128", TEXT(TRIM(N1024),"00000")="89135", TEXT(TRIM(N1024),"00000")="89144", TEXT(TRIM(N1024),"00000")="89145", TEXT(TRIM(N1024),"00000")="89147"), "West Valley",
  TRUE, "Other"
)</f>
        <v>West Valley</v>
      </c>
      <c r="P1024" t="s">
        <v>38</v>
      </c>
      <c r="Q1024" t="str">
        <f t="shared" si="62"/>
        <v>Home/Residence</v>
      </c>
      <c r="R1024" t="s">
        <v>4477</v>
      </c>
      <c r="S1024" t="s">
        <v>5143</v>
      </c>
      <c r="T1024" t="str" cm="1">
        <f t="array" ref="T1024">_xlfn.IFS(
  TEXT(TRIM(S1024),"00000")="NULL", "Missing/Unknown",
  OR(TEXT(TRIM(S1024),"00000")="89101", TEXT(TRIM(S1024),"00000")="89104", TEXT(TRIM(S1024),"00000")="89106", TEXT(TRIM(S1024),"00000")="89102", TEXT(TRIM(S1024),"00000")="89107", TEXT(TRIM(S1024),"00000")="89108"), "Urban Core",
  OR(TEXT(TRIM(S1024),"00000")="89110", TEXT(TRIM(S1024),"00000")="89115", TEXT(TRIM(S1024),"00000")="89121", TEXT(TRIM(S1024),"00000")="89122", TEXT(TRIM(S1024),"00000")="89142", TEXT(TRIM(S1024),"00000")="89156"), "East Valley",
  OR(TEXT(TRIM(S1024),"00000")="89030", TEXT(TRIM(S1024),"00000")="89031", TEXT(TRIM(S1024),"00000")="89032", TEXT(TRIM(S1024),"00000")="89086", TEXT(TRIM(S1024),"00000")="89084", TEXT(TRIM(S1024),"00000")="89081"), "North LV",
  OR(TEXT(TRIM(S1024),"00000")="89109", TEXT(TRIM(S1024),"00000")="89103", TEXT(TRIM(S1024),"00000")="89119", TEXT(TRIM(S1024),"00000")="89123", TEXT(TRIM(S1024),"00000")="89169", TEXT(TRIM(S1024),"00000")="89118"), "South/Strip",
  OR(TEXT(TRIM(S1024),"00000")="89074", TEXT(TRIM(S1024),"00000")="89014", TEXT(TRIM(S1024),"00000")="89015", TEXT(TRIM(S1024),"00000")="89011", TEXT(TRIM(S1024),"00000")="89012"), "Suburban SE",
  OR(TEXT(TRIM(S1024),"00000")="89117", TEXT(TRIM(S1024),"00000")="89128", TEXT(TRIM(S1024),"00000")="89135", TEXT(TRIM(S1024),"00000")="89144", TEXT(TRIM(S1024),"00000")="89145", TEXT(TRIM(S1024),"00000")="89147"), "West Valley",
  TRUE, "Other"
)</f>
        <v>West Valley</v>
      </c>
      <c r="U1024" t="s">
        <v>38</v>
      </c>
      <c r="V1024" t="str">
        <f t="shared" si="63"/>
        <v>Home/Residence</v>
      </c>
    </row>
    <row r="1025" spans="1:22">
      <c r="A1025" t="s">
        <v>2104</v>
      </c>
      <c r="B1025" t="s">
        <v>2105</v>
      </c>
      <c r="C1025" s="1">
        <v>44390</v>
      </c>
      <c r="D1025" s="4">
        <v>109.04</v>
      </c>
      <c r="E1025">
        <v>48</v>
      </c>
      <c r="F1025" t="str">
        <f t="shared" si="60"/>
        <v>40's</v>
      </c>
      <c r="G1025" t="str" cm="1">
        <f t="array" ref="G1025">_xlfn.IFS(
  F1025="10's", "Child (5–12)",
  OR(F1025="20's", F1025="30's"), "Young Adult (20–39)",
  OR(F1025="40's", F1025="50's"), "Adult (40–59)",
  OR(F1025="60's", F1025="70's", F1025="80's", F1025="90's"), "Senior (60+)",
  TRUE, "Unknown"
)</f>
        <v>Adult (40–59)</v>
      </c>
      <c r="H1025" t="s">
        <v>841</v>
      </c>
      <c r="I1025" t="s">
        <v>4115</v>
      </c>
      <c r="J1025" t="str">
        <f t="shared" si="61"/>
        <v>Environmental Heat</v>
      </c>
      <c r="K1025" t="s">
        <v>98</v>
      </c>
      <c r="L1025" t="s">
        <v>250</v>
      </c>
      <c r="N1025" t="s">
        <v>5095</v>
      </c>
      <c r="O1025" t="str" cm="1">
        <f t="array" ref="O1025">_xlfn.IFS(
  TEXT(TRIM(N1025),"00000")="NULL", "Missing/Unknown",
  OR(TEXT(TRIM(N1025),"00000")="89101", TEXT(TRIM(N1025),"00000")="89104", TEXT(TRIM(N1025),"00000")="89106", TEXT(TRIM(N1025),"00000")="89102", TEXT(TRIM(N1025),"00000")="89107", TEXT(TRIM(N1025),"00000")="89108"), "Urban Core",
  OR(TEXT(TRIM(N1025),"00000")="89110", TEXT(TRIM(N1025),"00000")="89115", TEXT(TRIM(N1025),"00000")="89121", TEXT(TRIM(N1025),"00000")="89122", TEXT(TRIM(N1025),"00000")="89142", TEXT(TRIM(N1025),"00000")="89156"), "East Valley",
  OR(TEXT(TRIM(N1025),"00000")="89030", TEXT(TRIM(N1025),"00000")="89031", TEXT(TRIM(N1025),"00000")="89032", TEXT(TRIM(N1025),"00000")="89086", TEXT(TRIM(N1025),"00000")="89084", TEXT(TRIM(N1025),"00000")="89081"), "North LV",
  OR(TEXT(TRIM(N1025),"00000")="89109", TEXT(TRIM(N1025),"00000")="89103", TEXT(TRIM(N1025),"00000")="89119", TEXT(TRIM(N1025),"00000")="89123", TEXT(TRIM(N1025),"00000")="89169", TEXT(TRIM(N1025),"00000")="89118"), "South/Strip",
  OR(TEXT(TRIM(N1025),"00000")="89074", TEXT(TRIM(N1025),"00000")="89014", TEXT(TRIM(N1025),"00000")="89015", TEXT(TRIM(N1025),"00000")="89011", TEXT(TRIM(N1025),"00000")="89012"), "Suburban SE",
  OR(TEXT(TRIM(N1025),"00000")="89117", TEXT(TRIM(N1025),"00000")="89128", TEXT(TRIM(N1025),"00000")="89135", TEXT(TRIM(N1025),"00000")="89144", TEXT(TRIM(N1025),"00000")="89145", TEXT(TRIM(N1025),"00000")="89147"), "West Valley",
  TRUE, "Other"
)</f>
        <v>Missing/Unknown</v>
      </c>
      <c r="P1025" t="s">
        <v>132</v>
      </c>
      <c r="Q1025" t="str">
        <f t="shared" si="62"/>
        <v>Outdoors/Public</v>
      </c>
      <c r="R1025" t="s">
        <v>5065</v>
      </c>
      <c r="S1025" t="s">
        <v>5144</v>
      </c>
      <c r="T1025" t="str" cm="1">
        <f t="array" ref="T1025">_xlfn.IFS(
  TEXT(TRIM(S1025),"00000")="NULL", "Missing/Unknown",
  OR(TEXT(TRIM(S1025),"00000")="89101", TEXT(TRIM(S1025),"00000")="89104", TEXT(TRIM(S1025),"00000")="89106", TEXT(TRIM(S1025),"00000")="89102", TEXT(TRIM(S1025),"00000")="89107", TEXT(TRIM(S1025),"00000")="89108"), "Urban Core",
  OR(TEXT(TRIM(S1025),"00000")="89110", TEXT(TRIM(S1025),"00000")="89115", TEXT(TRIM(S1025),"00000")="89121", TEXT(TRIM(S1025),"00000")="89122", TEXT(TRIM(S1025),"00000")="89142", TEXT(TRIM(S1025),"00000")="89156"), "East Valley",
  OR(TEXT(TRIM(S1025),"00000")="89030", TEXT(TRIM(S1025),"00000")="89031", TEXT(TRIM(S1025),"00000")="89032", TEXT(TRIM(S1025),"00000")="89086", TEXT(TRIM(S1025),"00000")="89084", TEXT(TRIM(S1025),"00000")="89081"), "North LV",
  OR(TEXT(TRIM(S1025),"00000")="89109", TEXT(TRIM(S1025),"00000")="89103", TEXT(TRIM(S1025),"00000")="89119", TEXT(TRIM(S1025),"00000")="89123", TEXT(TRIM(S1025),"00000")="89169", TEXT(TRIM(S1025),"00000")="89118"), "South/Strip",
  OR(TEXT(TRIM(S1025),"00000")="89074", TEXT(TRIM(S1025),"00000")="89014", TEXT(TRIM(S1025),"00000")="89015", TEXT(TRIM(S1025),"00000")="89011", TEXT(TRIM(S1025),"00000")="89012"), "Suburban SE",
  OR(TEXT(TRIM(S1025),"00000")="89117", TEXT(TRIM(S1025),"00000")="89128", TEXT(TRIM(S1025),"00000")="89135", TEXT(TRIM(S1025),"00000")="89144", TEXT(TRIM(S1025),"00000")="89145", TEXT(TRIM(S1025),"00000")="89147"), "West Valley",
  TRUE, "Other"
)</f>
        <v>Other</v>
      </c>
      <c r="U1025" t="s">
        <v>4305</v>
      </c>
      <c r="V1025" t="str">
        <f t="shared" si="63"/>
        <v>Medical Facility</v>
      </c>
    </row>
    <row r="1026" spans="1:22">
      <c r="A1026" t="s">
        <v>2142</v>
      </c>
      <c r="B1026" t="s">
        <v>2143</v>
      </c>
      <c r="C1026" s="1">
        <v>44390</v>
      </c>
      <c r="D1026" s="4">
        <v>109.04</v>
      </c>
      <c r="E1026">
        <v>29</v>
      </c>
      <c r="F1026" t="str">
        <f t="shared" ref="F1026:F1089" si="64">_xlfn.CONCAT(INT(E1026/10)*10, "'s")</f>
        <v>20's</v>
      </c>
      <c r="G1026" t="str" cm="1">
        <f t="array" ref="G1026">_xlfn.IFS(
  F1026="10's", "Child (5–12)",
  OR(F1026="20's", F1026="30's"), "Young Adult (20–39)",
  OR(F1026="40's", F1026="50's"), "Adult (40–59)",
  OR(F1026="60's", F1026="70's", F1026="80's", F1026="90's"), "Senior (60+)",
  TRUE, "Unknown"
)</f>
        <v>Young Adult (20–39)</v>
      </c>
      <c r="H1026" t="s">
        <v>841</v>
      </c>
      <c r="I1026" t="s">
        <v>97</v>
      </c>
      <c r="J1026" t="str">
        <f t="shared" ref="J1026:J1089" si="65">IF(ISNUMBER(SEARCH("heat", I1026)) + ISNUMBER(SEARCH("hyperthermia", I1026)) + ISNUMBER(SEARCH("heat stroke", I1026)) + ISNUMBER(SEARCH("environmental", I1026)), "Environmental Heat",
IF(ISNUMBER(SEARCH("meth", I1026)), "Methamphetamine-related",
IF(ISNUMBER(SEARCH("fentanyl", I1026)), "Fentanyl-related",
IF(ISNUMBER(SEARCH("cardio", I1026)) + ISNUMBER(SEARCH("heart", I1026)) + ISNUMBER(SEARCH("atherosclerotic", I1026)) + ISNUMBER(SEARCH("hypertensive", I1026)) + ISNUMBER(SEARCH("myocardial", I1026)) + ISNUMBER(SEARCH("infarction", I1026)), "Cardiovascular Disease",
IF(ISNUMBER(SEARCH("ethanol", I1026)) + ISNUMBER(SEARCH("alcohol", I1026)), "Ethanol-related",
IF(ISNUMBER(SEARCH("dehydration", I1026)) + ISNUMBER(SEARCH("hypernatrem", I1026)) + ISNUMBER(SEARCH("hyponatrem", I1026)), "Dehydration / Electrolyte",
IF(ISNUMBER(SEARCH("intoxication", I1026)) + ISNUMBER(SEARCH("toxicity", I1026)) + ISNUMBER(SEARCH("overdose", I1026)), "Mixed Drug Toxicity",
"Other / Unknown")))))))</f>
        <v>Environmental Heat</v>
      </c>
      <c r="K1026" t="s">
        <v>4117</v>
      </c>
      <c r="L1026" t="s">
        <v>250</v>
      </c>
      <c r="N1026" t="s">
        <v>5095</v>
      </c>
      <c r="O1026" t="str" cm="1">
        <f t="array" ref="O1026">_xlfn.IFS(
  TEXT(TRIM(N1026),"00000")="NULL", "Missing/Unknown",
  OR(TEXT(TRIM(N1026),"00000")="89101", TEXT(TRIM(N1026),"00000")="89104", TEXT(TRIM(N1026),"00000")="89106", TEXT(TRIM(N1026),"00000")="89102", TEXT(TRIM(N1026),"00000")="89107", TEXT(TRIM(N1026),"00000")="89108"), "Urban Core",
  OR(TEXT(TRIM(N1026),"00000")="89110", TEXT(TRIM(N1026),"00000")="89115", TEXT(TRIM(N1026),"00000")="89121", TEXT(TRIM(N1026),"00000")="89122", TEXT(TRIM(N1026),"00000")="89142", TEXT(TRIM(N1026),"00000")="89156"), "East Valley",
  OR(TEXT(TRIM(N1026),"00000")="89030", TEXT(TRIM(N1026),"00000")="89031", TEXT(TRIM(N1026),"00000")="89032", TEXT(TRIM(N1026),"00000")="89086", TEXT(TRIM(N1026),"00000")="89084", TEXT(TRIM(N1026),"00000")="89081"), "North LV",
  OR(TEXT(TRIM(N1026),"00000")="89109", TEXT(TRIM(N1026),"00000")="89103", TEXT(TRIM(N1026),"00000")="89119", TEXT(TRIM(N1026),"00000")="89123", TEXT(TRIM(N1026),"00000")="89169", TEXT(TRIM(N1026),"00000")="89118"), "South/Strip",
  OR(TEXT(TRIM(N1026),"00000")="89074", TEXT(TRIM(N1026),"00000")="89014", TEXT(TRIM(N1026),"00000")="89015", TEXT(TRIM(N1026),"00000")="89011", TEXT(TRIM(N1026),"00000")="89012"), "Suburban SE",
  OR(TEXT(TRIM(N1026),"00000")="89117", TEXT(TRIM(N1026),"00000")="89128", TEXT(TRIM(N1026),"00000")="89135", TEXT(TRIM(N1026),"00000")="89144", TEXT(TRIM(N1026),"00000")="89145", TEXT(TRIM(N1026),"00000")="89147"), "West Valley",
  TRUE, "Other"
)</f>
        <v>Missing/Unknown</v>
      </c>
      <c r="P1026" t="s">
        <v>132</v>
      </c>
      <c r="Q1026" t="str">
        <f t="shared" ref="Q1026:Q1089" si="66">IF(OR(ISNUMBER(SEARCH("outdoor", P1026)), ISNUMBER(SEARCH("park", P1026)), ISNUMBER(SEARCH("road", P1026)), ISNUMBER(SEARCH("sidewalk", P1026)), ISNUMBER(SEARCH("desert", P1026)), ISNUMBER(SEARCH("tunnel", P1026)), ISNUMBER(SEARCH("lot", P1026)), ISNUMBER(SEARCH("lake", P1026)), ISNUMBER(SEARCH("bus", P1026)), ISNUMBER(SEARCH("shed", P1026)), ISNUMBER(SEARCH("amusement", P1026))), "Outdoors/Public",
IF(OR(ISNUMBER(SEARCH("home", P1026)), ISNUMBER(SEARCH("residence", P1026)), ISNUMBER(SEARCH("rv", P1026)), ISNUMBER(SEARCH("tent", P1026)), ISNUMBER(SEARCH("bedroom", P1026)), ISNUMBER(SEARCH("garage", P1026)), ISNUMBER(SEARCH("trailer", P1026)), ISNUMBER(SEARCH("backyard", P1026))), "Home/Residence",
IF(OR(ISNUMBER(SEARCH("vehicle", P1026)), ISNUMBER(SEARCH("car", P1026)), ISNUMBER(SEARCH("wash", P1026))), "Vehicle-related",
IF(OR(ISNUMBER(SEARCH("business", P1026)), ISNUMBER(SEARCH("school", P1026)), ISNUMBER(SEARCH("hotel", P1026)), ISNUMBER(SEARCH("construction", P1026)), ISNUMBER(SEARCH("furniture", P1026)), ISNUMBER(SEARCH("public", P1026))), "Business/Commercial",
IF(OR(ISNUMBER(SEARCH("hospital", P1026)), ISNUMBER(SEARCH("assisted", P1026)), ISNUMBER(SEARCH("residential care", P1026))), "Medical Facility",
IF(OR(ISNUMBER(SEARCH("shelter", P1026)), ISNUMBER(SEARCH("jail", P1026))), "Shelter/Temporary Housing",
"Other / Unknown"))))))</f>
        <v>Outdoors/Public</v>
      </c>
      <c r="R1026" t="s">
        <v>4713</v>
      </c>
      <c r="S1026" t="s">
        <v>5125</v>
      </c>
      <c r="T1026" t="str" cm="1">
        <f t="array" ref="T1026">_xlfn.IFS(
  TEXT(TRIM(S1026),"00000")="NULL", "Missing/Unknown",
  OR(TEXT(TRIM(S1026),"00000")="89101", TEXT(TRIM(S1026),"00000")="89104", TEXT(TRIM(S1026),"00000")="89106", TEXT(TRIM(S1026),"00000")="89102", TEXT(TRIM(S1026),"00000")="89107", TEXT(TRIM(S1026),"00000")="89108"), "Urban Core",
  OR(TEXT(TRIM(S1026),"00000")="89110", TEXT(TRIM(S1026),"00000")="89115", TEXT(TRIM(S1026),"00000")="89121", TEXT(TRIM(S1026),"00000")="89122", TEXT(TRIM(S1026),"00000")="89142", TEXT(TRIM(S1026),"00000")="89156"), "East Valley",
  OR(TEXT(TRIM(S1026),"00000")="89030", TEXT(TRIM(S1026),"00000")="89031", TEXT(TRIM(S1026),"00000")="89032", TEXT(TRIM(S1026),"00000")="89086", TEXT(TRIM(S1026),"00000")="89084", TEXT(TRIM(S1026),"00000")="89081"), "North LV",
  OR(TEXT(TRIM(S1026),"00000")="89109", TEXT(TRIM(S1026),"00000")="89103", TEXT(TRIM(S1026),"00000")="89119", TEXT(TRIM(S1026),"00000")="89123", TEXT(TRIM(S1026),"00000")="89169", TEXT(TRIM(S1026),"00000")="89118"), "South/Strip",
  OR(TEXT(TRIM(S1026),"00000")="89074", TEXT(TRIM(S1026),"00000")="89014", TEXT(TRIM(S1026),"00000")="89015", TEXT(TRIM(S1026),"00000")="89011", TEXT(TRIM(S1026),"00000")="89012"), "Suburban SE",
  OR(TEXT(TRIM(S1026),"00000")="89117", TEXT(TRIM(S1026),"00000")="89128", TEXT(TRIM(S1026),"00000")="89135", TEXT(TRIM(S1026),"00000")="89144", TEXT(TRIM(S1026),"00000")="89145", TEXT(TRIM(S1026),"00000")="89147"), "West Valley",
  TRUE, "Other"
)</f>
        <v>South/Strip</v>
      </c>
      <c r="U1026" t="s">
        <v>4305</v>
      </c>
      <c r="V1026" t="str">
        <f t="shared" ref="V1026:V1089" si="67">IF(OR(ISNUMBER(SEARCH("outdoor", U1026)), ISNUMBER(SEARCH("park", U1026)), ISNUMBER(SEARCH("road", U1026)), ISNUMBER(SEARCH("sidewalk", U1026)), ISNUMBER(SEARCH("desert", U1026)), ISNUMBER(SEARCH("tunnel", U1026)), ISNUMBER(SEARCH("lot", U1026)), ISNUMBER(SEARCH("lake", U1026)), ISNUMBER(SEARCH("bus", U1026)), ISNUMBER(SEARCH("shed", U1026)), ISNUMBER(SEARCH("amusement", U1026))), "Outdoors/Public",
IF(OR(ISNUMBER(SEARCH("home", U1026)), ISNUMBER(SEARCH("residence", U1026)), ISNUMBER(SEARCH("rv", U1026)), ISNUMBER(SEARCH("tent", U1026)), ISNUMBER(SEARCH("bedroom", U1026)), ISNUMBER(SEARCH("garage", U1026)), ISNUMBER(SEARCH("trailer", U1026)), ISNUMBER(SEARCH("backyard", U1026))), "Home/Residence",
IF(OR(ISNUMBER(SEARCH("vehicle", U1026)), ISNUMBER(SEARCH("wash", U1026))), "Vehicle-related",
IF(OR(ISNUMBER(SEARCH("business", U1026)), ISNUMBER(SEARCH("school", U1026)), ISNUMBER(SEARCH("hotel", U1026)), ISNUMBER(SEARCH("construction", U1026)), ISNUMBER(SEARCH("furniture", U1026)), ISNUMBER(SEARCH("public", U1026))), "Business/Commercial",
IF(OR(ISNUMBER(SEARCH("hospital", U1026)), ISNUMBER(SEARCH("assisted", U1026)), ISNUMBER(SEARCH("residential care", U1026)), ISNUMBER(SEARCH("emergency room", U1026)), ISNUMBER(SEARCH("emergency", U1026)), ISNUMBER(SEARCH("intensive care unit", U1026)), ISNUMBER(SEARCH("icu", U1026))), "Medical Facility",
IF(OR(ISNUMBER(SEARCH("shelter", U1026)), ISNUMBER(SEARCH("jail", U1026))), "Shelter/Temporary Housing",
"Other / Unknown"))))))</f>
        <v>Medical Facility</v>
      </c>
    </row>
    <row r="1027" spans="1:22">
      <c r="A1027" t="s">
        <v>2119</v>
      </c>
      <c r="B1027" t="s">
        <v>2120</v>
      </c>
      <c r="C1027" s="1">
        <v>44390</v>
      </c>
      <c r="D1027" s="4">
        <v>109.04</v>
      </c>
      <c r="E1027">
        <v>33</v>
      </c>
      <c r="F1027" t="str">
        <f t="shared" si="64"/>
        <v>30's</v>
      </c>
      <c r="G1027" t="str" cm="1">
        <f t="array" ref="G1027">_xlfn.IFS(
  F1027="10's", "Child (5–12)",
  OR(F1027="20's", F1027="30's"), "Young Adult (20–39)",
  OR(F1027="40's", F1027="50's"), "Adult (40–59)",
  OR(F1027="60's", F1027="70's", F1027="80's", F1027="90's"), "Senior (60+)",
  TRUE, "Unknown"
)</f>
        <v>Young Adult (20–39)</v>
      </c>
      <c r="H1027" t="s">
        <v>778</v>
      </c>
      <c r="I1027" t="s">
        <v>97</v>
      </c>
      <c r="J1027" t="str">
        <f t="shared" si="65"/>
        <v>Environmental Heat</v>
      </c>
      <c r="K1027" t="s">
        <v>2121</v>
      </c>
      <c r="L1027" t="s">
        <v>250</v>
      </c>
      <c r="N1027" t="s">
        <v>5095</v>
      </c>
      <c r="O1027" t="str" cm="1">
        <f t="array" ref="O1027">_xlfn.IFS(
  TEXT(TRIM(N1027),"00000")="NULL", "Missing/Unknown",
  OR(TEXT(TRIM(N1027),"00000")="89101", TEXT(TRIM(N1027),"00000")="89104", TEXT(TRIM(N1027),"00000")="89106", TEXT(TRIM(N1027),"00000")="89102", TEXT(TRIM(N1027),"00000")="89107", TEXT(TRIM(N1027),"00000")="89108"), "Urban Core",
  OR(TEXT(TRIM(N1027),"00000")="89110", TEXT(TRIM(N1027),"00000")="89115", TEXT(TRIM(N1027),"00000")="89121", TEXT(TRIM(N1027),"00000")="89122", TEXT(TRIM(N1027),"00000")="89142", TEXT(TRIM(N1027),"00000")="89156"), "East Valley",
  OR(TEXT(TRIM(N1027),"00000")="89030", TEXT(TRIM(N1027),"00000")="89031", TEXT(TRIM(N1027),"00000")="89032", TEXT(TRIM(N1027),"00000")="89086", TEXT(TRIM(N1027),"00000")="89084", TEXT(TRIM(N1027),"00000")="89081"), "North LV",
  OR(TEXT(TRIM(N1027),"00000")="89109", TEXT(TRIM(N1027),"00000")="89103", TEXT(TRIM(N1027),"00000")="89119", TEXT(TRIM(N1027),"00000")="89123", TEXT(TRIM(N1027),"00000")="89169", TEXT(TRIM(N1027),"00000")="89118"), "South/Strip",
  OR(TEXT(TRIM(N1027),"00000")="89074", TEXT(TRIM(N1027),"00000")="89014", TEXT(TRIM(N1027),"00000")="89015", TEXT(TRIM(N1027),"00000")="89011", TEXT(TRIM(N1027),"00000")="89012"), "Suburban SE",
  OR(TEXT(TRIM(N1027),"00000")="89117", TEXT(TRIM(N1027),"00000")="89128", TEXT(TRIM(N1027),"00000")="89135", TEXT(TRIM(N1027),"00000")="89144", TEXT(TRIM(N1027),"00000")="89145", TEXT(TRIM(N1027),"00000")="89147"), "West Valley",
  TRUE, "Other"
)</f>
        <v>Missing/Unknown</v>
      </c>
      <c r="P1027" t="s">
        <v>3298</v>
      </c>
      <c r="Q1027" t="str">
        <f t="shared" si="66"/>
        <v>Outdoors/Public</v>
      </c>
      <c r="R1027" t="s">
        <v>5055</v>
      </c>
      <c r="S1027" t="s">
        <v>5119</v>
      </c>
      <c r="T1027" t="str" cm="1">
        <f t="array" ref="T1027">_xlfn.IFS(
  TEXT(TRIM(S1027),"00000")="NULL", "Missing/Unknown",
  OR(TEXT(TRIM(S1027),"00000")="89101", TEXT(TRIM(S1027),"00000")="89104", TEXT(TRIM(S1027),"00000")="89106", TEXT(TRIM(S1027),"00000")="89102", TEXT(TRIM(S1027),"00000")="89107", TEXT(TRIM(S1027),"00000")="89108"), "Urban Core",
  OR(TEXT(TRIM(S1027),"00000")="89110", TEXT(TRIM(S1027),"00000")="89115", TEXT(TRIM(S1027),"00000")="89121", TEXT(TRIM(S1027),"00000")="89122", TEXT(TRIM(S1027),"00000")="89142", TEXT(TRIM(S1027),"00000")="89156"), "East Valley",
  OR(TEXT(TRIM(S1027),"00000")="89030", TEXT(TRIM(S1027),"00000")="89031", TEXT(TRIM(S1027),"00000")="89032", TEXT(TRIM(S1027),"00000")="89086", TEXT(TRIM(S1027),"00000")="89084", TEXT(TRIM(S1027),"00000")="89081"), "North LV",
  OR(TEXT(TRIM(S1027),"00000")="89109", TEXT(TRIM(S1027),"00000")="89103", TEXT(TRIM(S1027),"00000")="89119", TEXT(TRIM(S1027),"00000")="89123", TEXT(TRIM(S1027),"00000")="89169", TEXT(TRIM(S1027),"00000")="89118"), "South/Strip",
  OR(TEXT(TRIM(S1027),"00000")="89074", TEXT(TRIM(S1027),"00000")="89014", TEXT(TRIM(S1027),"00000")="89015", TEXT(TRIM(S1027),"00000")="89011", TEXT(TRIM(S1027),"00000")="89012"), "Suburban SE",
  OR(TEXT(TRIM(S1027),"00000")="89117", TEXT(TRIM(S1027),"00000")="89128", TEXT(TRIM(S1027),"00000")="89135", TEXT(TRIM(S1027),"00000")="89144", TEXT(TRIM(S1027),"00000")="89145", TEXT(TRIM(S1027),"00000")="89147"), "West Valley",
  TRUE, "Other"
)</f>
        <v>Urban Core</v>
      </c>
      <c r="U1027" t="s">
        <v>4305</v>
      </c>
      <c r="V1027" t="str">
        <f t="shared" si="67"/>
        <v>Medical Facility</v>
      </c>
    </row>
    <row r="1028" spans="1:22">
      <c r="A1028" t="s">
        <v>2139</v>
      </c>
      <c r="B1028" t="s">
        <v>2140</v>
      </c>
      <c r="C1028" s="1">
        <v>44390</v>
      </c>
      <c r="D1028" s="4">
        <v>109.04</v>
      </c>
      <c r="E1028">
        <v>45</v>
      </c>
      <c r="F1028" t="str">
        <f t="shared" si="64"/>
        <v>40's</v>
      </c>
      <c r="G1028" t="str" cm="1">
        <f t="array" ref="G1028">_xlfn.IFS(
  F1028="10's", "Child (5–12)",
  OR(F1028="20's", F1028="30's"), "Young Adult (20–39)",
  OR(F1028="40's", F1028="50's"), "Adult (40–59)",
  OR(F1028="60's", F1028="70's", F1028="80's", F1028="90's"), "Senior (60+)",
  TRUE, "Unknown"
)</f>
        <v>Adult (40–59)</v>
      </c>
      <c r="H1028" t="s">
        <v>841</v>
      </c>
      <c r="I1028" t="s">
        <v>1028</v>
      </c>
      <c r="J1028" t="str">
        <f t="shared" si="65"/>
        <v>Methamphetamine-related</v>
      </c>
      <c r="K1028" t="s">
        <v>54</v>
      </c>
      <c r="L1028" t="s">
        <v>250</v>
      </c>
      <c r="M1028" t="s">
        <v>4582</v>
      </c>
      <c r="N1028" t="s">
        <v>5097</v>
      </c>
      <c r="O1028" t="str" cm="1">
        <f t="array" ref="O1028">_xlfn.IFS(
  TEXT(TRIM(N1028),"00000")="NULL", "Missing/Unknown",
  OR(TEXT(TRIM(N1028),"00000")="89101", TEXT(TRIM(N1028),"00000")="89104", TEXT(TRIM(N1028),"00000")="89106", TEXT(TRIM(N1028),"00000")="89102", TEXT(TRIM(N1028),"00000")="89107", TEXT(TRIM(N1028),"00000")="89108"), "Urban Core",
  OR(TEXT(TRIM(N1028),"00000")="89110", TEXT(TRIM(N1028),"00000")="89115", TEXT(TRIM(N1028),"00000")="89121", TEXT(TRIM(N1028),"00000")="89122", TEXT(TRIM(N1028),"00000")="89142", TEXT(TRIM(N1028),"00000")="89156"), "East Valley",
  OR(TEXT(TRIM(N1028),"00000")="89030", TEXT(TRIM(N1028),"00000")="89031", TEXT(TRIM(N1028),"00000")="89032", TEXT(TRIM(N1028),"00000")="89086", TEXT(TRIM(N1028),"00000")="89084", TEXT(TRIM(N1028),"00000")="89081"), "North LV",
  OR(TEXT(TRIM(N1028),"00000")="89109", TEXT(TRIM(N1028),"00000")="89103", TEXT(TRIM(N1028),"00000")="89119", TEXT(TRIM(N1028),"00000")="89123", TEXT(TRIM(N1028),"00000")="89169", TEXT(TRIM(N1028),"00000")="89118"), "South/Strip",
  OR(TEXT(TRIM(N1028),"00000")="89074", TEXT(TRIM(N1028),"00000")="89014", TEXT(TRIM(N1028),"00000")="89015", TEXT(TRIM(N1028),"00000")="89011", TEXT(TRIM(N1028),"00000")="89012"), "Suburban SE",
  OR(TEXT(TRIM(N1028),"00000")="89117", TEXT(TRIM(N1028),"00000")="89128", TEXT(TRIM(N1028),"00000")="89135", TEXT(TRIM(N1028),"00000")="89144", TEXT(TRIM(N1028),"00000")="89145", TEXT(TRIM(N1028),"00000")="89147"), "West Valley",
  TRUE, "Other"
)</f>
        <v>Urban Core</v>
      </c>
      <c r="P1028" t="s">
        <v>3298</v>
      </c>
      <c r="Q1028" t="str">
        <f t="shared" si="66"/>
        <v>Outdoors/Public</v>
      </c>
      <c r="R1028" t="s">
        <v>5054</v>
      </c>
      <c r="S1028" t="s">
        <v>5097</v>
      </c>
      <c r="T1028" t="str" cm="1">
        <f t="array" ref="T1028">_xlfn.IFS(
  TEXT(TRIM(S1028),"00000")="NULL", "Missing/Unknown",
  OR(TEXT(TRIM(S1028),"00000")="89101", TEXT(TRIM(S1028),"00000")="89104", TEXT(TRIM(S1028),"00000")="89106", TEXT(TRIM(S1028),"00000")="89102", TEXT(TRIM(S1028),"00000")="89107", TEXT(TRIM(S1028),"00000")="89108"), "Urban Core",
  OR(TEXT(TRIM(S1028),"00000")="89110", TEXT(TRIM(S1028),"00000")="89115", TEXT(TRIM(S1028),"00000")="89121", TEXT(TRIM(S1028),"00000")="89122", TEXT(TRIM(S1028),"00000")="89142", TEXT(TRIM(S1028),"00000")="89156"), "East Valley",
  OR(TEXT(TRIM(S1028),"00000")="89030", TEXT(TRIM(S1028),"00000")="89031", TEXT(TRIM(S1028),"00000")="89032", TEXT(TRIM(S1028),"00000")="89086", TEXT(TRIM(S1028),"00000")="89084", TEXT(TRIM(S1028),"00000")="89081"), "North LV",
  OR(TEXT(TRIM(S1028),"00000")="89109", TEXT(TRIM(S1028),"00000")="89103", TEXT(TRIM(S1028),"00000")="89119", TEXT(TRIM(S1028),"00000")="89123", TEXT(TRIM(S1028),"00000")="89169", TEXT(TRIM(S1028),"00000")="89118"), "South/Strip",
  OR(TEXT(TRIM(S1028),"00000")="89074", TEXT(TRIM(S1028),"00000")="89014", TEXT(TRIM(S1028),"00000")="89015", TEXT(TRIM(S1028),"00000")="89011", TEXT(TRIM(S1028),"00000")="89012"), "Suburban SE",
  OR(TEXT(TRIM(S1028),"00000")="89117", TEXT(TRIM(S1028),"00000")="89128", TEXT(TRIM(S1028),"00000")="89135", TEXT(TRIM(S1028),"00000")="89144", TEXT(TRIM(S1028),"00000")="89145", TEXT(TRIM(S1028),"00000")="89147"), "West Valley",
  TRUE, "Other"
)</f>
        <v>Urban Core</v>
      </c>
      <c r="U1028" t="s">
        <v>4305</v>
      </c>
      <c r="V1028" t="str">
        <f t="shared" si="67"/>
        <v>Medical Facility</v>
      </c>
    </row>
    <row r="1029" spans="1:22">
      <c r="A1029" t="s">
        <v>2136</v>
      </c>
      <c r="B1029" t="s">
        <v>2137</v>
      </c>
      <c r="C1029" s="1">
        <v>44390</v>
      </c>
      <c r="D1029" s="4">
        <v>109.04</v>
      </c>
      <c r="E1029">
        <v>62</v>
      </c>
      <c r="F1029" t="str">
        <f t="shared" si="64"/>
        <v>60's</v>
      </c>
      <c r="G1029" t="str" cm="1">
        <f t="array" ref="G1029">_xlfn.IFS(
  F1029="10's", "Child (5–12)",
  OR(F1029="20's", F1029="30's"), "Young Adult (20–39)",
  OR(F1029="40's", F1029="50's"), "Adult (40–59)",
  OR(F1029="60's", F1029="70's", F1029="80's", F1029="90's"), "Senior (60+)",
  TRUE, "Unknown"
)</f>
        <v>Senior (60+)</v>
      </c>
      <c r="H1029" t="s">
        <v>841</v>
      </c>
      <c r="I1029" t="s">
        <v>97</v>
      </c>
      <c r="J1029" t="str">
        <f t="shared" si="65"/>
        <v>Environmental Heat</v>
      </c>
      <c r="K1029" t="s">
        <v>4278</v>
      </c>
      <c r="L1029" t="s">
        <v>250</v>
      </c>
      <c r="N1029" t="s">
        <v>5095</v>
      </c>
      <c r="O1029" t="str" cm="1">
        <f t="array" ref="O1029">_xlfn.IFS(
  TEXT(TRIM(N1029),"00000")="NULL", "Missing/Unknown",
  OR(TEXT(TRIM(N1029),"00000")="89101", TEXT(TRIM(N1029),"00000")="89104", TEXT(TRIM(N1029),"00000")="89106", TEXT(TRIM(N1029),"00000")="89102", TEXT(TRIM(N1029),"00000")="89107", TEXT(TRIM(N1029),"00000")="89108"), "Urban Core",
  OR(TEXT(TRIM(N1029),"00000")="89110", TEXT(TRIM(N1029),"00000")="89115", TEXT(TRIM(N1029),"00000")="89121", TEXT(TRIM(N1029),"00000")="89122", TEXT(TRIM(N1029),"00000")="89142", TEXT(TRIM(N1029),"00000")="89156"), "East Valley",
  OR(TEXT(TRIM(N1029),"00000")="89030", TEXT(TRIM(N1029),"00000")="89031", TEXT(TRIM(N1029),"00000")="89032", TEXT(TRIM(N1029),"00000")="89086", TEXT(TRIM(N1029),"00000")="89084", TEXT(TRIM(N1029),"00000")="89081"), "North LV",
  OR(TEXT(TRIM(N1029),"00000")="89109", TEXT(TRIM(N1029),"00000")="89103", TEXT(TRIM(N1029),"00000")="89119", TEXT(TRIM(N1029),"00000")="89123", TEXT(TRIM(N1029),"00000")="89169", TEXT(TRIM(N1029),"00000")="89118"), "South/Strip",
  OR(TEXT(TRIM(N1029),"00000")="89074", TEXT(TRIM(N1029),"00000")="89014", TEXT(TRIM(N1029),"00000")="89015", TEXT(TRIM(N1029),"00000")="89011", TEXT(TRIM(N1029),"00000")="89012"), "Suburban SE",
  OR(TEXT(TRIM(N1029),"00000")="89117", TEXT(TRIM(N1029),"00000")="89128", TEXT(TRIM(N1029),"00000")="89135", TEXT(TRIM(N1029),"00000")="89144", TEXT(TRIM(N1029),"00000")="89145", TEXT(TRIM(N1029),"00000")="89147"), "West Valley",
  TRUE, "Other"
)</f>
        <v>Missing/Unknown</v>
      </c>
      <c r="P1029" t="s">
        <v>38</v>
      </c>
      <c r="Q1029" t="str">
        <f t="shared" si="66"/>
        <v>Home/Residence</v>
      </c>
      <c r="R1029" t="s">
        <v>5055</v>
      </c>
      <c r="S1029" t="s">
        <v>5119</v>
      </c>
      <c r="T1029" t="str" cm="1">
        <f t="array" ref="T1029">_xlfn.IFS(
  TEXT(TRIM(S1029),"00000")="NULL", "Missing/Unknown",
  OR(TEXT(TRIM(S1029),"00000")="89101", TEXT(TRIM(S1029),"00000")="89104", TEXT(TRIM(S1029),"00000")="89106", TEXT(TRIM(S1029),"00000")="89102", TEXT(TRIM(S1029),"00000")="89107", TEXT(TRIM(S1029),"00000")="89108"), "Urban Core",
  OR(TEXT(TRIM(S1029),"00000")="89110", TEXT(TRIM(S1029),"00000")="89115", TEXT(TRIM(S1029),"00000")="89121", TEXT(TRIM(S1029),"00000")="89122", TEXT(TRIM(S1029),"00000")="89142", TEXT(TRIM(S1029),"00000")="89156"), "East Valley",
  OR(TEXT(TRIM(S1029),"00000")="89030", TEXT(TRIM(S1029),"00000")="89031", TEXT(TRIM(S1029),"00000")="89032", TEXT(TRIM(S1029),"00000")="89086", TEXT(TRIM(S1029),"00000")="89084", TEXT(TRIM(S1029),"00000")="89081"), "North LV",
  OR(TEXT(TRIM(S1029),"00000")="89109", TEXT(TRIM(S1029),"00000")="89103", TEXT(TRIM(S1029),"00000")="89119", TEXT(TRIM(S1029),"00000")="89123", TEXT(TRIM(S1029),"00000")="89169", TEXT(TRIM(S1029),"00000")="89118"), "South/Strip",
  OR(TEXT(TRIM(S1029),"00000")="89074", TEXT(TRIM(S1029),"00000")="89014", TEXT(TRIM(S1029),"00000")="89015", TEXT(TRIM(S1029),"00000")="89011", TEXT(TRIM(S1029),"00000")="89012"), "Suburban SE",
  OR(TEXT(TRIM(S1029),"00000")="89117", TEXT(TRIM(S1029),"00000")="89128", TEXT(TRIM(S1029),"00000")="89135", TEXT(TRIM(S1029),"00000")="89144", TEXT(TRIM(S1029),"00000")="89145", TEXT(TRIM(S1029),"00000")="89147"), "West Valley",
  TRUE, "Other"
)</f>
        <v>Urban Core</v>
      </c>
      <c r="U1029" t="s">
        <v>228</v>
      </c>
      <c r="V1029" t="str">
        <f t="shared" si="67"/>
        <v>Medical Facility</v>
      </c>
    </row>
    <row r="1030" spans="1:22">
      <c r="A1030" t="s">
        <v>2122</v>
      </c>
      <c r="B1030" t="s">
        <v>2123</v>
      </c>
      <c r="C1030" s="1">
        <v>44390</v>
      </c>
      <c r="D1030" s="4">
        <v>109.04</v>
      </c>
      <c r="E1030">
        <v>68</v>
      </c>
      <c r="F1030" t="str">
        <f t="shared" si="64"/>
        <v>60's</v>
      </c>
      <c r="G1030" t="str" cm="1">
        <f t="array" ref="G1030">_xlfn.IFS(
  F1030="10's", "Child (5–12)",
  OR(F1030="20's", F1030="30's"), "Young Adult (20–39)",
  OR(F1030="40's", F1030="50's"), "Adult (40–59)",
  OR(F1030="60's", F1030="70's", F1030="80's", F1030="90's"), "Senior (60+)",
  TRUE, "Unknown"
)</f>
        <v>Senior (60+)</v>
      </c>
      <c r="H1030" t="s">
        <v>841</v>
      </c>
      <c r="I1030" t="s">
        <v>54</v>
      </c>
      <c r="J1030" t="str">
        <f t="shared" si="65"/>
        <v>Environmental Heat</v>
      </c>
      <c r="K1030" t="s">
        <v>172</v>
      </c>
      <c r="L1030" t="s">
        <v>250</v>
      </c>
      <c r="N1030" t="s">
        <v>5095</v>
      </c>
      <c r="O1030" t="str" cm="1">
        <f t="array" ref="O1030">_xlfn.IFS(
  TEXT(TRIM(N1030),"00000")="NULL", "Missing/Unknown",
  OR(TEXT(TRIM(N1030),"00000")="89101", TEXT(TRIM(N1030),"00000")="89104", TEXT(TRIM(N1030),"00000")="89106", TEXT(TRIM(N1030),"00000")="89102", TEXT(TRIM(N1030),"00000")="89107", TEXT(TRIM(N1030),"00000")="89108"), "Urban Core",
  OR(TEXT(TRIM(N1030),"00000")="89110", TEXT(TRIM(N1030),"00000")="89115", TEXT(TRIM(N1030),"00000")="89121", TEXT(TRIM(N1030),"00000")="89122", TEXT(TRIM(N1030),"00000")="89142", TEXT(TRIM(N1030),"00000")="89156"), "East Valley",
  OR(TEXT(TRIM(N1030),"00000")="89030", TEXT(TRIM(N1030),"00000")="89031", TEXT(TRIM(N1030),"00000")="89032", TEXT(TRIM(N1030),"00000")="89086", TEXT(TRIM(N1030),"00000")="89084", TEXT(TRIM(N1030),"00000")="89081"), "North LV",
  OR(TEXT(TRIM(N1030),"00000")="89109", TEXT(TRIM(N1030),"00000")="89103", TEXT(TRIM(N1030),"00000")="89119", TEXT(TRIM(N1030),"00000")="89123", TEXT(TRIM(N1030),"00000")="89169", TEXT(TRIM(N1030),"00000")="89118"), "South/Strip",
  OR(TEXT(TRIM(N1030),"00000")="89074", TEXT(TRIM(N1030),"00000")="89014", TEXT(TRIM(N1030),"00000")="89015", TEXT(TRIM(N1030),"00000")="89011", TEXT(TRIM(N1030),"00000")="89012"), "Suburban SE",
  OR(TEXT(TRIM(N1030),"00000")="89117", TEXT(TRIM(N1030),"00000")="89128", TEXT(TRIM(N1030),"00000")="89135", TEXT(TRIM(N1030),"00000")="89144", TEXT(TRIM(N1030),"00000")="89145", TEXT(TRIM(N1030),"00000")="89147"), "West Valley",
  TRUE, "Other"
)</f>
        <v>Missing/Unknown</v>
      </c>
      <c r="P1030" t="s">
        <v>3298</v>
      </c>
      <c r="Q1030" t="str">
        <f t="shared" si="66"/>
        <v>Outdoors/Public</v>
      </c>
      <c r="S1030" t="s">
        <v>5095</v>
      </c>
      <c r="T1030" t="str" cm="1">
        <f t="array" ref="T1030">_xlfn.IFS(
  TEXT(TRIM(S1030),"00000")="NULL", "Missing/Unknown",
  OR(TEXT(TRIM(S1030),"00000")="89101", TEXT(TRIM(S1030),"00000")="89104", TEXT(TRIM(S1030),"00000")="89106", TEXT(TRIM(S1030),"00000")="89102", TEXT(TRIM(S1030),"00000")="89107", TEXT(TRIM(S1030),"00000")="89108"), "Urban Core",
  OR(TEXT(TRIM(S1030),"00000")="89110", TEXT(TRIM(S1030),"00000")="89115", TEXT(TRIM(S1030),"00000")="89121", TEXT(TRIM(S1030),"00000")="89122", TEXT(TRIM(S1030),"00000")="89142", TEXT(TRIM(S1030),"00000")="89156"), "East Valley",
  OR(TEXT(TRIM(S1030),"00000")="89030", TEXT(TRIM(S1030),"00000")="89031", TEXT(TRIM(S1030),"00000")="89032", TEXT(TRIM(S1030),"00000")="89086", TEXT(TRIM(S1030),"00000")="89084", TEXT(TRIM(S1030),"00000")="89081"), "North LV",
  OR(TEXT(TRIM(S1030),"00000")="89109", TEXT(TRIM(S1030),"00000")="89103", TEXT(TRIM(S1030),"00000")="89119", TEXT(TRIM(S1030),"00000")="89123", TEXT(TRIM(S1030),"00000")="89169", TEXT(TRIM(S1030),"00000")="89118"), "South/Strip",
  OR(TEXT(TRIM(S1030),"00000")="89074", TEXT(TRIM(S1030),"00000")="89014", TEXT(TRIM(S1030),"00000")="89015", TEXT(TRIM(S1030),"00000")="89011", TEXT(TRIM(S1030),"00000")="89012"), "Suburban SE",
  OR(TEXT(TRIM(S1030),"00000")="89117", TEXT(TRIM(S1030),"00000")="89128", TEXT(TRIM(S1030),"00000")="89135", TEXT(TRIM(S1030),"00000")="89144", TEXT(TRIM(S1030),"00000")="89145", TEXT(TRIM(S1030),"00000")="89147"), "West Valley",
  TRUE, "Other"
)</f>
        <v>Missing/Unknown</v>
      </c>
      <c r="U1030" t="s">
        <v>3298</v>
      </c>
      <c r="V1030" t="str">
        <f t="shared" si="67"/>
        <v>Outdoors/Public</v>
      </c>
    </row>
    <row r="1031" spans="1:22">
      <c r="A1031" t="s">
        <v>2067</v>
      </c>
      <c r="B1031" t="s">
        <v>2068</v>
      </c>
      <c r="C1031" s="1">
        <v>44389</v>
      </c>
      <c r="D1031" s="4">
        <v>113</v>
      </c>
      <c r="E1031">
        <v>43</v>
      </c>
      <c r="F1031" t="str">
        <f t="shared" si="64"/>
        <v>40's</v>
      </c>
      <c r="G1031" t="str" cm="1">
        <f t="array" ref="G1031">_xlfn.IFS(
  F1031="10's", "Child (5–12)",
  OR(F1031="20's", F1031="30's"), "Young Adult (20–39)",
  OR(F1031="40's", F1031="50's"), "Adult (40–59)",
  OR(F1031="60's", F1031="70's", F1031="80's", F1031="90's"), "Senior (60+)",
  TRUE, "Unknown"
)</f>
        <v>Adult (40–59)</v>
      </c>
      <c r="H1031" t="s">
        <v>778</v>
      </c>
      <c r="I1031" t="s">
        <v>97</v>
      </c>
      <c r="J1031" t="str">
        <f t="shared" si="65"/>
        <v>Environmental Heat</v>
      </c>
      <c r="K1031" t="s">
        <v>4117</v>
      </c>
      <c r="L1031" t="s">
        <v>250</v>
      </c>
      <c r="N1031" t="s">
        <v>5095</v>
      </c>
      <c r="O1031" t="str" cm="1">
        <f t="array" ref="O1031">_xlfn.IFS(
  TEXT(TRIM(N1031),"00000")="NULL", "Missing/Unknown",
  OR(TEXT(TRIM(N1031),"00000")="89101", TEXT(TRIM(N1031),"00000")="89104", TEXT(TRIM(N1031),"00000")="89106", TEXT(TRIM(N1031),"00000")="89102", TEXT(TRIM(N1031),"00000")="89107", TEXT(TRIM(N1031),"00000")="89108"), "Urban Core",
  OR(TEXT(TRIM(N1031),"00000")="89110", TEXT(TRIM(N1031),"00000")="89115", TEXT(TRIM(N1031),"00000")="89121", TEXT(TRIM(N1031),"00000")="89122", TEXT(TRIM(N1031),"00000")="89142", TEXT(TRIM(N1031),"00000")="89156"), "East Valley",
  OR(TEXT(TRIM(N1031),"00000")="89030", TEXT(TRIM(N1031),"00000")="89031", TEXT(TRIM(N1031),"00000")="89032", TEXT(TRIM(N1031),"00000")="89086", TEXT(TRIM(N1031),"00000")="89084", TEXT(TRIM(N1031),"00000")="89081"), "North LV",
  OR(TEXT(TRIM(N1031),"00000")="89109", TEXT(TRIM(N1031),"00000")="89103", TEXT(TRIM(N1031),"00000")="89119", TEXT(TRIM(N1031),"00000")="89123", TEXT(TRIM(N1031),"00000")="89169", TEXT(TRIM(N1031),"00000")="89118"), "South/Strip",
  OR(TEXT(TRIM(N1031),"00000")="89074", TEXT(TRIM(N1031),"00000")="89014", TEXT(TRIM(N1031),"00000")="89015", TEXT(TRIM(N1031),"00000")="89011", TEXT(TRIM(N1031),"00000")="89012"), "Suburban SE",
  OR(TEXT(TRIM(N1031),"00000")="89117", TEXT(TRIM(N1031),"00000")="89128", TEXT(TRIM(N1031),"00000")="89135", TEXT(TRIM(N1031),"00000")="89144", TEXT(TRIM(N1031),"00000")="89145", TEXT(TRIM(N1031),"00000")="89147"), "West Valley",
  TRUE, "Other"
)</f>
        <v>Missing/Unknown</v>
      </c>
      <c r="P1031" t="s">
        <v>3298</v>
      </c>
      <c r="Q1031" t="str">
        <f t="shared" si="66"/>
        <v>Outdoors/Public</v>
      </c>
      <c r="R1031" t="s">
        <v>4341</v>
      </c>
      <c r="S1031" t="s">
        <v>5100</v>
      </c>
      <c r="T1031" t="str" cm="1">
        <f t="array" ref="T1031">_xlfn.IFS(
  TEXT(TRIM(S1031),"00000")="NULL", "Missing/Unknown",
  OR(TEXT(TRIM(S1031),"00000")="89101", TEXT(TRIM(S1031),"00000")="89104", TEXT(TRIM(S1031),"00000")="89106", TEXT(TRIM(S1031),"00000")="89102", TEXT(TRIM(S1031),"00000")="89107", TEXT(TRIM(S1031),"00000")="89108"), "Urban Core",
  OR(TEXT(TRIM(S1031),"00000")="89110", TEXT(TRIM(S1031),"00000")="89115", TEXT(TRIM(S1031),"00000")="89121", TEXT(TRIM(S1031),"00000")="89122", TEXT(TRIM(S1031),"00000")="89142", TEXT(TRIM(S1031),"00000")="89156"), "East Valley",
  OR(TEXT(TRIM(S1031),"00000")="89030", TEXT(TRIM(S1031),"00000")="89031", TEXT(TRIM(S1031),"00000")="89032", TEXT(TRIM(S1031),"00000")="89086", TEXT(TRIM(S1031),"00000")="89084", TEXT(TRIM(S1031),"00000")="89081"), "North LV",
  OR(TEXT(TRIM(S1031),"00000")="89109", TEXT(TRIM(S1031),"00000")="89103", TEXT(TRIM(S1031),"00000")="89119", TEXT(TRIM(S1031),"00000")="89123", TEXT(TRIM(S1031),"00000")="89169", TEXT(TRIM(S1031),"00000")="89118"), "South/Strip",
  OR(TEXT(TRIM(S1031),"00000")="89074", TEXT(TRIM(S1031),"00000")="89014", TEXT(TRIM(S1031),"00000")="89015", TEXT(TRIM(S1031),"00000")="89011", TEXT(TRIM(S1031),"00000")="89012"), "Suburban SE",
  OR(TEXT(TRIM(S1031),"00000")="89117", TEXT(TRIM(S1031),"00000")="89128", TEXT(TRIM(S1031),"00000")="89135", TEXT(TRIM(S1031),"00000")="89144", TEXT(TRIM(S1031),"00000")="89145", TEXT(TRIM(S1031),"00000")="89147"), "West Valley",
  TRUE, "Other"
)</f>
        <v>North LV</v>
      </c>
      <c r="U1031" t="s">
        <v>4301</v>
      </c>
      <c r="V1031" t="str">
        <f t="shared" si="67"/>
        <v>Medical Facility</v>
      </c>
    </row>
    <row r="1032" spans="1:22">
      <c r="A1032" t="s">
        <v>2092</v>
      </c>
      <c r="B1032" t="s">
        <v>2093</v>
      </c>
      <c r="C1032" s="1">
        <v>44389</v>
      </c>
      <c r="D1032" s="4">
        <v>113</v>
      </c>
      <c r="E1032">
        <v>38</v>
      </c>
      <c r="F1032" t="str">
        <f t="shared" si="64"/>
        <v>30's</v>
      </c>
      <c r="G1032" t="str" cm="1">
        <f t="array" ref="G1032">_xlfn.IFS(
  F1032="10's", "Child (5–12)",
  OR(F1032="20's", F1032="30's"), "Young Adult (20–39)",
  OR(F1032="40's", F1032="50's"), "Adult (40–59)",
  OR(F1032="60's", F1032="70's", F1032="80's", F1032="90's"), "Senior (60+)",
  TRUE, "Unknown"
)</f>
        <v>Young Adult (20–39)</v>
      </c>
      <c r="H1032" t="s">
        <v>27</v>
      </c>
      <c r="I1032" t="s">
        <v>4025</v>
      </c>
      <c r="J1032" t="str">
        <f t="shared" si="65"/>
        <v>Methamphetamine-related</v>
      </c>
      <c r="K1032" t="s">
        <v>97</v>
      </c>
      <c r="L1032" t="s">
        <v>250</v>
      </c>
      <c r="M1032" t="s">
        <v>4557</v>
      </c>
      <c r="N1032" t="s">
        <v>5101</v>
      </c>
      <c r="O1032" t="str" cm="1">
        <f t="array" ref="O1032">_xlfn.IFS(
  TEXT(TRIM(N1032),"00000")="NULL", "Missing/Unknown",
  OR(TEXT(TRIM(N1032),"00000")="89101", TEXT(TRIM(N1032),"00000")="89104", TEXT(TRIM(N1032),"00000")="89106", TEXT(TRIM(N1032),"00000")="89102", TEXT(TRIM(N1032),"00000")="89107", TEXT(TRIM(N1032),"00000")="89108"), "Urban Core",
  OR(TEXT(TRIM(N1032),"00000")="89110", TEXT(TRIM(N1032),"00000")="89115", TEXT(TRIM(N1032),"00000")="89121", TEXT(TRIM(N1032),"00000")="89122", TEXT(TRIM(N1032),"00000")="89142", TEXT(TRIM(N1032),"00000")="89156"), "East Valley",
  OR(TEXT(TRIM(N1032),"00000")="89030", TEXT(TRIM(N1032),"00000")="89031", TEXT(TRIM(N1032),"00000")="89032", TEXT(TRIM(N1032),"00000")="89086", TEXT(TRIM(N1032),"00000")="89084", TEXT(TRIM(N1032),"00000")="89081"), "North LV",
  OR(TEXT(TRIM(N1032),"00000")="89109", TEXT(TRIM(N1032),"00000")="89103", TEXT(TRIM(N1032),"00000")="89119", TEXT(TRIM(N1032),"00000")="89123", TEXT(TRIM(N1032),"00000")="89169", TEXT(TRIM(N1032),"00000")="89118"), "South/Strip",
  OR(TEXT(TRIM(N1032),"00000")="89074", TEXT(TRIM(N1032),"00000")="89014", TEXT(TRIM(N1032),"00000")="89015", TEXT(TRIM(N1032),"00000")="89011", TEXT(TRIM(N1032),"00000")="89012"), "Suburban SE",
  OR(TEXT(TRIM(N1032),"00000")="89117", TEXT(TRIM(N1032),"00000")="89128", TEXT(TRIM(N1032),"00000")="89135", TEXT(TRIM(N1032),"00000")="89144", TEXT(TRIM(N1032),"00000")="89145", TEXT(TRIM(N1032),"00000")="89147"), "West Valley",
  TRUE, "Other"
)</f>
        <v>Urban Core</v>
      </c>
      <c r="P1032" t="s">
        <v>3298</v>
      </c>
      <c r="Q1032" t="str">
        <f t="shared" si="66"/>
        <v>Outdoors/Public</v>
      </c>
      <c r="R1032" t="s">
        <v>4341</v>
      </c>
      <c r="S1032" t="s">
        <v>5100</v>
      </c>
      <c r="T1032" t="str" cm="1">
        <f t="array" ref="T1032">_xlfn.IFS(
  TEXT(TRIM(S1032),"00000")="NULL", "Missing/Unknown",
  OR(TEXT(TRIM(S1032),"00000")="89101", TEXT(TRIM(S1032),"00000")="89104", TEXT(TRIM(S1032),"00000")="89106", TEXT(TRIM(S1032),"00000")="89102", TEXT(TRIM(S1032),"00000")="89107", TEXT(TRIM(S1032),"00000")="89108"), "Urban Core",
  OR(TEXT(TRIM(S1032),"00000")="89110", TEXT(TRIM(S1032),"00000")="89115", TEXT(TRIM(S1032),"00000")="89121", TEXT(TRIM(S1032),"00000")="89122", TEXT(TRIM(S1032),"00000")="89142", TEXT(TRIM(S1032),"00000")="89156"), "East Valley",
  OR(TEXT(TRIM(S1032),"00000")="89030", TEXT(TRIM(S1032),"00000")="89031", TEXT(TRIM(S1032),"00000")="89032", TEXT(TRIM(S1032),"00000")="89086", TEXT(TRIM(S1032),"00000")="89084", TEXT(TRIM(S1032),"00000")="89081"), "North LV",
  OR(TEXT(TRIM(S1032),"00000")="89109", TEXT(TRIM(S1032),"00000")="89103", TEXT(TRIM(S1032),"00000")="89119", TEXT(TRIM(S1032),"00000")="89123", TEXT(TRIM(S1032),"00000")="89169", TEXT(TRIM(S1032),"00000")="89118"), "South/Strip",
  OR(TEXT(TRIM(S1032),"00000")="89074", TEXT(TRIM(S1032),"00000")="89014", TEXT(TRIM(S1032),"00000")="89015", TEXT(TRIM(S1032),"00000")="89011", TEXT(TRIM(S1032),"00000")="89012"), "Suburban SE",
  OR(TEXT(TRIM(S1032),"00000")="89117", TEXT(TRIM(S1032),"00000")="89128", TEXT(TRIM(S1032),"00000")="89135", TEXT(TRIM(S1032),"00000")="89144", TEXT(TRIM(S1032),"00000")="89145", TEXT(TRIM(S1032),"00000")="89147"), "West Valley",
  TRUE, "Other"
)</f>
        <v>North LV</v>
      </c>
      <c r="U1032" t="s">
        <v>4301</v>
      </c>
      <c r="V1032" t="str">
        <f t="shared" si="67"/>
        <v>Medical Facility</v>
      </c>
    </row>
    <row r="1033" spans="1:22">
      <c r="A1033" t="s">
        <v>2087</v>
      </c>
      <c r="B1033" t="s">
        <v>2088</v>
      </c>
      <c r="C1033" s="1">
        <v>44389</v>
      </c>
      <c r="D1033" s="4">
        <v>113</v>
      </c>
      <c r="E1033">
        <v>47</v>
      </c>
      <c r="F1033" t="str">
        <f t="shared" si="64"/>
        <v>40's</v>
      </c>
      <c r="G1033" t="str" cm="1">
        <f t="array" ref="G1033">_xlfn.IFS(
  F1033="10's", "Child (5–12)",
  OR(F1033="20's", F1033="30's"), "Young Adult (20–39)",
  OR(F1033="40's", F1033="50's"), "Adult (40–59)",
  OR(F1033="60's", F1033="70's", F1033="80's", F1033="90's"), "Senior (60+)",
  TRUE, "Unknown"
)</f>
        <v>Adult (40–59)</v>
      </c>
      <c r="H1033" t="s">
        <v>27</v>
      </c>
      <c r="I1033" t="s">
        <v>4025</v>
      </c>
      <c r="J1033" t="str">
        <f t="shared" si="65"/>
        <v>Methamphetamine-related</v>
      </c>
      <c r="K1033" t="s">
        <v>97</v>
      </c>
      <c r="L1033" t="s">
        <v>1071</v>
      </c>
      <c r="M1033" t="s">
        <v>4555</v>
      </c>
      <c r="N1033" t="s">
        <v>5098</v>
      </c>
      <c r="O1033" t="str" cm="1">
        <f t="array" ref="O1033">_xlfn.IFS(
  TEXT(TRIM(N1033),"00000")="NULL", "Missing/Unknown",
  OR(TEXT(TRIM(N1033),"00000")="89101", TEXT(TRIM(N1033),"00000")="89104", TEXT(TRIM(N1033),"00000")="89106", TEXT(TRIM(N1033),"00000")="89102", TEXT(TRIM(N1033),"00000")="89107", TEXT(TRIM(N1033),"00000")="89108"), "Urban Core",
  OR(TEXT(TRIM(N1033),"00000")="89110", TEXT(TRIM(N1033),"00000")="89115", TEXT(TRIM(N1033),"00000")="89121", TEXT(TRIM(N1033),"00000")="89122", TEXT(TRIM(N1033),"00000")="89142", TEXT(TRIM(N1033),"00000")="89156"), "East Valley",
  OR(TEXT(TRIM(N1033),"00000")="89030", TEXT(TRIM(N1033),"00000")="89031", TEXT(TRIM(N1033),"00000")="89032", TEXT(TRIM(N1033),"00000")="89086", TEXT(TRIM(N1033),"00000")="89084", TEXT(TRIM(N1033),"00000")="89081"), "North LV",
  OR(TEXT(TRIM(N1033),"00000")="89109", TEXT(TRIM(N1033),"00000")="89103", TEXT(TRIM(N1033),"00000")="89119", TEXT(TRIM(N1033),"00000")="89123", TEXT(TRIM(N1033),"00000")="89169", TEXT(TRIM(N1033),"00000")="89118"), "South/Strip",
  OR(TEXT(TRIM(N1033),"00000")="89074", TEXT(TRIM(N1033),"00000")="89014", TEXT(TRIM(N1033),"00000")="89015", TEXT(TRIM(N1033),"00000")="89011", TEXT(TRIM(N1033),"00000")="89012"), "Suburban SE",
  OR(TEXT(TRIM(N1033),"00000")="89117", TEXT(TRIM(N1033),"00000")="89128", TEXT(TRIM(N1033),"00000")="89135", TEXT(TRIM(N1033),"00000")="89144", TEXT(TRIM(N1033),"00000")="89145", TEXT(TRIM(N1033),"00000")="89147"), "West Valley",
  TRUE, "Other"
)</f>
        <v>Urban Core</v>
      </c>
      <c r="P1033" t="s">
        <v>3298</v>
      </c>
      <c r="Q1033" t="str">
        <f t="shared" si="66"/>
        <v>Outdoors/Public</v>
      </c>
      <c r="R1033" t="s">
        <v>5055</v>
      </c>
      <c r="S1033" t="s">
        <v>5119</v>
      </c>
      <c r="T1033" t="str" cm="1">
        <f t="array" ref="T1033">_xlfn.IFS(
  TEXT(TRIM(S1033),"00000")="NULL", "Missing/Unknown",
  OR(TEXT(TRIM(S1033),"00000")="89101", TEXT(TRIM(S1033),"00000")="89104", TEXT(TRIM(S1033),"00000")="89106", TEXT(TRIM(S1033),"00000")="89102", TEXT(TRIM(S1033),"00000")="89107", TEXT(TRIM(S1033),"00000")="89108"), "Urban Core",
  OR(TEXT(TRIM(S1033),"00000")="89110", TEXT(TRIM(S1033),"00000")="89115", TEXT(TRIM(S1033),"00000")="89121", TEXT(TRIM(S1033),"00000")="89122", TEXT(TRIM(S1033),"00000")="89142", TEXT(TRIM(S1033),"00000")="89156"), "East Valley",
  OR(TEXT(TRIM(S1033),"00000")="89030", TEXT(TRIM(S1033),"00000")="89031", TEXT(TRIM(S1033),"00000")="89032", TEXT(TRIM(S1033),"00000")="89086", TEXT(TRIM(S1033),"00000")="89084", TEXT(TRIM(S1033),"00000")="89081"), "North LV",
  OR(TEXT(TRIM(S1033),"00000")="89109", TEXT(TRIM(S1033),"00000")="89103", TEXT(TRIM(S1033),"00000")="89119", TEXT(TRIM(S1033),"00000")="89123", TEXT(TRIM(S1033),"00000")="89169", TEXT(TRIM(S1033),"00000")="89118"), "South/Strip",
  OR(TEXT(TRIM(S1033),"00000")="89074", TEXT(TRIM(S1033),"00000")="89014", TEXT(TRIM(S1033),"00000")="89015", TEXT(TRIM(S1033),"00000")="89011", TEXT(TRIM(S1033),"00000")="89012"), "Suburban SE",
  OR(TEXT(TRIM(S1033),"00000")="89117", TEXT(TRIM(S1033),"00000")="89128", TEXT(TRIM(S1033),"00000")="89135", TEXT(TRIM(S1033),"00000")="89144", TEXT(TRIM(S1033),"00000")="89145", TEXT(TRIM(S1033),"00000")="89147"), "West Valley",
  TRUE, "Other"
)</f>
        <v>Urban Core</v>
      </c>
      <c r="U1033" t="s">
        <v>4301</v>
      </c>
      <c r="V1033" t="str">
        <f t="shared" si="67"/>
        <v>Medical Facility</v>
      </c>
    </row>
    <row r="1034" spans="1:22">
      <c r="A1034" t="s">
        <v>2089</v>
      </c>
      <c r="B1034" t="s">
        <v>2090</v>
      </c>
      <c r="C1034" s="1">
        <v>44389</v>
      </c>
      <c r="D1034" s="4">
        <v>113</v>
      </c>
      <c r="E1034">
        <v>56</v>
      </c>
      <c r="F1034" t="str">
        <f t="shared" si="64"/>
        <v>50's</v>
      </c>
      <c r="G1034" t="str" cm="1">
        <f t="array" ref="G1034">_xlfn.IFS(
  F1034="10's", "Child (5–12)",
  OR(F1034="20's", F1034="30's"), "Young Adult (20–39)",
  OR(F1034="40's", F1034="50's"), "Adult (40–59)",
  OR(F1034="60's", F1034="70's", F1034="80's", F1034="90's"), "Senior (60+)",
  TRUE, "Unknown"
)</f>
        <v>Adult (40–59)</v>
      </c>
      <c r="H1034" t="s">
        <v>841</v>
      </c>
      <c r="I1034" t="s">
        <v>4025</v>
      </c>
      <c r="J1034" t="str">
        <f t="shared" si="65"/>
        <v>Methamphetamine-related</v>
      </c>
      <c r="K1034" t="s">
        <v>97</v>
      </c>
      <c r="L1034" t="s">
        <v>250</v>
      </c>
      <c r="M1034" t="s">
        <v>4556</v>
      </c>
      <c r="N1034" t="s">
        <v>5108</v>
      </c>
      <c r="O1034" t="str" cm="1">
        <f t="array" ref="O1034">_xlfn.IFS(
  TEXT(TRIM(N1034),"00000")="NULL", "Missing/Unknown",
  OR(TEXT(TRIM(N1034),"00000")="89101", TEXT(TRIM(N1034),"00000")="89104", TEXT(TRIM(N1034),"00000")="89106", TEXT(TRIM(N1034),"00000")="89102", TEXT(TRIM(N1034),"00000")="89107", TEXT(TRIM(N1034),"00000")="89108"), "Urban Core",
  OR(TEXT(TRIM(N1034),"00000")="89110", TEXT(TRIM(N1034),"00000")="89115", TEXT(TRIM(N1034),"00000")="89121", TEXT(TRIM(N1034),"00000")="89122", TEXT(TRIM(N1034),"00000")="89142", TEXT(TRIM(N1034),"00000")="89156"), "East Valley",
  OR(TEXT(TRIM(N1034),"00000")="89030", TEXT(TRIM(N1034),"00000")="89031", TEXT(TRIM(N1034),"00000")="89032", TEXT(TRIM(N1034),"00000")="89086", TEXT(TRIM(N1034),"00000")="89084", TEXT(TRIM(N1034),"00000")="89081"), "North LV",
  OR(TEXT(TRIM(N1034),"00000")="89109", TEXT(TRIM(N1034),"00000")="89103", TEXT(TRIM(N1034),"00000")="89119", TEXT(TRIM(N1034),"00000")="89123", TEXT(TRIM(N1034),"00000")="89169", TEXT(TRIM(N1034),"00000")="89118"), "South/Strip",
  OR(TEXT(TRIM(N1034),"00000")="89074", TEXT(TRIM(N1034),"00000")="89014", TEXT(TRIM(N1034),"00000")="89015", TEXT(TRIM(N1034),"00000")="89011", TEXT(TRIM(N1034),"00000")="89012"), "Suburban SE",
  OR(TEXT(TRIM(N1034),"00000")="89117", TEXT(TRIM(N1034),"00000")="89128", TEXT(TRIM(N1034),"00000")="89135", TEXT(TRIM(N1034),"00000")="89144", TEXT(TRIM(N1034),"00000")="89145", TEXT(TRIM(N1034),"00000")="89147"), "West Valley",
  TRUE, "Other"
)</f>
        <v>East Valley</v>
      </c>
      <c r="P1034" t="s">
        <v>3298</v>
      </c>
      <c r="Q1034" t="str">
        <f t="shared" si="66"/>
        <v>Outdoors/Public</v>
      </c>
      <c r="R1034" t="s">
        <v>4868</v>
      </c>
      <c r="S1034" t="s">
        <v>5123</v>
      </c>
      <c r="T1034" t="str" cm="1">
        <f t="array" ref="T1034">_xlfn.IFS(
  TEXT(TRIM(S1034),"00000")="NULL", "Missing/Unknown",
  OR(TEXT(TRIM(S1034),"00000")="89101", TEXT(TRIM(S1034),"00000")="89104", TEXT(TRIM(S1034),"00000")="89106", TEXT(TRIM(S1034),"00000")="89102", TEXT(TRIM(S1034),"00000")="89107", TEXT(TRIM(S1034),"00000")="89108"), "Urban Core",
  OR(TEXT(TRIM(S1034),"00000")="89110", TEXT(TRIM(S1034),"00000")="89115", TEXT(TRIM(S1034),"00000")="89121", TEXT(TRIM(S1034),"00000")="89122", TEXT(TRIM(S1034),"00000")="89142", TEXT(TRIM(S1034),"00000")="89156"), "East Valley",
  OR(TEXT(TRIM(S1034),"00000")="89030", TEXT(TRIM(S1034),"00000")="89031", TEXT(TRIM(S1034),"00000")="89032", TEXT(TRIM(S1034),"00000")="89086", TEXT(TRIM(S1034),"00000")="89084", TEXT(TRIM(S1034),"00000")="89081"), "North LV",
  OR(TEXT(TRIM(S1034),"00000")="89109", TEXT(TRIM(S1034),"00000")="89103", TEXT(TRIM(S1034),"00000")="89119", TEXT(TRIM(S1034),"00000")="89123", TEXT(TRIM(S1034),"00000")="89169", TEXT(TRIM(S1034),"00000")="89118"), "South/Strip",
  OR(TEXT(TRIM(S1034),"00000")="89074", TEXT(TRIM(S1034),"00000")="89014", TEXT(TRIM(S1034),"00000")="89015", TEXT(TRIM(S1034),"00000")="89011", TEXT(TRIM(S1034),"00000")="89012"), "Suburban SE",
  OR(TEXT(TRIM(S1034),"00000")="89117", TEXT(TRIM(S1034),"00000")="89128", TEXT(TRIM(S1034),"00000")="89135", TEXT(TRIM(S1034),"00000")="89144", TEXT(TRIM(S1034),"00000")="89145", TEXT(TRIM(S1034),"00000")="89147"), "West Valley",
  TRUE, "Other"
)</f>
        <v>South/Strip</v>
      </c>
      <c r="U1034" t="s">
        <v>4301</v>
      </c>
      <c r="V1034" t="str">
        <f t="shared" si="67"/>
        <v>Medical Facility</v>
      </c>
    </row>
    <row r="1035" spans="1:22">
      <c r="A1035" t="s">
        <v>2072</v>
      </c>
      <c r="B1035" t="s">
        <v>2073</v>
      </c>
      <c r="C1035" s="1">
        <v>44389</v>
      </c>
      <c r="D1035" s="4">
        <v>113</v>
      </c>
      <c r="E1035">
        <v>74</v>
      </c>
      <c r="F1035" t="str">
        <f t="shared" si="64"/>
        <v>70's</v>
      </c>
      <c r="G1035" t="str" cm="1">
        <f t="array" ref="G1035">_xlfn.IFS(
  F1035="10's", "Child (5–12)",
  OR(F1035="20's", F1035="30's"), "Young Adult (20–39)",
  OR(F1035="40's", F1035="50's"), "Adult (40–59)",
  OR(F1035="60's", F1035="70's", F1035="80's", F1035="90's"), "Senior (60+)",
  TRUE, "Unknown"
)</f>
        <v>Senior (60+)</v>
      </c>
      <c r="H1035" t="s">
        <v>841</v>
      </c>
      <c r="I1035" t="s">
        <v>54</v>
      </c>
      <c r="J1035" t="str">
        <f t="shared" si="65"/>
        <v>Environmental Heat</v>
      </c>
      <c r="K1035" t="s">
        <v>4084</v>
      </c>
      <c r="L1035" t="s">
        <v>1071</v>
      </c>
      <c r="M1035" t="s">
        <v>4721</v>
      </c>
      <c r="N1035" t="s">
        <v>5115</v>
      </c>
      <c r="O1035" t="str" cm="1">
        <f t="array" ref="O1035">_xlfn.IFS(
  TEXT(TRIM(N1035),"00000")="NULL", "Missing/Unknown",
  OR(TEXT(TRIM(N1035),"00000")="89101", TEXT(TRIM(N1035),"00000")="89104", TEXT(TRIM(N1035),"00000")="89106", TEXT(TRIM(N1035),"00000")="89102", TEXT(TRIM(N1035),"00000")="89107", TEXT(TRIM(N1035),"00000")="89108"), "Urban Core",
  OR(TEXT(TRIM(N1035),"00000")="89110", TEXT(TRIM(N1035),"00000")="89115", TEXT(TRIM(N1035),"00000")="89121", TEXT(TRIM(N1035),"00000")="89122", TEXT(TRIM(N1035),"00000")="89142", TEXT(TRIM(N1035),"00000")="89156"), "East Valley",
  OR(TEXT(TRIM(N1035),"00000")="89030", TEXT(TRIM(N1035),"00000")="89031", TEXT(TRIM(N1035),"00000")="89032", TEXT(TRIM(N1035),"00000")="89086", TEXT(TRIM(N1035),"00000")="89084", TEXT(TRIM(N1035),"00000")="89081"), "North LV",
  OR(TEXT(TRIM(N1035),"00000")="89109", TEXT(TRIM(N1035),"00000")="89103", TEXT(TRIM(N1035),"00000")="89119", TEXT(TRIM(N1035),"00000")="89123", TEXT(TRIM(N1035),"00000")="89169", TEXT(TRIM(N1035),"00000")="89118"), "South/Strip",
  OR(TEXT(TRIM(N1035),"00000")="89074", TEXT(TRIM(N1035),"00000")="89014", TEXT(TRIM(N1035),"00000")="89015", TEXT(TRIM(N1035),"00000")="89011", TEXT(TRIM(N1035),"00000")="89012"), "Suburban SE",
  OR(TEXT(TRIM(N1035),"00000")="89117", TEXT(TRIM(N1035),"00000")="89128", TEXT(TRIM(N1035),"00000")="89135", TEXT(TRIM(N1035),"00000")="89144", TEXT(TRIM(N1035),"00000")="89145", TEXT(TRIM(N1035),"00000")="89147"), "West Valley",
  TRUE, "Other"
)</f>
        <v>Other</v>
      </c>
      <c r="P1035" t="s">
        <v>3298</v>
      </c>
      <c r="Q1035" t="str">
        <f t="shared" si="66"/>
        <v>Outdoors/Public</v>
      </c>
      <c r="R1035" t="s">
        <v>4721</v>
      </c>
      <c r="S1035" t="s">
        <v>5115</v>
      </c>
      <c r="T1035" t="str" cm="1">
        <f t="array" ref="T1035">_xlfn.IFS(
  TEXT(TRIM(S1035),"00000")="NULL", "Missing/Unknown",
  OR(TEXT(TRIM(S1035),"00000")="89101", TEXT(TRIM(S1035),"00000")="89104", TEXT(TRIM(S1035),"00000")="89106", TEXT(TRIM(S1035),"00000")="89102", TEXT(TRIM(S1035),"00000")="89107", TEXT(TRIM(S1035),"00000")="89108"), "Urban Core",
  OR(TEXT(TRIM(S1035),"00000")="89110", TEXT(TRIM(S1035),"00000")="89115", TEXT(TRIM(S1035),"00000")="89121", TEXT(TRIM(S1035),"00000")="89122", TEXT(TRIM(S1035),"00000")="89142", TEXT(TRIM(S1035),"00000")="89156"), "East Valley",
  OR(TEXT(TRIM(S1035),"00000")="89030", TEXT(TRIM(S1035),"00000")="89031", TEXT(TRIM(S1035),"00000")="89032", TEXT(TRIM(S1035),"00000")="89086", TEXT(TRIM(S1035),"00000")="89084", TEXT(TRIM(S1035),"00000")="89081"), "North LV",
  OR(TEXT(TRIM(S1035),"00000")="89109", TEXT(TRIM(S1035),"00000")="89103", TEXT(TRIM(S1035),"00000")="89119", TEXT(TRIM(S1035),"00000")="89123", TEXT(TRIM(S1035),"00000")="89169", TEXT(TRIM(S1035),"00000")="89118"), "South/Strip",
  OR(TEXT(TRIM(S1035),"00000")="89074", TEXT(TRIM(S1035),"00000")="89014", TEXT(TRIM(S1035),"00000")="89015", TEXT(TRIM(S1035),"00000")="89011", TEXT(TRIM(S1035),"00000")="89012"), "Suburban SE",
  OR(TEXT(TRIM(S1035),"00000")="89117", TEXT(TRIM(S1035),"00000")="89128", TEXT(TRIM(S1035),"00000")="89135", TEXT(TRIM(S1035),"00000")="89144", TEXT(TRIM(S1035),"00000")="89145", TEXT(TRIM(S1035),"00000")="89147"), "West Valley",
  TRUE, "Other"
)</f>
        <v>Other</v>
      </c>
      <c r="U1035" t="s">
        <v>3298</v>
      </c>
      <c r="V1035" t="str">
        <f t="shared" si="67"/>
        <v>Outdoors/Public</v>
      </c>
    </row>
    <row r="1036" spans="1:22">
      <c r="A1036" t="s">
        <v>2084</v>
      </c>
      <c r="B1036" t="s">
        <v>2085</v>
      </c>
      <c r="C1036" s="1">
        <v>44389</v>
      </c>
      <c r="D1036" s="4">
        <v>113</v>
      </c>
      <c r="E1036">
        <v>48</v>
      </c>
      <c r="F1036" t="str">
        <f t="shared" si="64"/>
        <v>40's</v>
      </c>
      <c r="G1036" t="str" cm="1">
        <f t="array" ref="G1036">_xlfn.IFS(
  F1036="10's", "Child (5–12)",
  OR(F1036="20's", F1036="30's"), "Young Adult (20–39)",
  OR(F1036="40's", F1036="50's"), "Adult (40–59)",
  OR(F1036="60's", F1036="70's", F1036="80's", F1036="90's"), "Senior (60+)",
  TRUE, "Unknown"
)</f>
        <v>Adult (40–59)</v>
      </c>
      <c r="H1036" t="s">
        <v>841</v>
      </c>
      <c r="I1036" t="s">
        <v>34</v>
      </c>
      <c r="J1036" t="str">
        <f t="shared" si="65"/>
        <v>Methamphetamine-related</v>
      </c>
      <c r="K1036" t="s">
        <v>54</v>
      </c>
      <c r="L1036" t="s">
        <v>250</v>
      </c>
      <c r="M1036" t="s">
        <v>4847</v>
      </c>
      <c r="N1036" t="s">
        <v>5101</v>
      </c>
      <c r="O1036" t="str" cm="1">
        <f t="array" ref="O1036">_xlfn.IFS(
  TEXT(TRIM(N1036),"00000")="NULL", "Missing/Unknown",
  OR(TEXT(TRIM(N1036),"00000")="89101", TEXT(TRIM(N1036),"00000")="89104", TEXT(TRIM(N1036),"00000")="89106", TEXT(TRIM(N1036),"00000")="89102", TEXT(TRIM(N1036),"00000")="89107", TEXT(TRIM(N1036),"00000")="89108"), "Urban Core",
  OR(TEXT(TRIM(N1036),"00000")="89110", TEXT(TRIM(N1036),"00000")="89115", TEXT(TRIM(N1036),"00000")="89121", TEXT(TRIM(N1036),"00000")="89122", TEXT(TRIM(N1036),"00000")="89142", TEXT(TRIM(N1036),"00000")="89156"), "East Valley",
  OR(TEXT(TRIM(N1036),"00000")="89030", TEXT(TRIM(N1036),"00000")="89031", TEXT(TRIM(N1036),"00000")="89032", TEXT(TRIM(N1036),"00000")="89086", TEXT(TRIM(N1036),"00000")="89084", TEXT(TRIM(N1036),"00000")="89081"), "North LV",
  OR(TEXT(TRIM(N1036),"00000")="89109", TEXT(TRIM(N1036),"00000")="89103", TEXT(TRIM(N1036),"00000")="89119", TEXT(TRIM(N1036),"00000")="89123", TEXT(TRIM(N1036),"00000")="89169", TEXT(TRIM(N1036),"00000")="89118"), "South/Strip",
  OR(TEXT(TRIM(N1036),"00000")="89074", TEXT(TRIM(N1036),"00000")="89014", TEXT(TRIM(N1036),"00000")="89015", TEXT(TRIM(N1036),"00000")="89011", TEXT(TRIM(N1036),"00000")="89012"), "Suburban SE",
  OR(TEXT(TRIM(N1036),"00000")="89117", TEXT(TRIM(N1036),"00000")="89128", TEXT(TRIM(N1036),"00000")="89135", TEXT(TRIM(N1036),"00000")="89144", TEXT(TRIM(N1036),"00000")="89145", TEXT(TRIM(N1036),"00000")="89147"), "West Valley",
  TRUE, "Other"
)</f>
        <v>Urban Core</v>
      </c>
      <c r="P1036" t="s">
        <v>3298</v>
      </c>
      <c r="Q1036" t="str">
        <f t="shared" si="66"/>
        <v>Outdoors/Public</v>
      </c>
      <c r="R1036" t="s">
        <v>4847</v>
      </c>
      <c r="S1036" t="s">
        <v>5101</v>
      </c>
      <c r="T1036" t="str" cm="1">
        <f t="array" ref="T1036">_xlfn.IFS(
  TEXT(TRIM(S1036),"00000")="NULL", "Missing/Unknown",
  OR(TEXT(TRIM(S1036),"00000")="89101", TEXT(TRIM(S1036),"00000")="89104", TEXT(TRIM(S1036),"00000")="89106", TEXT(TRIM(S1036),"00000")="89102", TEXT(TRIM(S1036),"00000")="89107", TEXT(TRIM(S1036),"00000")="89108"), "Urban Core",
  OR(TEXT(TRIM(S1036),"00000")="89110", TEXT(TRIM(S1036),"00000")="89115", TEXT(TRIM(S1036),"00000")="89121", TEXT(TRIM(S1036),"00000")="89122", TEXT(TRIM(S1036),"00000")="89142", TEXT(TRIM(S1036),"00000")="89156"), "East Valley",
  OR(TEXT(TRIM(S1036),"00000")="89030", TEXT(TRIM(S1036),"00000")="89031", TEXT(TRIM(S1036),"00000")="89032", TEXT(TRIM(S1036),"00000")="89086", TEXT(TRIM(S1036),"00000")="89084", TEXT(TRIM(S1036),"00000")="89081"), "North LV",
  OR(TEXT(TRIM(S1036),"00000")="89109", TEXT(TRIM(S1036),"00000")="89103", TEXT(TRIM(S1036),"00000")="89119", TEXT(TRIM(S1036),"00000")="89123", TEXT(TRIM(S1036),"00000")="89169", TEXT(TRIM(S1036),"00000")="89118"), "South/Strip",
  OR(TEXT(TRIM(S1036),"00000")="89074", TEXT(TRIM(S1036),"00000")="89014", TEXT(TRIM(S1036),"00000")="89015", TEXT(TRIM(S1036),"00000")="89011", TEXT(TRIM(S1036),"00000")="89012"), "Suburban SE",
  OR(TEXT(TRIM(S1036),"00000")="89117", TEXT(TRIM(S1036),"00000")="89128", TEXT(TRIM(S1036),"00000")="89135", TEXT(TRIM(S1036),"00000")="89144", TEXT(TRIM(S1036),"00000")="89145", TEXT(TRIM(S1036),"00000")="89147"), "West Valley",
  TRUE, "Other"
)</f>
        <v>Urban Core</v>
      </c>
      <c r="U1036" t="s">
        <v>3298</v>
      </c>
      <c r="V1036" t="str">
        <f t="shared" si="67"/>
        <v>Outdoors/Public</v>
      </c>
    </row>
    <row r="1037" spans="1:22">
      <c r="A1037" t="s">
        <v>2078</v>
      </c>
      <c r="B1037" t="s">
        <v>2079</v>
      </c>
      <c r="C1037" s="1">
        <v>44389</v>
      </c>
      <c r="D1037" s="4">
        <v>113</v>
      </c>
      <c r="E1037">
        <v>75</v>
      </c>
      <c r="F1037" t="str">
        <f t="shared" si="64"/>
        <v>70's</v>
      </c>
      <c r="G1037" t="str" cm="1">
        <f t="array" ref="G1037">_xlfn.IFS(
  F1037="10's", "Child (5–12)",
  OR(F1037="20's", F1037="30's"), "Young Adult (20–39)",
  OR(F1037="40's", F1037="50's"), "Adult (40–59)",
  OR(F1037="60's", F1037="70's", F1037="80's", F1037="90's"), "Senior (60+)",
  TRUE, "Unknown"
)</f>
        <v>Senior (60+)</v>
      </c>
      <c r="H1037" t="s">
        <v>841</v>
      </c>
      <c r="I1037" t="s">
        <v>54</v>
      </c>
      <c r="J1037" t="str">
        <f t="shared" si="65"/>
        <v>Environmental Heat</v>
      </c>
      <c r="K1037" t="s">
        <v>28</v>
      </c>
      <c r="L1037" t="s">
        <v>1071</v>
      </c>
      <c r="M1037" t="s">
        <v>4478</v>
      </c>
      <c r="N1037" t="s">
        <v>5108</v>
      </c>
      <c r="O1037" t="str" cm="1">
        <f t="array" ref="O1037">_xlfn.IFS(
  TEXT(TRIM(N1037),"00000")="NULL", "Missing/Unknown",
  OR(TEXT(TRIM(N1037),"00000")="89101", TEXT(TRIM(N1037),"00000")="89104", TEXT(TRIM(N1037),"00000")="89106", TEXT(TRIM(N1037),"00000")="89102", TEXT(TRIM(N1037),"00000")="89107", TEXT(TRIM(N1037),"00000")="89108"), "Urban Core",
  OR(TEXT(TRIM(N1037),"00000")="89110", TEXT(TRIM(N1037),"00000")="89115", TEXT(TRIM(N1037),"00000")="89121", TEXT(TRIM(N1037),"00000")="89122", TEXT(TRIM(N1037),"00000")="89142", TEXT(TRIM(N1037),"00000")="89156"), "East Valley",
  OR(TEXT(TRIM(N1037),"00000")="89030", TEXT(TRIM(N1037),"00000")="89031", TEXT(TRIM(N1037),"00000")="89032", TEXT(TRIM(N1037),"00000")="89086", TEXT(TRIM(N1037),"00000")="89084", TEXT(TRIM(N1037),"00000")="89081"), "North LV",
  OR(TEXT(TRIM(N1037),"00000")="89109", TEXT(TRIM(N1037),"00000")="89103", TEXT(TRIM(N1037),"00000")="89119", TEXT(TRIM(N1037),"00000")="89123", TEXT(TRIM(N1037),"00000")="89169", TEXT(TRIM(N1037),"00000")="89118"), "South/Strip",
  OR(TEXT(TRIM(N1037),"00000")="89074", TEXT(TRIM(N1037),"00000")="89014", TEXT(TRIM(N1037),"00000")="89015", TEXT(TRIM(N1037),"00000")="89011", TEXT(TRIM(N1037),"00000")="89012"), "Suburban SE",
  OR(TEXT(TRIM(N1037),"00000")="89117", TEXT(TRIM(N1037),"00000")="89128", TEXT(TRIM(N1037),"00000")="89135", TEXT(TRIM(N1037),"00000")="89144", TEXT(TRIM(N1037),"00000")="89145", TEXT(TRIM(N1037),"00000")="89147"), "West Valley",
  TRUE, "Other"
)</f>
        <v>East Valley</v>
      </c>
      <c r="P1037" t="s">
        <v>38</v>
      </c>
      <c r="Q1037" t="str">
        <f t="shared" si="66"/>
        <v>Home/Residence</v>
      </c>
      <c r="R1037" t="s">
        <v>4478</v>
      </c>
      <c r="S1037" t="s">
        <v>5108</v>
      </c>
      <c r="T1037" t="str" cm="1">
        <f t="array" ref="T1037">_xlfn.IFS(
  TEXT(TRIM(S1037),"00000")="NULL", "Missing/Unknown",
  OR(TEXT(TRIM(S1037),"00000")="89101", TEXT(TRIM(S1037),"00000")="89104", TEXT(TRIM(S1037),"00000")="89106", TEXT(TRIM(S1037),"00000")="89102", TEXT(TRIM(S1037),"00000")="89107", TEXT(TRIM(S1037),"00000")="89108"), "Urban Core",
  OR(TEXT(TRIM(S1037),"00000")="89110", TEXT(TRIM(S1037),"00000")="89115", TEXT(TRIM(S1037),"00000")="89121", TEXT(TRIM(S1037),"00000")="89122", TEXT(TRIM(S1037),"00000")="89142", TEXT(TRIM(S1037),"00000")="89156"), "East Valley",
  OR(TEXT(TRIM(S1037),"00000")="89030", TEXT(TRIM(S1037),"00000")="89031", TEXT(TRIM(S1037),"00000")="89032", TEXT(TRIM(S1037),"00000")="89086", TEXT(TRIM(S1037),"00000")="89084", TEXT(TRIM(S1037),"00000")="89081"), "North LV",
  OR(TEXT(TRIM(S1037),"00000")="89109", TEXT(TRIM(S1037),"00000")="89103", TEXT(TRIM(S1037),"00000")="89119", TEXT(TRIM(S1037),"00000")="89123", TEXT(TRIM(S1037),"00000")="89169", TEXT(TRIM(S1037),"00000")="89118"), "South/Strip",
  OR(TEXT(TRIM(S1037),"00000")="89074", TEXT(TRIM(S1037),"00000")="89014", TEXT(TRIM(S1037),"00000")="89015", TEXT(TRIM(S1037),"00000")="89011", TEXT(TRIM(S1037),"00000")="89012"), "Suburban SE",
  OR(TEXT(TRIM(S1037),"00000")="89117", TEXT(TRIM(S1037),"00000")="89128", TEXT(TRIM(S1037),"00000")="89135", TEXT(TRIM(S1037),"00000")="89144", TEXT(TRIM(S1037),"00000")="89145", TEXT(TRIM(S1037),"00000")="89147"), "West Valley",
  TRUE, "Other"
)</f>
        <v>East Valley</v>
      </c>
      <c r="U1037" t="s">
        <v>38</v>
      </c>
      <c r="V1037" t="str">
        <f t="shared" si="67"/>
        <v>Home/Residence</v>
      </c>
    </row>
    <row r="1038" spans="1:22">
      <c r="A1038" t="s">
        <v>2099</v>
      </c>
      <c r="B1038" t="s">
        <v>2100</v>
      </c>
      <c r="C1038" s="1">
        <v>44389</v>
      </c>
      <c r="D1038" s="4">
        <v>113</v>
      </c>
      <c r="E1038">
        <v>58</v>
      </c>
      <c r="F1038" t="str">
        <f t="shared" si="64"/>
        <v>50's</v>
      </c>
      <c r="G1038" t="str" cm="1">
        <f t="array" ref="G1038">_xlfn.IFS(
  F1038="10's", "Child (5–12)",
  OR(F1038="20's", F1038="30's"), "Young Adult (20–39)",
  OR(F1038="40's", F1038="50's"), "Adult (40–59)",
  OR(F1038="60's", F1038="70's", F1038="80's", F1038="90's"), "Senior (60+)",
  TRUE, "Unknown"
)</f>
        <v>Adult (40–59)</v>
      </c>
      <c r="H1038" t="s">
        <v>841</v>
      </c>
      <c r="I1038" t="s">
        <v>34</v>
      </c>
      <c r="J1038" t="str">
        <f t="shared" si="65"/>
        <v>Methamphetamine-related</v>
      </c>
      <c r="K1038" t="s">
        <v>54</v>
      </c>
      <c r="L1038" t="s">
        <v>250</v>
      </c>
      <c r="N1038" t="s">
        <v>5095</v>
      </c>
      <c r="O1038" t="str" cm="1">
        <f t="array" ref="O1038">_xlfn.IFS(
  TEXT(TRIM(N1038),"00000")="NULL", "Missing/Unknown",
  OR(TEXT(TRIM(N1038),"00000")="89101", TEXT(TRIM(N1038),"00000")="89104", TEXT(TRIM(N1038),"00000")="89106", TEXT(TRIM(N1038),"00000")="89102", TEXT(TRIM(N1038),"00000")="89107", TEXT(TRIM(N1038),"00000")="89108"), "Urban Core",
  OR(TEXT(TRIM(N1038),"00000")="89110", TEXT(TRIM(N1038),"00000")="89115", TEXT(TRIM(N1038),"00000")="89121", TEXT(TRIM(N1038),"00000")="89122", TEXT(TRIM(N1038),"00000")="89142", TEXT(TRIM(N1038),"00000")="89156"), "East Valley",
  OR(TEXT(TRIM(N1038),"00000")="89030", TEXT(TRIM(N1038),"00000")="89031", TEXT(TRIM(N1038),"00000")="89032", TEXT(TRIM(N1038),"00000")="89086", TEXT(TRIM(N1038),"00000")="89084", TEXT(TRIM(N1038),"00000")="89081"), "North LV",
  OR(TEXT(TRIM(N1038),"00000")="89109", TEXT(TRIM(N1038),"00000")="89103", TEXT(TRIM(N1038),"00000")="89119", TEXT(TRIM(N1038),"00000")="89123", TEXT(TRIM(N1038),"00000")="89169", TEXT(TRIM(N1038),"00000")="89118"), "South/Strip",
  OR(TEXT(TRIM(N1038),"00000")="89074", TEXT(TRIM(N1038),"00000")="89014", TEXT(TRIM(N1038),"00000")="89015", TEXT(TRIM(N1038),"00000")="89011", TEXT(TRIM(N1038),"00000")="89012"), "Suburban SE",
  OR(TEXT(TRIM(N1038),"00000")="89117", TEXT(TRIM(N1038),"00000")="89128", TEXT(TRIM(N1038),"00000")="89135", TEXT(TRIM(N1038),"00000")="89144", TEXT(TRIM(N1038),"00000")="89145", TEXT(TRIM(N1038),"00000")="89147"), "West Valley",
  TRUE, "Other"
)</f>
        <v>Missing/Unknown</v>
      </c>
      <c r="P1038" t="s">
        <v>3298</v>
      </c>
      <c r="Q1038" t="str">
        <f t="shared" si="66"/>
        <v>Outdoors/Public</v>
      </c>
      <c r="R1038" t="s">
        <v>4713</v>
      </c>
      <c r="S1038" t="s">
        <v>5125</v>
      </c>
      <c r="T1038" t="str" cm="1">
        <f t="array" ref="T1038">_xlfn.IFS(
  TEXT(TRIM(S1038),"00000")="NULL", "Missing/Unknown",
  OR(TEXT(TRIM(S1038),"00000")="89101", TEXT(TRIM(S1038),"00000")="89104", TEXT(TRIM(S1038),"00000")="89106", TEXT(TRIM(S1038),"00000")="89102", TEXT(TRIM(S1038),"00000")="89107", TEXT(TRIM(S1038),"00000")="89108"), "Urban Core",
  OR(TEXT(TRIM(S1038),"00000")="89110", TEXT(TRIM(S1038),"00000")="89115", TEXT(TRIM(S1038),"00000")="89121", TEXT(TRIM(S1038),"00000")="89122", TEXT(TRIM(S1038),"00000")="89142", TEXT(TRIM(S1038),"00000")="89156"), "East Valley",
  OR(TEXT(TRIM(S1038),"00000")="89030", TEXT(TRIM(S1038),"00000")="89031", TEXT(TRIM(S1038),"00000")="89032", TEXT(TRIM(S1038),"00000")="89086", TEXT(TRIM(S1038),"00000")="89084", TEXT(TRIM(S1038),"00000")="89081"), "North LV",
  OR(TEXT(TRIM(S1038),"00000")="89109", TEXT(TRIM(S1038),"00000")="89103", TEXT(TRIM(S1038),"00000")="89119", TEXT(TRIM(S1038),"00000")="89123", TEXT(TRIM(S1038),"00000")="89169", TEXT(TRIM(S1038),"00000")="89118"), "South/Strip",
  OR(TEXT(TRIM(S1038),"00000")="89074", TEXT(TRIM(S1038),"00000")="89014", TEXT(TRIM(S1038),"00000")="89015", TEXT(TRIM(S1038),"00000")="89011", TEXT(TRIM(S1038),"00000")="89012"), "Suburban SE",
  OR(TEXT(TRIM(S1038),"00000")="89117", TEXT(TRIM(S1038),"00000")="89128", TEXT(TRIM(S1038),"00000")="89135", TEXT(TRIM(S1038),"00000")="89144", TEXT(TRIM(S1038),"00000")="89145", TEXT(TRIM(S1038),"00000")="89147"), "West Valley",
  TRUE, "Other"
)</f>
        <v>South/Strip</v>
      </c>
      <c r="U1038" t="s">
        <v>4301</v>
      </c>
      <c r="V1038" t="str">
        <f t="shared" si="67"/>
        <v>Medical Facility</v>
      </c>
    </row>
    <row r="1039" spans="1:22">
      <c r="A1039" t="s">
        <v>2101</v>
      </c>
      <c r="B1039" t="s">
        <v>2102</v>
      </c>
      <c r="C1039" s="1">
        <v>44389</v>
      </c>
      <c r="D1039" s="4">
        <v>113</v>
      </c>
      <c r="E1039">
        <v>37</v>
      </c>
      <c r="F1039" t="str">
        <f t="shared" si="64"/>
        <v>30's</v>
      </c>
      <c r="G1039" t="str" cm="1">
        <f t="array" ref="G1039">_xlfn.IFS(
  F1039="10's", "Child (5–12)",
  OR(F1039="20's", F1039="30's"), "Young Adult (20–39)",
  OR(F1039="40's", F1039="50's"), "Adult (40–59)",
  OR(F1039="60's", F1039="70's", F1039="80's", F1039="90's"), "Senior (60+)",
  TRUE, "Unknown"
)</f>
        <v>Young Adult (20–39)</v>
      </c>
      <c r="H1039" t="s">
        <v>841</v>
      </c>
      <c r="I1039" t="s">
        <v>97</v>
      </c>
      <c r="J1039" t="str">
        <f t="shared" si="65"/>
        <v>Environmental Heat</v>
      </c>
      <c r="K1039" t="s">
        <v>4257</v>
      </c>
      <c r="L1039" t="s">
        <v>250</v>
      </c>
      <c r="M1039" t="s">
        <v>4558</v>
      </c>
      <c r="N1039" t="s">
        <v>5108</v>
      </c>
      <c r="O1039" t="str" cm="1">
        <f t="array" ref="O1039">_xlfn.IFS(
  TEXT(TRIM(N1039),"00000")="NULL", "Missing/Unknown",
  OR(TEXT(TRIM(N1039),"00000")="89101", TEXT(TRIM(N1039),"00000")="89104", TEXT(TRIM(N1039),"00000")="89106", TEXT(TRIM(N1039),"00000")="89102", TEXT(TRIM(N1039),"00000")="89107", TEXT(TRIM(N1039),"00000")="89108"), "Urban Core",
  OR(TEXT(TRIM(N1039),"00000")="89110", TEXT(TRIM(N1039),"00000")="89115", TEXT(TRIM(N1039),"00000")="89121", TEXT(TRIM(N1039),"00000")="89122", TEXT(TRIM(N1039),"00000")="89142", TEXT(TRIM(N1039),"00000")="89156"), "East Valley",
  OR(TEXT(TRIM(N1039),"00000")="89030", TEXT(TRIM(N1039),"00000")="89031", TEXT(TRIM(N1039),"00000")="89032", TEXT(TRIM(N1039),"00000")="89086", TEXT(TRIM(N1039),"00000")="89084", TEXT(TRIM(N1039),"00000")="89081"), "North LV",
  OR(TEXT(TRIM(N1039),"00000")="89109", TEXT(TRIM(N1039),"00000")="89103", TEXT(TRIM(N1039),"00000")="89119", TEXT(TRIM(N1039),"00000")="89123", TEXT(TRIM(N1039),"00000")="89169", TEXT(TRIM(N1039),"00000")="89118"), "South/Strip",
  OR(TEXT(TRIM(N1039),"00000")="89074", TEXT(TRIM(N1039),"00000")="89014", TEXT(TRIM(N1039),"00000")="89015", TEXT(TRIM(N1039),"00000")="89011", TEXT(TRIM(N1039),"00000")="89012"), "Suburban SE",
  OR(TEXT(TRIM(N1039),"00000")="89117", TEXT(TRIM(N1039),"00000")="89128", TEXT(TRIM(N1039),"00000")="89135", TEXT(TRIM(N1039),"00000")="89144", TEXT(TRIM(N1039),"00000")="89145", TEXT(TRIM(N1039),"00000")="89147"), "West Valley",
  TRUE, "Other"
)</f>
        <v>East Valley</v>
      </c>
      <c r="P1039" t="s">
        <v>3298</v>
      </c>
      <c r="Q1039" t="str">
        <f t="shared" si="66"/>
        <v>Outdoors/Public</v>
      </c>
      <c r="R1039" t="s">
        <v>4713</v>
      </c>
      <c r="S1039" t="s">
        <v>5125</v>
      </c>
      <c r="T1039" t="str" cm="1">
        <f t="array" ref="T1039">_xlfn.IFS(
  TEXT(TRIM(S1039),"00000")="NULL", "Missing/Unknown",
  OR(TEXT(TRIM(S1039),"00000")="89101", TEXT(TRIM(S1039),"00000")="89104", TEXT(TRIM(S1039),"00000")="89106", TEXT(TRIM(S1039),"00000")="89102", TEXT(TRIM(S1039),"00000")="89107", TEXT(TRIM(S1039),"00000")="89108"), "Urban Core",
  OR(TEXT(TRIM(S1039),"00000")="89110", TEXT(TRIM(S1039),"00000")="89115", TEXT(TRIM(S1039),"00000")="89121", TEXT(TRIM(S1039),"00000")="89122", TEXT(TRIM(S1039),"00000")="89142", TEXT(TRIM(S1039),"00000")="89156"), "East Valley",
  OR(TEXT(TRIM(S1039),"00000")="89030", TEXT(TRIM(S1039),"00000")="89031", TEXT(TRIM(S1039),"00000")="89032", TEXT(TRIM(S1039),"00000")="89086", TEXT(TRIM(S1039),"00000")="89084", TEXT(TRIM(S1039),"00000")="89081"), "North LV",
  OR(TEXT(TRIM(S1039),"00000")="89109", TEXT(TRIM(S1039),"00000")="89103", TEXT(TRIM(S1039),"00000")="89119", TEXT(TRIM(S1039),"00000")="89123", TEXT(TRIM(S1039),"00000")="89169", TEXT(TRIM(S1039),"00000")="89118"), "South/Strip",
  OR(TEXT(TRIM(S1039),"00000")="89074", TEXT(TRIM(S1039),"00000")="89014", TEXT(TRIM(S1039),"00000")="89015", TEXT(TRIM(S1039),"00000")="89011", TEXT(TRIM(S1039),"00000")="89012"), "Suburban SE",
  OR(TEXT(TRIM(S1039),"00000")="89117", TEXT(TRIM(S1039),"00000")="89128", TEXT(TRIM(S1039),"00000")="89135", TEXT(TRIM(S1039),"00000")="89144", TEXT(TRIM(S1039),"00000")="89145", TEXT(TRIM(S1039),"00000")="89147"), "West Valley",
  TRUE, "Other"
)</f>
        <v>South/Strip</v>
      </c>
      <c r="U1039" t="s">
        <v>4301</v>
      </c>
      <c r="V1039" t="str">
        <f t="shared" si="67"/>
        <v>Medical Facility</v>
      </c>
    </row>
    <row r="1040" spans="1:22">
      <c r="A1040" t="s">
        <v>2081</v>
      </c>
      <c r="B1040" t="s">
        <v>2082</v>
      </c>
      <c r="C1040" s="1">
        <v>44389</v>
      </c>
      <c r="D1040" s="4">
        <v>113</v>
      </c>
      <c r="E1040">
        <v>63</v>
      </c>
      <c r="F1040" t="str">
        <f t="shared" si="64"/>
        <v>60's</v>
      </c>
      <c r="G1040" t="str" cm="1">
        <f t="array" ref="G1040">_xlfn.IFS(
  F1040="10's", "Child (5–12)",
  OR(F1040="20's", F1040="30's"), "Young Adult (20–39)",
  OR(F1040="40's", F1040="50's"), "Adult (40–59)",
  OR(F1040="60's", F1040="70's", F1040="80's", F1040="90's"), "Senior (60+)",
  TRUE, "Unknown"
)</f>
        <v>Senior (60+)</v>
      </c>
      <c r="H1040" t="s">
        <v>841</v>
      </c>
      <c r="I1040" t="s">
        <v>4025</v>
      </c>
      <c r="J1040" t="str">
        <f t="shared" si="65"/>
        <v>Methamphetamine-related</v>
      </c>
      <c r="K1040" t="s">
        <v>54</v>
      </c>
      <c r="L1040" t="s">
        <v>250</v>
      </c>
      <c r="M1040" t="s">
        <v>4846</v>
      </c>
      <c r="N1040" t="s">
        <v>5146</v>
      </c>
      <c r="O1040" t="str" cm="1">
        <f t="array" ref="O1040">_xlfn.IFS(
  TEXT(TRIM(N1040),"00000")="NULL", "Missing/Unknown",
  OR(TEXT(TRIM(N1040),"00000")="89101", TEXT(TRIM(N1040),"00000")="89104", TEXT(TRIM(N1040),"00000")="89106", TEXT(TRIM(N1040),"00000")="89102", TEXT(TRIM(N1040),"00000")="89107", TEXT(TRIM(N1040),"00000")="89108"), "Urban Core",
  OR(TEXT(TRIM(N1040),"00000")="89110", TEXT(TRIM(N1040),"00000")="89115", TEXT(TRIM(N1040),"00000")="89121", TEXT(TRIM(N1040),"00000")="89122", TEXT(TRIM(N1040),"00000")="89142", TEXT(TRIM(N1040),"00000")="89156"), "East Valley",
  OR(TEXT(TRIM(N1040),"00000")="89030", TEXT(TRIM(N1040),"00000")="89031", TEXT(TRIM(N1040),"00000")="89032", TEXT(TRIM(N1040),"00000")="89086", TEXT(TRIM(N1040),"00000")="89084", TEXT(TRIM(N1040),"00000")="89081"), "North LV",
  OR(TEXT(TRIM(N1040),"00000")="89109", TEXT(TRIM(N1040),"00000")="89103", TEXT(TRIM(N1040),"00000")="89119", TEXT(TRIM(N1040),"00000")="89123", TEXT(TRIM(N1040),"00000")="89169", TEXT(TRIM(N1040),"00000")="89118"), "South/Strip",
  OR(TEXT(TRIM(N1040),"00000")="89074", TEXT(TRIM(N1040),"00000")="89014", TEXT(TRIM(N1040),"00000")="89015", TEXT(TRIM(N1040),"00000")="89011", TEXT(TRIM(N1040),"00000")="89012"), "Suburban SE",
  OR(TEXT(TRIM(N1040),"00000")="89117", TEXT(TRIM(N1040),"00000")="89128", TEXT(TRIM(N1040),"00000")="89135", TEXT(TRIM(N1040),"00000")="89144", TEXT(TRIM(N1040),"00000")="89145", TEXT(TRIM(N1040),"00000")="89147"), "West Valley",
  TRUE, "Other"
)</f>
        <v>North LV</v>
      </c>
      <c r="P1040" t="s">
        <v>3298</v>
      </c>
      <c r="Q1040" t="str">
        <f t="shared" si="66"/>
        <v>Outdoors/Public</v>
      </c>
      <c r="R1040" t="s">
        <v>4846</v>
      </c>
      <c r="S1040" t="s">
        <v>5146</v>
      </c>
      <c r="T1040" t="str" cm="1">
        <f t="array" ref="T1040">_xlfn.IFS(
  TEXT(TRIM(S1040),"00000")="NULL", "Missing/Unknown",
  OR(TEXT(TRIM(S1040),"00000")="89101", TEXT(TRIM(S1040),"00000")="89104", TEXT(TRIM(S1040),"00000")="89106", TEXT(TRIM(S1040),"00000")="89102", TEXT(TRIM(S1040),"00000")="89107", TEXT(TRIM(S1040),"00000")="89108"), "Urban Core",
  OR(TEXT(TRIM(S1040),"00000")="89110", TEXT(TRIM(S1040),"00000")="89115", TEXT(TRIM(S1040),"00000")="89121", TEXT(TRIM(S1040),"00000")="89122", TEXT(TRIM(S1040),"00000")="89142", TEXT(TRIM(S1040),"00000")="89156"), "East Valley",
  OR(TEXT(TRIM(S1040),"00000")="89030", TEXT(TRIM(S1040),"00000")="89031", TEXT(TRIM(S1040),"00000")="89032", TEXT(TRIM(S1040),"00000")="89086", TEXT(TRIM(S1040),"00000")="89084", TEXT(TRIM(S1040),"00000")="89081"), "North LV",
  OR(TEXT(TRIM(S1040),"00000")="89109", TEXT(TRIM(S1040),"00000")="89103", TEXT(TRIM(S1040),"00000")="89119", TEXT(TRIM(S1040),"00000")="89123", TEXT(TRIM(S1040),"00000")="89169", TEXT(TRIM(S1040),"00000")="89118"), "South/Strip",
  OR(TEXT(TRIM(S1040),"00000")="89074", TEXT(TRIM(S1040),"00000")="89014", TEXT(TRIM(S1040),"00000")="89015", TEXT(TRIM(S1040),"00000")="89011", TEXT(TRIM(S1040),"00000")="89012"), "Suburban SE",
  OR(TEXT(TRIM(S1040),"00000")="89117", TEXT(TRIM(S1040),"00000")="89128", TEXT(TRIM(S1040),"00000")="89135", TEXT(TRIM(S1040),"00000")="89144", TEXT(TRIM(S1040),"00000")="89145", TEXT(TRIM(S1040),"00000")="89147"), "West Valley",
  TRUE, "Other"
)</f>
        <v>North LV</v>
      </c>
      <c r="U1040" t="s">
        <v>3298</v>
      </c>
      <c r="V1040" t="str">
        <f t="shared" si="67"/>
        <v>Outdoors/Public</v>
      </c>
    </row>
    <row r="1041" spans="1:22">
      <c r="A1041" t="s">
        <v>2064</v>
      </c>
      <c r="B1041" t="s">
        <v>2065</v>
      </c>
      <c r="C1041" s="1">
        <v>44389</v>
      </c>
      <c r="D1041" s="4">
        <v>113</v>
      </c>
      <c r="E1041">
        <v>62</v>
      </c>
      <c r="F1041" t="str">
        <f t="shared" si="64"/>
        <v>60's</v>
      </c>
      <c r="G1041" t="str" cm="1">
        <f t="array" ref="G1041">_xlfn.IFS(
  F1041="10's", "Child (5–12)",
  OR(F1041="20's", F1041="30's"), "Young Adult (20–39)",
  OR(F1041="40's", F1041="50's"), "Adult (40–59)",
  OR(F1041="60's", F1041="70's", F1041="80's", F1041="90's"), "Senior (60+)",
  TRUE, "Unknown"
)</f>
        <v>Senior (60+)</v>
      </c>
      <c r="H1041" t="s">
        <v>841</v>
      </c>
      <c r="I1041" t="s">
        <v>660</v>
      </c>
      <c r="J1041" t="str">
        <f t="shared" si="65"/>
        <v>Environmental Heat</v>
      </c>
      <c r="K1041" t="s">
        <v>98</v>
      </c>
      <c r="L1041" t="s">
        <v>2693</v>
      </c>
      <c r="M1041" t="s">
        <v>4576</v>
      </c>
      <c r="N1041" t="s">
        <v>5118</v>
      </c>
      <c r="O1041" t="str" cm="1">
        <f t="array" ref="O1041">_xlfn.IFS(
  TEXT(TRIM(N1041),"00000")="NULL", "Missing/Unknown",
  OR(TEXT(TRIM(N1041),"00000")="89101", TEXT(TRIM(N1041),"00000")="89104", TEXT(TRIM(N1041),"00000")="89106", TEXT(TRIM(N1041),"00000")="89102", TEXT(TRIM(N1041),"00000")="89107", TEXT(TRIM(N1041),"00000")="89108"), "Urban Core",
  OR(TEXT(TRIM(N1041),"00000")="89110", TEXT(TRIM(N1041),"00000")="89115", TEXT(TRIM(N1041),"00000")="89121", TEXT(TRIM(N1041),"00000")="89122", TEXT(TRIM(N1041),"00000")="89142", TEXT(TRIM(N1041),"00000")="89156"), "East Valley",
  OR(TEXT(TRIM(N1041),"00000")="89030", TEXT(TRIM(N1041),"00000")="89031", TEXT(TRIM(N1041),"00000")="89032", TEXT(TRIM(N1041),"00000")="89086", TEXT(TRIM(N1041),"00000")="89084", TEXT(TRIM(N1041),"00000")="89081"), "North LV",
  OR(TEXT(TRIM(N1041),"00000")="89109", TEXT(TRIM(N1041),"00000")="89103", TEXT(TRIM(N1041),"00000")="89119", TEXT(TRIM(N1041),"00000")="89123", TEXT(TRIM(N1041),"00000")="89169", TEXT(TRIM(N1041),"00000")="89118"), "South/Strip",
  OR(TEXT(TRIM(N1041),"00000")="89074", TEXT(TRIM(N1041),"00000")="89014", TEXT(TRIM(N1041),"00000")="89015", TEXT(TRIM(N1041),"00000")="89011", TEXT(TRIM(N1041),"00000")="89012"), "Suburban SE",
  OR(TEXT(TRIM(N1041),"00000")="89117", TEXT(TRIM(N1041),"00000")="89128", TEXT(TRIM(N1041),"00000")="89135", TEXT(TRIM(N1041),"00000")="89144", TEXT(TRIM(N1041),"00000")="89145", TEXT(TRIM(N1041),"00000")="89147"), "West Valley",
  TRUE, "Other"
)</f>
        <v>South/Strip</v>
      </c>
      <c r="P1041" t="s">
        <v>4301</v>
      </c>
      <c r="Q1041" t="str">
        <f t="shared" si="66"/>
        <v>Medical Facility</v>
      </c>
      <c r="R1041" t="s">
        <v>4576</v>
      </c>
      <c r="S1041" t="s">
        <v>5118</v>
      </c>
      <c r="T1041" t="str" cm="1">
        <f t="array" ref="T1041">_xlfn.IFS(
  TEXT(TRIM(S1041),"00000")="NULL", "Missing/Unknown",
  OR(TEXT(TRIM(S1041),"00000")="89101", TEXT(TRIM(S1041),"00000")="89104", TEXT(TRIM(S1041),"00000")="89106", TEXT(TRIM(S1041),"00000")="89102", TEXT(TRIM(S1041),"00000")="89107", TEXT(TRIM(S1041),"00000")="89108"), "Urban Core",
  OR(TEXT(TRIM(S1041),"00000")="89110", TEXT(TRIM(S1041),"00000")="89115", TEXT(TRIM(S1041),"00000")="89121", TEXT(TRIM(S1041),"00000")="89122", TEXT(TRIM(S1041),"00000")="89142", TEXT(TRIM(S1041),"00000")="89156"), "East Valley",
  OR(TEXT(TRIM(S1041),"00000")="89030", TEXT(TRIM(S1041),"00000")="89031", TEXT(TRIM(S1041),"00000")="89032", TEXT(TRIM(S1041),"00000")="89086", TEXT(TRIM(S1041),"00000")="89084", TEXT(TRIM(S1041),"00000")="89081"), "North LV",
  OR(TEXT(TRIM(S1041),"00000")="89109", TEXT(TRIM(S1041),"00000")="89103", TEXT(TRIM(S1041),"00000")="89119", TEXT(TRIM(S1041),"00000")="89123", TEXT(TRIM(S1041),"00000")="89169", TEXT(TRIM(S1041),"00000")="89118"), "South/Strip",
  OR(TEXT(TRIM(S1041),"00000")="89074", TEXT(TRIM(S1041),"00000")="89014", TEXT(TRIM(S1041),"00000")="89015", TEXT(TRIM(S1041),"00000")="89011", TEXT(TRIM(S1041),"00000")="89012"), "Suburban SE",
  OR(TEXT(TRIM(S1041),"00000")="89117", TEXT(TRIM(S1041),"00000")="89128", TEXT(TRIM(S1041),"00000")="89135", TEXT(TRIM(S1041),"00000")="89144", TEXT(TRIM(S1041),"00000")="89145", TEXT(TRIM(S1041),"00000")="89147"), "West Valley",
  TRUE, "Other"
)</f>
        <v>South/Strip</v>
      </c>
      <c r="U1041" t="s">
        <v>4305</v>
      </c>
      <c r="V1041" t="str">
        <f t="shared" si="67"/>
        <v>Medical Facility</v>
      </c>
    </row>
    <row r="1042" spans="1:22">
      <c r="A1042" t="s">
        <v>2166</v>
      </c>
      <c r="B1042" t="s">
        <v>2167</v>
      </c>
      <c r="C1042" s="1">
        <v>44389</v>
      </c>
      <c r="D1042" s="4">
        <v>113</v>
      </c>
      <c r="E1042">
        <v>43</v>
      </c>
      <c r="F1042" t="str">
        <f t="shared" si="64"/>
        <v>40's</v>
      </c>
      <c r="G1042" t="str" cm="1">
        <f t="array" ref="G1042">_xlfn.IFS(
  F1042="10's", "Child (5–12)",
  OR(F1042="20's", F1042="30's"), "Young Adult (20–39)",
  OR(F1042="40's", F1042="50's"), "Adult (40–59)",
  OR(F1042="60's", F1042="70's", F1042="80's", F1042="90's"), "Senior (60+)",
  TRUE, "Unknown"
)</f>
        <v>Adult (40–59)</v>
      </c>
      <c r="H1042" t="s">
        <v>841</v>
      </c>
      <c r="I1042" t="s">
        <v>97</v>
      </c>
      <c r="J1042" t="str">
        <f t="shared" si="65"/>
        <v>Environmental Heat</v>
      </c>
      <c r="K1042" t="s">
        <v>4279</v>
      </c>
      <c r="L1042" t="s">
        <v>250</v>
      </c>
      <c r="N1042" t="s">
        <v>5095</v>
      </c>
      <c r="O1042" t="str" cm="1">
        <f t="array" ref="O1042">_xlfn.IFS(
  TEXT(TRIM(N1042),"00000")="NULL", "Missing/Unknown",
  OR(TEXT(TRIM(N1042),"00000")="89101", TEXT(TRIM(N1042),"00000")="89104", TEXT(TRIM(N1042),"00000")="89106", TEXT(TRIM(N1042),"00000")="89102", TEXT(TRIM(N1042),"00000")="89107", TEXT(TRIM(N1042),"00000")="89108"), "Urban Core",
  OR(TEXT(TRIM(N1042),"00000")="89110", TEXT(TRIM(N1042),"00000")="89115", TEXT(TRIM(N1042),"00000")="89121", TEXT(TRIM(N1042),"00000")="89122", TEXT(TRIM(N1042),"00000")="89142", TEXT(TRIM(N1042),"00000")="89156"), "East Valley",
  OR(TEXT(TRIM(N1042),"00000")="89030", TEXT(TRIM(N1042),"00000")="89031", TEXT(TRIM(N1042),"00000")="89032", TEXT(TRIM(N1042),"00000")="89086", TEXT(TRIM(N1042),"00000")="89084", TEXT(TRIM(N1042),"00000")="89081"), "North LV",
  OR(TEXT(TRIM(N1042),"00000")="89109", TEXT(TRIM(N1042),"00000")="89103", TEXT(TRIM(N1042),"00000")="89119", TEXT(TRIM(N1042),"00000")="89123", TEXT(TRIM(N1042),"00000")="89169", TEXT(TRIM(N1042),"00000")="89118"), "South/Strip",
  OR(TEXT(TRIM(N1042),"00000")="89074", TEXT(TRIM(N1042),"00000")="89014", TEXT(TRIM(N1042),"00000")="89015", TEXT(TRIM(N1042),"00000")="89011", TEXT(TRIM(N1042),"00000")="89012"), "Suburban SE",
  OR(TEXT(TRIM(N1042),"00000")="89117", TEXT(TRIM(N1042),"00000")="89128", TEXT(TRIM(N1042),"00000")="89135", TEXT(TRIM(N1042),"00000")="89144", TEXT(TRIM(N1042),"00000")="89145", TEXT(TRIM(N1042),"00000")="89147"), "West Valley",
  TRUE, "Other"
)</f>
        <v>Missing/Unknown</v>
      </c>
      <c r="P1042" t="s">
        <v>38</v>
      </c>
      <c r="Q1042" t="str">
        <f t="shared" si="66"/>
        <v>Home/Residence</v>
      </c>
      <c r="R1042" t="s">
        <v>4794</v>
      </c>
      <c r="S1042" t="s">
        <v>5163</v>
      </c>
      <c r="T1042" t="str" cm="1">
        <f t="array" ref="T1042">_xlfn.IFS(
  TEXT(TRIM(S1042),"00000")="NULL", "Missing/Unknown",
  OR(TEXT(TRIM(S1042),"00000")="89101", TEXT(TRIM(S1042),"00000")="89104", TEXT(TRIM(S1042),"00000")="89106", TEXT(TRIM(S1042),"00000")="89102", TEXT(TRIM(S1042),"00000")="89107", TEXT(TRIM(S1042),"00000")="89108"), "Urban Core",
  OR(TEXT(TRIM(S1042),"00000")="89110", TEXT(TRIM(S1042),"00000")="89115", TEXT(TRIM(S1042),"00000")="89121", TEXT(TRIM(S1042),"00000")="89122", TEXT(TRIM(S1042),"00000")="89142", TEXT(TRIM(S1042),"00000")="89156"), "East Valley",
  OR(TEXT(TRIM(S1042),"00000")="89030", TEXT(TRIM(S1042),"00000")="89031", TEXT(TRIM(S1042),"00000")="89032", TEXT(TRIM(S1042),"00000")="89086", TEXT(TRIM(S1042),"00000")="89084", TEXT(TRIM(S1042),"00000")="89081"), "North LV",
  OR(TEXT(TRIM(S1042),"00000")="89109", TEXT(TRIM(S1042),"00000")="89103", TEXT(TRIM(S1042),"00000")="89119", TEXT(TRIM(S1042),"00000")="89123", TEXT(TRIM(S1042),"00000")="89169", TEXT(TRIM(S1042),"00000")="89118"), "South/Strip",
  OR(TEXT(TRIM(S1042),"00000")="89074", TEXT(TRIM(S1042),"00000")="89014", TEXT(TRIM(S1042),"00000")="89015", TEXT(TRIM(S1042),"00000")="89011", TEXT(TRIM(S1042),"00000")="89012"), "Suburban SE",
  OR(TEXT(TRIM(S1042),"00000")="89117", TEXT(TRIM(S1042),"00000")="89128", TEXT(TRIM(S1042),"00000")="89135", TEXT(TRIM(S1042),"00000")="89144", TEXT(TRIM(S1042),"00000")="89145", TEXT(TRIM(S1042),"00000")="89147"), "West Valley",
  TRUE, "Other"
)</f>
        <v>Other</v>
      </c>
      <c r="U1042" t="s">
        <v>4305</v>
      </c>
      <c r="V1042" t="str">
        <f t="shared" si="67"/>
        <v>Medical Facility</v>
      </c>
    </row>
    <row r="1043" spans="1:22">
      <c r="A1043" t="s">
        <v>2074</v>
      </c>
      <c r="B1043" t="s">
        <v>2075</v>
      </c>
      <c r="C1043" s="1">
        <v>44389</v>
      </c>
      <c r="D1043" s="4">
        <v>113</v>
      </c>
      <c r="E1043">
        <v>33</v>
      </c>
      <c r="F1043" t="str">
        <f t="shared" si="64"/>
        <v>30's</v>
      </c>
      <c r="G1043" t="str" cm="1">
        <f t="array" ref="G1043">_xlfn.IFS(
  F1043="10's", "Child (5–12)",
  OR(F1043="20's", F1043="30's"), "Young Adult (20–39)",
  OR(F1043="40's", F1043="50's"), "Adult (40–59)",
  OR(F1043="60's", F1043="70's", F1043="80's", F1043="90's"), "Senior (60+)",
  TRUE, "Unknown"
)</f>
        <v>Young Adult (20–39)</v>
      </c>
      <c r="H1043" t="s">
        <v>841</v>
      </c>
      <c r="I1043" t="s">
        <v>4120</v>
      </c>
      <c r="J1043" t="str">
        <f t="shared" si="65"/>
        <v>Methamphetamine-related</v>
      </c>
      <c r="K1043" t="s">
        <v>97</v>
      </c>
      <c r="L1043" t="s">
        <v>250</v>
      </c>
      <c r="M1043" t="s">
        <v>4591</v>
      </c>
      <c r="N1043" t="s">
        <v>5119</v>
      </c>
      <c r="O1043" t="str" cm="1">
        <f t="array" ref="O1043">_xlfn.IFS(
  TEXT(TRIM(N1043),"00000")="NULL", "Missing/Unknown",
  OR(TEXT(TRIM(N1043),"00000")="89101", TEXT(TRIM(N1043),"00000")="89104", TEXT(TRIM(N1043),"00000")="89106", TEXT(TRIM(N1043),"00000")="89102", TEXT(TRIM(N1043),"00000")="89107", TEXT(TRIM(N1043),"00000")="89108"), "Urban Core",
  OR(TEXT(TRIM(N1043),"00000")="89110", TEXT(TRIM(N1043),"00000")="89115", TEXT(TRIM(N1043),"00000")="89121", TEXT(TRIM(N1043),"00000")="89122", TEXT(TRIM(N1043),"00000")="89142", TEXT(TRIM(N1043),"00000")="89156"), "East Valley",
  OR(TEXT(TRIM(N1043),"00000")="89030", TEXT(TRIM(N1043),"00000")="89031", TEXT(TRIM(N1043),"00000")="89032", TEXT(TRIM(N1043),"00000")="89086", TEXT(TRIM(N1043),"00000")="89084", TEXT(TRIM(N1043),"00000")="89081"), "North LV",
  OR(TEXT(TRIM(N1043),"00000")="89109", TEXT(TRIM(N1043),"00000")="89103", TEXT(TRIM(N1043),"00000")="89119", TEXT(TRIM(N1043),"00000")="89123", TEXT(TRIM(N1043),"00000")="89169", TEXT(TRIM(N1043),"00000")="89118"), "South/Strip",
  OR(TEXT(TRIM(N1043),"00000")="89074", TEXT(TRIM(N1043),"00000")="89014", TEXT(TRIM(N1043),"00000")="89015", TEXT(TRIM(N1043),"00000")="89011", TEXT(TRIM(N1043),"00000")="89012"), "Suburban SE",
  OR(TEXT(TRIM(N1043),"00000")="89117", TEXT(TRIM(N1043),"00000")="89128", TEXT(TRIM(N1043),"00000")="89135", TEXT(TRIM(N1043),"00000")="89144", TEXT(TRIM(N1043),"00000")="89145", TEXT(TRIM(N1043),"00000")="89147"), "West Valley",
  TRUE, "Other"
)</f>
        <v>Urban Core</v>
      </c>
      <c r="P1043" t="s">
        <v>3298</v>
      </c>
      <c r="Q1043" t="str">
        <f t="shared" si="66"/>
        <v>Outdoors/Public</v>
      </c>
      <c r="R1043" t="s">
        <v>5055</v>
      </c>
      <c r="S1043" t="s">
        <v>5119</v>
      </c>
      <c r="T1043" t="str" cm="1">
        <f t="array" ref="T1043">_xlfn.IFS(
  TEXT(TRIM(S1043),"00000")="NULL", "Missing/Unknown",
  OR(TEXT(TRIM(S1043),"00000")="89101", TEXT(TRIM(S1043),"00000")="89104", TEXT(TRIM(S1043),"00000")="89106", TEXT(TRIM(S1043),"00000")="89102", TEXT(TRIM(S1043),"00000")="89107", TEXT(TRIM(S1043),"00000")="89108"), "Urban Core",
  OR(TEXT(TRIM(S1043),"00000")="89110", TEXT(TRIM(S1043),"00000")="89115", TEXT(TRIM(S1043),"00000")="89121", TEXT(TRIM(S1043),"00000")="89122", TEXT(TRIM(S1043),"00000")="89142", TEXT(TRIM(S1043),"00000")="89156"), "East Valley",
  OR(TEXT(TRIM(S1043),"00000")="89030", TEXT(TRIM(S1043),"00000")="89031", TEXT(TRIM(S1043),"00000")="89032", TEXT(TRIM(S1043),"00000")="89086", TEXT(TRIM(S1043),"00000")="89084", TEXT(TRIM(S1043),"00000")="89081"), "North LV",
  OR(TEXT(TRIM(S1043),"00000")="89109", TEXT(TRIM(S1043),"00000")="89103", TEXT(TRIM(S1043),"00000")="89119", TEXT(TRIM(S1043),"00000")="89123", TEXT(TRIM(S1043),"00000")="89169", TEXT(TRIM(S1043),"00000")="89118"), "South/Strip",
  OR(TEXT(TRIM(S1043),"00000")="89074", TEXT(TRIM(S1043),"00000")="89014", TEXT(TRIM(S1043),"00000")="89015", TEXT(TRIM(S1043),"00000")="89011", TEXT(TRIM(S1043),"00000")="89012"), "Suburban SE",
  OR(TEXT(TRIM(S1043),"00000")="89117", TEXT(TRIM(S1043),"00000")="89128", TEXT(TRIM(S1043),"00000")="89135", TEXT(TRIM(S1043),"00000")="89144", TEXT(TRIM(S1043),"00000")="89145", TEXT(TRIM(S1043),"00000")="89147"), "West Valley",
  TRUE, "Other"
)</f>
        <v>Urban Core</v>
      </c>
      <c r="U1043" t="s">
        <v>855</v>
      </c>
      <c r="V1043" t="str">
        <f t="shared" si="67"/>
        <v>Medical Facility</v>
      </c>
    </row>
    <row r="1044" spans="1:22">
      <c r="A1044" t="s">
        <v>2057</v>
      </c>
      <c r="B1044" t="s">
        <v>2058</v>
      </c>
      <c r="C1044" s="1">
        <v>44389</v>
      </c>
      <c r="D1044" s="4">
        <v>113</v>
      </c>
      <c r="E1044">
        <v>63</v>
      </c>
      <c r="F1044" t="str">
        <f t="shared" si="64"/>
        <v>60's</v>
      </c>
      <c r="G1044" t="str" cm="1">
        <f t="array" ref="G1044">_xlfn.IFS(
  F1044="10's", "Child (5–12)",
  OR(F1044="20's", F1044="30's"), "Young Adult (20–39)",
  OR(F1044="40's", F1044="50's"), "Adult (40–59)",
  OR(F1044="60's", F1044="70's", F1044="80's", F1044="90's"), "Senior (60+)",
  TRUE, "Unknown"
)</f>
        <v>Senior (60+)</v>
      </c>
      <c r="H1044" t="s">
        <v>841</v>
      </c>
      <c r="I1044" t="s">
        <v>63</v>
      </c>
      <c r="J1044" t="str">
        <f t="shared" si="65"/>
        <v>Cardiovascular Disease</v>
      </c>
      <c r="K1044" t="s">
        <v>2055</v>
      </c>
      <c r="L1044" t="s">
        <v>250</v>
      </c>
      <c r="N1044" t="s">
        <v>5095</v>
      </c>
      <c r="O1044" t="str" cm="1">
        <f t="array" ref="O1044">_xlfn.IFS(
  TEXT(TRIM(N1044),"00000")="NULL", "Missing/Unknown",
  OR(TEXT(TRIM(N1044),"00000")="89101", TEXT(TRIM(N1044),"00000")="89104", TEXT(TRIM(N1044),"00000")="89106", TEXT(TRIM(N1044),"00000")="89102", TEXT(TRIM(N1044),"00000")="89107", TEXT(TRIM(N1044),"00000")="89108"), "Urban Core",
  OR(TEXT(TRIM(N1044),"00000")="89110", TEXT(TRIM(N1044),"00000")="89115", TEXT(TRIM(N1044),"00000")="89121", TEXT(TRIM(N1044),"00000")="89122", TEXT(TRIM(N1044),"00000")="89142", TEXT(TRIM(N1044),"00000")="89156"), "East Valley",
  OR(TEXT(TRIM(N1044),"00000")="89030", TEXT(TRIM(N1044),"00000")="89031", TEXT(TRIM(N1044),"00000")="89032", TEXT(TRIM(N1044),"00000")="89086", TEXT(TRIM(N1044),"00000")="89084", TEXT(TRIM(N1044),"00000")="89081"), "North LV",
  OR(TEXT(TRIM(N1044),"00000")="89109", TEXT(TRIM(N1044),"00000")="89103", TEXT(TRIM(N1044),"00000")="89119", TEXT(TRIM(N1044),"00000")="89123", TEXT(TRIM(N1044),"00000")="89169", TEXT(TRIM(N1044),"00000")="89118"), "South/Strip",
  OR(TEXT(TRIM(N1044),"00000")="89074", TEXT(TRIM(N1044),"00000")="89014", TEXT(TRIM(N1044),"00000")="89015", TEXT(TRIM(N1044),"00000")="89011", TEXT(TRIM(N1044),"00000")="89012"), "Suburban SE",
  OR(TEXT(TRIM(N1044),"00000")="89117", TEXT(TRIM(N1044),"00000")="89128", TEXT(TRIM(N1044),"00000")="89135", TEXT(TRIM(N1044),"00000")="89144", TEXT(TRIM(N1044),"00000")="89145", TEXT(TRIM(N1044),"00000")="89147"), "West Valley",
  TRUE, "Other"
)</f>
        <v>Missing/Unknown</v>
      </c>
      <c r="P1044" t="s">
        <v>3298</v>
      </c>
      <c r="Q1044" t="str">
        <f t="shared" si="66"/>
        <v>Outdoors/Public</v>
      </c>
      <c r="S1044" t="s">
        <v>5095</v>
      </c>
      <c r="T1044" t="str" cm="1">
        <f t="array" ref="T1044">_xlfn.IFS(
  TEXT(TRIM(S1044),"00000")="NULL", "Missing/Unknown",
  OR(TEXT(TRIM(S1044),"00000")="89101", TEXT(TRIM(S1044),"00000")="89104", TEXT(TRIM(S1044),"00000")="89106", TEXT(TRIM(S1044),"00000")="89102", TEXT(TRIM(S1044),"00000")="89107", TEXT(TRIM(S1044),"00000")="89108"), "Urban Core",
  OR(TEXT(TRIM(S1044),"00000")="89110", TEXT(TRIM(S1044),"00000")="89115", TEXT(TRIM(S1044),"00000")="89121", TEXT(TRIM(S1044),"00000")="89122", TEXT(TRIM(S1044),"00000")="89142", TEXT(TRIM(S1044),"00000")="89156"), "East Valley",
  OR(TEXT(TRIM(S1044),"00000")="89030", TEXT(TRIM(S1044),"00000")="89031", TEXT(TRIM(S1044),"00000")="89032", TEXT(TRIM(S1044),"00000")="89086", TEXT(TRIM(S1044),"00000")="89084", TEXT(TRIM(S1044),"00000")="89081"), "North LV",
  OR(TEXT(TRIM(S1044),"00000")="89109", TEXT(TRIM(S1044),"00000")="89103", TEXT(TRIM(S1044),"00000")="89119", TEXT(TRIM(S1044),"00000")="89123", TEXT(TRIM(S1044),"00000")="89169", TEXT(TRIM(S1044),"00000")="89118"), "South/Strip",
  OR(TEXT(TRIM(S1044),"00000")="89074", TEXT(TRIM(S1044),"00000")="89014", TEXT(TRIM(S1044),"00000")="89015", TEXT(TRIM(S1044),"00000")="89011", TEXT(TRIM(S1044),"00000")="89012"), "Suburban SE",
  OR(TEXT(TRIM(S1044),"00000")="89117", TEXT(TRIM(S1044),"00000")="89128", TEXT(TRIM(S1044),"00000")="89135", TEXT(TRIM(S1044),"00000")="89144", TEXT(TRIM(S1044),"00000")="89145", TEXT(TRIM(S1044),"00000")="89147"), "West Valley",
  TRUE, "Other"
)</f>
        <v>Missing/Unknown</v>
      </c>
      <c r="U1044" t="s">
        <v>3298</v>
      </c>
      <c r="V1044" t="str">
        <f t="shared" si="67"/>
        <v>Outdoors/Public</v>
      </c>
    </row>
    <row r="1045" spans="1:22">
      <c r="A1045" t="s">
        <v>2069</v>
      </c>
      <c r="B1045" t="s">
        <v>2070</v>
      </c>
      <c r="C1045" s="1">
        <v>44389</v>
      </c>
      <c r="D1045" s="4">
        <v>113</v>
      </c>
      <c r="E1045">
        <v>64</v>
      </c>
      <c r="F1045" t="str">
        <f t="shared" si="64"/>
        <v>60's</v>
      </c>
      <c r="G1045" t="str" cm="1">
        <f t="array" ref="G1045">_xlfn.IFS(
  F1045="10's", "Child (5–12)",
  OR(F1045="20's", F1045="30's"), "Young Adult (20–39)",
  OR(F1045="40's", F1045="50's"), "Adult (40–59)",
  OR(F1045="60's", F1045="70's", F1045="80's", F1045="90's"), "Senior (60+)",
  TRUE, "Unknown"
)</f>
        <v>Senior (60+)</v>
      </c>
      <c r="H1045" t="s">
        <v>841</v>
      </c>
      <c r="I1045" t="s">
        <v>1672</v>
      </c>
      <c r="J1045" t="str">
        <f t="shared" si="65"/>
        <v>Dehydration / Electrolyte</v>
      </c>
      <c r="K1045" t="s">
        <v>54</v>
      </c>
      <c r="L1045" t="s">
        <v>250</v>
      </c>
      <c r="N1045" t="s">
        <v>5095</v>
      </c>
      <c r="O1045" t="str" cm="1">
        <f t="array" ref="O1045">_xlfn.IFS(
  TEXT(TRIM(N1045),"00000")="NULL", "Missing/Unknown",
  OR(TEXT(TRIM(N1045),"00000")="89101", TEXT(TRIM(N1045),"00000")="89104", TEXT(TRIM(N1045),"00000")="89106", TEXT(TRIM(N1045),"00000")="89102", TEXT(TRIM(N1045),"00000")="89107", TEXT(TRIM(N1045),"00000")="89108"), "Urban Core",
  OR(TEXT(TRIM(N1045),"00000")="89110", TEXT(TRIM(N1045),"00000")="89115", TEXT(TRIM(N1045),"00000")="89121", TEXT(TRIM(N1045),"00000")="89122", TEXT(TRIM(N1045),"00000")="89142", TEXT(TRIM(N1045),"00000")="89156"), "East Valley",
  OR(TEXT(TRIM(N1045),"00000")="89030", TEXT(TRIM(N1045),"00000")="89031", TEXT(TRIM(N1045),"00000")="89032", TEXT(TRIM(N1045),"00000")="89086", TEXT(TRIM(N1045),"00000")="89084", TEXT(TRIM(N1045),"00000")="89081"), "North LV",
  OR(TEXT(TRIM(N1045),"00000")="89109", TEXT(TRIM(N1045),"00000")="89103", TEXT(TRIM(N1045),"00000")="89119", TEXT(TRIM(N1045),"00000")="89123", TEXT(TRIM(N1045),"00000")="89169", TEXT(TRIM(N1045),"00000")="89118"), "South/Strip",
  OR(TEXT(TRIM(N1045),"00000")="89074", TEXT(TRIM(N1045),"00000")="89014", TEXT(TRIM(N1045),"00000")="89015", TEXT(TRIM(N1045),"00000")="89011", TEXT(TRIM(N1045),"00000")="89012"), "Suburban SE",
  OR(TEXT(TRIM(N1045),"00000")="89117", TEXT(TRIM(N1045),"00000")="89128", TEXT(TRIM(N1045),"00000")="89135", TEXT(TRIM(N1045),"00000")="89144", TEXT(TRIM(N1045),"00000")="89145", TEXT(TRIM(N1045),"00000")="89147"), "West Valley",
  TRUE, "Other"
)</f>
        <v>Missing/Unknown</v>
      </c>
      <c r="P1045" t="s">
        <v>3298</v>
      </c>
      <c r="Q1045" t="str">
        <f t="shared" si="66"/>
        <v>Outdoors/Public</v>
      </c>
      <c r="S1045" t="s">
        <v>5095</v>
      </c>
      <c r="T1045" t="str" cm="1">
        <f t="array" ref="T1045">_xlfn.IFS(
  TEXT(TRIM(S1045),"00000")="NULL", "Missing/Unknown",
  OR(TEXT(TRIM(S1045),"00000")="89101", TEXT(TRIM(S1045),"00000")="89104", TEXT(TRIM(S1045),"00000")="89106", TEXT(TRIM(S1045),"00000")="89102", TEXT(TRIM(S1045),"00000")="89107", TEXT(TRIM(S1045),"00000")="89108"), "Urban Core",
  OR(TEXT(TRIM(S1045),"00000")="89110", TEXT(TRIM(S1045),"00000")="89115", TEXT(TRIM(S1045),"00000")="89121", TEXT(TRIM(S1045),"00000")="89122", TEXT(TRIM(S1045),"00000")="89142", TEXT(TRIM(S1045),"00000")="89156"), "East Valley",
  OR(TEXT(TRIM(S1045),"00000")="89030", TEXT(TRIM(S1045),"00000")="89031", TEXT(TRIM(S1045),"00000")="89032", TEXT(TRIM(S1045),"00000")="89086", TEXT(TRIM(S1045),"00000")="89084", TEXT(TRIM(S1045),"00000")="89081"), "North LV",
  OR(TEXT(TRIM(S1045),"00000")="89109", TEXT(TRIM(S1045),"00000")="89103", TEXT(TRIM(S1045),"00000")="89119", TEXT(TRIM(S1045),"00000")="89123", TEXT(TRIM(S1045),"00000")="89169", TEXT(TRIM(S1045),"00000")="89118"), "South/Strip",
  OR(TEXT(TRIM(S1045),"00000")="89074", TEXT(TRIM(S1045),"00000")="89014", TEXT(TRIM(S1045),"00000")="89015", TEXT(TRIM(S1045),"00000")="89011", TEXT(TRIM(S1045),"00000")="89012"), "Suburban SE",
  OR(TEXT(TRIM(S1045),"00000")="89117", TEXT(TRIM(S1045),"00000")="89128", TEXT(TRIM(S1045),"00000")="89135", TEXT(TRIM(S1045),"00000")="89144", TEXT(TRIM(S1045),"00000")="89145", TEXT(TRIM(S1045),"00000")="89147"), "West Valley",
  TRUE, "Other"
)</f>
        <v>Missing/Unknown</v>
      </c>
      <c r="U1045" t="s">
        <v>3298</v>
      </c>
      <c r="V1045" t="str">
        <f t="shared" si="67"/>
        <v>Outdoors/Public</v>
      </c>
    </row>
    <row r="1046" spans="1:22">
      <c r="A1046" t="s">
        <v>2053</v>
      </c>
      <c r="B1046" t="s">
        <v>2054</v>
      </c>
      <c r="C1046" s="1">
        <v>44388</v>
      </c>
      <c r="D1046" s="4">
        <v>114.08</v>
      </c>
      <c r="E1046">
        <v>58</v>
      </c>
      <c r="F1046" t="str">
        <f t="shared" si="64"/>
        <v>50's</v>
      </c>
      <c r="G1046" t="str" cm="1">
        <f t="array" ref="G1046">_xlfn.IFS(
  F1046="10's", "Child (5–12)",
  OR(F1046="20's", F1046="30's"), "Young Adult (20–39)",
  OR(F1046="40's", F1046="50's"), "Adult (40–59)",
  OR(F1046="60's", F1046="70's", F1046="80's", F1046="90's"), "Senior (60+)",
  TRUE, "Unknown"
)</f>
        <v>Adult (40–59)</v>
      </c>
      <c r="H1046" t="s">
        <v>841</v>
      </c>
      <c r="I1046" t="s">
        <v>54</v>
      </c>
      <c r="J1046" t="str">
        <f t="shared" si="65"/>
        <v>Environmental Heat</v>
      </c>
      <c r="K1046" t="s">
        <v>181</v>
      </c>
      <c r="L1046" t="s">
        <v>2693</v>
      </c>
      <c r="M1046" t="s">
        <v>4989</v>
      </c>
      <c r="N1046" t="s">
        <v>5134</v>
      </c>
      <c r="O1046" t="str" cm="1">
        <f t="array" ref="O1046">_xlfn.IFS(
  TEXT(TRIM(N1046),"00000")="NULL", "Missing/Unknown",
  OR(TEXT(TRIM(N1046),"00000")="89101", TEXT(TRIM(N1046),"00000")="89104", TEXT(TRIM(N1046),"00000")="89106", TEXT(TRIM(N1046),"00000")="89102", TEXT(TRIM(N1046),"00000")="89107", TEXT(TRIM(N1046),"00000")="89108"), "Urban Core",
  OR(TEXT(TRIM(N1046),"00000")="89110", TEXT(TRIM(N1046),"00000")="89115", TEXT(TRIM(N1046),"00000")="89121", TEXT(TRIM(N1046),"00000")="89122", TEXT(TRIM(N1046),"00000")="89142", TEXT(TRIM(N1046),"00000")="89156"), "East Valley",
  OR(TEXT(TRIM(N1046),"00000")="89030", TEXT(TRIM(N1046),"00000")="89031", TEXT(TRIM(N1046),"00000")="89032", TEXT(TRIM(N1046),"00000")="89086", TEXT(TRIM(N1046),"00000")="89084", TEXT(TRIM(N1046),"00000")="89081"), "North LV",
  OR(TEXT(TRIM(N1046),"00000")="89109", TEXT(TRIM(N1046),"00000")="89103", TEXT(TRIM(N1046),"00000")="89119", TEXT(TRIM(N1046),"00000")="89123", TEXT(TRIM(N1046),"00000")="89169", TEXT(TRIM(N1046),"00000")="89118"), "South/Strip",
  OR(TEXT(TRIM(N1046),"00000")="89074", TEXT(TRIM(N1046),"00000")="89014", TEXT(TRIM(N1046),"00000")="89015", TEXT(TRIM(N1046),"00000")="89011", TEXT(TRIM(N1046),"00000")="89012"), "Suburban SE",
  OR(TEXT(TRIM(N1046),"00000")="89117", TEXT(TRIM(N1046),"00000")="89128", TEXT(TRIM(N1046),"00000")="89135", TEXT(TRIM(N1046),"00000")="89144", TEXT(TRIM(N1046),"00000")="89145", TEXT(TRIM(N1046),"00000")="89147"), "West Valley",
  TRUE, "Other"
)</f>
        <v>Other</v>
      </c>
      <c r="P1046" t="s">
        <v>65</v>
      </c>
      <c r="Q1046" t="str">
        <f t="shared" si="66"/>
        <v>Vehicle-related</v>
      </c>
      <c r="R1046" t="s">
        <v>4989</v>
      </c>
      <c r="S1046" t="s">
        <v>5134</v>
      </c>
      <c r="T1046" t="str" cm="1">
        <f t="array" ref="T1046">_xlfn.IFS(
  TEXT(TRIM(S1046),"00000")="NULL", "Missing/Unknown",
  OR(TEXT(TRIM(S1046),"00000")="89101", TEXT(TRIM(S1046),"00000")="89104", TEXT(TRIM(S1046),"00000")="89106", TEXT(TRIM(S1046),"00000")="89102", TEXT(TRIM(S1046),"00000")="89107", TEXT(TRIM(S1046),"00000")="89108"), "Urban Core",
  OR(TEXT(TRIM(S1046),"00000")="89110", TEXT(TRIM(S1046),"00000")="89115", TEXT(TRIM(S1046),"00000")="89121", TEXT(TRIM(S1046),"00000")="89122", TEXT(TRIM(S1046),"00000")="89142", TEXT(TRIM(S1046),"00000")="89156"), "East Valley",
  OR(TEXT(TRIM(S1046),"00000")="89030", TEXT(TRIM(S1046),"00000")="89031", TEXT(TRIM(S1046),"00000")="89032", TEXT(TRIM(S1046),"00000")="89086", TEXT(TRIM(S1046),"00000")="89084", TEXT(TRIM(S1046),"00000")="89081"), "North LV",
  OR(TEXT(TRIM(S1046),"00000")="89109", TEXT(TRIM(S1046),"00000")="89103", TEXT(TRIM(S1046),"00000")="89119", TEXT(TRIM(S1046),"00000")="89123", TEXT(TRIM(S1046),"00000")="89169", TEXT(TRIM(S1046),"00000")="89118"), "South/Strip",
  OR(TEXT(TRIM(S1046),"00000")="89074", TEXT(TRIM(S1046),"00000")="89014", TEXT(TRIM(S1046),"00000")="89015", TEXT(TRIM(S1046),"00000")="89011", TEXT(TRIM(S1046),"00000")="89012"), "Suburban SE",
  OR(TEXT(TRIM(S1046),"00000")="89117", TEXT(TRIM(S1046),"00000")="89128", TEXT(TRIM(S1046),"00000")="89135", TEXT(TRIM(S1046),"00000")="89144", TEXT(TRIM(S1046),"00000")="89145", TEXT(TRIM(S1046),"00000")="89147"), "West Valley",
  TRUE, "Other"
)</f>
        <v>Other</v>
      </c>
      <c r="U1046" t="s">
        <v>65</v>
      </c>
      <c r="V1046" t="str">
        <f t="shared" si="67"/>
        <v>Vehicle-related</v>
      </c>
    </row>
    <row r="1047" spans="1:22">
      <c r="A1047" t="s">
        <v>2033</v>
      </c>
      <c r="B1047" t="s">
        <v>2034</v>
      </c>
      <c r="C1047" s="1">
        <v>44388</v>
      </c>
      <c r="D1047" s="4">
        <v>114.08</v>
      </c>
      <c r="E1047">
        <v>81</v>
      </c>
      <c r="F1047" t="str">
        <f t="shared" si="64"/>
        <v>80's</v>
      </c>
      <c r="G1047" t="str" cm="1">
        <f t="array" ref="G1047">_xlfn.IFS(
  F1047="10's", "Child (5–12)",
  OR(F1047="20's", F1047="30's"), "Young Adult (20–39)",
  OR(F1047="40's", F1047="50's"), "Adult (40–59)",
  OR(F1047="60's", F1047="70's", F1047="80's", F1047="90's"), "Senior (60+)",
  TRUE, "Unknown"
)</f>
        <v>Senior (60+)</v>
      </c>
      <c r="H1047" t="s">
        <v>841</v>
      </c>
      <c r="I1047" t="s">
        <v>54</v>
      </c>
      <c r="J1047" t="str">
        <f t="shared" si="65"/>
        <v>Environmental Heat</v>
      </c>
      <c r="K1047" t="s">
        <v>166</v>
      </c>
      <c r="L1047" t="s">
        <v>1071</v>
      </c>
      <c r="M1047" t="s">
        <v>4479</v>
      </c>
      <c r="N1047" t="s">
        <v>5104</v>
      </c>
      <c r="O1047" t="str" cm="1">
        <f t="array" ref="O1047">_xlfn.IFS(
  TEXT(TRIM(N1047),"00000")="NULL", "Missing/Unknown",
  OR(TEXT(TRIM(N1047),"00000")="89101", TEXT(TRIM(N1047),"00000")="89104", TEXT(TRIM(N1047),"00000")="89106", TEXT(TRIM(N1047),"00000")="89102", TEXT(TRIM(N1047),"00000")="89107", TEXT(TRIM(N1047),"00000")="89108"), "Urban Core",
  OR(TEXT(TRIM(N1047),"00000")="89110", TEXT(TRIM(N1047),"00000")="89115", TEXT(TRIM(N1047),"00000")="89121", TEXT(TRIM(N1047),"00000")="89122", TEXT(TRIM(N1047),"00000")="89142", TEXT(TRIM(N1047),"00000")="89156"), "East Valley",
  OR(TEXT(TRIM(N1047),"00000")="89030", TEXT(TRIM(N1047),"00000")="89031", TEXT(TRIM(N1047),"00000")="89032", TEXT(TRIM(N1047),"00000")="89086", TEXT(TRIM(N1047),"00000")="89084", TEXT(TRIM(N1047),"00000")="89081"), "North LV",
  OR(TEXT(TRIM(N1047),"00000")="89109", TEXT(TRIM(N1047),"00000")="89103", TEXT(TRIM(N1047),"00000")="89119", TEXT(TRIM(N1047),"00000")="89123", TEXT(TRIM(N1047),"00000")="89169", TEXT(TRIM(N1047),"00000")="89118"), "South/Strip",
  OR(TEXT(TRIM(N1047),"00000")="89074", TEXT(TRIM(N1047),"00000")="89014", TEXT(TRIM(N1047),"00000")="89015", TEXT(TRIM(N1047),"00000")="89011", TEXT(TRIM(N1047),"00000")="89012"), "Suburban SE",
  OR(TEXT(TRIM(N1047),"00000")="89117", TEXT(TRIM(N1047),"00000")="89128", TEXT(TRIM(N1047),"00000")="89135", TEXT(TRIM(N1047),"00000")="89144", TEXT(TRIM(N1047),"00000")="89145", TEXT(TRIM(N1047),"00000")="89147"), "West Valley",
  TRUE, "Other"
)</f>
        <v>West Valley</v>
      </c>
      <c r="P1047" t="s">
        <v>38</v>
      </c>
      <c r="Q1047" t="str">
        <f t="shared" si="66"/>
        <v>Home/Residence</v>
      </c>
      <c r="R1047" t="s">
        <v>4479</v>
      </c>
      <c r="S1047" t="s">
        <v>5104</v>
      </c>
      <c r="T1047" t="str" cm="1">
        <f t="array" ref="T1047">_xlfn.IFS(
  TEXT(TRIM(S1047),"00000")="NULL", "Missing/Unknown",
  OR(TEXT(TRIM(S1047),"00000")="89101", TEXT(TRIM(S1047),"00000")="89104", TEXT(TRIM(S1047),"00000")="89106", TEXT(TRIM(S1047),"00000")="89102", TEXT(TRIM(S1047),"00000")="89107", TEXT(TRIM(S1047),"00000")="89108"), "Urban Core",
  OR(TEXT(TRIM(S1047),"00000")="89110", TEXT(TRIM(S1047),"00000")="89115", TEXT(TRIM(S1047),"00000")="89121", TEXT(TRIM(S1047),"00000")="89122", TEXT(TRIM(S1047),"00000")="89142", TEXT(TRIM(S1047),"00000")="89156"), "East Valley",
  OR(TEXT(TRIM(S1047),"00000")="89030", TEXT(TRIM(S1047),"00000")="89031", TEXT(TRIM(S1047),"00000")="89032", TEXT(TRIM(S1047),"00000")="89086", TEXT(TRIM(S1047),"00000")="89084", TEXT(TRIM(S1047),"00000")="89081"), "North LV",
  OR(TEXT(TRIM(S1047),"00000")="89109", TEXT(TRIM(S1047),"00000")="89103", TEXT(TRIM(S1047),"00000")="89119", TEXT(TRIM(S1047),"00000")="89123", TEXT(TRIM(S1047),"00000")="89169", TEXT(TRIM(S1047),"00000")="89118"), "South/Strip",
  OR(TEXT(TRIM(S1047),"00000")="89074", TEXT(TRIM(S1047),"00000")="89014", TEXT(TRIM(S1047),"00000")="89015", TEXT(TRIM(S1047),"00000")="89011", TEXT(TRIM(S1047),"00000")="89012"), "Suburban SE",
  OR(TEXT(TRIM(S1047),"00000")="89117", TEXT(TRIM(S1047),"00000")="89128", TEXT(TRIM(S1047),"00000")="89135", TEXT(TRIM(S1047),"00000")="89144", TEXT(TRIM(S1047),"00000")="89145", TEXT(TRIM(S1047),"00000")="89147"), "West Valley",
  TRUE, "Other"
)</f>
        <v>West Valley</v>
      </c>
      <c r="U1047" t="s">
        <v>38</v>
      </c>
      <c r="V1047" t="str">
        <f t="shared" si="67"/>
        <v>Home/Residence</v>
      </c>
    </row>
    <row r="1048" spans="1:22">
      <c r="A1048" t="s">
        <v>2048</v>
      </c>
      <c r="B1048" t="s">
        <v>2049</v>
      </c>
      <c r="C1048" s="1">
        <v>44388</v>
      </c>
      <c r="D1048" s="4">
        <v>114.08</v>
      </c>
      <c r="E1048">
        <v>56</v>
      </c>
      <c r="F1048" t="str">
        <f t="shared" si="64"/>
        <v>50's</v>
      </c>
      <c r="G1048" t="str" cm="1">
        <f t="array" ref="G1048">_xlfn.IFS(
  F1048="10's", "Child (5–12)",
  OR(F1048="20's", F1048="30's"), "Young Adult (20–39)",
  OR(F1048="40's", F1048="50's"), "Adult (40–59)",
  OR(F1048="60's", F1048="70's", F1048="80's", F1048="90's"), "Senior (60+)",
  TRUE, "Unknown"
)</f>
        <v>Adult (40–59)</v>
      </c>
      <c r="H1048" t="s">
        <v>841</v>
      </c>
      <c r="I1048" t="s">
        <v>4117</v>
      </c>
      <c r="J1048" t="str">
        <f t="shared" si="65"/>
        <v>Methamphetamine-related</v>
      </c>
      <c r="K1048" t="s">
        <v>97</v>
      </c>
      <c r="L1048" t="s">
        <v>250</v>
      </c>
      <c r="M1048" t="s">
        <v>4560</v>
      </c>
      <c r="N1048" t="s">
        <v>5105</v>
      </c>
      <c r="O1048" t="str" cm="1">
        <f t="array" ref="O1048">_xlfn.IFS(
  TEXT(TRIM(N1048),"00000")="NULL", "Missing/Unknown",
  OR(TEXT(TRIM(N1048),"00000")="89101", TEXT(TRIM(N1048),"00000")="89104", TEXT(TRIM(N1048),"00000")="89106", TEXT(TRIM(N1048),"00000")="89102", TEXT(TRIM(N1048),"00000")="89107", TEXT(TRIM(N1048),"00000")="89108"), "Urban Core",
  OR(TEXT(TRIM(N1048),"00000")="89110", TEXT(TRIM(N1048),"00000")="89115", TEXT(TRIM(N1048),"00000")="89121", TEXT(TRIM(N1048),"00000")="89122", TEXT(TRIM(N1048),"00000")="89142", TEXT(TRIM(N1048),"00000")="89156"), "East Valley",
  OR(TEXT(TRIM(N1048),"00000")="89030", TEXT(TRIM(N1048),"00000")="89031", TEXT(TRIM(N1048),"00000")="89032", TEXT(TRIM(N1048),"00000")="89086", TEXT(TRIM(N1048),"00000")="89084", TEXT(TRIM(N1048),"00000")="89081"), "North LV",
  OR(TEXT(TRIM(N1048),"00000")="89109", TEXT(TRIM(N1048),"00000")="89103", TEXT(TRIM(N1048),"00000")="89119", TEXT(TRIM(N1048),"00000")="89123", TEXT(TRIM(N1048),"00000")="89169", TEXT(TRIM(N1048),"00000")="89118"), "South/Strip",
  OR(TEXT(TRIM(N1048),"00000")="89074", TEXT(TRIM(N1048),"00000")="89014", TEXT(TRIM(N1048),"00000")="89015", TEXT(TRIM(N1048),"00000")="89011", TEXT(TRIM(N1048),"00000")="89012"), "Suburban SE",
  OR(TEXT(TRIM(N1048),"00000")="89117", TEXT(TRIM(N1048),"00000")="89128", TEXT(TRIM(N1048),"00000")="89135", TEXT(TRIM(N1048),"00000")="89144", TEXT(TRIM(N1048),"00000")="89145", TEXT(TRIM(N1048),"00000")="89147"), "West Valley",
  TRUE, "Other"
)</f>
        <v>East Valley</v>
      </c>
      <c r="P1048" t="s">
        <v>3298</v>
      </c>
      <c r="Q1048" t="str">
        <f t="shared" si="66"/>
        <v>Outdoors/Public</v>
      </c>
      <c r="R1048" t="s">
        <v>5053</v>
      </c>
      <c r="S1048" t="s">
        <v>5110</v>
      </c>
      <c r="T1048" t="str" cm="1">
        <f t="array" ref="T1048">_xlfn.IFS(
  TEXT(TRIM(S1048),"00000")="NULL", "Missing/Unknown",
  OR(TEXT(TRIM(S1048),"00000")="89101", TEXT(TRIM(S1048),"00000")="89104", TEXT(TRIM(S1048),"00000")="89106", TEXT(TRIM(S1048),"00000")="89102", TEXT(TRIM(S1048),"00000")="89107", TEXT(TRIM(S1048),"00000")="89108"), "Urban Core",
  OR(TEXT(TRIM(S1048),"00000")="89110", TEXT(TRIM(S1048),"00000")="89115", TEXT(TRIM(S1048),"00000")="89121", TEXT(TRIM(S1048),"00000")="89122", TEXT(TRIM(S1048),"00000")="89142", TEXT(TRIM(S1048),"00000")="89156"), "East Valley",
  OR(TEXT(TRIM(S1048),"00000")="89030", TEXT(TRIM(S1048),"00000")="89031", TEXT(TRIM(S1048),"00000")="89032", TEXT(TRIM(S1048),"00000")="89086", TEXT(TRIM(S1048),"00000")="89084", TEXT(TRIM(S1048),"00000")="89081"), "North LV",
  OR(TEXT(TRIM(S1048),"00000")="89109", TEXT(TRIM(S1048),"00000")="89103", TEXT(TRIM(S1048),"00000")="89119", TEXT(TRIM(S1048),"00000")="89123", TEXT(TRIM(S1048),"00000")="89169", TEXT(TRIM(S1048),"00000")="89118"), "South/Strip",
  OR(TEXT(TRIM(S1048),"00000")="89074", TEXT(TRIM(S1048),"00000")="89014", TEXT(TRIM(S1048),"00000")="89015", TEXT(TRIM(S1048),"00000")="89011", TEXT(TRIM(S1048),"00000")="89012"), "Suburban SE",
  OR(TEXT(TRIM(S1048),"00000")="89117", TEXT(TRIM(S1048),"00000")="89128", TEXT(TRIM(S1048),"00000")="89135", TEXT(TRIM(S1048),"00000")="89144", TEXT(TRIM(S1048),"00000")="89145", TEXT(TRIM(S1048),"00000")="89147"), "West Valley",
  TRUE, "Other"
)</f>
        <v>Suburban SE</v>
      </c>
      <c r="U1048" t="s">
        <v>4301</v>
      </c>
      <c r="V1048" t="str">
        <f t="shared" si="67"/>
        <v>Medical Facility</v>
      </c>
    </row>
    <row r="1049" spans="1:22">
      <c r="A1049" t="s">
        <v>2036</v>
      </c>
      <c r="B1049" t="s">
        <v>2037</v>
      </c>
      <c r="C1049" s="1">
        <v>44388</v>
      </c>
      <c r="D1049" s="4">
        <v>114.08</v>
      </c>
      <c r="E1049">
        <v>40</v>
      </c>
      <c r="F1049" t="str">
        <f t="shared" si="64"/>
        <v>40's</v>
      </c>
      <c r="G1049" t="str" cm="1">
        <f t="array" ref="G1049">_xlfn.IFS(
  F1049="10's", "Child (5–12)",
  OR(F1049="20's", F1049="30's"), "Young Adult (20–39)",
  OR(F1049="40's", F1049="50's"), "Adult (40–59)",
  OR(F1049="60's", F1049="70's", F1049="80's", F1049="90's"), "Senior (60+)",
  TRUE, "Unknown"
)</f>
        <v>Adult (40–59)</v>
      </c>
      <c r="H1049" t="s">
        <v>778</v>
      </c>
      <c r="I1049" t="s">
        <v>4025</v>
      </c>
      <c r="J1049" t="str">
        <f t="shared" si="65"/>
        <v>Methamphetamine-related</v>
      </c>
      <c r="K1049" t="s">
        <v>54</v>
      </c>
      <c r="L1049" t="s">
        <v>250</v>
      </c>
      <c r="M1049" t="s">
        <v>4857</v>
      </c>
      <c r="N1049" t="s">
        <v>5098</v>
      </c>
      <c r="O1049" t="str" cm="1">
        <f t="array" ref="O1049">_xlfn.IFS(
  TEXT(TRIM(N1049),"00000")="NULL", "Missing/Unknown",
  OR(TEXT(TRIM(N1049),"00000")="89101", TEXT(TRIM(N1049),"00000")="89104", TEXT(TRIM(N1049),"00000")="89106", TEXT(TRIM(N1049),"00000")="89102", TEXT(TRIM(N1049),"00000")="89107", TEXT(TRIM(N1049),"00000")="89108"), "Urban Core",
  OR(TEXT(TRIM(N1049),"00000")="89110", TEXT(TRIM(N1049),"00000")="89115", TEXT(TRIM(N1049),"00000")="89121", TEXT(TRIM(N1049),"00000")="89122", TEXT(TRIM(N1049),"00000")="89142", TEXT(TRIM(N1049),"00000")="89156"), "East Valley",
  OR(TEXT(TRIM(N1049),"00000")="89030", TEXT(TRIM(N1049),"00000")="89031", TEXT(TRIM(N1049),"00000")="89032", TEXT(TRIM(N1049),"00000")="89086", TEXT(TRIM(N1049),"00000")="89084", TEXT(TRIM(N1049),"00000")="89081"), "North LV",
  OR(TEXT(TRIM(N1049),"00000")="89109", TEXT(TRIM(N1049),"00000")="89103", TEXT(TRIM(N1049),"00000")="89119", TEXT(TRIM(N1049),"00000")="89123", TEXT(TRIM(N1049),"00000")="89169", TEXT(TRIM(N1049),"00000")="89118"), "South/Strip",
  OR(TEXT(TRIM(N1049),"00000")="89074", TEXT(TRIM(N1049),"00000")="89014", TEXT(TRIM(N1049),"00000")="89015", TEXT(TRIM(N1049),"00000")="89011", TEXT(TRIM(N1049),"00000")="89012"), "Suburban SE",
  OR(TEXT(TRIM(N1049),"00000")="89117", TEXT(TRIM(N1049),"00000")="89128", TEXT(TRIM(N1049),"00000")="89135", TEXT(TRIM(N1049),"00000")="89144", TEXT(TRIM(N1049),"00000")="89145", TEXT(TRIM(N1049),"00000")="89147"), "West Valley",
  TRUE, "Other"
)</f>
        <v>Urban Core</v>
      </c>
      <c r="P1049" t="s">
        <v>3298</v>
      </c>
      <c r="Q1049" t="str">
        <f t="shared" si="66"/>
        <v>Outdoors/Public</v>
      </c>
      <c r="R1049" t="s">
        <v>4857</v>
      </c>
      <c r="S1049" t="s">
        <v>5098</v>
      </c>
      <c r="T1049" t="str" cm="1">
        <f t="array" ref="T1049">_xlfn.IFS(
  TEXT(TRIM(S1049),"00000")="NULL", "Missing/Unknown",
  OR(TEXT(TRIM(S1049),"00000")="89101", TEXT(TRIM(S1049),"00000")="89104", TEXT(TRIM(S1049),"00000")="89106", TEXT(TRIM(S1049),"00000")="89102", TEXT(TRIM(S1049),"00000")="89107", TEXT(TRIM(S1049),"00000")="89108"), "Urban Core",
  OR(TEXT(TRIM(S1049),"00000")="89110", TEXT(TRIM(S1049),"00000")="89115", TEXT(TRIM(S1049),"00000")="89121", TEXT(TRIM(S1049),"00000")="89122", TEXT(TRIM(S1049),"00000")="89142", TEXT(TRIM(S1049),"00000")="89156"), "East Valley",
  OR(TEXT(TRIM(S1049),"00000")="89030", TEXT(TRIM(S1049),"00000")="89031", TEXT(TRIM(S1049),"00000")="89032", TEXT(TRIM(S1049),"00000")="89086", TEXT(TRIM(S1049),"00000")="89084", TEXT(TRIM(S1049),"00000")="89081"), "North LV",
  OR(TEXT(TRIM(S1049),"00000")="89109", TEXT(TRIM(S1049),"00000")="89103", TEXT(TRIM(S1049),"00000")="89119", TEXT(TRIM(S1049),"00000")="89123", TEXT(TRIM(S1049),"00000")="89169", TEXT(TRIM(S1049),"00000")="89118"), "South/Strip",
  OR(TEXT(TRIM(S1049),"00000")="89074", TEXT(TRIM(S1049),"00000")="89014", TEXT(TRIM(S1049),"00000")="89015", TEXT(TRIM(S1049),"00000")="89011", TEXT(TRIM(S1049),"00000")="89012"), "Suburban SE",
  OR(TEXT(TRIM(S1049),"00000")="89117", TEXT(TRIM(S1049),"00000")="89128", TEXT(TRIM(S1049),"00000")="89135", TEXT(TRIM(S1049),"00000")="89144", TEXT(TRIM(S1049),"00000")="89145", TEXT(TRIM(S1049),"00000")="89147"), "West Valley",
  TRUE, "Other"
)</f>
        <v>Urban Core</v>
      </c>
      <c r="U1049" t="s">
        <v>3298</v>
      </c>
      <c r="V1049" t="str">
        <f t="shared" si="67"/>
        <v>Outdoors/Public</v>
      </c>
    </row>
    <row r="1050" spans="1:22">
      <c r="A1050" t="s">
        <v>2060</v>
      </c>
      <c r="B1050" t="s">
        <v>2061</v>
      </c>
      <c r="C1050" s="1">
        <v>44388</v>
      </c>
      <c r="D1050" s="4">
        <v>114.08</v>
      </c>
      <c r="E1050">
        <v>65</v>
      </c>
      <c r="F1050" t="str">
        <f t="shared" si="64"/>
        <v>60's</v>
      </c>
      <c r="G1050" t="str" cm="1">
        <f t="array" ref="G1050">_xlfn.IFS(
  F1050="10's", "Child (5–12)",
  OR(F1050="20's", F1050="30's"), "Young Adult (20–39)",
  OR(F1050="40's", F1050="50's"), "Adult (40–59)",
  OR(F1050="60's", F1050="70's", F1050="80's", F1050="90's"), "Senior (60+)",
  TRUE, "Unknown"
)</f>
        <v>Senior (60+)</v>
      </c>
      <c r="H1050" t="s">
        <v>778</v>
      </c>
      <c r="I1050" t="s">
        <v>97</v>
      </c>
      <c r="J1050" t="str">
        <f t="shared" si="65"/>
        <v>Environmental Heat</v>
      </c>
      <c r="K1050" t="s">
        <v>98</v>
      </c>
      <c r="L1050" t="s">
        <v>250</v>
      </c>
      <c r="N1050" t="s">
        <v>5095</v>
      </c>
      <c r="O1050" t="str" cm="1">
        <f t="array" ref="O1050">_xlfn.IFS(
  TEXT(TRIM(N1050),"00000")="NULL", "Missing/Unknown",
  OR(TEXT(TRIM(N1050),"00000")="89101", TEXT(TRIM(N1050),"00000")="89104", TEXT(TRIM(N1050),"00000")="89106", TEXT(TRIM(N1050),"00000")="89102", TEXT(TRIM(N1050),"00000")="89107", TEXT(TRIM(N1050),"00000")="89108"), "Urban Core",
  OR(TEXT(TRIM(N1050),"00000")="89110", TEXT(TRIM(N1050),"00000")="89115", TEXT(TRIM(N1050),"00000")="89121", TEXT(TRIM(N1050),"00000")="89122", TEXT(TRIM(N1050),"00000")="89142", TEXT(TRIM(N1050),"00000")="89156"), "East Valley",
  OR(TEXT(TRIM(N1050),"00000")="89030", TEXT(TRIM(N1050),"00000")="89031", TEXT(TRIM(N1050),"00000")="89032", TEXT(TRIM(N1050),"00000")="89086", TEXT(TRIM(N1050),"00000")="89084", TEXT(TRIM(N1050),"00000")="89081"), "North LV",
  OR(TEXT(TRIM(N1050),"00000")="89109", TEXT(TRIM(N1050),"00000")="89103", TEXT(TRIM(N1050),"00000")="89119", TEXT(TRIM(N1050),"00000")="89123", TEXT(TRIM(N1050),"00000")="89169", TEXT(TRIM(N1050),"00000")="89118"), "South/Strip",
  OR(TEXT(TRIM(N1050),"00000")="89074", TEXT(TRIM(N1050),"00000")="89014", TEXT(TRIM(N1050),"00000")="89015", TEXT(TRIM(N1050),"00000")="89011", TEXT(TRIM(N1050),"00000")="89012"), "Suburban SE",
  OR(TEXT(TRIM(N1050),"00000")="89117", TEXT(TRIM(N1050),"00000")="89128", TEXT(TRIM(N1050),"00000")="89135", TEXT(TRIM(N1050),"00000")="89144", TEXT(TRIM(N1050),"00000")="89145", TEXT(TRIM(N1050),"00000")="89147"), "West Valley",
  TRUE, "Other"
)</f>
        <v>Missing/Unknown</v>
      </c>
      <c r="P1050" t="s">
        <v>38</v>
      </c>
      <c r="Q1050" t="str">
        <f t="shared" si="66"/>
        <v>Home/Residence</v>
      </c>
      <c r="R1050" t="s">
        <v>4341</v>
      </c>
      <c r="S1050" t="s">
        <v>5100</v>
      </c>
      <c r="T1050" t="str" cm="1">
        <f t="array" ref="T1050">_xlfn.IFS(
  TEXT(TRIM(S1050),"00000")="NULL", "Missing/Unknown",
  OR(TEXT(TRIM(S1050),"00000")="89101", TEXT(TRIM(S1050),"00000")="89104", TEXT(TRIM(S1050),"00000")="89106", TEXT(TRIM(S1050),"00000")="89102", TEXT(TRIM(S1050),"00000")="89107", TEXT(TRIM(S1050),"00000")="89108"), "Urban Core",
  OR(TEXT(TRIM(S1050),"00000")="89110", TEXT(TRIM(S1050),"00000")="89115", TEXT(TRIM(S1050),"00000")="89121", TEXT(TRIM(S1050),"00000")="89122", TEXT(TRIM(S1050),"00000")="89142", TEXT(TRIM(S1050),"00000")="89156"), "East Valley",
  OR(TEXT(TRIM(S1050),"00000")="89030", TEXT(TRIM(S1050),"00000")="89031", TEXT(TRIM(S1050),"00000")="89032", TEXT(TRIM(S1050),"00000")="89086", TEXT(TRIM(S1050),"00000")="89084", TEXT(TRIM(S1050),"00000")="89081"), "North LV",
  OR(TEXT(TRIM(S1050),"00000")="89109", TEXT(TRIM(S1050),"00000")="89103", TEXT(TRIM(S1050),"00000")="89119", TEXT(TRIM(S1050),"00000")="89123", TEXT(TRIM(S1050),"00000")="89169", TEXT(TRIM(S1050),"00000")="89118"), "South/Strip",
  OR(TEXT(TRIM(S1050),"00000")="89074", TEXT(TRIM(S1050),"00000")="89014", TEXT(TRIM(S1050),"00000")="89015", TEXT(TRIM(S1050),"00000")="89011", TEXT(TRIM(S1050),"00000")="89012"), "Suburban SE",
  OR(TEXT(TRIM(S1050),"00000")="89117", TEXT(TRIM(S1050),"00000")="89128", TEXT(TRIM(S1050),"00000")="89135", TEXT(TRIM(S1050),"00000")="89144", TEXT(TRIM(S1050),"00000")="89145", TEXT(TRIM(S1050),"00000")="89147"), "West Valley",
  TRUE, "Other"
)</f>
        <v>North LV</v>
      </c>
      <c r="U1050" t="s">
        <v>4301</v>
      </c>
      <c r="V1050" t="str">
        <f t="shared" si="67"/>
        <v>Medical Facility</v>
      </c>
    </row>
    <row r="1051" spans="1:22">
      <c r="A1051" t="s">
        <v>2062</v>
      </c>
      <c r="B1051" t="s">
        <v>2063</v>
      </c>
      <c r="C1051" s="1">
        <v>44388</v>
      </c>
      <c r="D1051" s="4">
        <v>114.08</v>
      </c>
      <c r="E1051">
        <v>59</v>
      </c>
      <c r="F1051" t="str">
        <f t="shared" si="64"/>
        <v>50's</v>
      </c>
      <c r="G1051" t="str" cm="1">
        <f t="array" ref="G1051">_xlfn.IFS(
  F1051="10's", "Child (5–12)",
  OR(F1051="20's", F1051="30's"), "Young Adult (20–39)",
  OR(F1051="40's", F1051="50's"), "Adult (40–59)",
  OR(F1051="60's", F1051="70's", F1051="80's", F1051="90's"), "Senior (60+)",
  TRUE, "Unknown"
)</f>
        <v>Adult (40–59)</v>
      </c>
      <c r="H1051" t="s">
        <v>841</v>
      </c>
      <c r="I1051" t="s">
        <v>97</v>
      </c>
      <c r="J1051" t="str">
        <f t="shared" si="65"/>
        <v>Environmental Heat</v>
      </c>
      <c r="K1051" t="s">
        <v>98</v>
      </c>
      <c r="L1051" t="s">
        <v>250</v>
      </c>
      <c r="N1051" t="s">
        <v>5095</v>
      </c>
      <c r="O1051" t="str" cm="1">
        <f t="array" ref="O1051">_xlfn.IFS(
  TEXT(TRIM(N1051),"00000")="NULL", "Missing/Unknown",
  OR(TEXT(TRIM(N1051),"00000")="89101", TEXT(TRIM(N1051),"00000")="89104", TEXT(TRIM(N1051),"00000")="89106", TEXT(TRIM(N1051),"00000")="89102", TEXT(TRIM(N1051),"00000")="89107", TEXT(TRIM(N1051),"00000")="89108"), "Urban Core",
  OR(TEXT(TRIM(N1051),"00000")="89110", TEXT(TRIM(N1051),"00000")="89115", TEXT(TRIM(N1051),"00000")="89121", TEXT(TRIM(N1051),"00000")="89122", TEXT(TRIM(N1051),"00000")="89142", TEXT(TRIM(N1051),"00000")="89156"), "East Valley",
  OR(TEXT(TRIM(N1051),"00000")="89030", TEXT(TRIM(N1051),"00000")="89031", TEXT(TRIM(N1051),"00000")="89032", TEXT(TRIM(N1051),"00000")="89086", TEXT(TRIM(N1051),"00000")="89084", TEXT(TRIM(N1051),"00000")="89081"), "North LV",
  OR(TEXT(TRIM(N1051),"00000")="89109", TEXT(TRIM(N1051),"00000")="89103", TEXT(TRIM(N1051),"00000")="89119", TEXT(TRIM(N1051),"00000")="89123", TEXT(TRIM(N1051),"00000")="89169", TEXT(TRIM(N1051),"00000")="89118"), "South/Strip",
  OR(TEXT(TRIM(N1051),"00000")="89074", TEXT(TRIM(N1051),"00000")="89014", TEXT(TRIM(N1051),"00000")="89015", TEXT(TRIM(N1051),"00000")="89011", TEXT(TRIM(N1051),"00000")="89012"), "Suburban SE",
  OR(TEXT(TRIM(N1051),"00000")="89117", TEXT(TRIM(N1051),"00000")="89128", TEXT(TRIM(N1051),"00000")="89135", TEXT(TRIM(N1051),"00000")="89144", TEXT(TRIM(N1051),"00000")="89145", TEXT(TRIM(N1051),"00000")="89147"), "West Valley",
  TRUE, "Other"
)</f>
        <v>Missing/Unknown</v>
      </c>
      <c r="P1051" t="s">
        <v>38</v>
      </c>
      <c r="Q1051" t="str">
        <f t="shared" si="66"/>
        <v>Home/Residence</v>
      </c>
      <c r="R1051" t="s">
        <v>4341</v>
      </c>
      <c r="S1051" t="s">
        <v>5100</v>
      </c>
      <c r="T1051" t="str" cm="1">
        <f t="array" ref="T1051">_xlfn.IFS(
  TEXT(TRIM(S1051),"00000")="NULL", "Missing/Unknown",
  OR(TEXT(TRIM(S1051),"00000")="89101", TEXT(TRIM(S1051),"00000")="89104", TEXT(TRIM(S1051),"00000")="89106", TEXT(TRIM(S1051),"00000")="89102", TEXT(TRIM(S1051),"00000")="89107", TEXT(TRIM(S1051),"00000")="89108"), "Urban Core",
  OR(TEXT(TRIM(S1051),"00000")="89110", TEXT(TRIM(S1051),"00000")="89115", TEXT(TRIM(S1051),"00000")="89121", TEXT(TRIM(S1051),"00000")="89122", TEXT(TRIM(S1051),"00000")="89142", TEXT(TRIM(S1051),"00000")="89156"), "East Valley",
  OR(TEXT(TRIM(S1051),"00000")="89030", TEXT(TRIM(S1051),"00000")="89031", TEXT(TRIM(S1051),"00000")="89032", TEXT(TRIM(S1051),"00000")="89086", TEXT(TRIM(S1051),"00000")="89084", TEXT(TRIM(S1051),"00000")="89081"), "North LV",
  OR(TEXT(TRIM(S1051),"00000")="89109", TEXT(TRIM(S1051),"00000")="89103", TEXT(TRIM(S1051),"00000")="89119", TEXT(TRIM(S1051),"00000")="89123", TEXT(TRIM(S1051),"00000")="89169", TEXT(TRIM(S1051),"00000")="89118"), "South/Strip",
  OR(TEXT(TRIM(S1051),"00000")="89074", TEXT(TRIM(S1051),"00000")="89014", TEXT(TRIM(S1051),"00000")="89015", TEXT(TRIM(S1051),"00000")="89011", TEXT(TRIM(S1051),"00000")="89012"), "Suburban SE",
  OR(TEXT(TRIM(S1051),"00000")="89117", TEXT(TRIM(S1051),"00000")="89128", TEXT(TRIM(S1051),"00000")="89135", TEXT(TRIM(S1051),"00000")="89144", TEXT(TRIM(S1051),"00000")="89145", TEXT(TRIM(S1051),"00000")="89147"), "West Valley",
  TRUE, "Other"
)</f>
        <v>North LV</v>
      </c>
      <c r="U1051" t="s">
        <v>4301</v>
      </c>
      <c r="V1051" t="str">
        <f t="shared" si="67"/>
        <v>Medical Facility</v>
      </c>
    </row>
    <row r="1052" spans="1:22">
      <c r="A1052" t="s">
        <v>2039</v>
      </c>
      <c r="B1052" t="s">
        <v>2040</v>
      </c>
      <c r="C1052" s="1">
        <v>44388</v>
      </c>
      <c r="D1052" s="4">
        <v>114.08</v>
      </c>
      <c r="E1052">
        <v>48</v>
      </c>
      <c r="F1052" t="str">
        <f t="shared" si="64"/>
        <v>40's</v>
      </c>
      <c r="G1052" t="str" cm="1">
        <f t="array" ref="G1052">_xlfn.IFS(
  F1052="10's", "Child (5–12)",
  OR(F1052="20's", F1052="30's"), "Young Adult (20–39)",
  OR(F1052="40's", F1052="50's"), "Adult (40–59)",
  OR(F1052="60's", F1052="70's", F1052="80's", F1052="90's"), "Senior (60+)",
  TRUE, "Unknown"
)</f>
        <v>Adult (40–59)</v>
      </c>
      <c r="H1052" t="s">
        <v>841</v>
      </c>
      <c r="I1052" t="s">
        <v>4025</v>
      </c>
      <c r="J1052" t="str">
        <f t="shared" si="65"/>
        <v>Methamphetamine-related</v>
      </c>
      <c r="K1052" t="s">
        <v>2041</v>
      </c>
      <c r="L1052" t="s">
        <v>250</v>
      </c>
      <c r="M1052" t="s">
        <v>4559</v>
      </c>
      <c r="N1052" t="s">
        <v>5105</v>
      </c>
      <c r="O1052" t="str" cm="1">
        <f t="array" ref="O1052">_xlfn.IFS(
  TEXT(TRIM(N1052),"00000")="NULL", "Missing/Unknown",
  OR(TEXT(TRIM(N1052),"00000")="89101", TEXT(TRIM(N1052),"00000")="89104", TEXT(TRIM(N1052),"00000")="89106", TEXT(TRIM(N1052),"00000")="89102", TEXT(TRIM(N1052),"00000")="89107", TEXT(TRIM(N1052),"00000")="89108"), "Urban Core",
  OR(TEXT(TRIM(N1052),"00000")="89110", TEXT(TRIM(N1052),"00000")="89115", TEXT(TRIM(N1052),"00000")="89121", TEXT(TRIM(N1052),"00000")="89122", TEXT(TRIM(N1052),"00000")="89142", TEXT(TRIM(N1052),"00000")="89156"), "East Valley",
  OR(TEXT(TRIM(N1052),"00000")="89030", TEXT(TRIM(N1052),"00000")="89031", TEXT(TRIM(N1052),"00000")="89032", TEXT(TRIM(N1052),"00000")="89086", TEXT(TRIM(N1052),"00000")="89084", TEXT(TRIM(N1052),"00000")="89081"), "North LV",
  OR(TEXT(TRIM(N1052),"00000")="89109", TEXT(TRIM(N1052),"00000")="89103", TEXT(TRIM(N1052),"00000")="89119", TEXT(TRIM(N1052),"00000")="89123", TEXT(TRIM(N1052),"00000")="89169", TEXT(TRIM(N1052),"00000")="89118"), "South/Strip",
  OR(TEXT(TRIM(N1052),"00000")="89074", TEXT(TRIM(N1052),"00000")="89014", TEXT(TRIM(N1052),"00000")="89015", TEXT(TRIM(N1052),"00000")="89011", TEXT(TRIM(N1052),"00000")="89012"), "Suburban SE",
  OR(TEXT(TRIM(N1052),"00000")="89117", TEXT(TRIM(N1052),"00000")="89128", TEXT(TRIM(N1052),"00000")="89135", TEXT(TRIM(N1052),"00000")="89144", TEXT(TRIM(N1052),"00000")="89145", TEXT(TRIM(N1052),"00000")="89147"), "West Valley",
  TRUE, "Other"
)</f>
        <v>East Valley</v>
      </c>
      <c r="P1052" t="s">
        <v>3298</v>
      </c>
      <c r="Q1052" t="str">
        <f t="shared" si="66"/>
        <v>Outdoors/Public</v>
      </c>
      <c r="R1052" t="s">
        <v>4868</v>
      </c>
      <c r="S1052" t="s">
        <v>5123</v>
      </c>
      <c r="T1052" t="str" cm="1">
        <f t="array" ref="T1052">_xlfn.IFS(
  TEXT(TRIM(S1052),"00000")="NULL", "Missing/Unknown",
  OR(TEXT(TRIM(S1052),"00000")="89101", TEXT(TRIM(S1052),"00000")="89104", TEXT(TRIM(S1052),"00000")="89106", TEXT(TRIM(S1052),"00000")="89102", TEXT(TRIM(S1052),"00000")="89107", TEXT(TRIM(S1052),"00000")="89108"), "Urban Core",
  OR(TEXT(TRIM(S1052),"00000")="89110", TEXT(TRIM(S1052),"00000")="89115", TEXT(TRIM(S1052),"00000")="89121", TEXT(TRIM(S1052),"00000")="89122", TEXT(TRIM(S1052),"00000")="89142", TEXT(TRIM(S1052),"00000")="89156"), "East Valley",
  OR(TEXT(TRIM(S1052),"00000")="89030", TEXT(TRIM(S1052),"00000")="89031", TEXT(TRIM(S1052),"00000")="89032", TEXT(TRIM(S1052),"00000")="89086", TEXT(TRIM(S1052),"00000")="89084", TEXT(TRIM(S1052),"00000")="89081"), "North LV",
  OR(TEXT(TRIM(S1052),"00000")="89109", TEXT(TRIM(S1052),"00000")="89103", TEXT(TRIM(S1052),"00000")="89119", TEXT(TRIM(S1052),"00000")="89123", TEXT(TRIM(S1052),"00000")="89169", TEXT(TRIM(S1052),"00000")="89118"), "South/Strip",
  OR(TEXT(TRIM(S1052),"00000")="89074", TEXT(TRIM(S1052),"00000")="89014", TEXT(TRIM(S1052),"00000")="89015", TEXT(TRIM(S1052),"00000")="89011", TEXT(TRIM(S1052),"00000")="89012"), "Suburban SE",
  OR(TEXT(TRIM(S1052),"00000")="89117", TEXT(TRIM(S1052),"00000")="89128", TEXT(TRIM(S1052),"00000")="89135", TEXT(TRIM(S1052),"00000")="89144", TEXT(TRIM(S1052),"00000")="89145", TEXT(TRIM(S1052),"00000")="89147"), "West Valley",
  TRUE, "Other"
)</f>
        <v>South/Strip</v>
      </c>
      <c r="U1052" t="s">
        <v>4301</v>
      </c>
      <c r="V1052" t="str">
        <f t="shared" si="67"/>
        <v>Medical Facility</v>
      </c>
    </row>
    <row r="1053" spans="1:22">
      <c r="A1053" t="s">
        <v>2025</v>
      </c>
      <c r="B1053" t="s">
        <v>2026</v>
      </c>
      <c r="C1053" s="1">
        <v>44388</v>
      </c>
      <c r="D1053" s="4">
        <v>114.08</v>
      </c>
      <c r="E1053">
        <v>47</v>
      </c>
      <c r="F1053" t="str">
        <f t="shared" si="64"/>
        <v>40's</v>
      </c>
      <c r="G1053" t="str" cm="1">
        <f t="array" ref="G1053">_xlfn.IFS(
  F1053="10's", "Child (5–12)",
  OR(F1053="20's", F1053="30's"), "Young Adult (20–39)",
  OR(F1053="40's", F1053="50's"), "Adult (40–59)",
  OR(F1053="60's", F1053="70's", F1053="80's", F1053="90's"), "Senior (60+)",
  TRUE, "Unknown"
)</f>
        <v>Adult (40–59)</v>
      </c>
      <c r="H1053" t="s">
        <v>841</v>
      </c>
      <c r="I1053" t="s">
        <v>4102</v>
      </c>
      <c r="J1053" t="str">
        <f t="shared" si="65"/>
        <v>Environmental Heat</v>
      </c>
      <c r="K1053" t="s">
        <v>54</v>
      </c>
      <c r="L1053" t="s">
        <v>250</v>
      </c>
      <c r="M1053" t="s">
        <v>4831</v>
      </c>
      <c r="N1053" t="s">
        <v>5098</v>
      </c>
      <c r="O1053" t="str" cm="1">
        <f t="array" ref="O1053">_xlfn.IFS(
  TEXT(TRIM(N1053),"00000")="NULL", "Missing/Unknown",
  OR(TEXT(TRIM(N1053),"00000")="89101", TEXT(TRIM(N1053),"00000")="89104", TEXT(TRIM(N1053),"00000")="89106", TEXT(TRIM(N1053),"00000")="89102", TEXT(TRIM(N1053),"00000")="89107", TEXT(TRIM(N1053),"00000")="89108"), "Urban Core",
  OR(TEXT(TRIM(N1053),"00000")="89110", TEXT(TRIM(N1053),"00000")="89115", TEXT(TRIM(N1053),"00000")="89121", TEXT(TRIM(N1053),"00000")="89122", TEXT(TRIM(N1053),"00000")="89142", TEXT(TRIM(N1053),"00000")="89156"), "East Valley",
  OR(TEXT(TRIM(N1053),"00000")="89030", TEXT(TRIM(N1053),"00000")="89031", TEXT(TRIM(N1053),"00000")="89032", TEXT(TRIM(N1053),"00000")="89086", TEXT(TRIM(N1053),"00000")="89084", TEXT(TRIM(N1053),"00000")="89081"), "North LV",
  OR(TEXT(TRIM(N1053),"00000")="89109", TEXT(TRIM(N1053),"00000")="89103", TEXT(TRIM(N1053),"00000")="89119", TEXT(TRIM(N1053),"00000")="89123", TEXT(TRIM(N1053),"00000")="89169", TEXT(TRIM(N1053),"00000")="89118"), "South/Strip",
  OR(TEXT(TRIM(N1053),"00000")="89074", TEXT(TRIM(N1053),"00000")="89014", TEXT(TRIM(N1053),"00000")="89015", TEXT(TRIM(N1053),"00000")="89011", TEXT(TRIM(N1053),"00000")="89012"), "Suburban SE",
  OR(TEXT(TRIM(N1053),"00000")="89117", TEXT(TRIM(N1053),"00000")="89128", TEXT(TRIM(N1053),"00000")="89135", TEXT(TRIM(N1053),"00000")="89144", TEXT(TRIM(N1053),"00000")="89145", TEXT(TRIM(N1053),"00000")="89147"), "West Valley",
  TRUE, "Other"
)</f>
        <v>Urban Core</v>
      </c>
      <c r="P1053" t="s">
        <v>3298</v>
      </c>
      <c r="Q1053" t="str">
        <f t="shared" si="66"/>
        <v>Outdoors/Public</v>
      </c>
      <c r="R1053" t="s">
        <v>4831</v>
      </c>
      <c r="S1053" t="s">
        <v>5098</v>
      </c>
      <c r="T1053" t="str" cm="1">
        <f t="array" ref="T1053">_xlfn.IFS(
  TEXT(TRIM(S1053),"00000")="NULL", "Missing/Unknown",
  OR(TEXT(TRIM(S1053),"00000")="89101", TEXT(TRIM(S1053),"00000")="89104", TEXT(TRIM(S1053),"00000")="89106", TEXT(TRIM(S1053),"00000")="89102", TEXT(TRIM(S1053),"00000")="89107", TEXT(TRIM(S1053),"00000")="89108"), "Urban Core",
  OR(TEXT(TRIM(S1053),"00000")="89110", TEXT(TRIM(S1053),"00000")="89115", TEXT(TRIM(S1053),"00000")="89121", TEXT(TRIM(S1053),"00000")="89122", TEXT(TRIM(S1053),"00000")="89142", TEXT(TRIM(S1053),"00000")="89156"), "East Valley",
  OR(TEXT(TRIM(S1053),"00000")="89030", TEXT(TRIM(S1053),"00000")="89031", TEXT(TRIM(S1053),"00000")="89032", TEXT(TRIM(S1053),"00000")="89086", TEXT(TRIM(S1053),"00000")="89084", TEXT(TRIM(S1053),"00000")="89081"), "North LV",
  OR(TEXT(TRIM(S1053),"00000")="89109", TEXT(TRIM(S1053),"00000")="89103", TEXT(TRIM(S1053),"00000")="89119", TEXT(TRIM(S1053),"00000")="89123", TEXT(TRIM(S1053),"00000")="89169", TEXT(TRIM(S1053),"00000")="89118"), "South/Strip",
  OR(TEXT(TRIM(S1053),"00000")="89074", TEXT(TRIM(S1053),"00000")="89014", TEXT(TRIM(S1053),"00000")="89015", TEXT(TRIM(S1053),"00000")="89011", TEXT(TRIM(S1053),"00000")="89012"), "Suburban SE",
  OR(TEXT(TRIM(S1053),"00000")="89117", TEXT(TRIM(S1053),"00000")="89128", TEXT(TRIM(S1053),"00000")="89135", TEXT(TRIM(S1053),"00000")="89144", TEXT(TRIM(S1053),"00000")="89145", TEXT(TRIM(S1053),"00000")="89147"), "West Valley",
  TRUE, "Other"
)</f>
        <v>Urban Core</v>
      </c>
      <c r="U1053" t="s">
        <v>3298</v>
      </c>
      <c r="V1053" t="str">
        <f t="shared" si="67"/>
        <v>Outdoors/Public</v>
      </c>
    </row>
    <row r="1054" spans="1:22">
      <c r="A1054" t="s">
        <v>2095</v>
      </c>
      <c r="B1054" t="s">
        <v>2096</v>
      </c>
      <c r="C1054" s="1">
        <v>44388</v>
      </c>
      <c r="D1054" s="4">
        <v>114.08</v>
      </c>
      <c r="E1054">
        <v>36</v>
      </c>
      <c r="F1054" t="str">
        <f t="shared" si="64"/>
        <v>30's</v>
      </c>
      <c r="G1054" t="str" cm="1">
        <f t="array" ref="G1054">_xlfn.IFS(
  F1054="10's", "Child (5–12)",
  OR(F1054="20's", F1054="30's"), "Young Adult (20–39)",
  OR(F1054="40's", F1054="50's"), "Adult (40–59)",
  OR(F1054="60's", F1054="70's", F1054="80's", F1054="90's"), "Senior (60+)",
  TRUE, "Unknown"
)</f>
        <v>Young Adult (20–39)</v>
      </c>
      <c r="H1054" t="s">
        <v>841</v>
      </c>
      <c r="I1054" t="s">
        <v>4126</v>
      </c>
      <c r="J1054" t="str">
        <f t="shared" si="65"/>
        <v>Other / Unknown</v>
      </c>
      <c r="K1054" t="s">
        <v>54</v>
      </c>
      <c r="L1054" t="s">
        <v>1071</v>
      </c>
      <c r="N1054" t="s">
        <v>5095</v>
      </c>
      <c r="O1054" t="str" cm="1">
        <f t="array" ref="O1054">_xlfn.IFS(
  TEXT(TRIM(N1054),"00000")="NULL", "Missing/Unknown",
  OR(TEXT(TRIM(N1054),"00000")="89101", TEXT(TRIM(N1054),"00000")="89104", TEXT(TRIM(N1054),"00000")="89106", TEXT(TRIM(N1054),"00000")="89102", TEXT(TRIM(N1054),"00000")="89107", TEXT(TRIM(N1054),"00000")="89108"), "Urban Core",
  OR(TEXT(TRIM(N1054),"00000")="89110", TEXT(TRIM(N1054),"00000")="89115", TEXT(TRIM(N1054),"00000")="89121", TEXT(TRIM(N1054),"00000")="89122", TEXT(TRIM(N1054),"00000")="89142", TEXT(TRIM(N1054),"00000")="89156"), "East Valley",
  OR(TEXT(TRIM(N1054),"00000")="89030", TEXT(TRIM(N1054),"00000")="89031", TEXT(TRIM(N1054),"00000")="89032", TEXT(TRIM(N1054),"00000")="89086", TEXT(TRIM(N1054),"00000")="89084", TEXT(TRIM(N1054),"00000")="89081"), "North LV",
  OR(TEXT(TRIM(N1054),"00000")="89109", TEXT(TRIM(N1054),"00000")="89103", TEXT(TRIM(N1054),"00000")="89119", TEXT(TRIM(N1054),"00000")="89123", TEXT(TRIM(N1054),"00000")="89169", TEXT(TRIM(N1054),"00000")="89118"), "South/Strip",
  OR(TEXT(TRIM(N1054),"00000")="89074", TEXT(TRIM(N1054),"00000")="89014", TEXT(TRIM(N1054),"00000")="89015", TEXT(TRIM(N1054),"00000")="89011", TEXT(TRIM(N1054),"00000")="89012"), "Suburban SE",
  OR(TEXT(TRIM(N1054),"00000")="89117", TEXT(TRIM(N1054),"00000")="89128", TEXT(TRIM(N1054),"00000")="89135", TEXT(TRIM(N1054),"00000")="89144", TEXT(TRIM(N1054),"00000")="89145", TEXT(TRIM(N1054),"00000")="89147"), "West Valley",
  TRUE, "Other"
)</f>
        <v>Missing/Unknown</v>
      </c>
      <c r="P1054" t="s">
        <v>38</v>
      </c>
      <c r="Q1054" t="str">
        <f t="shared" si="66"/>
        <v>Home/Residence</v>
      </c>
      <c r="R1054" t="s">
        <v>5067</v>
      </c>
      <c r="S1054" t="s">
        <v>5103</v>
      </c>
      <c r="T1054" t="str" cm="1">
        <f t="array" ref="T1054">_xlfn.IFS(
  TEXT(TRIM(S1054),"00000")="NULL", "Missing/Unknown",
  OR(TEXT(TRIM(S1054),"00000")="89101", TEXT(TRIM(S1054),"00000")="89104", TEXT(TRIM(S1054),"00000")="89106", TEXT(TRIM(S1054),"00000")="89102", TEXT(TRIM(S1054),"00000")="89107", TEXT(TRIM(S1054),"00000")="89108"), "Urban Core",
  OR(TEXT(TRIM(S1054),"00000")="89110", TEXT(TRIM(S1054),"00000")="89115", TEXT(TRIM(S1054),"00000")="89121", TEXT(TRIM(S1054),"00000")="89122", TEXT(TRIM(S1054),"00000")="89142", TEXT(TRIM(S1054),"00000")="89156"), "East Valley",
  OR(TEXT(TRIM(S1054),"00000")="89030", TEXT(TRIM(S1054),"00000")="89031", TEXT(TRIM(S1054),"00000")="89032", TEXT(TRIM(S1054),"00000")="89086", TEXT(TRIM(S1054),"00000")="89084", TEXT(TRIM(S1054),"00000")="89081"), "North LV",
  OR(TEXT(TRIM(S1054),"00000")="89109", TEXT(TRIM(S1054),"00000")="89103", TEXT(TRIM(S1054),"00000")="89119", TEXT(TRIM(S1054),"00000")="89123", TEXT(TRIM(S1054),"00000")="89169", TEXT(TRIM(S1054),"00000")="89118"), "South/Strip",
  OR(TEXT(TRIM(S1054),"00000")="89074", TEXT(TRIM(S1054),"00000")="89014", TEXT(TRIM(S1054),"00000")="89015", TEXT(TRIM(S1054),"00000")="89011", TEXT(TRIM(S1054),"00000")="89012"), "Suburban SE",
  OR(TEXT(TRIM(S1054),"00000")="89117", TEXT(TRIM(S1054),"00000")="89128", TEXT(TRIM(S1054),"00000")="89135", TEXT(TRIM(S1054),"00000")="89144", TEXT(TRIM(S1054),"00000")="89145", TEXT(TRIM(S1054),"00000")="89147"), "West Valley",
  TRUE, "Other"
)</f>
        <v>Other</v>
      </c>
      <c r="U1054" t="s">
        <v>4305</v>
      </c>
      <c r="V1054" t="str">
        <f t="shared" si="67"/>
        <v>Medical Facility</v>
      </c>
    </row>
    <row r="1055" spans="1:22">
      <c r="A1055" t="s">
        <v>2208</v>
      </c>
      <c r="B1055" t="s">
        <v>2209</v>
      </c>
      <c r="C1055" s="1">
        <v>44388</v>
      </c>
      <c r="D1055" s="4">
        <v>114.08</v>
      </c>
      <c r="E1055">
        <v>40</v>
      </c>
      <c r="F1055" t="str">
        <f t="shared" si="64"/>
        <v>40's</v>
      </c>
      <c r="G1055" t="str" cm="1">
        <f t="array" ref="G1055">_xlfn.IFS(
  F1055="10's", "Child (5–12)",
  OR(F1055="20's", F1055="30's"), "Young Adult (20–39)",
  OR(F1055="40's", F1055="50's"), "Adult (40–59)",
  OR(F1055="60's", F1055="70's", F1055="80's", F1055="90's"), "Senior (60+)",
  TRUE, "Unknown"
)</f>
        <v>Adult (40–59)</v>
      </c>
      <c r="H1055" t="s">
        <v>778</v>
      </c>
      <c r="I1055" t="s">
        <v>54</v>
      </c>
      <c r="J1055" t="str">
        <f t="shared" si="65"/>
        <v>Environmental Heat</v>
      </c>
      <c r="K1055" t="s">
        <v>172</v>
      </c>
      <c r="L1055" t="s">
        <v>1071</v>
      </c>
      <c r="N1055" t="s">
        <v>5095</v>
      </c>
      <c r="O1055" t="str" cm="1">
        <f t="array" ref="O1055">_xlfn.IFS(
  TEXT(TRIM(N1055),"00000")="NULL", "Missing/Unknown",
  OR(TEXT(TRIM(N1055),"00000")="89101", TEXT(TRIM(N1055),"00000")="89104", TEXT(TRIM(N1055),"00000")="89106", TEXT(TRIM(N1055),"00000")="89102", TEXT(TRIM(N1055),"00000")="89107", TEXT(TRIM(N1055),"00000")="89108"), "Urban Core",
  OR(TEXT(TRIM(N1055),"00000")="89110", TEXT(TRIM(N1055),"00000")="89115", TEXT(TRIM(N1055),"00000")="89121", TEXT(TRIM(N1055),"00000")="89122", TEXT(TRIM(N1055),"00000")="89142", TEXT(TRIM(N1055),"00000")="89156"), "East Valley",
  OR(TEXT(TRIM(N1055),"00000")="89030", TEXT(TRIM(N1055),"00000")="89031", TEXT(TRIM(N1055),"00000")="89032", TEXT(TRIM(N1055),"00000")="89086", TEXT(TRIM(N1055),"00000")="89084", TEXT(TRIM(N1055),"00000")="89081"), "North LV",
  OR(TEXT(TRIM(N1055),"00000")="89109", TEXT(TRIM(N1055),"00000")="89103", TEXT(TRIM(N1055),"00000")="89119", TEXT(TRIM(N1055),"00000")="89123", TEXT(TRIM(N1055),"00000")="89169", TEXT(TRIM(N1055),"00000")="89118"), "South/Strip",
  OR(TEXT(TRIM(N1055),"00000")="89074", TEXT(TRIM(N1055),"00000")="89014", TEXT(TRIM(N1055),"00000")="89015", TEXT(TRIM(N1055),"00000")="89011", TEXT(TRIM(N1055),"00000")="89012"), "Suburban SE",
  OR(TEXT(TRIM(N1055),"00000")="89117", TEXT(TRIM(N1055),"00000")="89128", TEXT(TRIM(N1055),"00000")="89135", TEXT(TRIM(N1055),"00000")="89144", TEXT(TRIM(N1055),"00000")="89145", TEXT(TRIM(N1055),"00000")="89147"), "West Valley",
  TRUE, "Other"
)</f>
        <v>Missing/Unknown</v>
      </c>
      <c r="P1055" t="s">
        <v>38</v>
      </c>
      <c r="Q1055" t="str">
        <f t="shared" si="66"/>
        <v>Home/Residence</v>
      </c>
      <c r="R1055" t="s">
        <v>5054</v>
      </c>
      <c r="S1055" t="s">
        <v>5097</v>
      </c>
      <c r="T1055" t="str" cm="1">
        <f t="array" ref="T1055">_xlfn.IFS(
  TEXT(TRIM(S1055),"00000")="NULL", "Missing/Unknown",
  OR(TEXT(TRIM(S1055),"00000")="89101", TEXT(TRIM(S1055),"00000")="89104", TEXT(TRIM(S1055),"00000")="89106", TEXT(TRIM(S1055),"00000")="89102", TEXT(TRIM(S1055),"00000")="89107", TEXT(TRIM(S1055),"00000")="89108"), "Urban Core",
  OR(TEXT(TRIM(S1055),"00000")="89110", TEXT(TRIM(S1055),"00000")="89115", TEXT(TRIM(S1055),"00000")="89121", TEXT(TRIM(S1055),"00000")="89122", TEXT(TRIM(S1055),"00000")="89142", TEXT(TRIM(S1055),"00000")="89156"), "East Valley",
  OR(TEXT(TRIM(S1055),"00000")="89030", TEXT(TRIM(S1055),"00000")="89031", TEXT(TRIM(S1055),"00000")="89032", TEXT(TRIM(S1055),"00000")="89086", TEXT(TRIM(S1055),"00000")="89084", TEXT(TRIM(S1055),"00000")="89081"), "North LV",
  OR(TEXT(TRIM(S1055),"00000")="89109", TEXT(TRIM(S1055),"00000")="89103", TEXT(TRIM(S1055),"00000")="89119", TEXT(TRIM(S1055),"00000")="89123", TEXT(TRIM(S1055),"00000")="89169", TEXT(TRIM(S1055),"00000")="89118"), "South/Strip",
  OR(TEXT(TRIM(S1055),"00000")="89074", TEXT(TRIM(S1055),"00000")="89014", TEXT(TRIM(S1055),"00000")="89015", TEXT(TRIM(S1055),"00000")="89011", TEXT(TRIM(S1055),"00000")="89012"), "Suburban SE",
  OR(TEXT(TRIM(S1055),"00000")="89117", TEXT(TRIM(S1055),"00000")="89128", TEXT(TRIM(S1055),"00000")="89135", TEXT(TRIM(S1055),"00000")="89144", TEXT(TRIM(S1055),"00000")="89145", TEXT(TRIM(S1055),"00000")="89147"), "West Valley",
  TRUE, "Other"
)</f>
        <v>Urban Core</v>
      </c>
      <c r="U1055" t="s">
        <v>228</v>
      </c>
      <c r="V1055" t="str">
        <f t="shared" si="67"/>
        <v>Medical Facility</v>
      </c>
    </row>
    <row r="1056" spans="1:22">
      <c r="A1056" t="s">
        <v>2030</v>
      </c>
      <c r="B1056" t="s">
        <v>2031</v>
      </c>
      <c r="C1056" s="1">
        <v>44388</v>
      </c>
      <c r="D1056" s="4">
        <v>114.08</v>
      </c>
      <c r="E1056">
        <v>49</v>
      </c>
      <c r="F1056" t="str">
        <f t="shared" si="64"/>
        <v>40's</v>
      </c>
      <c r="G1056" t="str" cm="1">
        <f t="array" ref="G1056">_xlfn.IFS(
  F1056="10's", "Child (5–12)",
  OR(F1056="20's", F1056="30's"), "Young Adult (20–39)",
  OR(F1056="40's", F1056="50's"), "Adult (40–59)",
  OR(F1056="60's", F1056="70's", F1056="80's", F1056="90's"), "Senior (60+)",
  TRUE, "Unknown"
)</f>
        <v>Adult (40–59)</v>
      </c>
      <c r="H1056" t="s">
        <v>841</v>
      </c>
      <c r="I1056" t="s">
        <v>172</v>
      </c>
      <c r="J1056" t="str">
        <f t="shared" si="65"/>
        <v>Methamphetamine-related</v>
      </c>
      <c r="K1056" t="s">
        <v>97</v>
      </c>
      <c r="L1056" t="s">
        <v>250</v>
      </c>
      <c r="M1056" t="s">
        <v>4716</v>
      </c>
      <c r="N1056" t="s">
        <v>5098</v>
      </c>
      <c r="O1056" t="str" cm="1">
        <f t="array" ref="O1056">_xlfn.IFS(
  TEXT(TRIM(N1056),"00000")="NULL", "Missing/Unknown",
  OR(TEXT(TRIM(N1056),"00000")="89101", TEXT(TRIM(N1056),"00000")="89104", TEXT(TRIM(N1056),"00000")="89106", TEXT(TRIM(N1056),"00000")="89102", TEXT(TRIM(N1056),"00000")="89107", TEXT(TRIM(N1056),"00000")="89108"), "Urban Core",
  OR(TEXT(TRIM(N1056),"00000")="89110", TEXT(TRIM(N1056),"00000")="89115", TEXT(TRIM(N1056),"00000")="89121", TEXT(TRIM(N1056),"00000")="89122", TEXT(TRIM(N1056),"00000")="89142", TEXT(TRIM(N1056),"00000")="89156"), "East Valley",
  OR(TEXT(TRIM(N1056),"00000")="89030", TEXT(TRIM(N1056),"00000")="89031", TEXT(TRIM(N1056),"00000")="89032", TEXT(TRIM(N1056),"00000")="89086", TEXT(TRIM(N1056),"00000")="89084", TEXT(TRIM(N1056),"00000")="89081"), "North LV",
  OR(TEXT(TRIM(N1056),"00000")="89109", TEXT(TRIM(N1056),"00000")="89103", TEXT(TRIM(N1056),"00000")="89119", TEXT(TRIM(N1056),"00000")="89123", TEXT(TRIM(N1056),"00000")="89169", TEXT(TRIM(N1056),"00000")="89118"), "South/Strip",
  OR(TEXT(TRIM(N1056),"00000")="89074", TEXT(TRIM(N1056),"00000")="89014", TEXT(TRIM(N1056),"00000")="89015", TEXT(TRIM(N1056),"00000")="89011", TEXT(TRIM(N1056),"00000")="89012"), "Suburban SE",
  OR(TEXT(TRIM(N1056),"00000")="89117", TEXT(TRIM(N1056),"00000")="89128", TEXT(TRIM(N1056),"00000")="89135", TEXT(TRIM(N1056),"00000")="89144", TEXT(TRIM(N1056),"00000")="89145", TEXT(TRIM(N1056),"00000")="89147"), "West Valley",
  TRUE, "Other"
)</f>
        <v>Urban Core</v>
      </c>
      <c r="P1056" t="s">
        <v>3298</v>
      </c>
      <c r="Q1056" t="str">
        <f t="shared" si="66"/>
        <v>Outdoors/Public</v>
      </c>
      <c r="R1056" t="s">
        <v>5055</v>
      </c>
      <c r="S1056" t="s">
        <v>5119</v>
      </c>
      <c r="T1056" t="str" cm="1">
        <f t="array" ref="T1056">_xlfn.IFS(
  TEXT(TRIM(S1056),"00000")="NULL", "Missing/Unknown",
  OR(TEXT(TRIM(S1056),"00000")="89101", TEXT(TRIM(S1056),"00000")="89104", TEXT(TRIM(S1056),"00000")="89106", TEXT(TRIM(S1056),"00000")="89102", TEXT(TRIM(S1056),"00000")="89107", TEXT(TRIM(S1056),"00000")="89108"), "Urban Core",
  OR(TEXT(TRIM(S1056),"00000")="89110", TEXT(TRIM(S1056),"00000")="89115", TEXT(TRIM(S1056),"00000")="89121", TEXT(TRIM(S1056),"00000")="89122", TEXT(TRIM(S1056),"00000")="89142", TEXT(TRIM(S1056),"00000")="89156"), "East Valley",
  OR(TEXT(TRIM(S1056),"00000")="89030", TEXT(TRIM(S1056),"00000")="89031", TEXT(TRIM(S1056),"00000")="89032", TEXT(TRIM(S1056),"00000")="89086", TEXT(TRIM(S1056),"00000")="89084", TEXT(TRIM(S1056),"00000")="89081"), "North LV",
  OR(TEXT(TRIM(S1056),"00000")="89109", TEXT(TRIM(S1056),"00000")="89103", TEXT(TRIM(S1056),"00000")="89119", TEXT(TRIM(S1056),"00000")="89123", TEXT(TRIM(S1056),"00000")="89169", TEXT(TRIM(S1056),"00000")="89118"), "South/Strip",
  OR(TEXT(TRIM(S1056),"00000")="89074", TEXT(TRIM(S1056),"00000")="89014", TEXT(TRIM(S1056),"00000")="89015", TEXT(TRIM(S1056),"00000")="89011", TEXT(TRIM(S1056),"00000")="89012"), "Suburban SE",
  OR(TEXT(TRIM(S1056),"00000")="89117", TEXT(TRIM(S1056),"00000")="89128", TEXT(TRIM(S1056),"00000")="89135", TEXT(TRIM(S1056),"00000")="89144", TEXT(TRIM(S1056),"00000")="89145", TEXT(TRIM(S1056),"00000")="89147"), "West Valley",
  TRUE, "Other"
)</f>
        <v>Urban Core</v>
      </c>
      <c r="U1056" t="s">
        <v>3298</v>
      </c>
      <c r="V1056" t="str">
        <f t="shared" si="67"/>
        <v>Outdoors/Public</v>
      </c>
    </row>
    <row r="1057" spans="1:22">
      <c r="A1057" t="s">
        <v>2028</v>
      </c>
      <c r="B1057" t="s">
        <v>2029</v>
      </c>
      <c r="C1057" s="1">
        <v>44388</v>
      </c>
      <c r="D1057" s="4">
        <v>114.08</v>
      </c>
      <c r="E1057">
        <v>61</v>
      </c>
      <c r="F1057" t="str">
        <f t="shared" si="64"/>
        <v>60's</v>
      </c>
      <c r="G1057" t="str" cm="1">
        <f t="array" ref="G1057">_xlfn.IFS(
  F1057="10's", "Child (5–12)",
  OR(F1057="20's", F1057="30's"), "Young Adult (20–39)",
  OR(F1057="40's", F1057="50's"), "Adult (40–59)",
  OR(F1057="60's", F1057="70's", F1057="80's", F1057="90's"), "Senior (60+)",
  TRUE, "Unknown"
)</f>
        <v>Senior (60+)</v>
      </c>
      <c r="H1057" t="s">
        <v>841</v>
      </c>
      <c r="I1057" t="s">
        <v>54</v>
      </c>
      <c r="J1057" t="str">
        <f t="shared" si="65"/>
        <v>Environmental Heat</v>
      </c>
      <c r="K1057" t="s">
        <v>63</v>
      </c>
      <c r="L1057" t="s">
        <v>250</v>
      </c>
      <c r="N1057" t="s">
        <v>5095</v>
      </c>
      <c r="O1057" t="str" cm="1">
        <f t="array" ref="O1057">_xlfn.IFS(
  TEXT(TRIM(N1057),"00000")="NULL", "Missing/Unknown",
  OR(TEXT(TRIM(N1057),"00000")="89101", TEXT(TRIM(N1057),"00000")="89104", TEXT(TRIM(N1057),"00000")="89106", TEXT(TRIM(N1057),"00000")="89102", TEXT(TRIM(N1057),"00000")="89107", TEXT(TRIM(N1057),"00000")="89108"), "Urban Core",
  OR(TEXT(TRIM(N1057),"00000")="89110", TEXT(TRIM(N1057),"00000")="89115", TEXT(TRIM(N1057),"00000")="89121", TEXT(TRIM(N1057),"00000")="89122", TEXT(TRIM(N1057),"00000")="89142", TEXT(TRIM(N1057),"00000")="89156"), "East Valley",
  OR(TEXT(TRIM(N1057),"00000")="89030", TEXT(TRIM(N1057),"00000")="89031", TEXT(TRIM(N1057),"00000")="89032", TEXT(TRIM(N1057),"00000")="89086", TEXT(TRIM(N1057),"00000")="89084", TEXT(TRIM(N1057),"00000")="89081"), "North LV",
  OR(TEXT(TRIM(N1057),"00000")="89109", TEXT(TRIM(N1057),"00000")="89103", TEXT(TRIM(N1057),"00000")="89119", TEXT(TRIM(N1057),"00000")="89123", TEXT(TRIM(N1057),"00000")="89169", TEXT(TRIM(N1057),"00000")="89118"), "South/Strip",
  OR(TEXT(TRIM(N1057),"00000")="89074", TEXT(TRIM(N1057),"00000")="89014", TEXT(TRIM(N1057),"00000")="89015", TEXT(TRIM(N1057),"00000")="89011", TEXT(TRIM(N1057),"00000")="89012"), "Suburban SE",
  OR(TEXT(TRIM(N1057),"00000")="89117", TEXT(TRIM(N1057),"00000")="89128", TEXT(TRIM(N1057),"00000")="89135", TEXT(TRIM(N1057),"00000")="89144", TEXT(TRIM(N1057),"00000")="89145", TEXT(TRIM(N1057),"00000")="89147"), "West Valley",
  TRUE, "Other"
)</f>
        <v>Missing/Unknown</v>
      </c>
      <c r="P1057" t="s">
        <v>3298</v>
      </c>
      <c r="Q1057" t="str">
        <f t="shared" si="66"/>
        <v>Outdoors/Public</v>
      </c>
      <c r="S1057" t="s">
        <v>5095</v>
      </c>
      <c r="T1057" t="str" cm="1">
        <f t="array" ref="T1057">_xlfn.IFS(
  TEXT(TRIM(S1057),"00000")="NULL", "Missing/Unknown",
  OR(TEXT(TRIM(S1057),"00000")="89101", TEXT(TRIM(S1057),"00000")="89104", TEXT(TRIM(S1057),"00000")="89106", TEXT(TRIM(S1057),"00000")="89102", TEXT(TRIM(S1057),"00000")="89107", TEXT(TRIM(S1057),"00000")="89108"), "Urban Core",
  OR(TEXT(TRIM(S1057),"00000")="89110", TEXT(TRIM(S1057),"00000")="89115", TEXT(TRIM(S1057),"00000")="89121", TEXT(TRIM(S1057),"00000")="89122", TEXT(TRIM(S1057),"00000")="89142", TEXT(TRIM(S1057),"00000")="89156"), "East Valley",
  OR(TEXT(TRIM(S1057),"00000")="89030", TEXT(TRIM(S1057),"00000")="89031", TEXT(TRIM(S1057),"00000")="89032", TEXT(TRIM(S1057),"00000")="89086", TEXT(TRIM(S1057),"00000")="89084", TEXT(TRIM(S1057),"00000")="89081"), "North LV",
  OR(TEXT(TRIM(S1057),"00000")="89109", TEXT(TRIM(S1057),"00000")="89103", TEXT(TRIM(S1057),"00000")="89119", TEXT(TRIM(S1057),"00000")="89123", TEXT(TRIM(S1057),"00000")="89169", TEXT(TRIM(S1057),"00000")="89118"), "South/Strip",
  OR(TEXT(TRIM(S1057),"00000")="89074", TEXT(TRIM(S1057),"00000")="89014", TEXT(TRIM(S1057),"00000")="89015", TEXT(TRIM(S1057),"00000")="89011", TEXT(TRIM(S1057),"00000")="89012"), "Suburban SE",
  OR(TEXT(TRIM(S1057),"00000")="89117", TEXT(TRIM(S1057),"00000")="89128", TEXT(TRIM(S1057),"00000")="89135", TEXT(TRIM(S1057),"00000")="89144", TEXT(TRIM(S1057),"00000")="89145", TEXT(TRIM(S1057),"00000")="89147"), "West Valley",
  TRUE, "Other"
)</f>
        <v>Missing/Unknown</v>
      </c>
      <c r="U1057" t="s">
        <v>3298</v>
      </c>
      <c r="V1057" t="str">
        <f t="shared" si="67"/>
        <v>Outdoors/Public</v>
      </c>
    </row>
    <row r="1058" spans="1:22">
      <c r="A1058" t="s">
        <v>2045</v>
      </c>
      <c r="B1058" t="s">
        <v>2046</v>
      </c>
      <c r="C1058" s="1">
        <v>44388</v>
      </c>
      <c r="D1058" s="4">
        <v>114.08</v>
      </c>
      <c r="E1058">
        <v>66</v>
      </c>
      <c r="F1058" t="str">
        <f t="shared" si="64"/>
        <v>60's</v>
      </c>
      <c r="G1058" t="str" cm="1">
        <f t="array" ref="G1058">_xlfn.IFS(
  F1058="10's", "Child (5–12)",
  OR(F1058="20's", F1058="30's"), "Young Adult (20–39)",
  OR(F1058="40's", F1058="50's"), "Adult (40–59)",
  OR(F1058="60's", F1058="70's", F1058="80's", F1058="90's"), "Senior (60+)",
  TRUE, "Unknown"
)</f>
        <v>Senior (60+)</v>
      </c>
      <c r="H1058" t="s">
        <v>841</v>
      </c>
      <c r="I1058" t="s">
        <v>54</v>
      </c>
      <c r="J1058" t="str">
        <f t="shared" si="65"/>
        <v>Environmental Heat</v>
      </c>
      <c r="K1058" t="s">
        <v>4280</v>
      </c>
      <c r="L1058" t="s">
        <v>250</v>
      </c>
      <c r="N1058" t="s">
        <v>5095</v>
      </c>
      <c r="O1058" t="str" cm="1">
        <f t="array" ref="O1058">_xlfn.IFS(
  TEXT(TRIM(N1058),"00000")="NULL", "Missing/Unknown",
  OR(TEXT(TRIM(N1058),"00000")="89101", TEXT(TRIM(N1058),"00000")="89104", TEXT(TRIM(N1058),"00000")="89106", TEXT(TRIM(N1058),"00000")="89102", TEXT(TRIM(N1058),"00000")="89107", TEXT(TRIM(N1058),"00000")="89108"), "Urban Core",
  OR(TEXT(TRIM(N1058),"00000")="89110", TEXT(TRIM(N1058),"00000")="89115", TEXT(TRIM(N1058),"00000")="89121", TEXT(TRIM(N1058),"00000")="89122", TEXT(TRIM(N1058),"00000")="89142", TEXT(TRIM(N1058),"00000")="89156"), "East Valley",
  OR(TEXT(TRIM(N1058),"00000")="89030", TEXT(TRIM(N1058),"00000")="89031", TEXT(TRIM(N1058),"00000")="89032", TEXT(TRIM(N1058),"00000")="89086", TEXT(TRIM(N1058),"00000")="89084", TEXT(TRIM(N1058),"00000")="89081"), "North LV",
  OR(TEXT(TRIM(N1058),"00000")="89109", TEXT(TRIM(N1058),"00000")="89103", TEXT(TRIM(N1058),"00000")="89119", TEXT(TRIM(N1058),"00000")="89123", TEXT(TRIM(N1058),"00000")="89169", TEXT(TRIM(N1058),"00000")="89118"), "South/Strip",
  OR(TEXT(TRIM(N1058),"00000")="89074", TEXT(TRIM(N1058),"00000")="89014", TEXT(TRIM(N1058),"00000")="89015", TEXT(TRIM(N1058),"00000")="89011", TEXT(TRIM(N1058),"00000")="89012"), "Suburban SE",
  OR(TEXT(TRIM(N1058),"00000")="89117", TEXT(TRIM(N1058),"00000")="89128", TEXT(TRIM(N1058),"00000")="89135", TEXT(TRIM(N1058),"00000")="89144", TEXT(TRIM(N1058),"00000")="89145", TEXT(TRIM(N1058),"00000")="89147"), "West Valley",
  TRUE, "Other"
)</f>
        <v>Missing/Unknown</v>
      </c>
      <c r="P1058" t="s">
        <v>3298</v>
      </c>
      <c r="Q1058" t="str">
        <f t="shared" si="66"/>
        <v>Outdoors/Public</v>
      </c>
      <c r="S1058" t="s">
        <v>5095</v>
      </c>
      <c r="T1058" t="str" cm="1">
        <f t="array" ref="T1058">_xlfn.IFS(
  TEXT(TRIM(S1058),"00000")="NULL", "Missing/Unknown",
  OR(TEXT(TRIM(S1058),"00000")="89101", TEXT(TRIM(S1058),"00000")="89104", TEXT(TRIM(S1058),"00000")="89106", TEXT(TRIM(S1058),"00000")="89102", TEXT(TRIM(S1058),"00000")="89107", TEXT(TRIM(S1058),"00000")="89108"), "Urban Core",
  OR(TEXT(TRIM(S1058),"00000")="89110", TEXT(TRIM(S1058),"00000")="89115", TEXT(TRIM(S1058),"00000")="89121", TEXT(TRIM(S1058),"00000")="89122", TEXT(TRIM(S1058),"00000")="89142", TEXT(TRIM(S1058),"00000")="89156"), "East Valley",
  OR(TEXT(TRIM(S1058),"00000")="89030", TEXT(TRIM(S1058),"00000")="89031", TEXT(TRIM(S1058),"00000")="89032", TEXT(TRIM(S1058),"00000")="89086", TEXT(TRIM(S1058),"00000")="89084", TEXT(TRIM(S1058),"00000")="89081"), "North LV",
  OR(TEXT(TRIM(S1058),"00000")="89109", TEXT(TRIM(S1058),"00000")="89103", TEXT(TRIM(S1058),"00000")="89119", TEXT(TRIM(S1058),"00000")="89123", TEXT(TRIM(S1058),"00000")="89169", TEXT(TRIM(S1058),"00000")="89118"), "South/Strip",
  OR(TEXT(TRIM(S1058),"00000")="89074", TEXT(TRIM(S1058),"00000")="89014", TEXT(TRIM(S1058),"00000")="89015", TEXT(TRIM(S1058),"00000")="89011", TEXT(TRIM(S1058),"00000")="89012"), "Suburban SE",
  OR(TEXT(TRIM(S1058),"00000")="89117", TEXT(TRIM(S1058),"00000")="89128", TEXT(TRIM(S1058),"00000")="89135", TEXT(TRIM(S1058),"00000")="89144", TEXT(TRIM(S1058),"00000")="89145", TEXT(TRIM(S1058),"00000")="89147"), "West Valley",
  TRUE, "Other"
)</f>
        <v>Missing/Unknown</v>
      </c>
      <c r="U1058" t="s">
        <v>3298</v>
      </c>
      <c r="V1058" t="str">
        <f t="shared" si="67"/>
        <v>Outdoors/Public</v>
      </c>
    </row>
    <row r="1059" spans="1:22">
      <c r="A1059" t="s">
        <v>2051</v>
      </c>
      <c r="B1059" t="s">
        <v>2052</v>
      </c>
      <c r="C1059" s="1">
        <v>44388</v>
      </c>
      <c r="D1059" s="4">
        <v>114.08</v>
      </c>
      <c r="E1059">
        <v>51</v>
      </c>
      <c r="F1059" t="str">
        <f t="shared" si="64"/>
        <v>50's</v>
      </c>
      <c r="G1059" t="str" cm="1">
        <f t="array" ref="G1059">_xlfn.IFS(
  F1059="10's", "Child (5–12)",
  OR(F1059="20's", F1059="30's"), "Young Adult (20–39)",
  OR(F1059="40's", F1059="50's"), "Adult (40–59)",
  OR(F1059="60's", F1059="70's", F1059="80's", F1059="90's"), "Senior (60+)",
  TRUE, "Unknown"
)</f>
        <v>Adult (40–59)</v>
      </c>
      <c r="H1059" t="s">
        <v>778</v>
      </c>
      <c r="I1059" t="s">
        <v>4117</v>
      </c>
      <c r="J1059" t="str">
        <f t="shared" si="65"/>
        <v>Methamphetamine-related</v>
      </c>
      <c r="K1059" t="s">
        <v>97</v>
      </c>
      <c r="L1059" t="s">
        <v>250</v>
      </c>
      <c r="N1059" t="s">
        <v>5095</v>
      </c>
      <c r="O1059" t="str" cm="1">
        <f t="array" ref="O1059">_xlfn.IFS(
  TEXT(TRIM(N1059),"00000")="NULL", "Missing/Unknown",
  OR(TEXT(TRIM(N1059),"00000")="89101", TEXT(TRIM(N1059),"00000")="89104", TEXT(TRIM(N1059),"00000")="89106", TEXT(TRIM(N1059),"00000")="89102", TEXT(TRIM(N1059),"00000")="89107", TEXT(TRIM(N1059),"00000")="89108"), "Urban Core",
  OR(TEXT(TRIM(N1059),"00000")="89110", TEXT(TRIM(N1059),"00000")="89115", TEXT(TRIM(N1059),"00000")="89121", TEXT(TRIM(N1059),"00000")="89122", TEXT(TRIM(N1059),"00000")="89142", TEXT(TRIM(N1059),"00000")="89156"), "East Valley",
  OR(TEXT(TRIM(N1059),"00000")="89030", TEXT(TRIM(N1059),"00000")="89031", TEXT(TRIM(N1059),"00000")="89032", TEXT(TRIM(N1059),"00000")="89086", TEXT(TRIM(N1059),"00000")="89084", TEXT(TRIM(N1059),"00000")="89081"), "North LV",
  OR(TEXT(TRIM(N1059),"00000")="89109", TEXT(TRIM(N1059),"00000")="89103", TEXT(TRIM(N1059),"00000")="89119", TEXT(TRIM(N1059),"00000")="89123", TEXT(TRIM(N1059),"00000")="89169", TEXT(TRIM(N1059),"00000")="89118"), "South/Strip",
  OR(TEXT(TRIM(N1059),"00000")="89074", TEXT(TRIM(N1059),"00000")="89014", TEXT(TRIM(N1059),"00000")="89015", TEXT(TRIM(N1059),"00000")="89011", TEXT(TRIM(N1059),"00000")="89012"), "Suburban SE",
  OR(TEXT(TRIM(N1059),"00000")="89117", TEXT(TRIM(N1059),"00000")="89128", TEXT(TRIM(N1059),"00000")="89135", TEXT(TRIM(N1059),"00000")="89144", TEXT(TRIM(N1059),"00000")="89145", TEXT(TRIM(N1059),"00000")="89147"), "West Valley",
  TRUE, "Other"
)</f>
        <v>Missing/Unknown</v>
      </c>
      <c r="P1059" t="s">
        <v>3298</v>
      </c>
      <c r="Q1059" t="str">
        <f t="shared" si="66"/>
        <v>Outdoors/Public</v>
      </c>
      <c r="S1059" t="s">
        <v>5095</v>
      </c>
      <c r="T1059" t="str" cm="1">
        <f t="array" ref="T1059">_xlfn.IFS(
  TEXT(TRIM(S1059),"00000")="NULL", "Missing/Unknown",
  OR(TEXT(TRIM(S1059),"00000")="89101", TEXT(TRIM(S1059),"00000")="89104", TEXT(TRIM(S1059),"00000")="89106", TEXT(TRIM(S1059),"00000")="89102", TEXT(TRIM(S1059),"00000")="89107", TEXT(TRIM(S1059),"00000")="89108"), "Urban Core",
  OR(TEXT(TRIM(S1059),"00000")="89110", TEXT(TRIM(S1059),"00000")="89115", TEXT(TRIM(S1059),"00000")="89121", TEXT(TRIM(S1059),"00000")="89122", TEXT(TRIM(S1059),"00000")="89142", TEXT(TRIM(S1059),"00000")="89156"), "East Valley",
  OR(TEXT(TRIM(S1059),"00000")="89030", TEXT(TRIM(S1059),"00000")="89031", TEXT(TRIM(S1059),"00000")="89032", TEXT(TRIM(S1059),"00000")="89086", TEXT(TRIM(S1059),"00000")="89084", TEXT(TRIM(S1059),"00000")="89081"), "North LV",
  OR(TEXT(TRIM(S1059),"00000")="89109", TEXT(TRIM(S1059),"00000")="89103", TEXT(TRIM(S1059),"00000")="89119", TEXT(TRIM(S1059),"00000")="89123", TEXT(TRIM(S1059),"00000")="89169", TEXT(TRIM(S1059),"00000")="89118"), "South/Strip",
  OR(TEXT(TRIM(S1059),"00000")="89074", TEXT(TRIM(S1059),"00000")="89014", TEXT(TRIM(S1059),"00000")="89015", TEXT(TRIM(S1059),"00000")="89011", TEXT(TRIM(S1059),"00000")="89012"), "Suburban SE",
  OR(TEXT(TRIM(S1059),"00000")="89117", TEXT(TRIM(S1059),"00000")="89128", TEXT(TRIM(S1059),"00000")="89135", TEXT(TRIM(S1059),"00000")="89144", TEXT(TRIM(S1059),"00000")="89145", TEXT(TRIM(S1059),"00000")="89147"), "West Valley",
  TRUE, "Other"
)</f>
        <v>Missing/Unknown</v>
      </c>
      <c r="U1059" t="s">
        <v>3298</v>
      </c>
      <c r="V1059" t="str">
        <f t="shared" si="67"/>
        <v>Outdoors/Public</v>
      </c>
    </row>
    <row r="1060" spans="1:22">
      <c r="A1060" t="s">
        <v>2043</v>
      </c>
      <c r="B1060" t="s">
        <v>2044</v>
      </c>
      <c r="C1060" s="1">
        <v>44388</v>
      </c>
      <c r="D1060" s="4">
        <v>114.08</v>
      </c>
      <c r="E1060">
        <v>57</v>
      </c>
      <c r="F1060" t="str">
        <f t="shared" si="64"/>
        <v>50's</v>
      </c>
      <c r="G1060" t="str" cm="1">
        <f t="array" ref="G1060">_xlfn.IFS(
  F1060="10's", "Child (5–12)",
  OR(F1060="20's", F1060="30's"), "Young Adult (20–39)",
  OR(F1060="40's", F1060="50's"), "Adult (40–59)",
  OR(F1060="60's", F1060="70's", F1060="80's", F1060="90's"), "Senior (60+)",
  TRUE, "Unknown"
)</f>
        <v>Adult (40–59)</v>
      </c>
      <c r="H1060" t="s">
        <v>4309</v>
      </c>
      <c r="I1060" t="s">
        <v>4102</v>
      </c>
      <c r="J1060" t="str">
        <f t="shared" si="65"/>
        <v>Environmental Heat</v>
      </c>
      <c r="K1060" t="s">
        <v>54</v>
      </c>
      <c r="L1060" t="s">
        <v>250</v>
      </c>
      <c r="N1060" t="s">
        <v>5095</v>
      </c>
      <c r="O1060" t="str" cm="1">
        <f t="array" ref="O1060">_xlfn.IFS(
  TEXT(TRIM(N1060),"00000")="NULL", "Missing/Unknown",
  OR(TEXT(TRIM(N1060),"00000")="89101", TEXT(TRIM(N1060),"00000")="89104", TEXT(TRIM(N1060),"00000")="89106", TEXT(TRIM(N1060),"00000")="89102", TEXT(TRIM(N1060),"00000")="89107", TEXT(TRIM(N1060),"00000")="89108"), "Urban Core",
  OR(TEXT(TRIM(N1060),"00000")="89110", TEXT(TRIM(N1060),"00000")="89115", TEXT(TRIM(N1060),"00000")="89121", TEXT(TRIM(N1060),"00000")="89122", TEXT(TRIM(N1060),"00000")="89142", TEXT(TRIM(N1060),"00000")="89156"), "East Valley",
  OR(TEXT(TRIM(N1060),"00000")="89030", TEXT(TRIM(N1060),"00000")="89031", TEXT(TRIM(N1060),"00000")="89032", TEXT(TRIM(N1060),"00000")="89086", TEXT(TRIM(N1060),"00000")="89084", TEXT(TRIM(N1060),"00000")="89081"), "North LV",
  OR(TEXT(TRIM(N1060),"00000")="89109", TEXT(TRIM(N1060),"00000")="89103", TEXT(TRIM(N1060),"00000")="89119", TEXT(TRIM(N1060),"00000")="89123", TEXT(TRIM(N1060),"00000")="89169", TEXT(TRIM(N1060),"00000")="89118"), "South/Strip",
  OR(TEXT(TRIM(N1060),"00000")="89074", TEXT(TRIM(N1060),"00000")="89014", TEXT(TRIM(N1060),"00000")="89015", TEXT(TRIM(N1060),"00000")="89011", TEXT(TRIM(N1060),"00000")="89012"), "Suburban SE",
  OR(TEXT(TRIM(N1060),"00000")="89117", TEXT(TRIM(N1060),"00000")="89128", TEXT(TRIM(N1060),"00000")="89135", TEXT(TRIM(N1060),"00000")="89144", TEXT(TRIM(N1060),"00000")="89145", TEXT(TRIM(N1060),"00000")="89147"), "West Valley",
  TRUE, "Other"
)</f>
        <v>Missing/Unknown</v>
      </c>
      <c r="P1060" t="s">
        <v>3298</v>
      </c>
      <c r="Q1060" t="str">
        <f t="shared" si="66"/>
        <v>Outdoors/Public</v>
      </c>
      <c r="S1060" t="s">
        <v>5095</v>
      </c>
      <c r="T1060" t="str" cm="1">
        <f t="array" ref="T1060">_xlfn.IFS(
  TEXT(TRIM(S1060),"00000")="NULL", "Missing/Unknown",
  OR(TEXT(TRIM(S1060),"00000")="89101", TEXT(TRIM(S1060),"00000")="89104", TEXT(TRIM(S1060),"00000")="89106", TEXT(TRIM(S1060),"00000")="89102", TEXT(TRIM(S1060),"00000")="89107", TEXT(TRIM(S1060),"00000")="89108"), "Urban Core",
  OR(TEXT(TRIM(S1060),"00000")="89110", TEXT(TRIM(S1060),"00000")="89115", TEXT(TRIM(S1060),"00000")="89121", TEXT(TRIM(S1060),"00000")="89122", TEXT(TRIM(S1060),"00000")="89142", TEXT(TRIM(S1060),"00000")="89156"), "East Valley",
  OR(TEXT(TRIM(S1060),"00000")="89030", TEXT(TRIM(S1060),"00000")="89031", TEXT(TRIM(S1060),"00000")="89032", TEXT(TRIM(S1060),"00000")="89086", TEXT(TRIM(S1060),"00000")="89084", TEXT(TRIM(S1060),"00000")="89081"), "North LV",
  OR(TEXT(TRIM(S1060),"00000")="89109", TEXT(TRIM(S1060),"00000")="89103", TEXT(TRIM(S1060),"00000")="89119", TEXT(TRIM(S1060),"00000")="89123", TEXT(TRIM(S1060),"00000")="89169", TEXT(TRIM(S1060),"00000")="89118"), "South/Strip",
  OR(TEXT(TRIM(S1060),"00000")="89074", TEXT(TRIM(S1060),"00000")="89014", TEXT(TRIM(S1060),"00000")="89015", TEXT(TRIM(S1060),"00000")="89011", TEXT(TRIM(S1060),"00000")="89012"), "Suburban SE",
  OR(TEXT(TRIM(S1060),"00000")="89117", TEXT(TRIM(S1060),"00000")="89128", TEXT(TRIM(S1060),"00000")="89135", TEXT(TRIM(S1060),"00000")="89144", TEXT(TRIM(S1060),"00000")="89145", TEXT(TRIM(S1060),"00000")="89147"), "West Valley",
  TRUE, "Other"
)</f>
        <v>Missing/Unknown</v>
      </c>
      <c r="U1060" t="s">
        <v>3298</v>
      </c>
      <c r="V1060" t="str">
        <f t="shared" si="67"/>
        <v>Outdoors/Public</v>
      </c>
    </row>
    <row r="1061" spans="1:22">
      <c r="A1061" t="s">
        <v>2007</v>
      </c>
      <c r="B1061" t="s">
        <v>2008</v>
      </c>
      <c r="C1061" s="1">
        <v>44387</v>
      </c>
      <c r="D1061" s="4">
        <v>116.96</v>
      </c>
      <c r="E1061">
        <v>30</v>
      </c>
      <c r="F1061" t="str">
        <f t="shared" si="64"/>
        <v>30's</v>
      </c>
      <c r="G1061" t="str" cm="1">
        <f t="array" ref="G1061">_xlfn.IFS(
  F1061="10's", "Child (5–12)",
  OR(F1061="20's", F1061="30's"), "Young Adult (20–39)",
  OR(F1061="40's", F1061="50's"), "Adult (40–59)",
  OR(F1061="60's", F1061="70's", F1061="80's", F1061="90's"), "Senior (60+)",
  TRUE, "Unknown"
)</f>
        <v>Young Adult (20–39)</v>
      </c>
      <c r="H1061" t="s">
        <v>778</v>
      </c>
      <c r="I1061" t="s">
        <v>97</v>
      </c>
      <c r="J1061" t="str">
        <f t="shared" si="65"/>
        <v>Environmental Heat</v>
      </c>
      <c r="K1061" t="s">
        <v>98</v>
      </c>
      <c r="L1061" t="s">
        <v>250</v>
      </c>
      <c r="M1061" t="s">
        <v>4562</v>
      </c>
      <c r="N1061" t="s">
        <v>5106</v>
      </c>
      <c r="O1061" t="str" cm="1">
        <f t="array" ref="O1061">_xlfn.IFS(
  TEXT(TRIM(N1061),"00000")="NULL", "Missing/Unknown",
  OR(TEXT(TRIM(N1061),"00000")="89101", TEXT(TRIM(N1061),"00000")="89104", TEXT(TRIM(N1061),"00000")="89106", TEXT(TRIM(N1061),"00000")="89102", TEXT(TRIM(N1061),"00000")="89107", TEXT(TRIM(N1061),"00000")="89108"), "Urban Core",
  OR(TEXT(TRIM(N1061),"00000")="89110", TEXT(TRIM(N1061),"00000")="89115", TEXT(TRIM(N1061),"00000")="89121", TEXT(TRIM(N1061),"00000")="89122", TEXT(TRIM(N1061),"00000")="89142", TEXT(TRIM(N1061),"00000")="89156"), "East Valley",
  OR(TEXT(TRIM(N1061),"00000")="89030", TEXT(TRIM(N1061),"00000")="89031", TEXT(TRIM(N1061),"00000")="89032", TEXT(TRIM(N1061),"00000")="89086", TEXT(TRIM(N1061),"00000")="89084", TEXT(TRIM(N1061),"00000")="89081"), "North LV",
  OR(TEXT(TRIM(N1061),"00000")="89109", TEXT(TRIM(N1061),"00000")="89103", TEXT(TRIM(N1061),"00000")="89119", TEXT(TRIM(N1061),"00000")="89123", TEXT(TRIM(N1061),"00000")="89169", TEXT(TRIM(N1061),"00000")="89118"), "South/Strip",
  OR(TEXT(TRIM(N1061),"00000")="89074", TEXT(TRIM(N1061),"00000")="89014", TEXT(TRIM(N1061),"00000")="89015", TEXT(TRIM(N1061),"00000")="89011", TEXT(TRIM(N1061),"00000")="89012"), "Suburban SE",
  OR(TEXT(TRIM(N1061),"00000")="89117", TEXT(TRIM(N1061),"00000")="89128", TEXT(TRIM(N1061),"00000")="89135", TEXT(TRIM(N1061),"00000")="89144", TEXT(TRIM(N1061),"00000")="89145", TEXT(TRIM(N1061),"00000")="89147"), "West Valley",
  TRUE, "Other"
)</f>
        <v>East Valley</v>
      </c>
      <c r="P1061" t="s">
        <v>3298</v>
      </c>
      <c r="Q1061" t="str">
        <f t="shared" si="66"/>
        <v>Outdoors/Public</v>
      </c>
      <c r="R1061" t="s">
        <v>4341</v>
      </c>
      <c r="S1061" t="s">
        <v>5100</v>
      </c>
      <c r="T1061" t="str" cm="1">
        <f t="array" ref="T1061">_xlfn.IFS(
  TEXT(TRIM(S1061),"00000")="NULL", "Missing/Unknown",
  OR(TEXT(TRIM(S1061),"00000")="89101", TEXT(TRIM(S1061),"00000")="89104", TEXT(TRIM(S1061),"00000")="89106", TEXT(TRIM(S1061),"00000")="89102", TEXT(TRIM(S1061),"00000")="89107", TEXT(TRIM(S1061),"00000")="89108"), "Urban Core",
  OR(TEXT(TRIM(S1061),"00000")="89110", TEXT(TRIM(S1061),"00000")="89115", TEXT(TRIM(S1061),"00000")="89121", TEXT(TRIM(S1061),"00000")="89122", TEXT(TRIM(S1061),"00000")="89142", TEXT(TRIM(S1061),"00000")="89156"), "East Valley",
  OR(TEXT(TRIM(S1061),"00000")="89030", TEXT(TRIM(S1061),"00000")="89031", TEXT(TRIM(S1061),"00000")="89032", TEXT(TRIM(S1061),"00000")="89086", TEXT(TRIM(S1061),"00000")="89084", TEXT(TRIM(S1061),"00000")="89081"), "North LV",
  OR(TEXT(TRIM(S1061),"00000")="89109", TEXT(TRIM(S1061),"00000")="89103", TEXT(TRIM(S1061),"00000")="89119", TEXT(TRIM(S1061),"00000")="89123", TEXT(TRIM(S1061),"00000")="89169", TEXT(TRIM(S1061),"00000")="89118"), "South/Strip",
  OR(TEXT(TRIM(S1061),"00000")="89074", TEXT(TRIM(S1061),"00000")="89014", TEXT(TRIM(S1061),"00000")="89015", TEXT(TRIM(S1061),"00000")="89011", TEXT(TRIM(S1061),"00000")="89012"), "Suburban SE",
  OR(TEXT(TRIM(S1061),"00000")="89117", TEXT(TRIM(S1061),"00000")="89128", TEXT(TRIM(S1061),"00000")="89135", TEXT(TRIM(S1061),"00000")="89144", TEXT(TRIM(S1061),"00000")="89145", TEXT(TRIM(S1061),"00000")="89147"), "West Valley",
  TRUE, "Other"
)</f>
        <v>North LV</v>
      </c>
      <c r="U1061" t="s">
        <v>4301</v>
      </c>
      <c r="V1061" t="str">
        <f t="shared" si="67"/>
        <v>Medical Facility</v>
      </c>
    </row>
    <row r="1062" spans="1:22">
      <c r="A1062" t="s">
        <v>2022</v>
      </c>
      <c r="B1062" t="s">
        <v>2023</v>
      </c>
      <c r="C1062" s="1">
        <v>44387</v>
      </c>
      <c r="D1062" s="4">
        <v>116.96</v>
      </c>
      <c r="E1062">
        <v>55</v>
      </c>
      <c r="F1062" t="str">
        <f t="shared" si="64"/>
        <v>50's</v>
      </c>
      <c r="G1062" t="str" cm="1">
        <f t="array" ref="G1062">_xlfn.IFS(
  F1062="10's", "Child (5–12)",
  OR(F1062="20's", F1062="30's"), "Young Adult (20–39)",
  OR(F1062="40's", F1062="50's"), "Adult (40–59)",
  OR(F1062="60's", F1062="70's", F1062="80's", F1062="90's"), "Senior (60+)",
  TRUE, "Unknown"
)</f>
        <v>Adult (40–59)</v>
      </c>
      <c r="H1062" t="s">
        <v>27</v>
      </c>
      <c r="I1062" t="s">
        <v>4117</v>
      </c>
      <c r="J1062" t="str">
        <f t="shared" si="65"/>
        <v>Methamphetamine-related</v>
      </c>
      <c r="K1062" t="s">
        <v>97</v>
      </c>
      <c r="L1062" t="s">
        <v>250</v>
      </c>
      <c r="M1062" t="s">
        <v>4336</v>
      </c>
      <c r="N1062" t="s">
        <v>5101</v>
      </c>
      <c r="O1062" t="str" cm="1">
        <f t="array" ref="O1062">_xlfn.IFS(
  TEXT(TRIM(N1062),"00000")="NULL", "Missing/Unknown",
  OR(TEXT(TRIM(N1062),"00000")="89101", TEXT(TRIM(N1062),"00000")="89104", TEXT(TRIM(N1062),"00000")="89106", TEXT(TRIM(N1062),"00000")="89102", TEXT(TRIM(N1062),"00000")="89107", TEXT(TRIM(N1062),"00000")="89108"), "Urban Core",
  OR(TEXT(TRIM(N1062),"00000")="89110", TEXT(TRIM(N1062),"00000")="89115", TEXT(TRIM(N1062),"00000")="89121", TEXT(TRIM(N1062),"00000")="89122", TEXT(TRIM(N1062),"00000")="89142", TEXT(TRIM(N1062),"00000")="89156"), "East Valley",
  OR(TEXT(TRIM(N1062),"00000")="89030", TEXT(TRIM(N1062),"00000")="89031", TEXT(TRIM(N1062),"00000")="89032", TEXT(TRIM(N1062),"00000")="89086", TEXT(TRIM(N1062),"00000")="89084", TEXT(TRIM(N1062),"00000")="89081"), "North LV",
  OR(TEXT(TRIM(N1062),"00000")="89109", TEXT(TRIM(N1062),"00000")="89103", TEXT(TRIM(N1062),"00000")="89119", TEXT(TRIM(N1062),"00000")="89123", TEXT(TRIM(N1062),"00000")="89169", TEXT(TRIM(N1062),"00000")="89118"), "South/Strip",
  OR(TEXT(TRIM(N1062),"00000")="89074", TEXT(TRIM(N1062),"00000")="89014", TEXT(TRIM(N1062),"00000")="89015", TEXT(TRIM(N1062),"00000")="89011", TEXT(TRIM(N1062),"00000")="89012"), "Suburban SE",
  OR(TEXT(TRIM(N1062),"00000")="89117", TEXT(TRIM(N1062),"00000")="89128", TEXT(TRIM(N1062),"00000")="89135", TEXT(TRIM(N1062),"00000")="89144", TEXT(TRIM(N1062),"00000")="89145", TEXT(TRIM(N1062),"00000")="89147"), "West Valley",
  TRUE, "Other"
)</f>
        <v>Urban Core</v>
      </c>
      <c r="P1062" t="s">
        <v>24</v>
      </c>
      <c r="Q1062" t="str">
        <f t="shared" si="66"/>
        <v>Outdoors/Public</v>
      </c>
      <c r="R1062" t="s">
        <v>4341</v>
      </c>
      <c r="S1062" t="s">
        <v>5100</v>
      </c>
      <c r="T1062" t="str" cm="1">
        <f t="array" ref="T1062">_xlfn.IFS(
  TEXT(TRIM(S1062),"00000")="NULL", "Missing/Unknown",
  OR(TEXT(TRIM(S1062),"00000")="89101", TEXT(TRIM(S1062),"00000")="89104", TEXT(TRIM(S1062),"00000")="89106", TEXT(TRIM(S1062),"00000")="89102", TEXT(TRIM(S1062),"00000")="89107", TEXT(TRIM(S1062),"00000")="89108"), "Urban Core",
  OR(TEXT(TRIM(S1062),"00000")="89110", TEXT(TRIM(S1062),"00000")="89115", TEXT(TRIM(S1062),"00000")="89121", TEXT(TRIM(S1062),"00000")="89122", TEXT(TRIM(S1062),"00000")="89142", TEXT(TRIM(S1062),"00000")="89156"), "East Valley",
  OR(TEXT(TRIM(S1062),"00000")="89030", TEXT(TRIM(S1062),"00000")="89031", TEXT(TRIM(S1062),"00000")="89032", TEXT(TRIM(S1062),"00000")="89086", TEXT(TRIM(S1062),"00000")="89084", TEXT(TRIM(S1062),"00000")="89081"), "North LV",
  OR(TEXT(TRIM(S1062),"00000")="89109", TEXT(TRIM(S1062),"00000")="89103", TEXT(TRIM(S1062),"00000")="89119", TEXT(TRIM(S1062),"00000")="89123", TEXT(TRIM(S1062),"00000")="89169", TEXT(TRIM(S1062),"00000")="89118"), "South/Strip",
  OR(TEXT(TRIM(S1062),"00000")="89074", TEXT(TRIM(S1062),"00000")="89014", TEXT(TRIM(S1062),"00000")="89015", TEXT(TRIM(S1062),"00000")="89011", TEXT(TRIM(S1062),"00000")="89012"), "Suburban SE",
  OR(TEXT(TRIM(S1062),"00000")="89117", TEXT(TRIM(S1062),"00000")="89128", TEXT(TRIM(S1062),"00000")="89135", TEXT(TRIM(S1062),"00000")="89144", TEXT(TRIM(S1062),"00000")="89145", TEXT(TRIM(S1062),"00000")="89147"), "West Valley",
  TRUE, "Other"
)</f>
        <v>North LV</v>
      </c>
      <c r="U1062" t="s">
        <v>4301</v>
      </c>
      <c r="V1062" t="str">
        <f t="shared" si="67"/>
        <v>Medical Facility</v>
      </c>
    </row>
    <row r="1063" spans="1:22">
      <c r="A1063" t="s">
        <v>1989</v>
      </c>
      <c r="B1063" t="s">
        <v>1990</v>
      </c>
      <c r="C1063" s="1">
        <v>44387</v>
      </c>
      <c r="D1063" s="4">
        <v>116.96</v>
      </c>
      <c r="E1063">
        <v>42</v>
      </c>
      <c r="F1063" t="str">
        <f t="shared" si="64"/>
        <v>40's</v>
      </c>
      <c r="G1063" t="str" cm="1">
        <f t="array" ref="G1063">_xlfn.IFS(
  F1063="10's", "Child (5–12)",
  OR(F1063="20's", F1063="30's"), "Young Adult (20–39)",
  OR(F1063="40's", F1063="50's"), "Adult (40–59)",
  OR(F1063="60's", F1063="70's", F1063="80's", F1063="90's"), "Senior (60+)",
  TRUE, "Unknown"
)</f>
        <v>Adult (40–59)</v>
      </c>
      <c r="H1063" t="s">
        <v>841</v>
      </c>
      <c r="I1063" t="s">
        <v>1028</v>
      </c>
      <c r="J1063" t="str">
        <f t="shared" si="65"/>
        <v>Methamphetamine-related</v>
      </c>
      <c r="K1063" t="s">
        <v>54</v>
      </c>
      <c r="L1063" t="s">
        <v>250</v>
      </c>
      <c r="M1063" t="s">
        <v>4765</v>
      </c>
      <c r="N1063" t="s">
        <v>5101</v>
      </c>
      <c r="O1063" t="str" cm="1">
        <f t="array" ref="O1063">_xlfn.IFS(
  TEXT(TRIM(N1063),"00000")="NULL", "Missing/Unknown",
  OR(TEXT(TRIM(N1063),"00000")="89101", TEXT(TRIM(N1063),"00000")="89104", TEXT(TRIM(N1063),"00000")="89106", TEXT(TRIM(N1063),"00000")="89102", TEXT(TRIM(N1063),"00000")="89107", TEXT(TRIM(N1063),"00000")="89108"), "Urban Core",
  OR(TEXT(TRIM(N1063),"00000")="89110", TEXT(TRIM(N1063),"00000")="89115", TEXT(TRIM(N1063),"00000")="89121", TEXT(TRIM(N1063),"00000")="89122", TEXT(TRIM(N1063),"00000")="89142", TEXT(TRIM(N1063),"00000")="89156"), "East Valley",
  OR(TEXT(TRIM(N1063),"00000")="89030", TEXT(TRIM(N1063),"00000")="89031", TEXT(TRIM(N1063),"00000")="89032", TEXT(TRIM(N1063),"00000")="89086", TEXT(TRIM(N1063),"00000")="89084", TEXT(TRIM(N1063),"00000")="89081"), "North LV",
  OR(TEXT(TRIM(N1063),"00000")="89109", TEXT(TRIM(N1063),"00000")="89103", TEXT(TRIM(N1063),"00000")="89119", TEXT(TRIM(N1063),"00000")="89123", TEXT(TRIM(N1063),"00000")="89169", TEXT(TRIM(N1063),"00000")="89118"), "South/Strip",
  OR(TEXT(TRIM(N1063),"00000")="89074", TEXT(TRIM(N1063),"00000")="89014", TEXT(TRIM(N1063),"00000")="89015", TEXT(TRIM(N1063),"00000")="89011", TEXT(TRIM(N1063),"00000")="89012"), "Suburban SE",
  OR(TEXT(TRIM(N1063),"00000")="89117", TEXT(TRIM(N1063),"00000")="89128", TEXT(TRIM(N1063),"00000")="89135", TEXT(TRIM(N1063),"00000")="89144", TEXT(TRIM(N1063),"00000")="89145", TEXT(TRIM(N1063),"00000")="89147"), "West Valley",
  TRUE, "Other"
)</f>
        <v>Urban Core</v>
      </c>
      <c r="P1063" t="s">
        <v>3298</v>
      </c>
      <c r="Q1063" t="str">
        <f t="shared" si="66"/>
        <v>Outdoors/Public</v>
      </c>
      <c r="R1063" t="s">
        <v>4765</v>
      </c>
      <c r="S1063" t="s">
        <v>5101</v>
      </c>
      <c r="T1063" t="str" cm="1">
        <f t="array" ref="T1063">_xlfn.IFS(
  TEXT(TRIM(S1063),"00000")="NULL", "Missing/Unknown",
  OR(TEXT(TRIM(S1063),"00000")="89101", TEXT(TRIM(S1063),"00000")="89104", TEXT(TRIM(S1063),"00000")="89106", TEXT(TRIM(S1063),"00000")="89102", TEXT(TRIM(S1063),"00000")="89107", TEXT(TRIM(S1063),"00000")="89108"), "Urban Core",
  OR(TEXT(TRIM(S1063),"00000")="89110", TEXT(TRIM(S1063),"00000")="89115", TEXT(TRIM(S1063),"00000")="89121", TEXT(TRIM(S1063),"00000")="89122", TEXT(TRIM(S1063),"00000")="89142", TEXT(TRIM(S1063),"00000")="89156"), "East Valley",
  OR(TEXT(TRIM(S1063),"00000")="89030", TEXT(TRIM(S1063),"00000")="89031", TEXT(TRIM(S1063),"00000")="89032", TEXT(TRIM(S1063),"00000")="89086", TEXT(TRIM(S1063),"00000")="89084", TEXT(TRIM(S1063),"00000")="89081"), "North LV",
  OR(TEXT(TRIM(S1063),"00000")="89109", TEXT(TRIM(S1063),"00000")="89103", TEXT(TRIM(S1063),"00000")="89119", TEXT(TRIM(S1063),"00000")="89123", TEXT(TRIM(S1063),"00000")="89169", TEXT(TRIM(S1063),"00000")="89118"), "South/Strip",
  OR(TEXT(TRIM(S1063),"00000")="89074", TEXT(TRIM(S1063),"00000")="89014", TEXT(TRIM(S1063),"00000")="89015", TEXT(TRIM(S1063),"00000")="89011", TEXT(TRIM(S1063),"00000")="89012"), "Suburban SE",
  OR(TEXT(TRIM(S1063),"00000")="89117", TEXT(TRIM(S1063),"00000")="89128", TEXT(TRIM(S1063),"00000")="89135", TEXT(TRIM(S1063),"00000")="89144", TEXT(TRIM(S1063),"00000")="89145", TEXT(TRIM(S1063),"00000")="89147"), "West Valley",
  TRUE, "Other"
)</f>
        <v>Urban Core</v>
      </c>
      <c r="U1063" t="s">
        <v>3298</v>
      </c>
      <c r="V1063" t="str">
        <f t="shared" si="67"/>
        <v>Outdoors/Public</v>
      </c>
    </row>
    <row r="1064" spans="1:22">
      <c r="A1064" t="s">
        <v>1992</v>
      </c>
      <c r="B1064" t="s">
        <v>1993</v>
      </c>
      <c r="C1064" s="1">
        <v>44387</v>
      </c>
      <c r="D1064" s="4">
        <v>116.96</v>
      </c>
      <c r="E1064">
        <v>61</v>
      </c>
      <c r="F1064" t="str">
        <f t="shared" si="64"/>
        <v>60's</v>
      </c>
      <c r="G1064" t="str" cm="1">
        <f t="array" ref="G1064">_xlfn.IFS(
  F1064="10's", "Child (5–12)",
  OR(F1064="20's", F1064="30's"), "Young Adult (20–39)",
  OR(F1064="40's", F1064="50's"), "Adult (40–59)",
  OR(F1064="60's", F1064="70's", F1064="80's", F1064="90's"), "Senior (60+)",
  TRUE, "Unknown"
)</f>
        <v>Senior (60+)</v>
      </c>
      <c r="H1064" t="s">
        <v>841</v>
      </c>
      <c r="I1064" t="s">
        <v>4117</v>
      </c>
      <c r="J1064" t="str">
        <f t="shared" si="65"/>
        <v>Methamphetamine-related</v>
      </c>
      <c r="K1064" t="s">
        <v>1995</v>
      </c>
      <c r="L1064" t="s">
        <v>250</v>
      </c>
      <c r="M1064" t="s">
        <v>4658</v>
      </c>
      <c r="N1064" t="s">
        <v>5106</v>
      </c>
      <c r="O1064" t="str" cm="1">
        <f t="array" ref="O1064">_xlfn.IFS(
  TEXT(TRIM(N1064),"00000")="NULL", "Missing/Unknown",
  OR(TEXT(TRIM(N1064),"00000")="89101", TEXT(TRIM(N1064),"00000")="89104", TEXT(TRIM(N1064),"00000")="89106", TEXT(TRIM(N1064),"00000")="89102", TEXT(TRIM(N1064),"00000")="89107", TEXT(TRIM(N1064),"00000")="89108"), "Urban Core",
  OR(TEXT(TRIM(N1064),"00000")="89110", TEXT(TRIM(N1064),"00000")="89115", TEXT(TRIM(N1064),"00000")="89121", TEXT(TRIM(N1064),"00000")="89122", TEXT(TRIM(N1064),"00000")="89142", TEXT(TRIM(N1064),"00000")="89156"), "East Valley",
  OR(TEXT(TRIM(N1064),"00000")="89030", TEXT(TRIM(N1064),"00000")="89031", TEXT(TRIM(N1064),"00000")="89032", TEXT(TRIM(N1064),"00000")="89086", TEXT(TRIM(N1064),"00000")="89084", TEXT(TRIM(N1064),"00000")="89081"), "North LV",
  OR(TEXT(TRIM(N1064),"00000")="89109", TEXT(TRIM(N1064),"00000")="89103", TEXT(TRIM(N1064),"00000")="89119", TEXT(TRIM(N1064),"00000")="89123", TEXT(TRIM(N1064),"00000")="89169", TEXT(TRIM(N1064),"00000")="89118"), "South/Strip",
  OR(TEXT(TRIM(N1064),"00000")="89074", TEXT(TRIM(N1064),"00000")="89014", TEXT(TRIM(N1064),"00000")="89015", TEXT(TRIM(N1064),"00000")="89011", TEXT(TRIM(N1064),"00000")="89012"), "Suburban SE",
  OR(TEXT(TRIM(N1064),"00000")="89117", TEXT(TRIM(N1064),"00000")="89128", TEXT(TRIM(N1064),"00000")="89135", TEXT(TRIM(N1064),"00000")="89144", TEXT(TRIM(N1064),"00000")="89145", TEXT(TRIM(N1064),"00000")="89147"), "West Valley",
  TRUE, "Other"
)</f>
        <v>East Valley</v>
      </c>
      <c r="P1064" t="s">
        <v>3298</v>
      </c>
      <c r="Q1064" t="str">
        <f t="shared" si="66"/>
        <v>Outdoors/Public</v>
      </c>
      <c r="R1064" t="s">
        <v>4658</v>
      </c>
      <c r="S1064" t="s">
        <v>5106</v>
      </c>
      <c r="T1064" t="str" cm="1">
        <f t="array" ref="T1064">_xlfn.IFS(
  TEXT(TRIM(S1064),"00000")="NULL", "Missing/Unknown",
  OR(TEXT(TRIM(S1064),"00000")="89101", TEXT(TRIM(S1064),"00000")="89104", TEXT(TRIM(S1064),"00000")="89106", TEXT(TRIM(S1064),"00000")="89102", TEXT(TRIM(S1064),"00000")="89107", TEXT(TRIM(S1064),"00000")="89108"), "Urban Core",
  OR(TEXT(TRIM(S1064),"00000")="89110", TEXT(TRIM(S1064),"00000")="89115", TEXT(TRIM(S1064),"00000")="89121", TEXT(TRIM(S1064),"00000")="89122", TEXT(TRIM(S1064),"00000")="89142", TEXT(TRIM(S1064),"00000")="89156"), "East Valley",
  OR(TEXT(TRIM(S1064),"00000")="89030", TEXT(TRIM(S1064),"00000")="89031", TEXT(TRIM(S1064),"00000")="89032", TEXT(TRIM(S1064),"00000")="89086", TEXT(TRIM(S1064),"00000")="89084", TEXT(TRIM(S1064),"00000")="89081"), "North LV",
  OR(TEXT(TRIM(S1064),"00000")="89109", TEXT(TRIM(S1064),"00000")="89103", TEXT(TRIM(S1064),"00000")="89119", TEXT(TRIM(S1064),"00000")="89123", TEXT(TRIM(S1064),"00000")="89169", TEXT(TRIM(S1064),"00000")="89118"), "South/Strip",
  OR(TEXT(TRIM(S1064),"00000")="89074", TEXT(TRIM(S1064),"00000")="89014", TEXT(TRIM(S1064),"00000")="89015", TEXT(TRIM(S1064),"00000")="89011", TEXT(TRIM(S1064),"00000")="89012"), "Suburban SE",
  OR(TEXT(TRIM(S1064),"00000")="89117", TEXT(TRIM(S1064),"00000")="89128", TEXT(TRIM(S1064),"00000")="89135", TEXT(TRIM(S1064),"00000")="89144", TEXT(TRIM(S1064),"00000")="89145", TEXT(TRIM(S1064),"00000")="89147"), "West Valley",
  TRUE, "Other"
)</f>
        <v>East Valley</v>
      </c>
      <c r="U1064" t="s">
        <v>3298</v>
      </c>
      <c r="V1064" t="str">
        <f t="shared" si="67"/>
        <v>Outdoors/Public</v>
      </c>
    </row>
    <row r="1065" spans="1:22">
      <c r="A1065" t="s">
        <v>2004</v>
      </c>
      <c r="B1065" t="s">
        <v>2005</v>
      </c>
      <c r="C1065" s="1">
        <v>44387</v>
      </c>
      <c r="D1065" s="4">
        <v>116.96</v>
      </c>
      <c r="E1065">
        <v>74</v>
      </c>
      <c r="F1065" t="str">
        <f t="shared" si="64"/>
        <v>70's</v>
      </c>
      <c r="G1065" t="str" cm="1">
        <f t="array" ref="G1065">_xlfn.IFS(
  F1065="10's", "Child (5–12)",
  OR(F1065="20's", F1065="30's"), "Young Adult (20–39)",
  OR(F1065="40's", F1065="50's"), "Adult (40–59)",
  OR(F1065="60's", F1065="70's", F1065="80's", F1065="90's"), "Senior (60+)",
  TRUE, "Unknown"
)</f>
        <v>Senior (60+)</v>
      </c>
      <c r="H1065" t="s">
        <v>778</v>
      </c>
      <c r="I1065" t="s">
        <v>172</v>
      </c>
      <c r="J1065" t="str">
        <f t="shared" si="65"/>
        <v>Methamphetamine-related</v>
      </c>
      <c r="K1065" t="s">
        <v>54</v>
      </c>
      <c r="L1065" t="s">
        <v>250</v>
      </c>
      <c r="M1065" t="s">
        <v>4849</v>
      </c>
      <c r="N1065" t="s">
        <v>5096</v>
      </c>
      <c r="O1065" t="str" cm="1">
        <f t="array" ref="O1065">_xlfn.IFS(
  TEXT(TRIM(N1065),"00000")="NULL", "Missing/Unknown",
  OR(TEXT(TRIM(N1065),"00000")="89101", TEXT(TRIM(N1065),"00000")="89104", TEXT(TRIM(N1065),"00000")="89106", TEXT(TRIM(N1065),"00000")="89102", TEXT(TRIM(N1065),"00000")="89107", TEXT(TRIM(N1065),"00000")="89108"), "Urban Core",
  OR(TEXT(TRIM(N1065),"00000")="89110", TEXT(TRIM(N1065),"00000")="89115", TEXT(TRIM(N1065),"00000")="89121", TEXT(TRIM(N1065),"00000")="89122", TEXT(TRIM(N1065),"00000")="89142", TEXT(TRIM(N1065),"00000")="89156"), "East Valley",
  OR(TEXT(TRIM(N1065),"00000")="89030", TEXT(TRIM(N1065),"00000")="89031", TEXT(TRIM(N1065),"00000")="89032", TEXT(TRIM(N1065),"00000")="89086", TEXT(TRIM(N1065),"00000")="89084", TEXT(TRIM(N1065),"00000")="89081"), "North LV",
  OR(TEXT(TRIM(N1065),"00000")="89109", TEXT(TRIM(N1065),"00000")="89103", TEXT(TRIM(N1065),"00000")="89119", TEXT(TRIM(N1065),"00000")="89123", TEXT(TRIM(N1065),"00000")="89169", TEXT(TRIM(N1065),"00000")="89118"), "South/Strip",
  OR(TEXT(TRIM(N1065),"00000")="89074", TEXT(TRIM(N1065),"00000")="89014", TEXT(TRIM(N1065),"00000")="89015", TEXT(TRIM(N1065),"00000")="89011", TEXT(TRIM(N1065),"00000")="89012"), "Suburban SE",
  OR(TEXT(TRIM(N1065),"00000")="89117", TEXT(TRIM(N1065),"00000")="89128", TEXT(TRIM(N1065),"00000")="89135", TEXT(TRIM(N1065),"00000")="89144", TEXT(TRIM(N1065),"00000")="89145", TEXT(TRIM(N1065),"00000")="89147"), "West Valley",
  TRUE, "Other"
)</f>
        <v>South/Strip</v>
      </c>
      <c r="P1065" t="s">
        <v>3298</v>
      </c>
      <c r="Q1065" t="str">
        <f t="shared" si="66"/>
        <v>Outdoors/Public</v>
      </c>
      <c r="R1065" t="s">
        <v>4849</v>
      </c>
      <c r="S1065" t="s">
        <v>5096</v>
      </c>
      <c r="T1065" t="str" cm="1">
        <f t="array" ref="T1065">_xlfn.IFS(
  TEXT(TRIM(S1065),"00000")="NULL", "Missing/Unknown",
  OR(TEXT(TRIM(S1065),"00000")="89101", TEXT(TRIM(S1065),"00000")="89104", TEXT(TRIM(S1065),"00000")="89106", TEXT(TRIM(S1065),"00000")="89102", TEXT(TRIM(S1065),"00000")="89107", TEXT(TRIM(S1065),"00000")="89108"), "Urban Core",
  OR(TEXT(TRIM(S1065),"00000")="89110", TEXT(TRIM(S1065),"00000")="89115", TEXT(TRIM(S1065),"00000")="89121", TEXT(TRIM(S1065),"00000")="89122", TEXT(TRIM(S1065),"00000")="89142", TEXT(TRIM(S1065),"00000")="89156"), "East Valley",
  OR(TEXT(TRIM(S1065),"00000")="89030", TEXT(TRIM(S1065),"00000")="89031", TEXT(TRIM(S1065),"00000")="89032", TEXT(TRIM(S1065),"00000")="89086", TEXT(TRIM(S1065),"00000")="89084", TEXT(TRIM(S1065),"00000")="89081"), "North LV",
  OR(TEXT(TRIM(S1065),"00000")="89109", TEXT(TRIM(S1065),"00000")="89103", TEXT(TRIM(S1065),"00000")="89119", TEXT(TRIM(S1065),"00000")="89123", TEXT(TRIM(S1065),"00000")="89169", TEXT(TRIM(S1065),"00000")="89118"), "South/Strip",
  OR(TEXT(TRIM(S1065),"00000")="89074", TEXT(TRIM(S1065),"00000")="89014", TEXT(TRIM(S1065),"00000")="89015", TEXT(TRIM(S1065),"00000")="89011", TEXT(TRIM(S1065),"00000")="89012"), "Suburban SE",
  OR(TEXT(TRIM(S1065),"00000")="89117", TEXT(TRIM(S1065),"00000")="89128", TEXT(TRIM(S1065),"00000")="89135", TEXT(TRIM(S1065),"00000")="89144", TEXT(TRIM(S1065),"00000")="89145", TEXT(TRIM(S1065),"00000")="89147"), "West Valley",
  TRUE, "Other"
)</f>
        <v>South/Strip</v>
      </c>
      <c r="U1065" t="s">
        <v>3298</v>
      </c>
      <c r="V1065" t="str">
        <f t="shared" si="67"/>
        <v>Outdoors/Public</v>
      </c>
    </row>
    <row r="1066" spans="1:22">
      <c r="A1066" t="s">
        <v>2010</v>
      </c>
      <c r="B1066" t="s">
        <v>2011</v>
      </c>
      <c r="C1066" s="1">
        <v>44387</v>
      </c>
      <c r="D1066" s="4">
        <v>116.96</v>
      </c>
      <c r="E1066">
        <v>61</v>
      </c>
      <c r="F1066" t="str">
        <f t="shared" si="64"/>
        <v>60's</v>
      </c>
      <c r="G1066" t="str" cm="1">
        <f t="array" ref="G1066">_xlfn.IFS(
  F1066="10's", "Child (5–12)",
  OR(F1066="20's", F1066="30's"), "Young Adult (20–39)",
  OR(F1066="40's", F1066="50's"), "Adult (40–59)",
  OR(F1066="60's", F1066="70's", F1066="80's", F1066="90's"), "Senior (60+)",
  TRUE, "Unknown"
)</f>
        <v>Senior (60+)</v>
      </c>
      <c r="H1066" t="s">
        <v>841</v>
      </c>
      <c r="I1066" t="s">
        <v>172</v>
      </c>
      <c r="J1066" t="str">
        <f t="shared" si="65"/>
        <v>Methamphetamine-related</v>
      </c>
      <c r="K1066" t="s">
        <v>54</v>
      </c>
      <c r="L1066" t="s">
        <v>250</v>
      </c>
      <c r="M1066" t="s">
        <v>4850</v>
      </c>
      <c r="N1066" t="s">
        <v>5101</v>
      </c>
      <c r="O1066" t="str" cm="1">
        <f t="array" ref="O1066">_xlfn.IFS(
  TEXT(TRIM(N1066),"00000")="NULL", "Missing/Unknown",
  OR(TEXT(TRIM(N1066),"00000")="89101", TEXT(TRIM(N1066),"00000")="89104", TEXT(TRIM(N1066),"00000")="89106", TEXT(TRIM(N1066),"00000")="89102", TEXT(TRIM(N1066),"00000")="89107", TEXT(TRIM(N1066),"00000")="89108"), "Urban Core",
  OR(TEXT(TRIM(N1066),"00000")="89110", TEXT(TRIM(N1066),"00000")="89115", TEXT(TRIM(N1066),"00000")="89121", TEXT(TRIM(N1066),"00000")="89122", TEXT(TRIM(N1066),"00000")="89142", TEXT(TRIM(N1066),"00000")="89156"), "East Valley",
  OR(TEXT(TRIM(N1066),"00000")="89030", TEXT(TRIM(N1066),"00000")="89031", TEXT(TRIM(N1066),"00000")="89032", TEXT(TRIM(N1066),"00000")="89086", TEXT(TRIM(N1066),"00000")="89084", TEXT(TRIM(N1066),"00000")="89081"), "North LV",
  OR(TEXT(TRIM(N1066),"00000")="89109", TEXT(TRIM(N1066),"00000")="89103", TEXT(TRIM(N1066),"00000")="89119", TEXT(TRIM(N1066),"00000")="89123", TEXT(TRIM(N1066),"00000")="89169", TEXT(TRIM(N1066),"00000")="89118"), "South/Strip",
  OR(TEXT(TRIM(N1066),"00000")="89074", TEXT(TRIM(N1066),"00000")="89014", TEXT(TRIM(N1066),"00000")="89015", TEXT(TRIM(N1066),"00000")="89011", TEXT(TRIM(N1066),"00000")="89012"), "Suburban SE",
  OR(TEXT(TRIM(N1066),"00000")="89117", TEXT(TRIM(N1066),"00000")="89128", TEXT(TRIM(N1066),"00000")="89135", TEXT(TRIM(N1066),"00000")="89144", TEXT(TRIM(N1066),"00000")="89145", TEXT(TRIM(N1066),"00000")="89147"), "West Valley",
  TRUE, "Other"
)</f>
        <v>Urban Core</v>
      </c>
      <c r="P1066" t="s">
        <v>3298</v>
      </c>
      <c r="Q1066" t="str">
        <f t="shared" si="66"/>
        <v>Outdoors/Public</v>
      </c>
      <c r="R1066" t="s">
        <v>4850</v>
      </c>
      <c r="S1066" t="s">
        <v>5101</v>
      </c>
      <c r="T1066" t="str" cm="1">
        <f t="array" ref="T1066">_xlfn.IFS(
  TEXT(TRIM(S1066),"00000")="NULL", "Missing/Unknown",
  OR(TEXT(TRIM(S1066),"00000")="89101", TEXT(TRIM(S1066),"00000")="89104", TEXT(TRIM(S1066),"00000")="89106", TEXT(TRIM(S1066),"00000")="89102", TEXT(TRIM(S1066),"00000")="89107", TEXT(TRIM(S1066),"00000")="89108"), "Urban Core",
  OR(TEXT(TRIM(S1066),"00000")="89110", TEXT(TRIM(S1066),"00000")="89115", TEXT(TRIM(S1066),"00000")="89121", TEXT(TRIM(S1066),"00000")="89122", TEXT(TRIM(S1066),"00000")="89142", TEXT(TRIM(S1066),"00000")="89156"), "East Valley",
  OR(TEXT(TRIM(S1066),"00000")="89030", TEXT(TRIM(S1066),"00000")="89031", TEXT(TRIM(S1066),"00000")="89032", TEXT(TRIM(S1066),"00000")="89086", TEXT(TRIM(S1066),"00000")="89084", TEXT(TRIM(S1066),"00000")="89081"), "North LV",
  OR(TEXT(TRIM(S1066),"00000")="89109", TEXT(TRIM(S1066),"00000")="89103", TEXT(TRIM(S1066),"00000")="89119", TEXT(TRIM(S1066),"00000")="89123", TEXT(TRIM(S1066),"00000")="89169", TEXT(TRIM(S1066),"00000")="89118"), "South/Strip",
  OR(TEXT(TRIM(S1066),"00000")="89074", TEXT(TRIM(S1066),"00000")="89014", TEXT(TRIM(S1066),"00000")="89015", TEXT(TRIM(S1066),"00000")="89011", TEXT(TRIM(S1066),"00000")="89012"), "Suburban SE",
  OR(TEXT(TRIM(S1066),"00000")="89117", TEXT(TRIM(S1066),"00000")="89128", TEXT(TRIM(S1066),"00000")="89135", TEXT(TRIM(S1066),"00000")="89144", TEXT(TRIM(S1066),"00000")="89145", TEXT(TRIM(S1066),"00000")="89147"), "West Valley",
  TRUE, "Other"
)</f>
        <v>Urban Core</v>
      </c>
      <c r="U1066" t="s">
        <v>3298</v>
      </c>
      <c r="V1066" t="str">
        <f t="shared" si="67"/>
        <v>Outdoors/Public</v>
      </c>
    </row>
    <row r="1067" spans="1:22">
      <c r="A1067" t="s">
        <v>2016</v>
      </c>
      <c r="B1067" t="s">
        <v>2017</v>
      </c>
      <c r="C1067" s="1">
        <v>44387</v>
      </c>
      <c r="D1067" s="4">
        <v>116.96</v>
      </c>
      <c r="E1067">
        <v>68</v>
      </c>
      <c r="F1067" t="str">
        <f t="shared" si="64"/>
        <v>60's</v>
      </c>
      <c r="G1067" t="str" cm="1">
        <f t="array" ref="G1067">_xlfn.IFS(
  F1067="10's", "Child (5–12)",
  OR(F1067="20's", F1067="30's"), "Young Adult (20–39)",
  OR(F1067="40's", F1067="50's"), "Adult (40–59)",
  OR(F1067="60's", F1067="70's", F1067="80's", F1067="90's"), "Senior (60+)",
  TRUE, "Unknown"
)</f>
        <v>Senior (60+)</v>
      </c>
      <c r="H1067" t="s">
        <v>778</v>
      </c>
      <c r="I1067" t="s">
        <v>1672</v>
      </c>
      <c r="J1067" t="str">
        <f t="shared" si="65"/>
        <v>Dehydration / Electrolyte</v>
      </c>
      <c r="K1067" t="s">
        <v>54</v>
      </c>
      <c r="L1067" t="s">
        <v>250</v>
      </c>
      <c r="M1067" t="s">
        <v>4858</v>
      </c>
      <c r="N1067" t="s">
        <v>5106</v>
      </c>
      <c r="O1067" t="str" cm="1">
        <f t="array" ref="O1067">_xlfn.IFS(
  TEXT(TRIM(N1067),"00000")="NULL", "Missing/Unknown",
  OR(TEXT(TRIM(N1067),"00000")="89101", TEXT(TRIM(N1067),"00000")="89104", TEXT(TRIM(N1067),"00000")="89106", TEXT(TRIM(N1067),"00000")="89102", TEXT(TRIM(N1067),"00000")="89107", TEXT(TRIM(N1067),"00000")="89108"), "Urban Core",
  OR(TEXT(TRIM(N1067),"00000")="89110", TEXT(TRIM(N1067),"00000")="89115", TEXT(TRIM(N1067),"00000")="89121", TEXT(TRIM(N1067),"00000")="89122", TEXT(TRIM(N1067),"00000")="89142", TEXT(TRIM(N1067),"00000")="89156"), "East Valley",
  OR(TEXT(TRIM(N1067),"00000")="89030", TEXT(TRIM(N1067),"00000")="89031", TEXT(TRIM(N1067),"00000")="89032", TEXT(TRIM(N1067),"00000")="89086", TEXT(TRIM(N1067),"00000")="89084", TEXT(TRIM(N1067),"00000")="89081"), "North LV",
  OR(TEXT(TRIM(N1067),"00000")="89109", TEXT(TRIM(N1067),"00000")="89103", TEXT(TRIM(N1067),"00000")="89119", TEXT(TRIM(N1067),"00000")="89123", TEXT(TRIM(N1067),"00000")="89169", TEXT(TRIM(N1067),"00000")="89118"), "South/Strip",
  OR(TEXT(TRIM(N1067),"00000")="89074", TEXT(TRIM(N1067),"00000")="89014", TEXT(TRIM(N1067),"00000")="89015", TEXT(TRIM(N1067),"00000")="89011", TEXT(TRIM(N1067),"00000")="89012"), "Suburban SE",
  OR(TEXT(TRIM(N1067),"00000")="89117", TEXT(TRIM(N1067),"00000")="89128", TEXT(TRIM(N1067),"00000")="89135", TEXT(TRIM(N1067),"00000")="89144", TEXT(TRIM(N1067),"00000")="89145", TEXT(TRIM(N1067),"00000")="89147"), "West Valley",
  TRUE, "Other"
)</f>
        <v>East Valley</v>
      </c>
      <c r="P1067" t="s">
        <v>3298</v>
      </c>
      <c r="Q1067" t="str">
        <f t="shared" si="66"/>
        <v>Outdoors/Public</v>
      </c>
      <c r="R1067" t="s">
        <v>4858</v>
      </c>
      <c r="S1067" t="s">
        <v>5106</v>
      </c>
      <c r="T1067" t="str" cm="1">
        <f t="array" ref="T1067">_xlfn.IFS(
  TEXT(TRIM(S1067),"00000")="NULL", "Missing/Unknown",
  OR(TEXT(TRIM(S1067),"00000")="89101", TEXT(TRIM(S1067),"00000")="89104", TEXT(TRIM(S1067),"00000")="89106", TEXT(TRIM(S1067),"00000")="89102", TEXT(TRIM(S1067),"00000")="89107", TEXT(TRIM(S1067),"00000")="89108"), "Urban Core",
  OR(TEXT(TRIM(S1067),"00000")="89110", TEXT(TRIM(S1067),"00000")="89115", TEXT(TRIM(S1067),"00000")="89121", TEXT(TRIM(S1067),"00000")="89122", TEXT(TRIM(S1067),"00000")="89142", TEXT(TRIM(S1067),"00000")="89156"), "East Valley",
  OR(TEXT(TRIM(S1067),"00000")="89030", TEXT(TRIM(S1067),"00000")="89031", TEXT(TRIM(S1067),"00000")="89032", TEXT(TRIM(S1067),"00000")="89086", TEXT(TRIM(S1067),"00000")="89084", TEXT(TRIM(S1067),"00000")="89081"), "North LV",
  OR(TEXT(TRIM(S1067),"00000")="89109", TEXT(TRIM(S1067),"00000")="89103", TEXT(TRIM(S1067),"00000")="89119", TEXT(TRIM(S1067),"00000")="89123", TEXT(TRIM(S1067),"00000")="89169", TEXT(TRIM(S1067),"00000")="89118"), "South/Strip",
  OR(TEXT(TRIM(S1067),"00000")="89074", TEXT(TRIM(S1067),"00000")="89014", TEXT(TRIM(S1067),"00000")="89015", TEXT(TRIM(S1067),"00000")="89011", TEXT(TRIM(S1067),"00000")="89012"), "Suburban SE",
  OR(TEXT(TRIM(S1067),"00000")="89117", TEXT(TRIM(S1067),"00000")="89128", TEXT(TRIM(S1067),"00000")="89135", TEXT(TRIM(S1067),"00000")="89144", TEXT(TRIM(S1067),"00000")="89145", TEXT(TRIM(S1067),"00000")="89147"), "West Valley",
  TRUE, "Other"
)</f>
        <v>East Valley</v>
      </c>
      <c r="U1067" t="s">
        <v>3298</v>
      </c>
      <c r="V1067" t="str">
        <f t="shared" si="67"/>
        <v>Outdoors/Public</v>
      </c>
    </row>
    <row r="1068" spans="1:22">
      <c r="A1068" t="s">
        <v>2013</v>
      </c>
      <c r="B1068" t="s">
        <v>2014</v>
      </c>
      <c r="C1068" s="1">
        <v>44387</v>
      </c>
      <c r="D1068" s="4">
        <v>116.96</v>
      </c>
      <c r="E1068">
        <v>70</v>
      </c>
      <c r="F1068" t="str">
        <f t="shared" si="64"/>
        <v>70's</v>
      </c>
      <c r="G1068" t="str" cm="1">
        <f t="array" ref="G1068">_xlfn.IFS(
  F1068="10's", "Child (5–12)",
  OR(F1068="20's", F1068="30's"), "Young Adult (20–39)",
  OR(F1068="40's", F1068="50's"), "Adult (40–59)",
  OR(F1068="60's", F1068="70's", F1068="80's", F1068="90's"), "Senior (60+)",
  TRUE, "Unknown"
)</f>
        <v>Senior (60+)</v>
      </c>
      <c r="H1068" t="s">
        <v>841</v>
      </c>
      <c r="I1068" t="s">
        <v>4025</v>
      </c>
      <c r="J1068" t="str">
        <f t="shared" si="65"/>
        <v>Methamphetamine-related</v>
      </c>
      <c r="K1068" t="s">
        <v>54</v>
      </c>
      <c r="L1068" t="s">
        <v>250</v>
      </c>
      <c r="M1068" t="s">
        <v>4851</v>
      </c>
      <c r="N1068" t="s">
        <v>5098</v>
      </c>
      <c r="O1068" t="str" cm="1">
        <f t="array" ref="O1068">_xlfn.IFS(
  TEXT(TRIM(N1068),"00000")="NULL", "Missing/Unknown",
  OR(TEXT(TRIM(N1068),"00000")="89101", TEXT(TRIM(N1068),"00000")="89104", TEXT(TRIM(N1068),"00000")="89106", TEXT(TRIM(N1068),"00000")="89102", TEXT(TRIM(N1068),"00000")="89107", TEXT(TRIM(N1068),"00000")="89108"), "Urban Core",
  OR(TEXT(TRIM(N1068),"00000")="89110", TEXT(TRIM(N1068),"00000")="89115", TEXT(TRIM(N1068),"00000")="89121", TEXT(TRIM(N1068),"00000")="89122", TEXT(TRIM(N1068),"00000")="89142", TEXT(TRIM(N1068),"00000")="89156"), "East Valley",
  OR(TEXT(TRIM(N1068),"00000")="89030", TEXT(TRIM(N1068),"00000")="89031", TEXT(TRIM(N1068),"00000")="89032", TEXT(TRIM(N1068),"00000")="89086", TEXT(TRIM(N1068),"00000")="89084", TEXT(TRIM(N1068),"00000")="89081"), "North LV",
  OR(TEXT(TRIM(N1068),"00000")="89109", TEXT(TRIM(N1068),"00000")="89103", TEXT(TRIM(N1068),"00000")="89119", TEXT(TRIM(N1068),"00000")="89123", TEXT(TRIM(N1068),"00000")="89169", TEXT(TRIM(N1068),"00000")="89118"), "South/Strip",
  OR(TEXT(TRIM(N1068),"00000")="89074", TEXT(TRIM(N1068),"00000")="89014", TEXT(TRIM(N1068),"00000")="89015", TEXT(TRIM(N1068),"00000")="89011", TEXT(TRIM(N1068),"00000")="89012"), "Suburban SE",
  OR(TEXT(TRIM(N1068),"00000")="89117", TEXT(TRIM(N1068),"00000")="89128", TEXT(TRIM(N1068),"00000")="89135", TEXT(TRIM(N1068),"00000")="89144", TEXT(TRIM(N1068),"00000")="89145", TEXT(TRIM(N1068),"00000")="89147"), "West Valley",
  TRUE, "Other"
)</f>
        <v>Urban Core</v>
      </c>
      <c r="P1068" t="s">
        <v>3298</v>
      </c>
      <c r="Q1068" t="str">
        <f t="shared" si="66"/>
        <v>Outdoors/Public</v>
      </c>
      <c r="R1068" t="s">
        <v>4851</v>
      </c>
      <c r="S1068" t="s">
        <v>5098</v>
      </c>
      <c r="T1068" t="str" cm="1">
        <f t="array" ref="T1068">_xlfn.IFS(
  TEXT(TRIM(S1068),"00000")="NULL", "Missing/Unknown",
  OR(TEXT(TRIM(S1068),"00000")="89101", TEXT(TRIM(S1068),"00000")="89104", TEXT(TRIM(S1068),"00000")="89106", TEXT(TRIM(S1068),"00000")="89102", TEXT(TRIM(S1068),"00000")="89107", TEXT(TRIM(S1068),"00000")="89108"), "Urban Core",
  OR(TEXT(TRIM(S1068),"00000")="89110", TEXT(TRIM(S1068),"00000")="89115", TEXT(TRIM(S1068),"00000")="89121", TEXT(TRIM(S1068),"00000")="89122", TEXT(TRIM(S1068),"00000")="89142", TEXT(TRIM(S1068),"00000")="89156"), "East Valley",
  OR(TEXT(TRIM(S1068),"00000")="89030", TEXT(TRIM(S1068),"00000")="89031", TEXT(TRIM(S1068),"00000")="89032", TEXT(TRIM(S1068),"00000")="89086", TEXT(TRIM(S1068),"00000")="89084", TEXT(TRIM(S1068),"00000")="89081"), "North LV",
  OR(TEXT(TRIM(S1068),"00000")="89109", TEXT(TRIM(S1068),"00000")="89103", TEXT(TRIM(S1068),"00000")="89119", TEXT(TRIM(S1068),"00000")="89123", TEXT(TRIM(S1068),"00000")="89169", TEXT(TRIM(S1068),"00000")="89118"), "South/Strip",
  OR(TEXT(TRIM(S1068),"00000")="89074", TEXT(TRIM(S1068),"00000")="89014", TEXT(TRIM(S1068),"00000")="89015", TEXT(TRIM(S1068),"00000")="89011", TEXT(TRIM(S1068),"00000")="89012"), "Suburban SE",
  OR(TEXT(TRIM(S1068),"00000")="89117", TEXT(TRIM(S1068),"00000")="89128", TEXT(TRIM(S1068),"00000")="89135", TEXT(TRIM(S1068),"00000")="89144", TEXT(TRIM(S1068),"00000")="89145", TEXT(TRIM(S1068),"00000")="89147"), "West Valley",
  TRUE, "Other"
)</f>
        <v>Urban Core</v>
      </c>
      <c r="U1068" t="s">
        <v>3298</v>
      </c>
      <c r="V1068" t="str">
        <f t="shared" si="67"/>
        <v>Outdoors/Public</v>
      </c>
    </row>
    <row r="1069" spans="1:22">
      <c r="A1069" t="s">
        <v>2000</v>
      </c>
      <c r="B1069" t="s">
        <v>2001</v>
      </c>
      <c r="C1069" s="1">
        <v>44387</v>
      </c>
      <c r="D1069" s="4">
        <v>116.96</v>
      </c>
      <c r="E1069">
        <v>32</v>
      </c>
      <c r="F1069" t="str">
        <f t="shared" si="64"/>
        <v>30's</v>
      </c>
      <c r="G1069" t="str" cm="1">
        <f t="array" ref="G1069">_xlfn.IFS(
  F1069="10's", "Child (5–12)",
  OR(F1069="20's", F1069="30's"), "Young Adult (20–39)",
  OR(F1069="40's", F1069="50's"), "Adult (40–59)",
  OR(F1069="60's", F1069="70's", F1069="80's", F1069="90's"), "Senior (60+)",
  TRUE, "Unknown"
)</f>
        <v>Young Adult (20–39)</v>
      </c>
      <c r="H1069" t="s">
        <v>4309</v>
      </c>
      <c r="I1069" t="s">
        <v>4025</v>
      </c>
      <c r="J1069" t="str">
        <f t="shared" si="65"/>
        <v>Methamphetamine-related</v>
      </c>
      <c r="K1069" t="s">
        <v>97</v>
      </c>
      <c r="L1069" t="s">
        <v>250</v>
      </c>
      <c r="M1069" t="s">
        <v>4561</v>
      </c>
      <c r="N1069" t="s">
        <v>5118</v>
      </c>
      <c r="O1069" t="str" cm="1">
        <f t="array" ref="O1069">_xlfn.IFS(
  TEXT(TRIM(N1069),"00000")="NULL", "Missing/Unknown",
  OR(TEXT(TRIM(N1069),"00000")="89101", TEXT(TRIM(N1069),"00000")="89104", TEXT(TRIM(N1069),"00000")="89106", TEXT(TRIM(N1069),"00000")="89102", TEXT(TRIM(N1069),"00000")="89107", TEXT(TRIM(N1069),"00000")="89108"), "Urban Core",
  OR(TEXT(TRIM(N1069),"00000")="89110", TEXT(TRIM(N1069),"00000")="89115", TEXT(TRIM(N1069),"00000")="89121", TEXT(TRIM(N1069),"00000")="89122", TEXT(TRIM(N1069),"00000")="89142", TEXT(TRIM(N1069),"00000")="89156"), "East Valley",
  OR(TEXT(TRIM(N1069),"00000")="89030", TEXT(TRIM(N1069),"00000")="89031", TEXT(TRIM(N1069),"00000")="89032", TEXT(TRIM(N1069),"00000")="89086", TEXT(TRIM(N1069),"00000")="89084", TEXT(TRIM(N1069),"00000")="89081"), "North LV",
  OR(TEXT(TRIM(N1069),"00000")="89109", TEXT(TRIM(N1069),"00000")="89103", TEXT(TRIM(N1069),"00000")="89119", TEXT(TRIM(N1069),"00000")="89123", TEXT(TRIM(N1069),"00000")="89169", TEXT(TRIM(N1069),"00000")="89118"), "South/Strip",
  OR(TEXT(TRIM(N1069),"00000")="89074", TEXT(TRIM(N1069),"00000")="89014", TEXT(TRIM(N1069),"00000")="89015", TEXT(TRIM(N1069),"00000")="89011", TEXT(TRIM(N1069),"00000")="89012"), "Suburban SE",
  OR(TEXT(TRIM(N1069),"00000")="89117", TEXT(TRIM(N1069),"00000")="89128", TEXT(TRIM(N1069),"00000")="89135", TEXT(TRIM(N1069),"00000")="89144", TEXT(TRIM(N1069),"00000")="89145", TEXT(TRIM(N1069),"00000")="89147"), "West Valley",
  TRUE, "Other"
)</f>
        <v>South/Strip</v>
      </c>
      <c r="P1069" t="s">
        <v>3298</v>
      </c>
      <c r="Q1069" t="str">
        <f t="shared" si="66"/>
        <v>Outdoors/Public</v>
      </c>
      <c r="R1069" t="s">
        <v>4576</v>
      </c>
      <c r="S1069" t="s">
        <v>5118</v>
      </c>
      <c r="T1069" t="str" cm="1">
        <f t="array" ref="T1069">_xlfn.IFS(
  TEXT(TRIM(S1069),"00000")="NULL", "Missing/Unknown",
  OR(TEXT(TRIM(S1069),"00000")="89101", TEXT(TRIM(S1069),"00000")="89104", TEXT(TRIM(S1069),"00000")="89106", TEXT(TRIM(S1069),"00000")="89102", TEXT(TRIM(S1069),"00000")="89107", TEXT(TRIM(S1069),"00000")="89108"), "Urban Core",
  OR(TEXT(TRIM(S1069),"00000")="89110", TEXT(TRIM(S1069),"00000")="89115", TEXT(TRIM(S1069),"00000")="89121", TEXT(TRIM(S1069),"00000")="89122", TEXT(TRIM(S1069),"00000")="89142", TEXT(TRIM(S1069),"00000")="89156"), "East Valley",
  OR(TEXT(TRIM(S1069),"00000")="89030", TEXT(TRIM(S1069),"00000")="89031", TEXT(TRIM(S1069),"00000")="89032", TEXT(TRIM(S1069),"00000")="89086", TEXT(TRIM(S1069),"00000")="89084", TEXT(TRIM(S1069),"00000")="89081"), "North LV",
  OR(TEXT(TRIM(S1069),"00000")="89109", TEXT(TRIM(S1069),"00000")="89103", TEXT(TRIM(S1069),"00000")="89119", TEXT(TRIM(S1069),"00000")="89123", TEXT(TRIM(S1069),"00000")="89169", TEXT(TRIM(S1069),"00000")="89118"), "South/Strip",
  OR(TEXT(TRIM(S1069),"00000")="89074", TEXT(TRIM(S1069),"00000")="89014", TEXT(TRIM(S1069),"00000")="89015", TEXT(TRIM(S1069),"00000")="89011", TEXT(TRIM(S1069),"00000")="89012"), "Suburban SE",
  OR(TEXT(TRIM(S1069),"00000")="89117", TEXT(TRIM(S1069),"00000")="89128", TEXT(TRIM(S1069),"00000")="89135", TEXT(TRIM(S1069),"00000")="89144", TEXT(TRIM(S1069),"00000")="89145", TEXT(TRIM(S1069),"00000")="89147"), "West Valley",
  TRUE, "Other"
)</f>
        <v>South/Strip</v>
      </c>
      <c r="U1069" t="s">
        <v>4301</v>
      </c>
      <c r="V1069" t="str">
        <f t="shared" si="67"/>
        <v>Medical Facility</v>
      </c>
    </row>
    <row r="1070" spans="1:22">
      <c r="A1070" t="s">
        <v>1985</v>
      </c>
      <c r="B1070" t="s">
        <v>1986</v>
      </c>
      <c r="C1070" s="1">
        <v>44387</v>
      </c>
      <c r="D1070" s="4">
        <v>116.96</v>
      </c>
      <c r="E1070">
        <v>46</v>
      </c>
      <c r="F1070" t="str">
        <f t="shared" si="64"/>
        <v>40's</v>
      </c>
      <c r="G1070" t="str" cm="1">
        <f t="array" ref="G1070">_xlfn.IFS(
  F1070="10's", "Child (5–12)",
  OR(F1070="20's", F1070="30's"), "Young Adult (20–39)",
  OR(F1070="40's", F1070="50's"), "Adult (40–59)",
  OR(F1070="60's", F1070="70's", F1070="80's", F1070="90's"), "Senior (60+)",
  TRUE, "Unknown"
)</f>
        <v>Adult (40–59)</v>
      </c>
      <c r="H1070" t="s">
        <v>841</v>
      </c>
      <c r="I1070" t="s">
        <v>54</v>
      </c>
      <c r="J1070" t="str">
        <f t="shared" si="65"/>
        <v>Environmental Heat</v>
      </c>
      <c r="K1070" t="s">
        <v>4281</v>
      </c>
      <c r="L1070" t="s">
        <v>250</v>
      </c>
      <c r="M1070" t="s">
        <v>4848</v>
      </c>
      <c r="N1070" t="s">
        <v>5123</v>
      </c>
      <c r="O1070" t="str" cm="1">
        <f t="array" ref="O1070">_xlfn.IFS(
  TEXT(TRIM(N1070),"00000")="NULL", "Missing/Unknown",
  OR(TEXT(TRIM(N1070),"00000")="89101", TEXT(TRIM(N1070),"00000")="89104", TEXT(TRIM(N1070),"00000")="89106", TEXT(TRIM(N1070),"00000")="89102", TEXT(TRIM(N1070),"00000")="89107", TEXT(TRIM(N1070),"00000")="89108"), "Urban Core",
  OR(TEXT(TRIM(N1070),"00000")="89110", TEXT(TRIM(N1070),"00000")="89115", TEXT(TRIM(N1070),"00000")="89121", TEXT(TRIM(N1070),"00000")="89122", TEXT(TRIM(N1070),"00000")="89142", TEXT(TRIM(N1070),"00000")="89156"), "East Valley",
  OR(TEXT(TRIM(N1070),"00000")="89030", TEXT(TRIM(N1070),"00000")="89031", TEXT(TRIM(N1070),"00000")="89032", TEXT(TRIM(N1070),"00000")="89086", TEXT(TRIM(N1070),"00000")="89084", TEXT(TRIM(N1070),"00000")="89081"), "North LV",
  OR(TEXT(TRIM(N1070),"00000")="89109", TEXT(TRIM(N1070),"00000")="89103", TEXT(TRIM(N1070),"00000")="89119", TEXT(TRIM(N1070),"00000")="89123", TEXT(TRIM(N1070),"00000")="89169", TEXT(TRIM(N1070),"00000")="89118"), "South/Strip",
  OR(TEXT(TRIM(N1070),"00000")="89074", TEXT(TRIM(N1070),"00000")="89014", TEXT(TRIM(N1070),"00000")="89015", TEXT(TRIM(N1070),"00000")="89011", TEXT(TRIM(N1070),"00000")="89012"), "Suburban SE",
  OR(TEXT(TRIM(N1070),"00000")="89117", TEXT(TRIM(N1070),"00000")="89128", TEXT(TRIM(N1070),"00000")="89135", TEXT(TRIM(N1070),"00000")="89144", TEXT(TRIM(N1070),"00000")="89145", TEXT(TRIM(N1070),"00000")="89147"), "West Valley",
  TRUE, "Other"
)</f>
        <v>South/Strip</v>
      </c>
      <c r="P1070" t="s">
        <v>3298</v>
      </c>
      <c r="Q1070" t="str">
        <f t="shared" si="66"/>
        <v>Outdoors/Public</v>
      </c>
      <c r="R1070" t="s">
        <v>4848</v>
      </c>
      <c r="S1070" t="s">
        <v>5123</v>
      </c>
      <c r="T1070" t="str" cm="1">
        <f t="array" ref="T1070">_xlfn.IFS(
  TEXT(TRIM(S1070),"00000")="NULL", "Missing/Unknown",
  OR(TEXT(TRIM(S1070),"00000")="89101", TEXT(TRIM(S1070),"00000")="89104", TEXT(TRIM(S1070),"00000")="89106", TEXT(TRIM(S1070),"00000")="89102", TEXT(TRIM(S1070),"00000")="89107", TEXT(TRIM(S1070),"00000")="89108"), "Urban Core",
  OR(TEXT(TRIM(S1070),"00000")="89110", TEXT(TRIM(S1070),"00000")="89115", TEXT(TRIM(S1070),"00000")="89121", TEXT(TRIM(S1070),"00000")="89122", TEXT(TRIM(S1070),"00000")="89142", TEXT(TRIM(S1070),"00000")="89156"), "East Valley",
  OR(TEXT(TRIM(S1070),"00000")="89030", TEXT(TRIM(S1070),"00000")="89031", TEXT(TRIM(S1070),"00000")="89032", TEXT(TRIM(S1070),"00000")="89086", TEXT(TRIM(S1070),"00000")="89084", TEXT(TRIM(S1070),"00000")="89081"), "North LV",
  OR(TEXT(TRIM(S1070),"00000")="89109", TEXT(TRIM(S1070),"00000")="89103", TEXT(TRIM(S1070),"00000")="89119", TEXT(TRIM(S1070),"00000")="89123", TEXT(TRIM(S1070),"00000")="89169", TEXT(TRIM(S1070),"00000")="89118"), "South/Strip",
  OR(TEXT(TRIM(S1070),"00000")="89074", TEXT(TRIM(S1070),"00000")="89014", TEXT(TRIM(S1070),"00000")="89015", TEXT(TRIM(S1070),"00000")="89011", TEXT(TRIM(S1070),"00000")="89012"), "Suburban SE",
  OR(TEXT(TRIM(S1070),"00000")="89117", TEXT(TRIM(S1070),"00000")="89128", TEXT(TRIM(S1070),"00000")="89135", TEXT(TRIM(S1070),"00000")="89144", TEXT(TRIM(S1070),"00000")="89145", TEXT(TRIM(S1070),"00000")="89147"), "West Valley",
  TRUE, "Other"
)</f>
        <v>South/Strip</v>
      </c>
      <c r="U1070" t="s">
        <v>3298</v>
      </c>
      <c r="V1070" t="str">
        <f t="shared" si="67"/>
        <v>Outdoors/Public</v>
      </c>
    </row>
    <row r="1071" spans="1:22">
      <c r="A1071" t="s">
        <v>2019</v>
      </c>
      <c r="B1071" t="s">
        <v>2020</v>
      </c>
      <c r="C1071" s="1">
        <v>44387</v>
      </c>
      <c r="D1071" s="4">
        <v>116.96</v>
      </c>
      <c r="E1071">
        <v>58</v>
      </c>
      <c r="F1071" t="str">
        <f t="shared" si="64"/>
        <v>50's</v>
      </c>
      <c r="G1071" t="str" cm="1">
        <f t="array" ref="G1071">_xlfn.IFS(
  F1071="10's", "Child (5–12)",
  OR(F1071="20's", F1071="30's"), "Young Adult (20–39)",
  OR(F1071="40's", F1071="50's"), "Adult (40–59)",
  OR(F1071="60's", F1071="70's", F1071="80's", F1071="90's"), "Senior (60+)",
  TRUE, "Unknown"
)</f>
        <v>Adult (40–59)</v>
      </c>
      <c r="H1071" t="s">
        <v>841</v>
      </c>
      <c r="I1071" t="s">
        <v>54</v>
      </c>
      <c r="J1071" t="str">
        <f t="shared" si="65"/>
        <v>Environmental Heat</v>
      </c>
      <c r="K1071" t="s">
        <v>172</v>
      </c>
      <c r="L1071" t="s">
        <v>250</v>
      </c>
      <c r="M1071" t="s">
        <v>4881</v>
      </c>
      <c r="N1071" t="s">
        <v>5097</v>
      </c>
      <c r="O1071" t="str" cm="1">
        <f t="array" ref="O1071">_xlfn.IFS(
  TEXT(TRIM(N1071),"00000")="NULL", "Missing/Unknown",
  OR(TEXT(TRIM(N1071),"00000")="89101", TEXT(TRIM(N1071),"00000")="89104", TEXT(TRIM(N1071),"00000")="89106", TEXT(TRIM(N1071),"00000")="89102", TEXT(TRIM(N1071),"00000")="89107", TEXT(TRIM(N1071),"00000")="89108"), "Urban Core",
  OR(TEXT(TRIM(N1071),"00000")="89110", TEXT(TRIM(N1071),"00000")="89115", TEXT(TRIM(N1071),"00000")="89121", TEXT(TRIM(N1071),"00000")="89122", TEXT(TRIM(N1071),"00000")="89142", TEXT(TRIM(N1071),"00000")="89156"), "East Valley",
  OR(TEXT(TRIM(N1071),"00000")="89030", TEXT(TRIM(N1071),"00000")="89031", TEXT(TRIM(N1071),"00000")="89032", TEXT(TRIM(N1071),"00000")="89086", TEXT(TRIM(N1071),"00000")="89084", TEXT(TRIM(N1071),"00000")="89081"), "North LV",
  OR(TEXT(TRIM(N1071),"00000")="89109", TEXT(TRIM(N1071),"00000")="89103", TEXT(TRIM(N1071),"00000")="89119", TEXT(TRIM(N1071),"00000")="89123", TEXT(TRIM(N1071),"00000")="89169", TEXT(TRIM(N1071),"00000")="89118"), "South/Strip",
  OR(TEXT(TRIM(N1071),"00000")="89074", TEXT(TRIM(N1071),"00000")="89014", TEXT(TRIM(N1071),"00000")="89015", TEXT(TRIM(N1071),"00000")="89011", TEXT(TRIM(N1071),"00000")="89012"), "Suburban SE",
  OR(TEXT(TRIM(N1071),"00000")="89117", TEXT(TRIM(N1071),"00000")="89128", TEXT(TRIM(N1071),"00000")="89135", TEXT(TRIM(N1071),"00000")="89144", TEXT(TRIM(N1071),"00000")="89145", TEXT(TRIM(N1071),"00000")="89147"), "West Valley",
  TRUE, "Other"
)</f>
        <v>Urban Core</v>
      </c>
      <c r="P1071" t="s">
        <v>24</v>
      </c>
      <c r="Q1071" t="str">
        <f t="shared" si="66"/>
        <v>Outdoors/Public</v>
      </c>
      <c r="R1071" t="s">
        <v>4881</v>
      </c>
      <c r="S1071" t="s">
        <v>5097</v>
      </c>
      <c r="T1071" t="str" cm="1">
        <f t="array" ref="T1071">_xlfn.IFS(
  TEXT(TRIM(S1071),"00000")="NULL", "Missing/Unknown",
  OR(TEXT(TRIM(S1071),"00000")="89101", TEXT(TRIM(S1071),"00000")="89104", TEXT(TRIM(S1071),"00000")="89106", TEXT(TRIM(S1071),"00000")="89102", TEXT(TRIM(S1071),"00000")="89107", TEXT(TRIM(S1071),"00000")="89108"), "Urban Core",
  OR(TEXT(TRIM(S1071),"00000")="89110", TEXT(TRIM(S1071),"00000")="89115", TEXT(TRIM(S1071),"00000")="89121", TEXT(TRIM(S1071),"00000")="89122", TEXT(TRIM(S1071),"00000")="89142", TEXT(TRIM(S1071),"00000")="89156"), "East Valley",
  OR(TEXT(TRIM(S1071),"00000")="89030", TEXT(TRIM(S1071),"00000")="89031", TEXT(TRIM(S1071),"00000")="89032", TEXT(TRIM(S1071),"00000")="89086", TEXT(TRIM(S1071),"00000")="89084", TEXT(TRIM(S1071),"00000")="89081"), "North LV",
  OR(TEXT(TRIM(S1071),"00000")="89109", TEXT(TRIM(S1071),"00000")="89103", TEXT(TRIM(S1071),"00000")="89119", TEXT(TRIM(S1071),"00000")="89123", TEXT(TRIM(S1071),"00000")="89169", TEXT(TRIM(S1071),"00000")="89118"), "South/Strip",
  OR(TEXT(TRIM(S1071),"00000")="89074", TEXT(TRIM(S1071),"00000")="89014", TEXT(TRIM(S1071),"00000")="89015", TEXT(TRIM(S1071),"00000")="89011", TEXT(TRIM(S1071),"00000")="89012"), "Suburban SE",
  OR(TEXT(TRIM(S1071),"00000")="89117", TEXT(TRIM(S1071),"00000")="89128", TEXT(TRIM(S1071),"00000")="89135", TEXT(TRIM(S1071),"00000")="89144", TEXT(TRIM(S1071),"00000")="89145", TEXT(TRIM(S1071),"00000")="89147"), "West Valley",
  TRUE, "Other"
)</f>
        <v>Urban Core</v>
      </c>
      <c r="U1071" t="s">
        <v>24</v>
      </c>
      <c r="V1071" t="str">
        <f t="shared" si="67"/>
        <v>Outdoors/Public</v>
      </c>
    </row>
    <row r="1072" spans="1:22">
      <c r="A1072" t="s">
        <v>1997</v>
      </c>
      <c r="B1072" t="s">
        <v>1998</v>
      </c>
      <c r="C1072" s="1">
        <v>44387</v>
      </c>
      <c r="D1072" s="4">
        <v>116.96</v>
      </c>
      <c r="E1072">
        <v>68</v>
      </c>
      <c r="F1072" t="str">
        <f t="shared" si="64"/>
        <v>60's</v>
      </c>
      <c r="G1072" t="str" cm="1">
        <f t="array" ref="G1072">_xlfn.IFS(
  F1072="10's", "Child (5–12)",
  OR(F1072="20's", F1072="30's"), "Young Adult (20–39)",
  OR(F1072="40's", F1072="50's"), "Adult (40–59)",
  OR(F1072="60's", F1072="70's", F1072="80's", F1072="90's"), "Senior (60+)",
  TRUE, "Unknown"
)</f>
        <v>Senior (60+)</v>
      </c>
      <c r="H1072" t="s">
        <v>841</v>
      </c>
      <c r="I1072" t="s">
        <v>54</v>
      </c>
      <c r="J1072" t="str">
        <f t="shared" si="65"/>
        <v>Environmental Heat</v>
      </c>
      <c r="K1072" t="s">
        <v>1715</v>
      </c>
      <c r="L1072" t="s">
        <v>3945</v>
      </c>
      <c r="N1072" t="s">
        <v>5095</v>
      </c>
      <c r="O1072" t="str" cm="1">
        <f t="array" ref="O1072">_xlfn.IFS(
  TEXT(TRIM(N1072),"00000")="NULL", "Missing/Unknown",
  OR(TEXT(TRIM(N1072),"00000")="89101", TEXT(TRIM(N1072),"00000")="89104", TEXT(TRIM(N1072),"00000")="89106", TEXT(TRIM(N1072),"00000")="89102", TEXT(TRIM(N1072),"00000")="89107", TEXT(TRIM(N1072),"00000")="89108"), "Urban Core",
  OR(TEXT(TRIM(N1072),"00000")="89110", TEXT(TRIM(N1072),"00000")="89115", TEXT(TRIM(N1072),"00000")="89121", TEXT(TRIM(N1072),"00000")="89122", TEXT(TRIM(N1072),"00000")="89142", TEXT(TRIM(N1072),"00000")="89156"), "East Valley",
  OR(TEXT(TRIM(N1072),"00000")="89030", TEXT(TRIM(N1072),"00000")="89031", TEXT(TRIM(N1072),"00000")="89032", TEXT(TRIM(N1072),"00000")="89086", TEXT(TRIM(N1072),"00000")="89084", TEXT(TRIM(N1072),"00000")="89081"), "North LV",
  OR(TEXT(TRIM(N1072),"00000")="89109", TEXT(TRIM(N1072),"00000")="89103", TEXT(TRIM(N1072),"00000")="89119", TEXT(TRIM(N1072),"00000")="89123", TEXT(TRIM(N1072),"00000")="89169", TEXT(TRIM(N1072),"00000")="89118"), "South/Strip",
  OR(TEXT(TRIM(N1072),"00000")="89074", TEXT(TRIM(N1072),"00000")="89014", TEXT(TRIM(N1072),"00000")="89015", TEXT(TRIM(N1072),"00000")="89011", TEXT(TRIM(N1072),"00000")="89012"), "Suburban SE",
  OR(TEXT(TRIM(N1072),"00000")="89117", TEXT(TRIM(N1072),"00000")="89128", TEXT(TRIM(N1072),"00000")="89135", TEXT(TRIM(N1072),"00000")="89144", TEXT(TRIM(N1072),"00000")="89145", TEXT(TRIM(N1072),"00000")="89147"), "West Valley",
  TRUE, "Other"
)</f>
        <v>Missing/Unknown</v>
      </c>
      <c r="P1072" t="s">
        <v>3298</v>
      </c>
      <c r="Q1072" t="str">
        <f t="shared" si="66"/>
        <v>Outdoors/Public</v>
      </c>
      <c r="S1072" t="s">
        <v>5095</v>
      </c>
      <c r="T1072" t="str" cm="1">
        <f t="array" ref="T1072">_xlfn.IFS(
  TEXT(TRIM(S1072),"00000")="NULL", "Missing/Unknown",
  OR(TEXT(TRIM(S1072),"00000")="89101", TEXT(TRIM(S1072),"00000")="89104", TEXT(TRIM(S1072),"00000")="89106", TEXT(TRIM(S1072),"00000")="89102", TEXT(TRIM(S1072),"00000")="89107", TEXT(TRIM(S1072),"00000")="89108"), "Urban Core",
  OR(TEXT(TRIM(S1072),"00000")="89110", TEXT(TRIM(S1072),"00000")="89115", TEXT(TRIM(S1072),"00000")="89121", TEXT(TRIM(S1072),"00000")="89122", TEXT(TRIM(S1072),"00000")="89142", TEXT(TRIM(S1072),"00000")="89156"), "East Valley",
  OR(TEXT(TRIM(S1072),"00000")="89030", TEXT(TRIM(S1072),"00000")="89031", TEXT(TRIM(S1072),"00000")="89032", TEXT(TRIM(S1072),"00000")="89086", TEXT(TRIM(S1072),"00000")="89084", TEXT(TRIM(S1072),"00000")="89081"), "North LV",
  OR(TEXT(TRIM(S1072),"00000")="89109", TEXT(TRIM(S1072),"00000")="89103", TEXT(TRIM(S1072),"00000")="89119", TEXT(TRIM(S1072),"00000")="89123", TEXT(TRIM(S1072),"00000")="89169", TEXT(TRIM(S1072),"00000")="89118"), "South/Strip",
  OR(TEXT(TRIM(S1072),"00000")="89074", TEXT(TRIM(S1072),"00000")="89014", TEXT(TRIM(S1072),"00000")="89015", TEXT(TRIM(S1072),"00000")="89011", TEXT(TRIM(S1072),"00000")="89012"), "Suburban SE",
  OR(TEXT(TRIM(S1072),"00000")="89117", TEXT(TRIM(S1072),"00000")="89128", TEXT(TRIM(S1072),"00000")="89135", TEXT(TRIM(S1072),"00000")="89144", TEXT(TRIM(S1072),"00000")="89145", TEXT(TRIM(S1072),"00000")="89147"), "West Valley",
  TRUE, "Other"
)</f>
        <v>Missing/Unknown</v>
      </c>
      <c r="U1072" t="s">
        <v>3298</v>
      </c>
      <c r="V1072" t="str">
        <f t="shared" si="67"/>
        <v>Outdoors/Public</v>
      </c>
    </row>
    <row r="1073" spans="1:22">
      <c r="A1073" t="s">
        <v>1979</v>
      </c>
      <c r="B1073" t="s">
        <v>1980</v>
      </c>
      <c r="C1073" s="1">
        <v>44386</v>
      </c>
      <c r="D1073" s="4">
        <v>116.96</v>
      </c>
      <c r="E1073">
        <v>71</v>
      </c>
      <c r="F1073" t="str">
        <f t="shared" si="64"/>
        <v>70's</v>
      </c>
      <c r="G1073" t="str" cm="1">
        <f t="array" ref="G1073">_xlfn.IFS(
  F1073="10's", "Child (5–12)",
  OR(F1073="20's", F1073="30's"), "Young Adult (20–39)",
  OR(F1073="40's", F1073="50's"), "Adult (40–59)",
  OR(F1073="60's", F1073="70's", F1073="80's", F1073="90's"), "Senior (60+)",
  TRUE, "Unknown"
)</f>
        <v>Senior (60+)</v>
      </c>
      <c r="H1073" t="s">
        <v>841</v>
      </c>
      <c r="I1073" t="s">
        <v>1028</v>
      </c>
      <c r="J1073" t="str">
        <f t="shared" si="65"/>
        <v>Methamphetamine-related</v>
      </c>
      <c r="K1073" t="s">
        <v>1981</v>
      </c>
      <c r="L1073" t="s">
        <v>250</v>
      </c>
      <c r="M1073" t="s">
        <v>4853</v>
      </c>
      <c r="N1073" t="s">
        <v>5123</v>
      </c>
      <c r="O1073" t="str" cm="1">
        <f t="array" ref="O1073">_xlfn.IFS(
  TEXT(TRIM(N1073),"00000")="NULL", "Missing/Unknown",
  OR(TEXT(TRIM(N1073),"00000")="89101", TEXT(TRIM(N1073),"00000")="89104", TEXT(TRIM(N1073),"00000")="89106", TEXT(TRIM(N1073),"00000")="89102", TEXT(TRIM(N1073),"00000")="89107", TEXT(TRIM(N1073),"00000")="89108"), "Urban Core",
  OR(TEXT(TRIM(N1073),"00000")="89110", TEXT(TRIM(N1073),"00000")="89115", TEXT(TRIM(N1073),"00000")="89121", TEXT(TRIM(N1073),"00000")="89122", TEXT(TRIM(N1073),"00000")="89142", TEXT(TRIM(N1073),"00000")="89156"), "East Valley",
  OR(TEXT(TRIM(N1073),"00000")="89030", TEXT(TRIM(N1073),"00000")="89031", TEXT(TRIM(N1073),"00000")="89032", TEXT(TRIM(N1073),"00000")="89086", TEXT(TRIM(N1073),"00000")="89084", TEXT(TRIM(N1073),"00000")="89081"), "North LV",
  OR(TEXT(TRIM(N1073),"00000")="89109", TEXT(TRIM(N1073),"00000")="89103", TEXT(TRIM(N1073),"00000")="89119", TEXT(TRIM(N1073),"00000")="89123", TEXT(TRIM(N1073),"00000")="89169", TEXT(TRIM(N1073),"00000")="89118"), "South/Strip",
  OR(TEXT(TRIM(N1073),"00000")="89074", TEXT(TRIM(N1073),"00000")="89014", TEXT(TRIM(N1073),"00000")="89015", TEXT(TRIM(N1073),"00000")="89011", TEXT(TRIM(N1073),"00000")="89012"), "Suburban SE",
  OR(TEXT(TRIM(N1073),"00000")="89117", TEXT(TRIM(N1073),"00000")="89128", TEXT(TRIM(N1073),"00000")="89135", TEXT(TRIM(N1073),"00000")="89144", TEXT(TRIM(N1073),"00000")="89145", TEXT(TRIM(N1073),"00000")="89147"), "West Valley",
  TRUE, "Other"
)</f>
        <v>South/Strip</v>
      </c>
      <c r="P1073" t="s">
        <v>3298</v>
      </c>
      <c r="Q1073" t="str">
        <f t="shared" si="66"/>
        <v>Outdoors/Public</v>
      </c>
      <c r="R1073" t="s">
        <v>4853</v>
      </c>
      <c r="S1073" t="s">
        <v>5123</v>
      </c>
      <c r="T1073" t="str" cm="1">
        <f t="array" ref="T1073">_xlfn.IFS(
  TEXT(TRIM(S1073),"00000")="NULL", "Missing/Unknown",
  OR(TEXT(TRIM(S1073),"00000")="89101", TEXT(TRIM(S1073),"00000")="89104", TEXT(TRIM(S1073),"00000")="89106", TEXT(TRIM(S1073),"00000")="89102", TEXT(TRIM(S1073),"00000")="89107", TEXT(TRIM(S1073),"00000")="89108"), "Urban Core",
  OR(TEXT(TRIM(S1073),"00000")="89110", TEXT(TRIM(S1073),"00000")="89115", TEXT(TRIM(S1073),"00000")="89121", TEXT(TRIM(S1073),"00000")="89122", TEXT(TRIM(S1073),"00000")="89142", TEXT(TRIM(S1073),"00000")="89156"), "East Valley",
  OR(TEXT(TRIM(S1073),"00000")="89030", TEXT(TRIM(S1073),"00000")="89031", TEXT(TRIM(S1073),"00000")="89032", TEXT(TRIM(S1073),"00000")="89086", TEXT(TRIM(S1073),"00000")="89084", TEXT(TRIM(S1073),"00000")="89081"), "North LV",
  OR(TEXT(TRIM(S1073),"00000")="89109", TEXT(TRIM(S1073),"00000")="89103", TEXT(TRIM(S1073),"00000")="89119", TEXT(TRIM(S1073),"00000")="89123", TEXT(TRIM(S1073),"00000")="89169", TEXT(TRIM(S1073),"00000")="89118"), "South/Strip",
  OR(TEXT(TRIM(S1073),"00000")="89074", TEXT(TRIM(S1073),"00000")="89014", TEXT(TRIM(S1073),"00000")="89015", TEXT(TRIM(S1073),"00000")="89011", TEXT(TRIM(S1073),"00000")="89012"), "Suburban SE",
  OR(TEXT(TRIM(S1073),"00000")="89117", TEXT(TRIM(S1073),"00000")="89128", TEXT(TRIM(S1073),"00000")="89135", TEXT(TRIM(S1073),"00000")="89144", TEXT(TRIM(S1073),"00000")="89145", TEXT(TRIM(S1073),"00000")="89147"), "West Valley",
  TRUE, "Other"
)</f>
        <v>South/Strip</v>
      </c>
      <c r="U1073" t="s">
        <v>3298</v>
      </c>
      <c r="V1073" t="str">
        <f t="shared" si="67"/>
        <v>Outdoors/Public</v>
      </c>
    </row>
    <row r="1074" spans="1:22">
      <c r="A1074" t="s">
        <v>1969</v>
      </c>
      <c r="B1074" t="s">
        <v>1970</v>
      </c>
      <c r="C1074" s="1">
        <v>44386</v>
      </c>
      <c r="D1074" s="4">
        <v>116.96</v>
      </c>
      <c r="E1074">
        <v>46</v>
      </c>
      <c r="F1074" t="str">
        <f t="shared" si="64"/>
        <v>40's</v>
      </c>
      <c r="G1074" t="str" cm="1">
        <f t="array" ref="G1074">_xlfn.IFS(
  F1074="10's", "Child (5–12)",
  OR(F1074="20's", F1074="30's"), "Young Adult (20–39)",
  OR(F1074="40's", F1074="50's"), "Adult (40–59)",
  OR(F1074="60's", F1074="70's", F1074="80's", F1074="90's"), "Senior (60+)",
  TRUE, "Unknown"
)</f>
        <v>Adult (40–59)</v>
      </c>
      <c r="H1074" t="s">
        <v>778</v>
      </c>
      <c r="I1074" t="s">
        <v>97</v>
      </c>
      <c r="J1074" t="str">
        <f t="shared" si="65"/>
        <v>Environmental Heat</v>
      </c>
      <c r="K1074" t="s">
        <v>1971</v>
      </c>
      <c r="L1074" t="s">
        <v>250</v>
      </c>
      <c r="M1074" t="s">
        <v>4342</v>
      </c>
      <c r="N1074" t="s">
        <v>5101</v>
      </c>
      <c r="O1074" t="str" cm="1">
        <f t="array" ref="O1074">_xlfn.IFS(
  TEXT(TRIM(N1074),"00000")="NULL", "Missing/Unknown",
  OR(TEXT(TRIM(N1074),"00000")="89101", TEXT(TRIM(N1074),"00000")="89104", TEXT(TRIM(N1074),"00000")="89106", TEXT(TRIM(N1074),"00000")="89102", TEXT(TRIM(N1074),"00000")="89107", TEXT(TRIM(N1074),"00000")="89108"), "Urban Core",
  OR(TEXT(TRIM(N1074),"00000")="89110", TEXT(TRIM(N1074),"00000")="89115", TEXT(TRIM(N1074),"00000")="89121", TEXT(TRIM(N1074),"00000")="89122", TEXT(TRIM(N1074),"00000")="89142", TEXT(TRIM(N1074),"00000")="89156"), "East Valley",
  OR(TEXT(TRIM(N1074),"00000")="89030", TEXT(TRIM(N1074),"00000")="89031", TEXT(TRIM(N1074),"00000")="89032", TEXT(TRIM(N1074),"00000")="89086", TEXT(TRIM(N1074),"00000")="89084", TEXT(TRIM(N1074),"00000")="89081"), "North LV",
  OR(TEXT(TRIM(N1074),"00000")="89109", TEXT(TRIM(N1074),"00000")="89103", TEXT(TRIM(N1074),"00000")="89119", TEXT(TRIM(N1074),"00000")="89123", TEXT(TRIM(N1074),"00000")="89169", TEXT(TRIM(N1074),"00000")="89118"), "South/Strip",
  OR(TEXT(TRIM(N1074),"00000")="89074", TEXT(TRIM(N1074),"00000")="89014", TEXT(TRIM(N1074),"00000")="89015", TEXT(TRIM(N1074),"00000")="89011", TEXT(TRIM(N1074),"00000")="89012"), "Suburban SE",
  OR(TEXT(TRIM(N1074),"00000")="89117", TEXT(TRIM(N1074),"00000")="89128", TEXT(TRIM(N1074),"00000")="89135", TEXT(TRIM(N1074),"00000")="89144", TEXT(TRIM(N1074),"00000")="89145", TEXT(TRIM(N1074),"00000")="89147"), "West Valley",
  TRUE, "Other"
)</f>
        <v>Urban Core</v>
      </c>
      <c r="P1074" t="s">
        <v>3298</v>
      </c>
      <c r="Q1074" t="str">
        <f t="shared" si="66"/>
        <v>Outdoors/Public</v>
      </c>
      <c r="R1074" t="s">
        <v>4341</v>
      </c>
      <c r="S1074" t="s">
        <v>5100</v>
      </c>
      <c r="T1074" t="str" cm="1">
        <f t="array" ref="T1074">_xlfn.IFS(
  TEXT(TRIM(S1074),"00000")="NULL", "Missing/Unknown",
  OR(TEXT(TRIM(S1074),"00000")="89101", TEXT(TRIM(S1074),"00000")="89104", TEXT(TRIM(S1074),"00000")="89106", TEXT(TRIM(S1074),"00000")="89102", TEXT(TRIM(S1074),"00000")="89107", TEXT(TRIM(S1074),"00000")="89108"), "Urban Core",
  OR(TEXT(TRIM(S1074),"00000")="89110", TEXT(TRIM(S1074),"00000")="89115", TEXT(TRIM(S1074),"00000")="89121", TEXT(TRIM(S1074),"00000")="89122", TEXT(TRIM(S1074),"00000")="89142", TEXT(TRIM(S1074),"00000")="89156"), "East Valley",
  OR(TEXT(TRIM(S1074),"00000")="89030", TEXT(TRIM(S1074),"00000")="89031", TEXT(TRIM(S1074),"00000")="89032", TEXT(TRIM(S1074),"00000")="89086", TEXT(TRIM(S1074),"00000")="89084", TEXT(TRIM(S1074),"00000")="89081"), "North LV",
  OR(TEXT(TRIM(S1074),"00000")="89109", TEXT(TRIM(S1074),"00000")="89103", TEXT(TRIM(S1074),"00000")="89119", TEXT(TRIM(S1074),"00000")="89123", TEXT(TRIM(S1074),"00000")="89169", TEXT(TRIM(S1074),"00000")="89118"), "South/Strip",
  OR(TEXT(TRIM(S1074),"00000")="89074", TEXT(TRIM(S1074),"00000")="89014", TEXT(TRIM(S1074),"00000")="89015", TEXT(TRIM(S1074),"00000")="89011", TEXT(TRIM(S1074),"00000")="89012"), "Suburban SE",
  OR(TEXT(TRIM(S1074),"00000")="89117", TEXT(TRIM(S1074),"00000")="89128", TEXT(TRIM(S1074),"00000")="89135", TEXT(TRIM(S1074),"00000")="89144", TEXT(TRIM(S1074),"00000")="89145", TEXT(TRIM(S1074),"00000")="89147"), "West Valley",
  TRUE, "Other"
)</f>
        <v>North LV</v>
      </c>
      <c r="U1074" t="s">
        <v>4301</v>
      </c>
      <c r="V1074" t="str">
        <f t="shared" si="67"/>
        <v>Medical Facility</v>
      </c>
    </row>
    <row r="1075" spans="1:22">
      <c r="A1075" t="s">
        <v>1945</v>
      </c>
      <c r="B1075" t="s">
        <v>1946</v>
      </c>
      <c r="C1075" s="1">
        <v>44386</v>
      </c>
      <c r="D1075" s="4">
        <v>116.96</v>
      </c>
      <c r="E1075">
        <v>74</v>
      </c>
      <c r="F1075" t="str">
        <f t="shared" si="64"/>
        <v>70's</v>
      </c>
      <c r="G1075" t="str" cm="1">
        <f t="array" ref="G1075">_xlfn.IFS(
  F1075="10's", "Child (5–12)",
  OR(F1075="20's", F1075="30's"), "Young Adult (20–39)",
  OR(F1075="40's", F1075="50's"), "Adult (40–59)",
  OR(F1075="60's", F1075="70's", F1075="80's", F1075="90's"), "Senior (60+)",
  TRUE, "Unknown"
)</f>
        <v>Senior (60+)</v>
      </c>
      <c r="H1075" t="s">
        <v>841</v>
      </c>
      <c r="I1075" t="s">
        <v>54</v>
      </c>
      <c r="J1075" t="str">
        <f t="shared" si="65"/>
        <v>Environmental Heat</v>
      </c>
      <c r="K1075" t="s">
        <v>172</v>
      </c>
      <c r="L1075" t="s">
        <v>1071</v>
      </c>
      <c r="M1075" t="s">
        <v>4364</v>
      </c>
      <c r="N1075" t="s">
        <v>5098</v>
      </c>
      <c r="O1075" t="str" cm="1">
        <f t="array" ref="O1075">_xlfn.IFS(
  TEXT(TRIM(N1075),"00000")="NULL", "Missing/Unknown",
  OR(TEXT(TRIM(N1075),"00000")="89101", TEXT(TRIM(N1075),"00000")="89104", TEXT(TRIM(N1075),"00000")="89106", TEXT(TRIM(N1075),"00000")="89102", TEXT(TRIM(N1075),"00000")="89107", TEXT(TRIM(N1075),"00000")="89108"), "Urban Core",
  OR(TEXT(TRIM(N1075),"00000")="89110", TEXT(TRIM(N1075),"00000")="89115", TEXT(TRIM(N1075),"00000")="89121", TEXT(TRIM(N1075),"00000")="89122", TEXT(TRIM(N1075),"00000")="89142", TEXT(TRIM(N1075),"00000")="89156"), "East Valley",
  OR(TEXT(TRIM(N1075),"00000")="89030", TEXT(TRIM(N1075),"00000")="89031", TEXT(TRIM(N1075),"00000")="89032", TEXT(TRIM(N1075),"00000")="89086", TEXT(TRIM(N1075),"00000")="89084", TEXT(TRIM(N1075),"00000")="89081"), "North LV",
  OR(TEXT(TRIM(N1075),"00000")="89109", TEXT(TRIM(N1075),"00000")="89103", TEXT(TRIM(N1075),"00000")="89119", TEXT(TRIM(N1075),"00000")="89123", TEXT(TRIM(N1075),"00000")="89169", TEXT(TRIM(N1075),"00000")="89118"), "South/Strip",
  OR(TEXT(TRIM(N1075),"00000")="89074", TEXT(TRIM(N1075),"00000")="89014", TEXT(TRIM(N1075),"00000")="89015", TEXT(TRIM(N1075),"00000")="89011", TEXT(TRIM(N1075),"00000")="89012"), "Suburban SE",
  OR(TEXT(TRIM(N1075),"00000")="89117", TEXT(TRIM(N1075),"00000")="89128", TEXT(TRIM(N1075),"00000")="89135", TEXT(TRIM(N1075),"00000")="89144", TEXT(TRIM(N1075),"00000")="89145", TEXT(TRIM(N1075),"00000")="89147"), "West Valley",
  TRUE, "Other"
)</f>
        <v>Urban Core</v>
      </c>
      <c r="P1075" t="s">
        <v>38</v>
      </c>
      <c r="Q1075" t="str">
        <f t="shared" si="66"/>
        <v>Home/Residence</v>
      </c>
      <c r="R1075" t="s">
        <v>4364</v>
      </c>
      <c r="S1075" t="s">
        <v>5098</v>
      </c>
      <c r="T1075" t="str" cm="1">
        <f t="array" ref="T1075">_xlfn.IFS(
  TEXT(TRIM(S1075),"00000")="NULL", "Missing/Unknown",
  OR(TEXT(TRIM(S1075),"00000")="89101", TEXT(TRIM(S1075),"00000")="89104", TEXT(TRIM(S1075),"00000")="89106", TEXT(TRIM(S1075),"00000")="89102", TEXT(TRIM(S1075),"00000")="89107", TEXT(TRIM(S1075),"00000")="89108"), "Urban Core",
  OR(TEXT(TRIM(S1075),"00000")="89110", TEXT(TRIM(S1075),"00000")="89115", TEXT(TRIM(S1075),"00000")="89121", TEXT(TRIM(S1075),"00000")="89122", TEXT(TRIM(S1075),"00000")="89142", TEXT(TRIM(S1075),"00000")="89156"), "East Valley",
  OR(TEXT(TRIM(S1075),"00000")="89030", TEXT(TRIM(S1075),"00000")="89031", TEXT(TRIM(S1075),"00000")="89032", TEXT(TRIM(S1075),"00000")="89086", TEXT(TRIM(S1075),"00000")="89084", TEXT(TRIM(S1075),"00000")="89081"), "North LV",
  OR(TEXT(TRIM(S1075),"00000")="89109", TEXT(TRIM(S1075),"00000")="89103", TEXT(TRIM(S1075),"00000")="89119", TEXT(TRIM(S1075),"00000")="89123", TEXT(TRIM(S1075),"00000")="89169", TEXT(TRIM(S1075),"00000")="89118"), "South/Strip",
  OR(TEXT(TRIM(S1075),"00000")="89074", TEXT(TRIM(S1075),"00000")="89014", TEXT(TRIM(S1075),"00000")="89015", TEXT(TRIM(S1075),"00000")="89011", TEXT(TRIM(S1075),"00000")="89012"), "Suburban SE",
  OR(TEXT(TRIM(S1075),"00000")="89117", TEXT(TRIM(S1075),"00000")="89128", TEXT(TRIM(S1075),"00000")="89135", TEXT(TRIM(S1075),"00000")="89144", TEXT(TRIM(S1075),"00000")="89145", TEXT(TRIM(S1075),"00000")="89147"), "West Valley",
  TRUE, "Other"
)</f>
        <v>Urban Core</v>
      </c>
      <c r="U1075" t="s">
        <v>38</v>
      </c>
      <c r="V1075" t="str">
        <f t="shared" si="67"/>
        <v>Home/Residence</v>
      </c>
    </row>
    <row r="1076" spans="1:22">
      <c r="A1076" t="s">
        <v>1948</v>
      </c>
      <c r="B1076" t="s">
        <v>1949</v>
      </c>
      <c r="C1076" s="1">
        <v>44386</v>
      </c>
      <c r="D1076" s="4">
        <v>116.96</v>
      </c>
      <c r="E1076">
        <v>56</v>
      </c>
      <c r="F1076" t="str">
        <f t="shared" si="64"/>
        <v>50's</v>
      </c>
      <c r="G1076" t="str" cm="1">
        <f t="array" ref="G1076">_xlfn.IFS(
  F1076="10's", "Child (5–12)",
  OR(F1076="20's", F1076="30's"), "Young Adult (20–39)",
  OR(F1076="40's", F1076="50's"), "Adult (40–59)",
  OR(F1076="60's", F1076="70's", F1076="80's", F1076="90's"), "Senior (60+)",
  TRUE, "Unknown"
)</f>
        <v>Adult (40–59)</v>
      </c>
      <c r="H1076" t="s">
        <v>4309</v>
      </c>
      <c r="I1076" t="s">
        <v>54</v>
      </c>
      <c r="J1076" t="str">
        <f t="shared" si="65"/>
        <v>Environmental Heat</v>
      </c>
      <c r="K1076" t="s">
        <v>172</v>
      </c>
      <c r="L1076" t="s">
        <v>250</v>
      </c>
      <c r="M1076" t="s">
        <v>4814</v>
      </c>
      <c r="N1076" t="s">
        <v>5100</v>
      </c>
      <c r="O1076" t="str" cm="1">
        <f t="array" ref="O1076">_xlfn.IFS(
  TEXT(TRIM(N1076),"00000")="NULL", "Missing/Unknown",
  OR(TEXT(TRIM(N1076),"00000")="89101", TEXT(TRIM(N1076),"00000")="89104", TEXT(TRIM(N1076),"00000")="89106", TEXT(TRIM(N1076),"00000")="89102", TEXT(TRIM(N1076),"00000")="89107", TEXT(TRIM(N1076),"00000")="89108"), "Urban Core",
  OR(TEXT(TRIM(N1076),"00000")="89110", TEXT(TRIM(N1076),"00000")="89115", TEXT(TRIM(N1076),"00000")="89121", TEXT(TRIM(N1076),"00000")="89122", TEXT(TRIM(N1076),"00000")="89142", TEXT(TRIM(N1076),"00000")="89156"), "East Valley",
  OR(TEXT(TRIM(N1076),"00000")="89030", TEXT(TRIM(N1076),"00000")="89031", TEXT(TRIM(N1076),"00000")="89032", TEXT(TRIM(N1076),"00000")="89086", TEXT(TRIM(N1076),"00000")="89084", TEXT(TRIM(N1076),"00000")="89081"), "North LV",
  OR(TEXT(TRIM(N1076),"00000")="89109", TEXT(TRIM(N1076),"00000")="89103", TEXT(TRIM(N1076),"00000")="89119", TEXT(TRIM(N1076),"00000")="89123", TEXT(TRIM(N1076),"00000")="89169", TEXT(TRIM(N1076),"00000")="89118"), "South/Strip",
  OR(TEXT(TRIM(N1076),"00000")="89074", TEXT(TRIM(N1076),"00000")="89014", TEXT(TRIM(N1076),"00000")="89015", TEXT(TRIM(N1076),"00000")="89011", TEXT(TRIM(N1076),"00000")="89012"), "Suburban SE",
  OR(TEXT(TRIM(N1076),"00000")="89117", TEXT(TRIM(N1076),"00000")="89128", TEXT(TRIM(N1076),"00000")="89135", TEXT(TRIM(N1076),"00000")="89144", TEXT(TRIM(N1076),"00000")="89145", TEXT(TRIM(N1076),"00000")="89147"), "West Valley",
  TRUE, "Other"
)</f>
        <v>North LV</v>
      </c>
      <c r="P1076" t="s">
        <v>3298</v>
      </c>
      <c r="Q1076" t="str">
        <f t="shared" si="66"/>
        <v>Outdoors/Public</v>
      </c>
      <c r="R1076" t="s">
        <v>4814</v>
      </c>
      <c r="S1076" t="s">
        <v>5100</v>
      </c>
      <c r="T1076" t="str" cm="1">
        <f t="array" ref="T1076">_xlfn.IFS(
  TEXT(TRIM(S1076),"00000")="NULL", "Missing/Unknown",
  OR(TEXT(TRIM(S1076),"00000")="89101", TEXT(TRIM(S1076),"00000")="89104", TEXT(TRIM(S1076),"00000")="89106", TEXT(TRIM(S1076),"00000")="89102", TEXT(TRIM(S1076),"00000")="89107", TEXT(TRIM(S1076),"00000")="89108"), "Urban Core",
  OR(TEXT(TRIM(S1076),"00000")="89110", TEXT(TRIM(S1076),"00000")="89115", TEXT(TRIM(S1076),"00000")="89121", TEXT(TRIM(S1076),"00000")="89122", TEXT(TRIM(S1076),"00000")="89142", TEXT(TRIM(S1076),"00000")="89156"), "East Valley",
  OR(TEXT(TRIM(S1076),"00000")="89030", TEXT(TRIM(S1076),"00000")="89031", TEXT(TRIM(S1076),"00000")="89032", TEXT(TRIM(S1076),"00000")="89086", TEXT(TRIM(S1076),"00000")="89084", TEXT(TRIM(S1076),"00000")="89081"), "North LV",
  OR(TEXT(TRIM(S1076),"00000")="89109", TEXT(TRIM(S1076),"00000")="89103", TEXT(TRIM(S1076),"00000")="89119", TEXT(TRIM(S1076),"00000")="89123", TEXT(TRIM(S1076),"00000")="89169", TEXT(TRIM(S1076),"00000")="89118"), "South/Strip",
  OR(TEXT(TRIM(S1076),"00000")="89074", TEXT(TRIM(S1076),"00000")="89014", TEXT(TRIM(S1076),"00000")="89015", TEXT(TRIM(S1076),"00000")="89011", TEXT(TRIM(S1076),"00000")="89012"), "Suburban SE",
  OR(TEXT(TRIM(S1076),"00000")="89117", TEXT(TRIM(S1076),"00000")="89128", TEXT(TRIM(S1076),"00000")="89135", TEXT(TRIM(S1076),"00000")="89144", TEXT(TRIM(S1076),"00000")="89145", TEXT(TRIM(S1076),"00000")="89147"), "West Valley",
  TRUE, "Other"
)</f>
        <v>North LV</v>
      </c>
      <c r="U1076" t="s">
        <v>3298</v>
      </c>
      <c r="V1076" t="str">
        <f t="shared" si="67"/>
        <v>Outdoors/Public</v>
      </c>
    </row>
    <row r="1077" spans="1:22">
      <c r="A1077" t="s">
        <v>1976</v>
      </c>
      <c r="B1077" t="s">
        <v>1977</v>
      </c>
      <c r="C1077" s="1">
        <v>44386</v>
      </c>
      <c r="D1077" s="4">
        <v>116.96</v>
      </c>
      <c r="E1077">
        <v>26</v>
      </c>
      <c r="F1077" t="str">
        <f t="shared" si="64"/>
        <v>20's</v>
      </c>
      <c r="G1077" t="str" cm="1">
        <f t="array" ref="G1077">_xlfn.IFS(
  F1077="10's", "Child (5–12)",
  OR(F1077="20's", F1077="30's"), "Young Adult (20–39)",
  OR(F1077="40's", F1077="50's"), "Adult (40–59)",
  OR(F1077="60's", F1077="70's", F1077="80's", F1077="90's"), "Senior (60+)",
  TRUE, "Unknown"
)</f>
        <v>Young Adult (20–39)</v>
      </c>
      <c r="H1077" t="s">
        <v>841</v>
      </c>
      <c r="I1077" t="s">
        <v>54</v>
      </c>
      <c r="J1077" t="str">
        <f t="shared" si="65"/>
        <v>Environmental Heat</v>
      </c>
      <c r="K1077" t="s">
        <v>503</v>
      </c>
      <c r="L1077" t="s">
        <v>250</v>
      </c>
      <c r="M1077" t="s">
        <v>4852</v>
      </c>
      <c r="N1077" t="s">
        <v>5100</v>
      </c>
      <c r="O1077" t="str" cm="1">
        <f t="array" ref="O1077">_xlfn.IFS(
  TEXT(TRIM(N1077),"00000")="NULL", "Missing/Unknown",
  OR(TEXT(TRIM(N1077),"00000")="89101", TEXT(TRIM(N1077),"00000")="89104", TEXT(TRIM(N1077),"00000")="89106", TEXT(TRIM(N1077),"00000")="89102", TEXT(TRIM(N1077),"00000")="89107", TEXT(TRIM(N1077),"00000")="89108"), "Urban Core",
  OR(TEXT(TRIM(N1077),"00000")="89110", TEXT(TRIM(N1077),"00000")="89115", TEXT(TRIM(N1077),"00000")="89121", TEXT(TRIM(N1077),"00000")="89122", TEXT(TRIM(N1077),"00000")="89142", TEXT(TRIM(N1077),"00000")="89156"), "East Valley",
  OR(TEXT(TRIM(N1077),"00000")="89030", TEXT(TRIM(N1077),"00000")="89031", TEXT(TRIM(N1077),"00000")="89032", TEXT(TRIM(N1077),"00000")="89086", TEXT(TRIM(N1077),"00000")="89084", TEXT(TRIM(N1077),"00000")="89081"), "North LV",
  OR(TEXT(TRIM(N1077),"00000")="89109", TEXT(TRIM(N1077),"00000")="89103", TEXT(TRIM(N1077),"00000")="89119", TEXT(TRIM(N1077),"00000")="89123", TEXT(TRIM(N1077),"00000")="89169", TEXT(TRIM(N1077),"00000")="89118"), "South/Strip",
  OR(TEXT(TRIM(N1077),"00000")="89074", TEXT(TRIM(N1077),"00000")="89014", TEXT(TRIM(N1077),"00000")="89015", TEXT(TRIM(N1077),"00000")="89011", TEXT(TRIM(N1077),"00000")="89012"), "Suburban SE",
  OR(TEXT(TRIM(N1077),"00000")="89117", TEXT(TRIM(N1077),"00000")="89128", TEXT(TRIM(N1077),"00000")="89135", TEXT(TRIM(N1077),"00000")="89144", TEXT(TRIM(N1077),"00000")="89145", TEXT(TRIM(N1077),"00000")="89147"), "West Valley",
  TRUE, "Other"
)</f>
        <v>North LV</v>
      </c>
      <c r="P1077" t="s">
        <v>3298</v>
      </c>
      <c r="Q1077" t="str">
        <f t="shared" si="66"/>
        <v>Outdoors/Public</v>
      </c>
      <c r="R1077" t="s">
        <v>4852</v>
      </c>
      <c r="S1077" t="s">
        <v>5100</v>
      </c>
      <c r="T1077" t="str" cm="1">
        <f t="array" ref="T1077">_xlfn.IFS(
  TEXT(TRIM(S1077),"00000")="NULL", "Missing/Unknown",
  OR(TEXT(TRIM(S1077),"00000")="89101", TEXT(TRIM(S1077),"00000")="89104", TEXT(TRIM(S1077),"00000")="89106", TEXT(TRIM(S1077),"00000")="89102", TEXT(TRIM(S1077),"00000")="89107", TEXT(TRIM(S1077),"00000")="89108"), "Urban Core",
  OR(TEXT(TRIM(S1077),"00000")="89110", TEXT(TRIM(S1077),"00000")="89115", TEXT(TRIM(S1077),"00000")="89121", TEXT(TRIM(S1077),"00000")="89122", TEXT(TRIM(S1077),"00000")="89142", TEXT(TRIM(S1077),"00000")="89156"), "East Valley",
  OR(TEXT(TRIM(S1077),"00000")="89030", TEXT(TRIM(S1077),"00000")="89031", TEXT(TRIM(S1077),"00000")="89032", TEXT(TRIM(S1077),"00000")="89086", TEXT(TRIM(S1077),"00000")="89084", TEXT(TRIM(S1077),"00000")="89081"), "North LV",
  OR(TEXT(TRIM(S1077),"00000")="89109", TEXT(TRIM(S1077),"00000")="89103", TEXT(TRIM(S1077),"00000")="89119", TEXT(TRIM(S1077),"00000")="89123", TEXT(TRIM(S1077),"00000")="89169", TEXT(TRIM(S1077),"00000")="89118"), "South/Strip",
  OR(TEXT(TRIM(S1077),"00000")="89074", TEXT(TRIM(S1077),"00000")="89014", TEXT(TRIM(S1077),"00000")="89015", TEXT(TRIM(S1077),"00000")="89011", TEXT(TRIM(S1077),"00000")="89012"), "Suburban SE",
  OR(TEXT(TRIM(S1077),"00000")="89117", TEXT(TRIM(S1077),"00000")="89128", TEXT(TRIM(S1077),"00000")="89135", TEXT(TRIM(S1077),"00000")="89144", TEXT(TRIM(S1077),"00000")="89145", TEXT(TRIM(S1077),"00000")="89147"), "West Valley",
  TRUE, "Other"
)</f>
        <v>North LV</v>
      </c>
      <c r="U1077" t="s">
        <v>3298</v>
      </c>
      <c r="V1077" t="str">
        <f t="shared" si="67"/>
        <v>Outdoors/Public</v>
      </c>
    </row>
    <row r="1078" spans="1:22">
      <c r="A1078" t="s">
        <v>1955</v>
      </c>
      <c r="B1078" t="s">
        <v>1956</v>
      </c>
      <c r="C1078" s="1">
        <v>44386</v>
      </c>
      <c r="D1078" s="4">
        <v>116.96</v>
      </c>
      <c r="E1078">
        <v>69</v>
      </c>
      <c r="F1078" t="str">
        <f t="shared" si="64"/>
        <v>60's</v>
      </c>
      <c r="G1078" t="str" cm="1">
        <f t="array" ref="G1078">_xlfn.IFS(
  F1078="10's", "Child (5–12)",
  OR(F1078="20's", F1078="30's"), "Young Adult (20–39)",
  OR(F1078="40's", F1078="50's"), "Adult (40–59)",
  OR(F1078="60's", F1078="70's", F1078="80's", F1078="90's"), "Senior (60+)",
  TRUE, "Unknown"
)</f>
        <v>Senior (60+)</v>
      </c>
      <c r="H1078" t="s">
        <v>841</v>
      </c>
      <c r="I1078" t="s">
        <v>1028</v>
      </c>
      <c r="J1078" t="str">
        <f t="shared" si="65"/>
        <v>Methamphetamine-related</v>
      </c>
      <c r="K1078" t="s">
        <v>54</v>
      </c>
      <c r="L1078" t="s">
        <v>250</v>
      </c>
      <c r="M1078" t="s">
        <v>4501</v>
      </c>
      <c r="N1078" t="s">
        <v>5122</v>
      </c>
      <c r="O1078" t="str" cm="1">
        <f t="array" ref="O1078">_xlfn.IFS(
  TEXT(TRIM(N1078),"00000")="NULL", "Missing/Unknown",
  OR(TEXT(TRIM(N1078),"00000")="89101", TEXT(TRIM(N1078),"00000")="89104", TEXT(TRIM(N1078),"00000")="89106", TEXT(TRIM(N1078),"00000")="89102", TEXT(TRIM(N1078),"00000")="89107", TEXT(TRIM(N1078),"00000")="89108"), "Urban Core",
  OR(TEXT(TRIM(N1078),"00000")="89110", TEXT(TRIM(N1078),"00000")="89115", TEXT(TRIM(N1078),"00000")="89121", TEXT(TRIM(N1078),"00000")="89122", TEXT(TRIM(N1078),"00000")="89142", TEXT(TRIM(N1078),"00000")="89156"), "East Valley",
  OR(TEXT(TRIM(N1078),"00000")="89030", TEXT(TRIM(N1078),"00000")="89031", TEXT(TRIM(N1078),"00000")="89032", TEXT(TRIM(N1078),"00000")="89086", TEXT(TRIM(N1078),"00000")="89084", TEXT(TRIM(N1078),"00000")="89081"), "North LV",
  OR(TEXT(TRIM(N1078),"00000")="89109", TEXT(TRIM(N1078),"00000")="89103", TEXT(TRIM(N1078),"00000")="89119", TEXT(TRIM(N1078),"00000")="89123", TEXT(TRIM(N1078),"00000")="89169", TEXT(TRIM(N1078),"00000")="89118"), "South/Strip",
  OR(TEXT(TRIM(N1078),"00000")="89074", TEXT(TRIM(N1078),"00000")="89014", TEXT(TRIM(N1078),"00000")="89015", TEXT(TRIM(N1078),"00000")="89011", TEXT(TRIM(N1078),"00000")="89012"), "Suburban SE",
  OR(TEXT(TRIM(N1078),"00000")="89117", TEXT(TRIM(N1078),"00000")="89128", TEXT(TRIM(N1078),"00000")="89135", TEXT(TRIM(N1078),"00000")="89144", TEXT(TRIM(N1078),"00000")="89145", TEXT(TRIM(N1078),"00000")="89147"), "West Valley",
  TRUE, "Other"
)</f>
        <v>East Valley</v>
      </c>
      <c r="P1078" t="s">
        <v>3298</v>
      </c>
      <c r="Q1078" t="str">
        <f t="shared" si="66"/>
        <v>Outdoors/Public</v>
      </c>
      <c r="R1078" t="s">
        <v>4713</v>
      </c>
      <c r="S1078" t="s">
        <v>5125</v>
      </c>
      <c r="T1078" t="str" cm="1">
        <f t="array" ref="T1078">_xlfn.IFS(
  TEXT(TRIM(S1078),"00000")="NULL", "Missing/Unknown",
  OR(TEXT(TRIM(S1078),"00000")="89101", TEXT(TRIM(S1078),"00000")="89104", TEXT(TRIM(S1078),"00000")="89106", TEXT(TRIM(S1078),"00000")="89102", TEXT(TRIM(S1078),"00000")="89107", TEXT(TRIM(S1078),"00000")="89108"), "Urban Core",
  OR(TEXT(TRIM(S1078),"00000")="89110", TEXT(TRIM(S1078),"00000")="89115", TEXT(TRIM(S1078),"00000")="89121", TEXT(TRIM(S1078),"00000")="89122", TEXT(TRIM(S1078),"00000")="89142", TEXT(TRIM(S1078),"00000")="89156"), "East Valley",
  OR(TEXT(TRIM(S1078),"00000")="89030", TEXT(TRIM(S1078),"00000")="89031", TEXT(TRIM(S1078),"00000")="89032", TEXT(TRIM(S1078),"00000")="89086", TEXT(TRIM(S1078),"00000")="89084", TEXT(TRIM(S1078),"00000")="89081"), "North LV",
  OR(TEXT(TRIM(S1078),"00000")="89109", TEXT(TRIM(S1078),"00000")="89103", TEXT(TRIM(S1078),"00000")="89119", TEXT(TRIM(S1078),"00000")="89123", TEXT(TRIM(S1078),"00000")="89169", TEXT(TRIM(S1078),"00000")="89118"), "South/Strip",
  OR(TEXT(TRIM(S1078),"00000")="89074", TEXT(TRIM(S1078),"00000")="89014", TEXT(TRIM(S1078),"00000")="89015", TEXT(TRIM(S1078),"00000")="89011", TEXT(TRIM(S1078),"00000")="89012"), "Suburban SE",
  OR(TEXT(TRIM(S1078),"00000")="89117", TEXT(TRIM(S1078),"00000")="89128", TEXT(TRIM(S1078),"00000")="89135", TEXT(TRIM(S1078),"00000")="89144", TEXT(TRIM(S1078),"00000")="89145", TEXT(TRIM(S1078),"00000")="89147"), "West Valley",
  TRUE, "Other"
)</f>
        <v>South/Strip</v>
      </c>
      <c r="U1078" t="s">
        <v>109</v>
      </c>
      <c r="V1078" t="str">
        <f t="shared" si="67"/>
        <v>Other / Unknown</v>
      </c>
    </row>
    <row r="1079" spans="1:22">
      <c r="A1079" t="s">
        <v>1941</v>
      </c>
      <c r="B1079" t="s">
        <v>1942</v>
      </c>
      <c r="C1079" s="1">
        <v>44386</v>
      </c>
      <c r="D1079" s="4">
        <v>116.96</v>
      </c>
      <c r="E1079">
        <v>80</v>
      </c>
      <c r="F1079" t="str">
        <f t="shared" si="64"/>
        <v>80's</v>
      </c>
      <c r="G1079" t="str" cm="1">
        <f t="array" ref="G1079">_xlfn.IFS(
  F1079="10's", "Child (5–12)",
  OR(F1079="20's", F1079="30's"), "Young Adult (20–39)",
  OR(F1079="40's", F1079="50's"), "Adult (40–59)",
  OR(F1079="60's", F1079="70's", F1079="80's", F1079="90's"), "Senior (60+)",
  TRUE, "Unknown"
)</f>
        <v>Senior (60+)</v>
      </c>
      <c r="H1079" t="s">
        <v>4309</v>
      </c>
      <c r="I1079" t="s">
        <v>4121</v>
      </c>
      <c r="J1079" t="str">
        <f t="shared" si="65"/>
        <v>Cardiovascular Disease</v>
      </c>
      <c r="K1079" t="s">
        <v>54</v>
      </c>
      <c r="L1079" t="s">
        <v>1071</v>
      </c>
      <c r="M1079" t="s">
        <v>4480</v>
      </c>
      <c r="N1079" t="s">
        <v>5107</v>
      </c>
      <c r="O1079" t="str" cm="1">
        <f t="array" ref="O1079">_xlfn.IFS(
  TEXT(TRIM(N1079),"00000")="NULL", "Missing/Unknown",
  OR(TEXT(TRIM(N1079),"00000")="89101", TEXT(TRIM(N1079),"00000")="89104", TEXT(TRIM(N1079),"00000")="89106", TEXT(TRIM(N1079),"00000")="89102", TEXT(TRIM(N1079),"00000")="89107", TEXT(TRIM(N1079),"00000")="89108"), "Urban Core",
  OR(TEXT(TRIM(N1079),"00000")="89110", TEXT(TRIM(N1079),"00000")="89115", TEXT(TRIM(N1079),"00000")="89121", TEXT(TRIM(N1079),"00000")="89122", TEXT(TRIM(N1079),"00000")="89142", TEXT(TRIM(N1079),"00000")="89156"), "East Valley",
  OR(TEXT(TRIM(N1079),"00000")="89030", TEXT(TRIM(N1079),"00000")="89031", TEXT(TRIM(N1079),"00000")="89032", TEXT(TRIM(N1079),"00000")="89086", TEXT(TRIM(N1079),"00000")="89084", TEXT(TRIM(N1079),"00000")="89081"), "North LV",
  OR(TEXT(TRIM(N1079),"00000")="89109", TEXT(TRIM(N1079),"00000")="89103", TEXT(TRIM(N1079),"00000")="89119", TEXT(TRIM(N1079),"00000")="89123", TEXT(TRIM(N1079),"00000")="89169", TEXT(TRIM(N1079),"00000")="89118"), "South/Strip",
  OR(TEXT(TRIM(N1079),"00000")="89074", TEXT(TRIM(N1079),"00000")="89014", TEXT(TRIM(N1079),"00000")="89015", TEXT(TRIM(N1079),"00000")="89011", TEXT(TRIM(N1079),"00000")="89012"), "Suburban SE",
  OR(TEXT(TRIM(N1079),"00000")="89117", TEXT(TRIM(N1079),"00000")="89128", TEXT(TRIM(N1079),"00000")="89135", TEXT(TRIM(N1079),"00000")="89144", TEXT(TRIM(N1079),"00000")="89145", TEXT(TRIM(N1079),"00000")="89147"), "West Valley",
  TRUE, "Other"
)</f>
        <v>South/Strip</v>
      </c>
      <c r="P1079" t="s">
        <v>38</v>
      </c>
      <c r="Q1079" t="str">
        <f t="shared" si="66"/>
        <v>Home/Residence</v>
      </c>
      <c r="R1079" t="s">
        <v>4480</v>
      </c>
      <c r="S1079" t="s">
        <v>5107</v>
      </c>
      <c r="T1079" t="str" cm="1">
        <f t="array" ref="T1079">_xlfn.IFS(
  TEXT(TRIM(S1079),"00000")="NULL", "Missing/Unknown",
  OR(TEXT(TRIM(S1079),"00000")="89101", TEXT(TRIM(S1079),"00000")="89104", TEXT(TRIM(S1079),"00000")="89106", TEXT(TRIM(S1079),"00000")="89102", TEXT(TRIM(S1079),"00000")="89107", TEXT(TRIM(S1079),"00000")="89108"), "Urban Core",
  OR(TEXT(TRIM(S1079),"00000")="89110", TEXT(TRIM(S1079),"00000")="89115", TEXT(TRIM(S1079),"00000")="89121", TEXT(TRIM(S1079),"00000")="89122", TEXT(TRIM(S1079),"00000")="89142", TEXT(TRIM(S1079),"00000")="89156"), "East Valley",
  OR(TEXT(TRIM(S1079),"00000")="89030", TEXT(TRIM(S1079),"00000")="89031", TEXT(TRIM(S1079),"00000")="89032", TEXT(TRIM(S1079),"00000")="89086", TEXT(TRIM(S1079),"00000")="89084", TEXT(TRIM(S1079),"00000")="89081"), "North LV",
  OR(TEXT(TRIM(S1079),"00000")="89109", TEXT(TRIM(S1079),"00000")="89103", TEXT(TRIM(S1079),"00000")="89119", TEXT(TRIM(S1079),"00000")="89123", TEXT(TRIM(S1079),"00000")="89169", TEXT(TRIM(S1079),"00000")="89118"), "South/Strip",
  OR(TEXT(TRIM(S1079),"00000")="89074", TEXT(TRIM(S1079),"00000")="89014", TEXT(TRIM(S1079),"00000")="89015", TEXT(TRIM(S1079),"00000")="89011", TEXT(TRIM(S1079),"00000")="89012"), "Suburban SE",
  OR(TEXT(TRIM(S1079),"00000")="89117", TEXT(TRIM(S1079),"00000")="89128", TEXT(TRIM(S1079),"00000")="89135", TEXT(TRIM(S1079),"00000")="89144", TEXT(TRIM(S1079),"00000")="89145", TEXT(TRIM(S1079),"00000")="89147"), "West Valley",
  TRUE, "Other"
)</f>
        <v>South/Strip</v>
      </c>
      <c r="U1079" t="s">
        <v>38</v>
      </c>
      <c r="V1079" t="str">
        <f t="shared" si="67"/>
        <v>Home/Residence</v>
      </c>
    </row>
    <row r="1080" spans="1:22">
      <c r="A1080" t="s">
        <v>1973</v>
      </c>
      <c r="B1080" t="s">
        <v>1974</v>
      </c>
      <c r="C1080" s="1">
        <v>44386</v>
      </c>
      <c r="D1080" s="4">
        <v>116.96</v>
      </c>
      <c r="E1080">
        <v>59</v>
      </c>
      <c r="F1080" t="str">
        <f t="shared" si="64"/>
        <v>50's</v>
      </c>
      <c r="G1080" t="str" cm="1">
        <f t="array" ref="G1080">_xlfn.IFS(
  F1080="10's", "Child (5–12)",
  OR(F1080="20's", F1080="30's"), "Young Adult (20–39)",
  OR(F1080="40's", F1080="50's"), "Adult (40–59)",
  OR(F1080="60's", F1080="70's", F1080="80's", F1080="90's"), "Senior (60+)",
  TRUE, "Unknown"
)</f>
        <v>Adult (40–59)</v>
      </c>
      <c r="H1080" t="s">
        <v>841</v>
      </c>
      <c r="I1080" t="s">
        <v>54</v>
      </c>
      <c r="J1080" t="str">
        <f t="shared" si="65"/>
        <v>Environmental Heat</v>
      </c>
      <c r="K1080" t="s">
        <v>4283</v>
      </c>
      <c r="L1080" t="s">
        <v>250</v>
      </c>
      <c r="N1080" t="s">
        <v>5095</v>
      </c>
      <c r="O1080" t="str" cm="1">
        <f t="array" ref="O1080">_xlfn.IFS(
  TEXT(TRIM(N1080),"00000")="NULL", "Missing/Unknown",
  OR(TEXT(TRIM(N1080),"00000")="89101", TEXT(TRIM(N1080),"00000")="89104", TEXT(TRIM(N1080),"00000")="89106", TEXT(TRIM(N1080),"00000")="89102", TEXT(TRIM(N1080),"00000")="89107", TEXT(TRIM(N1080),"00000")="89108"), "Urban Core",
  OR(TEXT(TRIM(N1080),"00000")="89110", TEXT(TRIM(N1080),"00000")="89115", TEXT(TRIM(N1080),"00000")="89121", TEXT(TRIM(N1080),"00000")="89122", TEXT(TRIM(N1080),"00000")="89142", TEXT(TRIM(N1080),"00000")="89156"), "East Valley",
  OR(TEXT(TRIM(N1080),"00000")="89030", TEXT(TRIM(N1080),"00000")="89031", TEXT(TRIM(N1080),"00000")="89032", TEXT(TRIM(N1080),"00000")="89086", TEXT(TRIM(N1080),"00000")="89084", TEXT(TRIM(N1080),"00000")="89081"), "North LV",
  OR(TEXT(TRIM(N1080),"00000")="89109", TEXT(TRIM(N1080),"00000")="89103", TEXT(TRIM(N1080),"00000")="89119", TEXT(TRIM(N1080),"00000")="89123", TEXT(TRIM(N1080),"00000")="89169", TEXT(TRIM(N1080),"00000")="89118"), "South/Strip",
  OR(TEXT(TRIM(N1080),"00000")="89074", TEXT(TRIM(N1080),"00000")="89014", TEXT(TRIM(N1080),"00000")="89015", TEXT(TRIM(N1080),"00000")="89011", TEXT(TRIM(N1080),"00000")="89012"), "Suburban SE",
  OR(TEXT(TRIM(N1080),"00000")="89117", TEXT(TRIM(N1080),"00000")="89128", TEXT(TRIM(N1080),"00000")="89135", TEXT(TRIM(N1080),"00000")="89144", TEXT(TRIM(N1080),"00000")="89145", TEXT(TRIM(N1080),"00000")="89147"), "West Valley",
  TRUE, "Other"
)</f>
        <v>Missing/Unknown</v>
      </c>
      <c r="P1080" t="s">
        <v>3298</v>
      </c>
      <c r="Q1080" t="str">
        <f t="shared" si="66"/>
        <v>Outdoors/Public</v>
      </c>
      <c r="R1080" t="s">
        <v>4576</v>
      </c>
      <c r="S1080" t="s">
        <v>5118</v>
      </c>
      <c r="T1080" t="str" cm="1">
        <f t="array" ref="T1080">_xlfn.IFS(
  TEXT(TRIM(S1080),"00000")="NULL", "Missing/Unknown",
  OR(TEXT(TRIM(S1080),"00000")="89101", TEXT(TRIM(S1080),"00000")="89104", TEXT(TRIM(S1080),"00000")="89106", TEXT(TRIM(S1080),"00000")="89102", TEXT(TRIM(S1080),"00000")="89107", TEXT(TRIM(S1080),"00000")="89108"), "Urban Core",
  OR(TEXT(TRIM(S1080),"00000")="89110", TEXT(TRIM(S1080),"00000")="89115", TEXT(TRIM(S1080),"00000")="89121", TEXT(TRIM(S1080),"00000")="89122", TEXT(TRIM(S1080),"00000")="89142", TEXT(TRIM(S1080),"00000")="89156"), "East Valley",
  OR(TEXT(TRIM(S1080),"00000")="89030", TEXT(TRIM(S1080),"00000")="89031", TEXT(TRIM(S1080),"00000")="89032", TEXT(TRIM(S1080),"00000")="89086", TEXT(TRIM(S1080),"00000")="89084", TEXT(TRIM(S1080),"00000")="89081"), "North LV",
  OR(TEXT(TRIM(S1080),"00000")="89109", TEXT(TRIM(S1080),"00000")="89103", TEXT(TRIM(S1080),"00000")="89119", TEXT(TRIM(S1080),"00000")="89123", TEXT(TRIM(S1080),"00000")="89169", TEXT(TRIM(S1080),"00000")="89118"), "South/Strip",
  OR(TEXT(TRIM(S1080),"00000")="89074", TEXT(TRIM(S1080),"00000")="89014", TEXT(TRIM(S1080),"00000")="89015", TEXT(TRIM(S1080),"00000")="89011", TEXT(TRIM(S1080),"00000")="89012"), "Suburban SE",
  OR(TEXT(TRIM(S1080),"00000")="89117", TEXT(TRIM(S1080),"00000")="89128", TEXT(TRIM(S1080),"00000")="89135", TEXT(TRIM(S1080),"00000")="89144", TEXT(TRIM(S1080),"00000")="89145", TEXT(TRIM(S1080),"00000")="89147"), "West Valley",
  TRUE, "Other"
)</f>
        <v>South/Strip</v>
      </c>
      <c r="U1080" t="s">
        <v>4301</v>
      </c>
      <c r="V1080" t="str">
        <f t="shared" si="67"/>
        <v>Medical Facility</v>
      </c>
    </row>
    <row r="1081" spans="1:22">
      <c r="A1081" t="s">
        <v>1959</v>
      </c>
      <c r="B1081" t="s">
        <v>1960</v>
      </c>
      <c r="C1081" s="1">
        <v>44386</v>
      </c>
      <c r="D1081" s="4">
        <v>116.96</v>
      </c>
      <c r="E1081">
        <v>39</v>
      </c>
      <c r="F1081" t="str">
        <f t="shared" si="64"/>
        <v>30's</v>
      </c>
      <c r="G1081" t="str" cm="1">
        <f t="array" ref="G1081">_xlfn.IFS(
  F1081="10's", "Child (5–12)",
  OR(F1081="20's", F1081="30's"), "Young Adult (20–39)",
  OR(F1081="40's", F1081="50's"), "Adult (40–59)",
  OR(F1081="60's", F1081="70's", F1081="80's", F1081="90's"), "Senior (60+)",
  TRUE, "Unknown"
)</f>
        <v>Young Adult (20–39)</v>
      </c>
      <c r="H1081" t="s">
        <v>841</v>
      </c>
      <c r="I1081" t="s">
        <v>1028</v>
      </c>
      <c r="J1081" t="str">
        <f t="shared" si="65"/>
        <v>Methamphetamine-related</v>
      </c>
      <c r="K1081" t="s">
        <v>54</v>
      </c>
      <c r="L1081" t="s">
        <v>250</v>
      </c>
      <c r="M1081" t="s">
        <v>4773</v>
      </c>
      <c r="N1081" t="s">
        <v>5142</v>
      </c>
      <c r="O1081" t="str" cm="1">
        <f t="array" ref="O1081">_xlfn.IFS(
  TEXT(TRIM(N1081),"00000")="NULL", "Missing/Unknown",
  OR(TEXT(TRIM(N1081),"00000")="89101", TEXT(TRIM(N1081),"00000")="89104", TEXT(TRIM(N1081),"00000")="89106", TEXT(TRIM(N1081),"00000")="89102", TEXT(TRIM(N1081),"00000")="89107", TEXT(TRIM(N1081),"00000")="89108"), "Urban Core",
  OR(TEXT(TRIM(N1081),"00000")="89110", TEXT(TRIM(N1081),"00000")="89115", TEXT(TRIM(N1081),"00000")="89121", TEXT(TRIM(N1081),"00000")="89122", TEXT(TRIM(N1081),"00000")="89142", TEXT(TRIM(N1081),"00000")="89156"), "East Valley",
  OR(TEXT(TRIM(N1081),"00000")="89030", TEXT(TRIM(N1081),"00000")="89031", TEXT(TRIM(N1081),"00000")="89032", TEXT(TRIM(N1081),"00000")="89086", TEXT(TRIM(N1081),"00000")="89084", TEXT(TRIM(N1081),"00000")="89081"), "North LV",
  OR(TEXT(TRIM(N1081),"00000")="89109", TEXT(TRIM(N1081),"00000")="89103", TEXT(TRIM(N1081),"00000")="89119", TEXT(TRIM(N1081),"00000")="89123", TEXT(TRIM(N1081),"00000")="89169", TEXT(TRIM(N1081),"00000")="89118"), "South/Strip",
  OR(TEXT(TRIM(N1081),"00000")="89074", TEXT(TRIM(N1081),"00000")="89014", TEXT(TRIM(N1081),"00000")="89015", TEXT(TRIM(N1081),"00000")="89011", TEXT(TRIM(N1081),"00000")="89012"), "Suburban SE",
  OR(TEXT(TRIM(N1081),"00000")="89117", TEXT(TRIM(N1081),"00000")="89128", TEXT(TRIM(N1081),"00000")="89135", TEXT(TRIM(N1081),"00000")="89144", TEXT(TRIM(N1081),"00000")="89145", TEXT(TRIM(N1081),"00000")="89147"), "West Valley",
  TRUE, "Other"
)</f>
        <v>Suburban SE</v>
      </c>
      <c r="P1081" t="s">
        <v>3298</v>
      </c>
      <c r="Q1081" t="str">
        <f t="shared" si="66"/>
        <v>Outdoors/Public</v>
      </c>
      <c r="R1081" t="s">
        <v>4773</v>
      </c>
      <c r="S1081" t="s">
        <v>5142</v>
      </c>
      <c r="T1081" t="str" cm="1">
        <f t="array" ref="T1081">_xlfn.IFS(
  TEXT(TRIM(S1081),"00000")="NULL", "Missing/Unknown",
  OR(TEXT(TRIM(S1081),"00000")="89101", TEXT(TRIM(S1081),"00000")="89104", TEXT(TRIM(S1081),"00000")="89106", TEXT(TRIM(S1081),"00000")="89102", TEXT(TRIM(S1081),"00000")="89107", TEXT(TRIM(S1081),"00000")="89108"), "Urban Core",
  OR(TEXT(TRIM(S1081),"00000")="89110", TEXT(TRIM(S1081),"00000")="89115", TEXT(TRIM(S1081),"00000")="89121", TEXT(TRIM(S1081),"00000")="89122", TEXT(TRIM(S1081),"00000")="89142", TEXT(TRIM(S1081),"00000")="89156"), "East Valley",
  OR(TEXT(TRIM(S1081),"00000")="89030", TEXT(TRIM(S1081),"00000")="89031", TEXT(TRIM(S1081),"00000")="89032", TEXT(TRIM(S1081),"00000")="89086", TEXT(TRIM(S1081),"00000")="89084", TEXT(TRIM(S1081),"00000")="89081"), "North LV",
  OR(TEXT(TRIM(S1081),"00000")="89109", TEXT(TRIM(S1081),"00000")="89103", TEXT(TRIM(S1081),"00000")="89119", TEXT(TRIM(S1081),"00000")="89123", TEXT(TRIM(S1081),"00000")="89169", TEXT(TRIM(S1081),"00000")="89118"), "South/Strip",
  OR(TEXT(TRIM(S1081),"00000")="89074", TEXT(TRIM(S1081),"00000")="89014", TEXT(TRIM(S1081),"00000")="89015", TEXT(TRIM(S1081),"00000")="89011", TEXT(TRIM(S1081),"00000")="89012"), "Suburban SE",
  OR(TEXT(TRIM(S1081),"00000")="89117", TEXT(TRIM(S1081),"00000")="89128", TEXT(TRIM(S1081),"00000")="89135", TEXT(TRIM(S1081),"00000")="89144", TEXT(TRIM(S1081),"00000")="89145", TEXT(TRIM(S1081),"00000")="89147"), "West Valley",
  TRUE, "Other"
)</f>
        <v>Suburban SE</v>
      </c>
      <c r="U1081" t="s">
        <v>3298</v>
      </c>
      <c r="V1081" t="str">
        <f t="shared" si="67"/>
        <v>Outdoors/Public</v>
      </c>
    </row>
    <row r="1082" spans="1:22">
      <c r="A1082" t="s">
        <v>1951</v>
      </c>
      <c r="B1082" t="s">
        <v>1952</v>
      </c>
      <c r="C1082" s="1">
        <v>44386</v>
      </c>
      <c r="D1082" s="4">
        <v>116.96</v>
      </c>
      <c r="E1082">
        <v>37</v>
      </c>
      <c r="F1082" t="str">
        <f t="shared" si="64"/>
        <v>30's</v>
      </c>
      <c r="G1082" t="str" cm="1">
        <f t="array" ref="G1082">_xlfn.IFS(
  F1082="10's", "Child (5–12)",
  OR(F1082="20's", F1082="30's"), "Young Adult (20–39)",
  OR(F1082="40's", F1082="50's"), "Adult (40–59)",
  OR(F1082="60's", F1082="70's", F1082="80's", F1082="90's"), "Senior (60+)",
  TRUE, "Unknown"
)</f>
        <v>Young Adult (20–39)</v>
      </c>
      <c r="H1082" t="s">
        <v>778</v>
      </c>
      <c r="I1082" t="s">
        <v>4122</v>
      </c>
      <c r="J1082" t="str">
        <f t="shared" si="65"/>
        <v>Environmental Heat</v>
      </c>
      <c r="K1082" t="s">
        <v>503</v>
      </c>
      <c r="L1082" t="s">
        <v>250</v>
      </c>
      <c r="M1082" t="s">
        <v>4542</v>
      </c>
      <c r="N1082" t="s">
        <v>5098</v>
      </c>
      <c r="O1082" t="str" cm="1">
        <f t="array" ref="O1082">_xlfn.IFS(
  TEXT(TRIM(N1082),"00000")="NULL", "Missing/Unknown",
  OR(TEXT(TRIM(N1082),"00000")="89101", TEXT(TRIM(N1082),"00000")="89104", TEXT(TRIM(N1082),"00000")="89106", TEXT(TRIM(N1082),"00000")="89102", TEXT(TRIM(N1082),"00000")="89107", TEXT(TRIM(N1082),"00000")="89108"), "Urban Core",
  OR(TEXT(TRIM(N1082),"00000")="89110", TEXT(TRIM(N1082),"00000")="89115", TEXT(TRIM(N1082),"00000")="89121", TEXT(TRIM(N1082),"00000")="89122", TEXT(TRIM(N1082),"00000")="89142", TEXT(TRIM(N1082),"00000")="89156"), "East Valley",
  OR(TEXT(TRIM(N1082),"00000")="89030", TEXT(TRIM(N1082),"00000")="89031", TEXT(TRIM(N1082),"00000")="89032", TEXT(TRIM(N1082),"00000")="89086", TEXT(TRIM(N1082),"00000")="89084", TEXT(TRIM(N1082),"00000")="89081"), "North LV",
  OR(TEXT(TRIM(N1082),"00000")="89109", TEXT(TRIM(N1082),"00000")="89103", TEXT(TRIM(N1082),"00000")="89119", TEXT(TRIM(N1082),"00000")="89123", TEXT(TRIM(N1082),"00000")="89169", TEXT(TRIM(N1082),"00000")="89118"), "South/Strip",
  OR(TEXT(TRIM(N1082),"00000")="89074", TEXT(TRIM(N1082),"00000")="89014", TEXT(TRIM(N1082),"00000")="89015", TEXT(TRIM(N1082),"00000")="89011", TEXT(TRIM(N1082),"00000")="89012"), "Suburban SE",
  OR(TEXT(TRIM(N1082),"00000")="89117", TEXT(TRIM(N1082),"00000")="89128", TEXT(TRIM(N1082),"00000")="89135", TEXT(TRIM(N1082),"00000")="89144", TEXT(TRIM(N1082),"00000")="89145", TEXT(TRIM(N1082),"00000")="89147"), "West Valley",
  TRUE, "Other"
)</f>
        <v>Urban Core</v>
      </c>
      <c r="P1082" t="s">
        <v>3298</v>
      </c>
      <c r="Q1082" t="str">
        <f t="shared" si="66"/>
        <v>Outdoors/Public</v>
      </c>
      <c r="R1082" t="s">
        <v>4713</v>
      </c>
      <c r="S1082" t="s">
        <v>5125</v>
      </c>
      <c r="T1082" t="str" cm="1">
        <f t="array" ref="T1082">_xlfn.IFS(
  TEXT(TRIM(S1082),"00000")="NULL", "Missing/Unknown",
  OR(TEXT(TRIM(S1082),"00000")="89101", TEXT(TRIM(S1082),"00000")="89104", TEXT(TRIM(S1082),"00000")="89106", TEXT(TRIM(S1082),"00000")="89102", TEXT(TRIM(S1082),"00000")="89107", TEXT(TRIM(S1082),"00000")="89108"), "Urban Core",
  OR(TEXT(TRIM(S1082),"00000")="89110", TEXT(TRIM(S1082),"00000")="89115", TEXT(TRIM(S1082),"00000")="89121", TEXT(TRIM(S1082),"00000")="89122", TEXT(TRIM(S1082),"00000")="89142", TEXT(TRIM(S1082),"00000")="89156"), "East Valley",
  OR(TEXT(TRIM(S1082),"00000")="89030", TEXT(TRIM(S1082),"00000")="89031", TEXT(TRIM(S1082),"00000")="89032", TEXT(TRIM(S1082),"00000")="89086", TEXT(TRIM(S1082),"00000")="89084", TEXT(TRIM(S1082),"00000")="89081"), "North LV",
  OR(TEXT(TRIM(S1082),"00000")="89109", TEXT(TRIM(S1082),"00000")="89103", TEXT(TRIM(S1082),"00000")="89119", TEXT(TRIM(S1082),"00000")="89123", TEXT(TRIM(S1082),"00000")="89169", TEXT(TRIM(S1082),"00000")="89118"), "South/Strip",
  OR(TEXT(TRIM(S1082),"00000")="89074", TEXT(TRIM(S1082),"00000")="89014", TEXT(TRIM(S1082),"00000")="89015", TEXT(TRIM(S1082),"00000")="89011", TEXT(TRIM(S1082),"00000")="89012"), "Suburban SE",
  OR(TEXT(TRIM(S1082),"00000")="89117", TEXT(TRIM(S1082),"00000")="89128", TEXT(TRIM(S1082),"00000")="89135", TEXT(TRIM(S1082),"00000")="89144", TEXT(TRIM(S1082),"00000")="89145", TEXT(TRIM(S1082),"00000")="89147"), "West Valley",
  TRUE, "Other"
)</f>
        <v>South/Strip</v>
      </c>
      <c r="U1082" t="s">
        <v>4301</v>
      </c>
      <c r="V1082" t="str">
        <f t="shared" si="67"/>
        <v>Medical Facility</v>
      </c>
    </row>
    <row r="1083" spans="1:22">
      <c r="A1083" t="s">
        <v>1983</v>
      </c>
      <c r="B1083" t="s">
        <v>1984</v>
      </c>
      <c r="C1083" s="1">
        <v>44386</v>
      </c>
      <c r="D1083" s="4">
        <v>116.96</v>
      </c>
      <c r="E1083">
        <v>30</v>
      </c>
      <c r="F1083" t="str">
        <f t="shared" si="64"/>
        <v>30's</v>
      </c>
      <c r="G1083" t="str" cm="1">
        <f t="array" ref="G1083">_xlfn.IFS(
  F1083="10's", "Child (5–12)",
  OR(F1083="20's", F1083="30's"), "Young Adult (20–39)",
  OR(F1083="40's", F1083="50's"), "Adult (40–59)",
  OR(F1083="60's", F1083="70's", F1083="80's", F1083="90's"), "Senior (60+)",
  TRUE, "Unknown"
)</f>
        <v>Young Adult (20–39)</v>
      </c>
      <c r="H1083" t="s">
        <v>841</v>
      </c>
      <c r="I1083" t="s">
        <v>97</v>
      </c>
      <c r="J1083" t="str">
        <f t="shared" si="65"/>
        <v>Environmental Heat</v>
      </c>
      <c r="K1083" t="s">
        <v>503</v>
      </c>
      <c r="L1083" t="s">
        <v>1071</v>
      </c>
      <c r="N1083" t="s">
        <v>5095</v>
      </c>
      <c r="O1083" t="str" cm="1">
        <f t="array" ref="O1083">_xlfn.IFS(
  TEXT(TRIM(N1083),"00000")="NULL", "Missing/Unknown",
  OR(TEXT(TRIM(N1083),"00000")="89101", TEXT(TRIM(N1083),"00000")="89104", TEXT(TRIM(N1083),"00000")="89106", TEXT(TRIM(N1083),"00000")="89102", TEXT(TRIM(N1083),"00000")="89107", TEXT(TRIM(N1083),"00000")="89108"), "Urban Core",
  OR(TEXT(TRIM(N1083),"00000")="89110", TEXT(TRIM(N1083),"00000")="89115", TEXT(TRIM(N1083),"00000")="89121", TEXT(TRIM(N1083),"00000")="89122", TEXT(TRIM(N1083),"00000")="89142", TEXT(TRIM(N1083),"00000")="89156"), "East Valley",
  OR(TEXT(TRIM(N1083),"00000")="89030", TEXT(TRIM(N1083),"00000")="89031", TEXT(TRIM(N1083),"00000")="89032", TEXT(TRIM(N1083),"00000")="89086", TEXT(TRIM(N1083),"00000")="89084", TEXT(TRIM(N1083),"00000")="89081"), "North LV",
  OR(TEXT(TRIM(N1083),"00000")="89109", TEXT(TRIM(N1083),"00000")="89103", TEXT(TRIM(N1083),"00000")="89119", TEXT(TRIM(N1083),"00000")="89123", TEXT(TRIM(N1083),"00000")="89169", TEXT(TRIM(N1083),"00000")="89118"), "South/Strip",
  OR(TEXT(TRIM(N1083),"00000")="89074", TEXT(TRIM(N1083),"00000")="89014", TEXT(TRIM(N1083),"00000")="89015", TEXT(TRIM(N1083),"00000")="89011", TEXT(TRIM(N1083),"00000")="89012"), "Suburban SE",
  OR(TEXT(TRIM(N1083),"00000")="89117", TEXT(TRIM(N1083),"00000")="89128", TEXT(TRIM(N1083),"00000")="89135", TEXT(TRIM(N1083),"00000")="89144", TEXT(TRIM(N1083),"00000")="89145", TEXT(TRIM(N1083),"00000")="89147"), "West Valley",
  TRUE, "Other"
)</f>
        <v>Missing/Unknown</v>
      </c>
      <c r="P1083" t="s">
        <v>3298</v>
      </c>
      <c r="Q1083" t="str">
        <f t="shared" si="66"/>
        <v>Outdoors/Public</v>
      </c>
      <c r="R1083" t="s">
        <v>5055</v>
      </c>
      <c r="S1083" t="s">
        <v>5119</v>
      </c>
      <c r="T1083" t="str" cm="1">
        <f t="array" ref="T1083">_xlfn.IFS(
  TEXT(TRIM(S1083),"00000")="NULL", "Missing/Unknown",
  OR(TEXT(TRIM(S1083),"00000")="89101", TEXT(TRIM(S1083),"00000")="89104", TEXT(TRIM(S1083),"00000")="89106", TEXT(TRIM(S1083),"00000")="89102", TEXT(TRIM(S1083),"00000")="89107", TEXT(TRIM(S1083),"00000")="89108"), "Urban Core",
  OR(TEXT(TRIM(S1083),"00000")="89110", TEXT(TRIM(S1083),"00000")="89115", TEXT(TRIM(S1083),"00000")="89121", TEXT(TRIM(S1083),"00000")="89122", TEXT(TRIM(S1083),"00000")="89142", TEXT(TRIM(S1083),"00000")="89156"), "East Valley",
  OR(TEXT(TRIM(S1083),"00000")="89030", TEXT(TRIM(S1083),"00000")="89031", TEXT(TRIM(S1083),"00000")="89032", TEXT(TRIM(S1083),"00000")="89086", TEXT(TRIM(S1083),"00000")="89084", TEXT(TRIM(S1083),"00000")="89081"), "North LV",
  OR(TEXT(TRIM(S1083),"00000")="89109", TEXT(TRIM(S1083),"00000")="89103", TEXT(TRIM(S1083),"00000")="89119", TEXT(TRIM(S1083),"00000")="89123", TEXT(TRIM(S1083),"00000")="89169", TEXT(TRIM(S1083),"00000")="89118"), "South/Strip",
  OR(TEXT(TRIM(S1083),"00000")="89074", TEXT(TRIM(S1083),"00000")="89014", TEXT(TRIM(S1083),"00000")="89015", TEXT(TRIM(S1083),"00000")="89011", TEXT(TRIM(S1083),"00000")="89012"), "Suburban SE",
  OR(TEXT(TRIM(S1083),"00000")="89117", TEXT(TRIM(S1083),"00000")="89128", TEXT(TRIM(S1083),"00000")="89135", TEXT(TRIM(S1083),"00000")="89144", TEXT(TRIM(S1083),"00000")="89145", TEXT(TRIM(S1083),"00000")="89147"), "West Valley",
  TRUE, "Other"
)</f>
        <v>Urban Core</v>
      </c>
      <c r="U1083" t="s">
        <v>4301</v>
      </c>
      <c r="V1083" t="str">
        <f t="shared" si="67"/>
        <v>Medical Facility</v>
      </c>
    </row>
    <row r="1084" spans="1:22">
      <c r="A1084" t="s">
        <v>1967</v>
      </c>
      <c r="B1084" t="s">
        <v>1968</v>
      </c>
      <c r="C1084" s="1">
        <v>44386</v>
      </c>
      <c r="D1084" s="4">
        <v>116.96</v>
      </c>
      <c r="E1084">
        <v>63</v>
      </c>
      <c r="F1084" t="str">
        <f t="shared" si="64"/>
        <v>60's</v>
      </c>
      <c r="G1084" t="str" cm="1">
        <f t="array" ref="G1084">_xlfn.IFS(
  F1084="10's", "Child (5–12)",
  OR(F1084="20's", F1084="30's"), "Young Adult (20–39)",
  OR(F1084="40's", F1084="50's"), "Adult (40–59)",
  OR(F1084="60's", F1084="70's", F1084="80's", F1084="90's"), "Senior (60+)",
  TRUE, "Unknown"
)</f>
        <v>Senior (60+)</v>
      </c>
      <c r="H1084" t="s">
        <v>778</v>
      </c>
      <c r="I1084" t="s">
        <v>97</v>
      </c>
      <c r="J1084" t="str">
        <f t="shared" si="65"/>
        <v>Environmental Heat</v>
      </c>
      <c r="K1084" t="s">
        <v>98</v>
      </c>
      <c r="L1084" t="s">
        <v>250</v>
      </c>
      <c r="N1084" t="s">
        <v>5095</v>
      </c>
      <c r="O1084" t="str" cm="1">
        <f t="array" ref="O1084">_xlfn.IFS(
  TEXT(TRIM(N1084),"00000")="NULL", "Missing/Unknown",
  OR(TEXT(TRIM(N1084),"00000")="89101", TEXT(TRIM(N1084),"00000")="89104", TEXT(TRIM(N1084),"00000")="89106", TEXT(TRIM(N1084),"00000")="89102", TEXT(TRIM(N1084),"00000")="89107", TEXT(TRIM(N1084),"00000")="89108"), "Urban Core",
  OR(TEXT(TRIM(N1084),"00000")="89110", TEXT(TRIM(N1084),"00000")="89115", TEXT(TRIM(N1084),"00000")="89121", TEXT(TRIM(N1084),"00000")="89122", TEXT(TRIM(N1084),"00000")="89142", TEXT(TRIM(N1084),"00000")="89156"), "East Valley",
  OR(TEXT(TRIM(N1084),"00000")="89030", TEXT(TRIM(N1084),"00000")="89031", TEXT(TRIM(N1084),"00000")="89032", TEXT(TRIM(N1084),"00000")="89086", TEXT(TRIM(N1084),"00000")="89084", TEXT(TRIM(N1084),"00000")="89081"), "North LV",
  OR(TEXT(TRIM(N1084),"00000")="89109", TEXT(TRIM(N1084),"00000")="89103", TEXT(TRIM(N1084),"00000")="89119", TEXT(TRIM(N1084),"00000")="89123", TEXT(TRIM(N1084),"00000")="89169", TEXT(TRIM(N1084),"00000")="89118"), "South/Strip",
  OR(TEXT(TRIM(N1084),"00000")="89074", TEXT(TRIM(N1084),"00000")="89014", TEXT(TRIM(N1084),"00000")="89015", TEXT(TRIM(N1084),"00000")="89011", TEXT(TRIM(N1084),"00000")="89012"), "Suburban SE",
  OR(TEXT(TRIM(N1084),"00000")="89117", TEXT(TRIM(N1084),"00000")="89128", TEXT(TRIM(N1084),"00000")="89135", TEXT(TRIM(N1084),"00000")="89144", TEXT(TRIM(N1084),"00000")="89145", TEXT(TRIM(N1084),"00000")="89147"), "West Valley",
  TRUE, "Other"
)</f>
        <v>Missing/Unknown</v>
      </c>
      <c r="P1084" t="s">
        <v>208</v>
      </c>
      <c r="Q1084" t="str">
        <f t="shared" si="66"/>
        <v>Outdoors/Public</v>
      </c>
      <c r="R1084" t="s">
        <v>5055</v>
      </c>
      <c r="S1084" t="s">
        <v>5119</v>
      </c>
      <c r="T1084" t="str" cm="1">
        <f t="array" ref="T1084">_xlfn.IFS(
  TEXT(TRIM(S1084),"00000")="NULL", "Missing/Unknown",
  OR(TEXT(TRIM(S1084),"00000")="89101", TEXT(TRIM(S1084),"00000")="89104", TEXT(TRIM(S1084),"00000")="89106", TEXT(TRIM(S1084),"00000")="89102", TEXT(TRIM(S1084),"00000")="89107", TEXT(TRIM(S1084),"00000")="89108"), "Urban Core",
  OR(TEXT(TRIM(S1084),"00000")="89110", TEXT(TRIM(S1084),"00000")="89115", TEXT(TRIM(S1084),"00000")="89121", TEXT(TRIM(S1084),"00000")="89122", TEXT(TRIM(S1084),"00000")="89142", TEXT(TRIM(S1084),"00000")="89156"), "East Valley",
  OR(TEXT(TRIM(S1084),"00000")="89030", TEXT(TRIM(S1084),"00000")="89031", TEXT(TRIM(S1084),"00000")="89032", TEXT(TRIM(S1084),"00000")="89086", TEXT(TRIM(S1084),"00000")="89084", TEXT(TRIM(S1084),"00000")="89081"), "North LV",
  OR(TEXT(TRIM(S1084),"00000")="89109", TEXT(TRIM(S1084),"00000")="89103", TEXT(TRIM(S1084),"00000")="89119", TEXT(TRIM(S1084),"00000")="89123", TEXT(TRIM(S1084),"00000")="89169", TEXT(TRIM(S1084),"00000")="89118"), "South/Strip",
  OR(TEXT(TRIM(S1084),"00000")="89074", TEXT(TRIM(S1084),"00000")="89014", TEXT(TRIM(S1084),"00000")="89015", TEXT(TRIM(S1084),"00000")="89011", TEXT(TRIM(S1084),"00000")="89012"), "Suburban SE",
  OR(TEXT(TRIM(S1084),"00000")="89117", TEXT(TRIM(S1084),"00000")="89128", TEXT(TRIM(S1084),"00000")="89135", TEXT(TRIM(S1084),"00000")="89144", TEXT(TRIM(S1084),"00000")="89145", TEXT(TRIM(S1084),"00000")="89147"), "West Valley",
  TRUE, "Other"
)</f>
        <v>Urban Core</v>
      </c>
      <c r="U1084" t="s">
        <v>4301</v>
      </c>
      <c r="V1084" t="str">
        <f t="shared" si="67"/>
        <v>Medical Facility</v>
      </c>
    </row>
    <row r="1085" spans="1:22">
      <c r="A1085" t="s">
        <v>1939</v>
      </c>
      <c r="B1085" t="s">
        <v>1940</v>
      </c>
      <c r="C1085" s="1">
        <v>44386</v>
      </c>
      <c r="D1085" s="4">
        <v>116.96</v>
      </c>
      <c r="E1085">
        <v>56</v>
      </c>
      <c r="F1085" t="str">
        <f t="shared" si="64"/>
        <v>50's</v>
      </c>
      <c r="G1085" t="str" cm="1">
        <f t="array" ref="G1085">_xlfn.IFS(
  F1085="10's", "Child (5–12)",
  OR(F1085="20's", F1085="30's"), "Young Adult (20–39)",
  OR(F1085="40's", F1085="50's"), "Adult (40–59)",
  OR(F1085="60's", F1085="70's", F1085="80's", F1085="90's"), "Senior (60+)",
  TRUE, "Unknown"
)</f>
        <v>Adult (40–59)</v>
      </c>
      <c r="H1085" t="s">
        <v>778</v>
      </c>
      <c r="I1085" t="s">
        <v>97</v>
      </c>
      <c r="J1085" t="str">
        <f t="shared" si="65"/>
        <v>Environmental Heat</v>
      </c>
      <c r="K1085" t="s">
        <v>503</v>
      </c>
      <c r="L1085" t="s">
        <v>250</v>
      </c>
      <c r="N1085" t="s">
        <v>5095</v>
      </c>
      <c r="O1085" t="str" cm="1">
        <f t="array" ref="O1085">_xlfn.IFS(
  TEXT(TRIM(N1085),"00000")="NULL", "Missing/Unknown",
  OR(TEXT(TRIM(N1085),"00000")="89101", TEXT(TRIM(N1085),"00000")="89104", TEXT(TRIM(N1085),"00000")="89106", TEXT(TRIM(N1085),"00000")="89102", TEXT(TRIM(N1085),"00000")="89107", TEXT(TRIM(N1085),"00000")="89108"), "Urban Core",
  OR(TEXT(TRIM(N1085),"00000")="89110", TEXT(TRIM(N1085),"00000")="89115", TEXT(TRIM(N1085),"00000")="89121", TEXT(TRIM(N1085),"00000")="89122", TEXT(TRIM(N1085),"00000")="89142", TEXT(TRIM(N1085),"00000")="89156"), "East Valley",
  OR(TEXT(TRIM(N1085),"00000")="89030", TEXT(TRIM(N1085),"00000")="89031", TEXT(TRIM(N1085),"00000")="89032", TEXT(TRIM(N1085),"00000")="89086", TEXT(TRIM(N1085),"00000")="89084", TEXT(TRIM(N1085),"00000")="89081"), "North LV",
  OR(TEXT(TRIM(N1085),"00000")="89109", TEXT(TRIM(N1085),"00000")="89103", TEXT(TRIM(N1085),"00000")="89119", TEXT(TRIM(N1085),"00000")="89123", TEXT(TRIM(N1085),"00000")="89169", TEXT(TRIM(N1085),"00000")="89118"), "South/Strip",
  OR(TEXT(TRIM(N1085),"00000")="89074", TEXT(TRIM(N1085),"00000")="89014", TEXT(TRIM(N1085),"00000")="89015", TEXT(TRIM(N1085),"00000")="89011", TEXT(TRIM(N1085),"00000")="89012"), "Suburban SE",
  OR(TEXT(TRIM(N1085),"00000")="89117", TEXT(TRIM(N1085),"00000")="89128", TEXT(TRIM(N1085),"00000")="89135", TEXT(TRIM(N1085),"00000")="89144", TEXT(TRIM(N1085),"00000")="89145", TEXT(TRIM(N1085),"00000")="89147"), "West Valley",
  TRUE, "Other"
)</f>
        <v>Missing/Unknown</v>
      </c>
      <c r="P1085" t="s">
        <v>38</v>
      </c>
      <c r="Q1085" t="str">
        <f t="shared" si="66"/>
        <v>Home/Residence</v>
      </c>
      <c r="R1085" t="s">
        <v>4713</v>
      </c>
      <c r="S1085" t="s">
        <v>5125</v>
      </c>
      <c r="T1085" t="str" cm="1">
        <f t="array" ref="T1085">_xlfn.IFS(
  TEXT(TRIM(S1085),"00000")="NULL", "Missing/Unknown",
  OR(TEXT(TRIM(S1085),"00000")="89101", TEXT(TRIM(S1085),"00000")="89104", TEXT(TRIM(S1085),"00000")="89106", TEXT(TRIM(S1085),"00000")="89102", TEXT(TRIM(S1085),"00000")="89107", TEXT(TRIM(S1085),"00000")="89108"), "Urban Core",
  OR(TEXT(TRIM(S1085),"00000")="89110", TEXT(TRIM(S1085),"00000")="89115", TEXT(TRIM(S1085),"00000")="89121", TEXT(TRIM(S1085),"00000")="89122", TEXT(TRIM(S1085),"00000")="89142", TEXT(TRIM(S1085),"00000")="89156"), "East Valley",
  OR(TEXT(TRIM(S1085),"00000")="89030", TEXT(TRIM(S1085),"00000")="89031", TEXT(TRIM(S1085),"00000")="89032", TEXT(TRIM(S1085),"00000")="89086", TEXT(TRIM(S1085),"00000")="89084", TEXT(TRIM(S1085),"00000")="89081"), "North LV",
  OR(TEXT(TRIM(S1085),"00000")="89109", TEXT(TRIM(S1085),"00000")="89103", TEXT(TRIM(S1085),"00000")="89119", TEXT(TRIM(S1085),"00000")="89123", TEXT(TRIM(S1085),"00000")="89169", TEXT(TRIM(S1085),"00000")="89118"), "South/Strip",
  OR(TEXT(TRIM(S1085),"00000")="89074", TEXT(TRIM(S1085),"00000")="89014", TEXT(TRIM(S1085),"00000")="89015", TEXT(TRIM(S1085),"00000")="89011", TEXT(TRIM(S1085),"00000")="89012"), "Suburban SE",
  OR(TEXT(TRIM(S1085),"00000")="89117", TEXT(TRIM(S1085),"00000")="89128", TEXT(TRIM(S1085),"00000")="89135", TEXT(TRIM(S1085),"00000")="89144", TEXT(TRIM(S1085),"00000")="89145", TEXT(TRIM(S1085),"00000")="89147"), "West Valley",
  TRUE, "Other"
)</f>
        <v>South/Strip</v>
      </c>
      <c r="U1085" t="s">
        <v>4305</v>
      </c>
      <c r="V1085" t="str">
        <f t="shared" si="67"/>
        <v>Medical Facility</v>
      </c>
    </row>
    <row r="1086" spans="1:22">
      <c r="A1086" t="s">
        <v>1962</v>
      </c>
      <c r="B1086" t="s">
        <v>1963</v>
      </c>
      <c r="C1086" s="1">
        <v>44386</v>
      </c>
      <c r="D1086" s="4">
        <v>116.96</v>
      </c>
      <c r="E1086">
        <v>47</v>
      </c>
      <c r="F1086" t="str">
        <f t="shared" si="64"/>
        <v>40's</v>
      </c>
      <c r="G1086" t="str" cm="1">
        <f t="array" ref="G1086">_xlfn.IFS(
  F1086="10's", "Child (5–12)",
  OR(F1086="20's", F1086="30's"), "Young Adult (20–39)",
  OR(F1086="40's", F1086="50's"), "Adult (40–59)",
  OR(F1086="60's", F1086="70's", F1086="80's", F1086="90's"), "Senior (60+)",
  TRUE, "Unknown"
)</f>
        <v>Adult (40–59)</v>
      </c>
      <c r="H1086" t="s">
        <v>841</v>
      </c>
      <c r="I1086" t="s">
        <v>1964</v>
      </c>
      <c r="J1086" t="str">
        <f t="shared" si="65"/>
        <v>Cardiovascular Disease</v>
      </c>
      <c r="K1086" t="s">
        <v>4282</v>
      </c>
      <c r="L1086" t="s">
        <v>1071</v>
      </c>
      <c r="N1086" t="s">
        <v>5095</v>
      </c>
      <c r="O1086" t="str" cm="1">
        <f t="array" ref="O1086">_xlfn.IFS(
  TEXT(TRIM(N1086),"00000")="NULL", "Missing/Unknown",
  OR(TEXT(TRIM(N1086),"00000")="89101", TEXT(TRIM(N1086),"00000")="89104", TEXT(TRIM(N1086),"00000")="89106", TEXT(TRIM(N1086),"00000")="89102", TEXT(TRIM(N1086),"00000")="89107", TEXT(TRIM(N1086),"00000")="89108"), "Urban Core",
  OR(TEXT(TRIM(N1086),"00000")="89110", TEXT(TRIM(N1086),"00000")="89115", TEXT(TRIM(N1086),"00000")="89121", TEXT(TRIM(N1086),"00000")="89122", TEXT(TRIM(N1086),"00000")="89142", TEXT(TRIM(N1086),"00000")="89156"), "East Valley",
  OR(TEXT(TRIM(N1086),"00000")="89030", TEXT(TRIM(N1086),"00000")="89031", TEXT(TRIM(N1086),"00000")="89032", TEXT(TRIM(N1086),"00000")="89086", TEXT(TRIM(N1086),"00000")="89084", TEXT(TRIM(N1086),"00000")="89081"), "North LV",
  OR(TEXT(TRIM(N1086),"00000")="89109", TEXT(TRIM(N1086),"00000")="89103", TEXT(TRIM(N1086),"00000")="89119", TEXT(TRIM(N1086),"00000")="89123", TEXT(TRIM(N1086),"00000")="89169", TEXT(TRIM(N1086),"00000")="89118"), "South/Strip",
  OR(TEXT(TRIM(N1086),"00000")="89074", TEXT(TRIM(N1086),"00000")="89014", TEXT(TRIM(N1086),"00000")="89015", TEXT(TRIM(N1086),"00000")="89011", TEXT(TRIM(N1086),"00000")="89012"), "Suburban SE",
  OR(TEXT(TRIM(N1086),"00000")="89117", TEXT(TRIM(N1086),"00000")="89128", TEXT(TRIM(N1086),"00000")="89135", TEXT(TRIM(N1086),"00000")="89144", TEXT(TRIM(N1086),"00000")="89145", TEXT(TRIM(N1086),"00000")="89147"), "West Valley",
  TRUE, "Other"
)</f>
        <v>Missing/Unknown</v>
      </c>
      <c r="P1086" t="s">
        <v>1966</v>
      </c>
      <c r="Q1086" t="str">
        <f t="shared" si="66"/>
        <v>Outdoors/Public</v>
      </c>
      <c r="S1086" t="s">
        <v>5095</v>
      </c>
      <c r="T1086" t="str" cm="1">
        <f t="array" ref="T1086">_xlfn.IFS(
  TEXT(TRIM(S1086),"00000")="NULL", "Missing/Unknown",
  OR(TEXT(TRIM(S1086),"00000")="89101", TEXT(TRIM(S1086),"00000")="89104", TEXT(TRIM(S1086),"00000")="89106", TEXT(TRIM(S1086),"00000")="89102", TEXT(TRIM(S1086),"00000")="89107", TEXT(TRIM(S1086),"00000")="89108"), "Urban Core",
  OR(TEXT(TRIM(S1086),"00000")="89110", TEXT(TRIM(S1086),"00000")="89115", TEXT(TRIM(S1086),"00000")="89121", TEXT(TRIM(S1086),"00000")="89122", TEXT(TRIM(S1086),"00000")="89142", TEXT(TRIM(S1086),"00000")="89156"), "East Valley",
  OR(TEXT(TRIM(S1086),"00000")="89030", TEXT(TRIM(S1086),"00000")="89031", TEXT(TRIM(S1086),"00000")="89032", TEXT(TRIM(S1086),"00000")="89086", TEXT(TRIM(S1086),"00000")="89084", TEXT(TRIM(S1086),"00000")="89081"), "North LV",
  OR(TEXT(TRIM(S1086),"00000")="89109", TEXT(TRIM(S1086),"00000")="89103", TEXT(TRIM(S1086),"00000")="89119", TEXT(TRIM(S1086),"00000")="89123", TEXT(TRIM(S1086),"00000")="89169", TEXT(TRIM(S1086),"00000")="89118"), "South/Strip",
  OR(TEXT(TRIM(S1086),"00000")="89074", TEXT(TRIM(S1086),"00000")="89014", TEXT(TRIM(S1086),"00000")="89015", TEXT(TRIM(S1086),"00000")="89011", TEXT(TRIM(S1086),"00000")="89012"), "Suburban SE",
  OR(TEXT(TRIM(S1086),"00000")="89117", TEXT(TRIM(S1086),"00000")="89128", TEXT(TRIM(S1086),"00000")="89135", TEXT(TRIM(S1086),"00000")="89144", TEXT(TRIM(S1086),"00000")="89145", TEXT(TRIM(S1086),"00000")="89147"), "West Valley",
  TRUE, "Other"
)</f>
        <v>Missing/Unknown</v>
      </c>
      <c r="U1086" t="s">
        <v>1966</v>
      </c>
      <c r="V1086" t="str">
        <f t="shared" si="67"/>
        <v>Outdoors/Public</v>
      </c>
    </row>
    <row r="1087" spans="1:22">
      <c r="A1087" t="s">
        <v>1933</v>
      </c>
      <c r="B1087" t="s">
        <v>1934</v>
      </c>
      <c r="C1087" s="1">
        <v>44385</v>
      </c>
      <c r="D1087" s="4">
        <v>114.08</v>
      </c>
      <c r="E1087">
        <v>66</v>
      </c>
      <c r="F1087" t="str">
        <f t="shared" si="64"/>
        <v>60's</v>
      </c>
      <c r="G1087" t="str" cm="1">
        <f t="array" ref="G1087">_xlfn.IFS(
  F1087="10's", "Child (5–12)",
  OR(F1087="20's", F1087="30's"), "Young Adult (20–39)",
  OR(F1087="40's", F1087="50's"), "Adult (40–59)",
  OR(F1087="60's", F1087="70's", F1087="80's", F1087="90's"), "Senior (60+)",
  TRUE, "Unknown"
)</f>
        <v>Senior (60+)</v>
      </c>
      <c r="H1087" t="s">
        <v>778</v>
      </c>
      <c r="I1087" t="s">
        <v>54</v>
      </c>
      <c r="J1087" t="str">
        <f t="shared" si="65"/>
        <v>Environmental Heat</v>
      </c>
      <c r="K1087" t="s">
        <v>98</v>
      </c>
      <c r="L1087" t="s">
        <v>250</v>
      </c>
      <c r="M1087" t="s">
        <v>4855</v>
      </c>
      <c r="N1087" t="s">
        <v>5098</v>
      </c>
      <c r="O1087" t="str" cm="1">
        <f t="array" ref="O1087">_xlfn.IFS(
  TEXT(TRIM(N1087),"00000")="NULL", "Missing/Unknown",
  OR(TEXT(TRIM(N1087),"00000")="89101", TEXT(TRIM(N1087),"00000")="89104", TEXT(TRIM(N1087),"00000")="89106", TEXT(TRIM(N1087),"00000")="89102", TEXT(TRIM(N1087),"00000")="89107", TEXT(TRIM(N1087),"00000")="89108"), "Urban Core",
  OR(TEXT(TRIM(N1087),"00000")="89110", TEXT(TRIM(N1087),"00000")="89115", TEXT(TRIM(N1087),"00000")="89121", TEXT(TRIM(N1087),"00000")="89122", TEXT(TRIM(N1087),"00000")="89142", TEXT(TRIM(N1087),"00000")="89156"), "East Valley",
  OR(TEXT(TRIM(N1087),"00000")="89030", TEXT(TRIM(N1087),"00000")="89031", TEXT(TRIM(N1087),"00000")="89032", TEXT(TRIM(N1087),"00000")="89086", TEXT(TRIM(N1087),"00000")="89084", TEXT(TRIM(N1087),"00000")="89081"), "North LV",
  OR(TEXT(TRIM(N1087),"00000")="89109", TEXT(TRIM(N1087),"00000")="89103", TEXT(TRIM(N1087),"00000")="89119", TEXT(TRIM(N1087),"00000")="89123", TEXT(TRIM(N1087),"00000")="89169", TEXT(TRIM(N1087),"00000")="89118"), "South/Strip",
  OR(TEXT(TRIM(N1087),"00000")="89074", TEXT(TRIM(N1087),"00000")="89014", TEXT(TRIM(N1087),"00000")="89015", TEXT(TRIM(N1087),"00000")="89011", TEXT(TRIM(N1087),"00000")="89012"), "Suburban SE",
  OR(TEXT(TRIM(N1087),"00000")="89117", TEXT(TRIM(N1087),"00000")="89128", TEXT(TRIM(N1087),"00000")="89135", TEXT(TRIM(N1087),"00000")="89144", TEXT(TRIM(N1087),"00000")="89145", TEXT(TRIM(N1087),"00000")="89147"), "West Valley",
  TRUE, "Other"
)</f>
        <v>Urban Core</v>
      </c>
      <c r="P1087" t="s">
        <v>3298</v>
      </c>
      <c r="Q1087" t="str">
        <f t="shared" si="66"/>
        <v>Outdoors/Public</v>
      </c>
      <c r="R1087" t="s">
        <v>4855</v>
      </c>
      <c r="S1087" t="s">
        <v>5098</v>
      </c>
      <c r="T1087" t="str" cm="1">
        <f t="array" ref="T1087">_xlfn.IFS(
  TEXT(TRIM(S1087),"00000")="NULL", "Missing/Unknown",
  OR(TEXT(TRIM(S1087),"00000")="89101", TEXT(TRIM(S1087),"00000")="89104", TEXT(TRIM(S1087),"00000")="89106", TEXT(TRIM(S1087),"00000")="89102", TEXT(TRIM(S1087),"00000")="89107", TEXT(TRIM(S1087),"00000")="89108"), "Urban Core",
  OR(TEXT(TRIM(S1087),"00000")="89110", TEXT(TRIM(S1087),"00000")="89115", TEXT(TRIM(S1087),"00000")="89121", TEXT(TRIM(S1087),"00000")="89122", TEXT(TRIM(S1087),"00000")="89142", TEXT(TRIM(S1087),"00000")="89156"), "East Valley",
  OR(TEXT(TRIM(S1087),"00000")="89030", TEXT(TRIM(S1087),"00000")="89031", TEXT(TRIM(S1087),"00000")="89032", TEXT(TRIM(S1087),"00000")="89086", TEXT(TRIM(S1087),"00000")="89084", TEXT(TRIM(S1087),"00000")="89081"), "North LV",
  OR(TEXT(TRIM(S1087),"00000")="89109", TEXT(TRIM(S1087),"00000")="89103", TEXT(TRIM(S1087),"00000")="89119", TEXT(TRIM(S1087),"00000")="89123", TEXT(TRIM(S1087),"00000")="89169", TEXT(TRIM(S1087),"00000")="89118"), "South/Strip",
  OR(TEXT(TRIM(S1087),"00000")="89074", TEXT(TRIM(S1087),"00000")="89014", TEXT(TRIM(S1087),"00000")="89015", TEXT(TRIM(S1087),"00000")="89011", TEXT(TRIM(S1087),"00000")="89012"), "Suburban SE",
  OR(TEXT(TRIM(S1087),"00000")="89117", TEXT(TRIM(S1087),"00000")="89128", TEXT(TRIM(S1087),"00000")="89135", TEXT(TRIM(S1087),"00000")="89144", TEXT(TRIM(S1087),"00000")="89145", TEXT(TRIM(S1087),"00000")="89147"), "West Valley",
  TRUE, "Other"
)</f>
        <v>Urban Core</v>
      </c>
      <c r="U1087" t="s">
        <v>3298</v>
      </c>
      <c r="V1087" t="str">
        <f t="shared" si="67"/>
        <v>Outdoors/Public</v>
      </c>
    </row>
    <row r="1088" spans="1:22">
      <c r="A1088" t="s">
        <v>1930</v>
      </c>
      <c r="B1088" t="s">
        <v>1931</v>
      </c>
      <c r="C1088" s="1">
        <v>44385</v>
      </c>
      <c r="D1088" s="4">
        <v>114.08</v>
      </c>
      <c r="E1088">
        <v>66</v>
      </c>
      <c r="F1088" t="str">
        <f t="shared" si="64"/>
        <v>60's</v>
      </c>
      <c r="G1088" t="str" cm="1">
        <f t="array" ref="G1088">_xlfn.IFS(
  F1088="10's", "Child (5–12)",
  OR(F1088="20's", F1088="30's"), "Young Adult (20–39)",
  OR(F1088="40's", F1088="50's"), "Adult (40–59)",
  OR(F1088="60's", F1088="70's", F1088="80's", F1088="90's"), "Senior (60+)",
  TRUE, "Unknown"
)</f>
        <v>Senior (60+)</v>
      </c>
      <c r="H1088" t="s">
        <v>841</v>
      </c>
      <c r="I1088" t="s">
        <v>54</v>
      </c>
      <c r="J1088" t="str">
        <f t="shared" si="65"/>
        <v>Environmental Heat</v>
      </c>
      <c r="K1088" t="s">
        <v>199</v>
      </c>
      <c r="L1088" t="s">
        <v>250</v>
      </c>
      <c r="M1088" t="s">
        <v>4854</v>
      </c>
      <c r="N1088" t="s">
        <v>5125</v>
      </c>
      <c r="O1088" t="str" cm="1">
        <f t="array" ref="O1088">_xlfn.IFS(
  TEXT(TRIM(N1088),"00000")="NULL", "Missing/Unknown",
  OR(TEXT(TRIM(N1088),"00000")="89101", TEXT(TRIM(N1088),"00000")="89104", TEXT(TRIM(N1088),"00000")="89106", TEXT(TRIM(N1088),"00000")="89102", TEXT(TRIM(N1088),"00000")="89107", TEXT(TRIM(N1088),"00000")="89108"), "Urban Core",
  OR(TEXT(TRIM(N1088),"00000")="89110", TEXT(TRIM(N1088),"00000")="89115", TEXT(TRIM(N1088),"00000")="89121", TEXT(TRIM(N1088),"00000")="89122", TEXT(TRIM(N1088),"00000")="89142", TEXT(TRIM(N1088),"00000")="89156"), "East Valley",
  OR(TEXT(TRIM(N1088),"00000")="89030", TEXT(TRIM(N1088),"00000")="89031", TEXT(TRIM(N1088),"00000")="89032", TEXT(TRIM(N1088),"00000")="89086", TEXT(TRIM(N1088),"00000")="89084", TEXT(TRIM(N1088),"00000")="89081"), "North LV",
  OR(TEXT(TRIM(N1088),"00000")="89109", TEXT(TRIM(N1088),"00000")="89103", TEXT(TRIM(N1088),"00000")="89119", TEXT(TRIM(N1088),"00000")="89123", TEXT(TRIM(N1088),"00000")="89169", TEXT(TRIM(N1088),"00000")="89118"), "South/Strip",
  OR(TEXT(TRIM(N1088),"00000")="89074", TEXT(TRIM(N1088),"00000")="89014", TEXT(TRIM(N1088),"00000")="89015", TEXT(TRIM(N1088),"00000")="89011", TEXT(TRIM(N1088),"00000")="89012"), "Suburban SE",
  OR(TEXT(TRIM(N1088),"00000")="89117", TEXT(TRIM(N1088),"00000")="89128", TEXT(TRIM(N1088),"00000")="89135", TEXT(TRIM(N1088),"00000")="89144", TEXT(TRIM(N1088),"00000")="89145", TEXT(TRIM(N1088),"00000")="89147"), "West Valley",
  TRUE, "Other"
)</f>
        <v>South/Strip</v>
      </c>
      <c r="P1088" t="s">
        <v>3298</v>
      </c>
      <c r="Q1088" t="str">
        <f t="shared" si="66"/>
        <v>Outdoors/Public</v>
      </c>
      <c r="R1088" t="s">
        <v>4854</v>
      </c>
      <c r="S1088" t="s">
        <v>5125</v>
      </c>
      <c r="T1088" t="str" cm="1">
        <f t="array" ref="T1088">_xlfn.IFS(
  TEXT(TRIM(S1088),"00000")="NULL", "Missing/Unknown",
  OR(TEXT(TRIM(S1088),"00000")="89101", TEXT(TRIM(S1088),"00000")="89104", TEXT(TRIM(S1088),"00000")="89106", TEXT(TRIM(S1088),"00000")="89102", TEXT(TRIM(S1088),"00000")="89107", TEXT(TRIM(S1088),"00000")="89108"), "Urban Core",
  OR(TEXT(TRIM(S1088),"00000")="89110", TEXT(TRIM(S1088),"00000")="89115", TEXT(TRIM(S1088),"00000")="89121", TEXT(TRIM(S1088),"00000")="89122", TEXT(TRIM(S1088),"00000")="89142", TEXT(TRIM(S1088),"00000")="89156"), "East Valley",
  OR(TEXT(TRIM(S1088),"00000")="89030", TEXT(TRIM(S1088),"00000")="89031", TEXT(TRIM(S1088),"00000")="89032", TEXT(TRIM(S1088),"00000")="89086", TEXT(TRIM(S1088),"00000")="89084", TEXT(TRIM(S1088),"00000")="89081"), "North LV",
  OR(TEXT(TRIM(S1088),"00000")="89109", TEXT(TRIM(S1088),"00000")="89103", TEXT(TRIM(S1088),"00000")="89119", TEXT(TRIM(S1088),"00000")="89123", TEXT(TRIM(S1088),"00000")="89169", TEXT(TRIM(S1088),"00000")="89118"), "South/Strip",
  OR(TEXT(TRIM(S1088),"00000")="89074", TEXT(TRIM(S1088),"00000")="89014", TEXT(TRIM(S1088),"00000")="89015", TEXT(TRIM(S1088),"00000")="89011", TEXT(TRIM(S1088),"00000")="89012"), "Suburban SE",
  OR(TEXT(TRIM(S1088),"00000")="89117", TEXT(TRIM(S1088),"00000")="89128", TEXT(TRIM(S1088),"00000")="89135", TEXT(TRIM(S1088),"00000")="89144", TEXT(TRIM(S1088),"00000")="89145", TEXT(TRIM(S1088),"00000")="89147"), "West Valley",
  TRUE, "Other"
)</f>
        <v>South/Strip</v>
      </c>
      <c r="U1088" t="s">
        <v>3298</v>
      </c>
      <c r="V1088" t="str">
        <f t="shared" si="67"/>
        <v>Outdoors/Public</v>
      </c>
    </row>
    <row r="1089" spans="1:22">
      <c r="A1089" t="s">
        <v>1926</v>
      </c>
      <c r="B1089" t="s">
        <v>1927</v>
      </c>
      <c r="C1089" s="1">
        <v>44385</v>
      </c>
      <c r="D1089" s="4">
        <v>114.08</v>
      </c>
      <c r="E1089">
        <v>74</v>
      </c>
      <c r="F1089" t="str">
        <f t="shared" si="64"/>
        <v>70's</v>
      </c>
      <c r="G1089" t="str" cm="1">
        <f t="array" ref="G1089">_xlfn.IFS(
  F1089="10's", "Child (5–12)",
  OR(F1089="20's", F1089="30's"), "Young Adult (20–39)",
  OR(F1089="40's", F1089="50's"), "Adult (40–59)",
  OR(F1089="60's", F1089="70's", F1089="80's", F1089="90's"), "Senior (60+)",
  TRUE, "Unknown"
)</f>
        <v>Senior (60+)</v>
      </c>
      <c r="H1089" t="s">
        <v>778</v>
      </c>
      <c r="I1089" t="s">
        <v>4123</v>
      </c>
      <c r="J1089" t="str">
        <f t="shared" si="65"/>
        <v>Other / Unknown</v>
      </c>
      <c r="K1089" t="s">
        <v>54</v>
      </c>
      <c r="L1089" t="s">
        <v>1071</v>
      </c>
      <c r="M1089" t="s">
        <v>4482</v>
      </c>
      <c r="N1089" t="s">
        <v>5100</v>
      </c>
      <c r="O1089" t="str" cm="1">
        <f t="array" ref="O1089">_xlfn.IFS(
  TEXT(TRIM(N1089),"00000")="NULL", "Missing/Unknown",
  OR(TEXT(TRIM(N1089),"00000")="89101", TEXT(TRIM(N1089),"00000")="89104", TEXT(TRIM(N1089),"00000")="89106", TEXT(TRIM(N1089),"00000")="89102", TEXT(TRIM(N1089),"00000")="89107", TEXT(TRIM(N1089),"00000")="89108"), "Urban Core",
  OR(TEXT(TRIM(N1089),"00000")="89110", TEXT(TRIM(N1089),"00000")="89115", TEXT(TRIM(N1089),"00000")="89121", TEXT(TRIM(N1089),"00000")="89122", TEXT(TRIM(N1089),"00000")="89142", TEXT(TRIM(N1089),"00000")="89156"), "East Valley",
  OR(TEXT(TRIM(N1089),"00000")="89030", TEXT(TRIM(N1089),"00000")="89031", TEXT(TRIM(N1089),"00000")="89032", TEXT(TRIM(N1089),"00000")="89086", TEXT(TRIM(N1089),"00000")="89084", TEXT(TRIM(N1089),"00000")="89081"), "North LV",
  OR(TEXT(TRIM(N1089),"00000")="89109", TEXT(TRIM(N1089),"00000")="89103", TEXT(TRIM(N1089),"00000")="89119", TEXT(TRIM(N1089),"00000")="89123", TEXT(TRIM(N1089),"00000")="89169", TEXT(TRIM(N1089),"00000")="89118"), "South/Strip",
  OR(TEXT(TRIM(N1089),"00000")="89074", TEXT(TRIM(N1089),"00000")="89014", TEXT(TRIM(N1089),"00000")="89015", TEXT(TRIM(N1089),"00000")="89011", TEXT(TRIM(N1089),"00000")="89012"), "Suburban SE",
  OR(TEXT(TRIM(N1089),"00000")="89117", TEXT(TRIM(N1089),"00000")="89128", TEXT(TRIM(N1089),"00000")="89135", TEXT(TRIM(N1089),"00000")="89144", TEXT(TRIM(N1089),"00000")="89145", TEXT(TRIM(N1089),"00000")="89147"), "West Valley",
  TRUE, "Other"
)</f>
        <v>North LV</v>
      </c>
      <c r="P1089" t="s">
        <v>38</v>
      </c>
      <c r="Q1089" t="str">
        <f t="shared" si="66"/>
        <v>Home/Residence</v>
      </c>
      <c r="R1089" t="s">
        <v>4482</v>
      </c>
      <c r="S1089" t="s">
        <v>5100</v>
      </c>
      <c r="T1089" t="str" cm="1">
        <f t="array" ref="T1089">_xlfn.IFS(
  TEXT(TRIM(S1089),"00000")="NULL", "Missing/Unknown",
  OR(TEXT(TRIM(S1089),"00000")="89101", TEXT(TRIM(S1089),"00000")="89104", TEXT(TRIM(S1089),"00000")="89106", TEXT(TRIM(S1089),"00000")="89102", TEXT(TRIM(S1089),"00000")="89107", TEXT(TRIM(S1089),"00000")="89108"), "Urban Core",
  OR(TEXT(TRIM(S1089),"00000")="89110", TEXT(TRIM(S1089),"00000")="89115", TEXT(TRIM(S1089),"00000")="89121", TEXT(TRIM(S1089),"00000")="89122", TEXT(TRIM(S1089),"00000")="89142", TEXT(TRIM(S1089),"00000")="89156"), "East Valley",
  OR(TEXT(TRIM(S1089),"00000")="89030", TEXT(TRIM(S1089),"00000")="89031", TEXT(TRIM(S1089),"00000")="89032", TEXT(TRIM(S1089),"00000")="89086", TEXT(TRIM(S1089),"00000")="89084", TEXT(TRIM(S1089),"00000")="89081"), "North LV",
  OR(TEXT(TRIM(S1089),"00000")="89109", TEXT(TRIM(S1089),"00000")="89103", TEXT(TRIM(S1089),"00000")="89119", TEXT(TRIM(S1089),"00000")="89123", TEXT(TRIM(S1089),"00000")="89169", TEXT(TRIM(S1089),"00000")="89118"), "South/Strip",
  OR(TEXT(TRIM(S1089),"00000")="89074", TEXT(TRIM(S1089),"00000")="89014", TEXT(TRIM(S1089),"00000")="89015", TEXT(TRIM(S1089),"00000")="89011", TEXT(TRIM(S1089),"00000")="89012"), "Suburban SE",
  OR(TEXT(TRIM(S1089),"00000")="89117", TEXT(TRIM(S1089),"00000")="89128", TEXT(TRIM(S1089),"00000")="89135", TEXT(TRIM(S1089),"00000")="89144", TEXT(TRIM(S1089),"00000")="89145", TEXT(TRIM(S1089),"00000")="89147"), "West Valley",
  TRUE, "Other"
)</f>
        <v>North LV</v>
      </c>
      <c r="U1089" t="s">
        <v>38</v>
      </c>
      <c r="V1089" t="str">
        <f t="shared" si="67"/>
        <v>Home/Residence</v>
      </c>
    </row>
    <row r="1090" spans="1:22">
      <c r="A1090" t="s">
        <v>1923</v>
      </c>
      <c r="B1090" t="s">
        <v>1924</v>
      </c>
      <c r="C1090" s="1">
        <v>44385</v>
      </c>
      <c r="D1090" s="4">
        <v>114.08</v>
      </c>
      <c r="E1090">
        <v>58</v>
      </c>
      <c r="F1090" t="str">
        <f t="shared" ref="F1090:F1153" si="68">_xlfn.CONCAT(INT(E1090/10)*10, "'s")</f>
        <v>50's</v>
      </c>
      <c r="G1090" t="str" cm="1">
        <f t="array" ref="G1090">_xlfn.IFS(
  F1090="10's", "Child (5–12)",
  OR(F1090="20's", F1090="30's"), "Young Adult (20–39)",
  OR(F1090="40's", F1090="50's"), "Adult (40–59)",
  OR(F1090="60's", F1090="70's", F1090="80's", F1090="90's"), "Senior (60+)",
  TRUE, "Unknown"
)</f>
        <v>Adult (40–59)</v>
      </c>
      <c r="H1090" t="s">
        <v>841</v>
      </c>
      <c r="I1090" t="s">
        <v>54</v>
      </c>
      <c r="J1090" t="str">
        <f t="shared" ref="J1090:J1153" si="69">IF(ISNUMBER(SEARCH("heat", I1090)) + ISNUMBER(SEARCH("hyperthermia", I1090)) + ISNUMBER(SEARCH("heat stroke", I1090)) + ISNUMBER(SEARCH("environmental", I1090)), "Environmental Heat",
IF(ISNUMBER(SEARCH("meth", I1090)), "Methamphetamine-related",
IF(ISNUMBER(SEARCH("fentanyl", I1090)), "Fentanyl-related",
IF(ISNUMBER(SEARCH("cardio", I1090)) + ISNUMBER(SEARCH("heart", I1090)) + ISNUMBER(SEARCH("atherosclerotic", I1090)) + ISNUMBER(SEARCH("hypertensive", I1090)) + ISNUMBER(SEARCH("myocardial", I1090)) + ISNUMBER(SEARCH("infarction", I1090)), "Cardiovascular Disease",
IF(ISNUMBER(SEARCH("ethanol", I1090)) + ISNUMBER(SEARCH("alcohol", I1090)), "Ethanol-related",
IF(ISNUMBER(SEARCH("dehydration", I1090)) + ISNUMBER(SEARCH("hypernatrem", I1090)) + ISNUMBER(SEARCH("hyponatrem", I1090)), "Dehydration / Electrolyte",
IF(ISNUMBER(SEARCH("intoxication", I1090)) + ISNUMBER(SEARCH("toxicity", I1090)) + ISNUMBER(SEARCH("overdose", I1090)), "Mixed Drug Toxicity",
"Other / Unknown")))))))</f>
        <v>Environmental Heat</v>
      </c>
      <c r="K1090" t="s">
        <v>172</v>
      </c>
      <c r="L1090" t="s">
        <v>250</v>
      </c>
      <c r="M1090" t="s">
        <v>4816</v>
      </c>
      <c r="N1090" t="s">
        <v>5109</v>
      </c>
      <c r="O1090" t="str" cm="1">
        <f t="array" ref="O1090">_xlfn.IFS(
  TEXT(TRIM(N1090),"00000")="NULL", "Missing/Unknown",
  OR(TEXT(TRIM(N1090),"00000")="89101", TEXT(TRIM(N1090),"00000")="89104", TEXT(TRIM(N1090),"00000")="89106", TEXT(TRIM(N1090),"00000")="89102", TEXT(TRIM(N1090),"00000")="89107", TEXT(TRIM(N1090),"00000")="89108"), "Urban Core",
  OR(TEXT(TRIM(N1090),"00000")="89110", TEXT(TRIM(N1090),"00000")="89115", TEXT(TRIM(N1090),"00000")="89121", TEXT(TRIM(N1090),"00000")="89122", TEXT(TRIM(N1090),"00000")="89142", TEXT(TRIM(N1090),"00000")="89156"), "East Valley",
  OR(TEXT(TRIM(N1090),"00000")="89030", TEXT(TRIM(N1090),"00000")="89031", TEXT(TRIM(N1090),"00000")="89032", TEXT(TRIM(N1090),"00000")="89086", TEXT(TRIM(N1090),"00000")="89084", TEXT(TRIM(N1090),"00000")="89081"), "North LV",
  OR(TEXT(TRIM(N1090),"00000")="89109", TEXT(TRIM(N1090),"00000")="89103", TEXT(TRIM(N1090),"00000")="89119", TEXT(TRIM(N1090),"00000")="89123", TEXT(TRIM(N1090),"00000")="89169", TEXT(TRIM(N1090),"00000")="89118"), "South/Strip",
  OR(TEXT(TRIM(N1090),"00000")="89074", TEXT(TRIM(N1090),"00000")="89014", TEXT(TRIM(N1090),"00000")="89015", TEXT(TRIM(N1090),"00000")="89011", TEXT(TRIM(N1090),"00000")="89012"), "Suburban SE",
  OR(TEXT(TRIM(N1090),"00000")="89117", TEXT(TRIM(N1090),"00000")="89128", TEXT(TRIM(N1090),"00000")="89135", TEXT(TRIM(N1090),"00000")="89144", TEXT(TRIM(N1090),"00000")="89145", TEXT(TRIM(N1090),"00000")="89147"), "West Valley",
  TRUE, "Other"
)</f>
        <v>South/Strip</v>
      </c>
      <c r="P1090" t="s">
        <v>3298</v>
      </c>
      <c r="Q1090" t="str">
        <f t="shared" ref="Q1090:Q1153" si="70">IF(OR(ISNUMBER(SEARCH("outdoor", P1090)), ISNUMBER(SEARCH("park", P1090)), ISNUMBER(SEARCH("road", P1090)), ISNUMBER(SEARCH("sidewalk", P1090)), ISNUMBER(SEARCH("desert", P1090)), ISNUMBER(SEARCH("tunnel", P1090)), ISNUMBER(SEARCH("lot", P1090)), ISNUMBER(SEARCH("lake", P1090)), ISNUMBER(SEARCH("bus", P1090)), ISNUMBER(SEARCH("shed", P1090)), ISNUMBER(SEARCH("amusement", P1090))), "Outdoors/Public",
IF(OR(ISNUMBER(SEARCH("home", P1090)), ISNUMBER(SEARCH("residence", P1090)), ISNUMBER(SEARCH("rv", P1090)), ISNUMBER(SEARCH("tent", P1090)), ISNUMBER(SEARCH("bedroom", P1090)), ISNUMBER(SEARCH("garage", P1090)), ISNUMBER(SEARCH("trailer", P1090)), ISNUMBER(SEARCH("backyard", P1090))), "Home/Residence",
IF(OR(ISNUMBER(SEARCH("vehicle", P1090)), ISNUMBER(SEARCH("car", P1090)), ISNUMBER(SEARCH("wash", P1090))), "Vehicle-related",
IF(OR(ISNUMBER(SEARCH("business", P1090)), ISNUMBER(SEARCH("school", P1090)), ISNUMBER(SEARCH("hotel", P1090)), ISNUMBER(SEARCH("construction", P1090)), ISNUMBER(SEARCH("furniture", P1090)), ISNUMBER(SEARCH("public", P1090))), "Business/Commercial",
IF(OR(ISNUMBER(SEARCH("hospital", P1090)), ISNUMBER(SEARCH("assisted", P1090)), ISNUMBER(SEARCH("residential care", P1090))), "Medical Facility",
IF(OR(ISNUMBER(SEARCH("shelter", P1090)), ISNUMBER(SEARCH("jail", P1090))), "Shelter/Temporary Housing",
"Other / Unknown"))))))</f>
        <v>Outdoors/Public</v>
      </c>
      <c r="R1090" t="s">
        <v>4816</v>
      </c>
      <c r="S1090" t="s">
        <v>5109</v>
      </c>
      <c r="T1090" t="str" cm="1">
        <f t="array" ref="T1090">_xlfn.IFS(
  TEXT(TRIM(S1090),"00000")="NULL", "Missing/Unknown",
  OR(TEXT(TRIM(S1090),"00000")="89101", TEXT(TRIM(S1090),"00000")="89104", TEXT(TRIM(S1090),"00000")="89106", TEXT(TRIM(S1090),"00000")="89102", TEXT(TRIM(S1090),"00000")="89107", TEXT(TRIM(S1090),"00000")="89108"), "Urban Core",
  OR(TEXT(TRIM(S1090),"00000")="89110", TEXT(TRIM(S1090),"00000")="89115", TEXT(TRIM(S1090),"00000")="89121", TEXT(TRIM(S1090),"00000")="89122", TEXT(TRIM(S1090),"00000")="89142", TEXT(TRIM(S1090),"00000")="89156"), "East Valley",
  OR(TEXT(TRIM(S1090),"00000")="89030", TEXT(TRIM(S1090),"00000")="89031", TEXT(TRIM(S1090),"00000")="89032", TEXT(TRIM(S1090),"00000")="89086", TEXT(TRIM(S1090),"00000")="89084", TEXT(TRIM(S1090),"00000")="89081"), "North LV",
  OR(TEXT(TRIM(S1090),"00000")="89109", TEXT(TRIM(S1090),"00000")="89103", TEXT(TRIM(S1090),"00000")="89119", TEXT(TRIM(S1090),"00000")="89123", TEXT(TRIM(S1090),"00000")="89169", TEXT(TRIM(S1090),"00000")="89118"), "South/Strip",
  OR(TEXT(TRIM(S1090),"00000")="89074", TEXT(TRIM(S1090),"00000")="89014", TEXT(TRIM(S1090),"00000")="89015", TEXT(TRIM(S1090),"00000")="89011", TEXT(TRIM(S1090),"00000")="89012"), "Suburban SE",
  OR(TEXT(TRIM(S1090),"00000")="89117", TEXT(TRIM(S1090),"00000")="89128", TEXT(TRIM(S1090),"00000")="89135", TEXT(TRIM(S1090),"00000")="89144", TEXT(TRIM(S1090),"00000")="89145", TEXT(TRIM(S1090),"00000")="89147"), "West Valley",
  TRUE, "Other"
)</f>
        <v>South/Strip</v>
      </c>
      <c r="U1090" t="s">
        <v>3298</v>
      </c>
      <c r="V1090" t="str">
        <f t="shared" ref="V1090:V1153" si="71">IF(OR(ISNUMBER(SEARCH("outdoor", U1090)), ISNUMBER(SEARCH("park", U1090)), ISNUMBER(SEARCH("road", U1090)), ISNUMBER(SEARCH("sidewalk", U1090)), ISNUMBER(SEARCH("desert", U1090)), ISNUMBER(SEARCH("tunnel", U1090)), ISNUMBER(SEARCH("lot", U1090)), ISNUMBER(SEARCH("lake", U1090)), ISNUMBER(SEARCH("bus", U1090)), ISNUMBER(SEARCH("shed", U1090)), ISNUMBER(SEARCH("amusement", U1090))), "Outdoors/Public",
IF(OR(ISNUMBER(SEARCH("home", U1090)), ISNUMBER(SEARCH("residence", U1090)), ISNUMBER(SEARCH("rv", U1090)), ISNUMBER(SEARCH("tent", U1090)), ISNUMBER(SEARCH("bedroom", U1090)), ISNUMBER(SEARCH("garage", U1090)), ISNUMBER(SEARCH("trailer", U1090)), ISNUMBER(SEARCH("backyard", U1090))), "Home/Residence",
IF(OR(ISNUMBER(SEARCH("vehicle", U1090)), ISNUMBER(SEARCH("wash", U1090))), "Vehicle-related",
IF(OR(ISNUMBER(SEARCH("business", U1090)), ISNUMBER(SEARCH("school", U1090)), ISNUMBER(SEARCH("hotel", U1090)), ISNUMBER(SEARCH("construction", U1090)), ISNUMBER(SEARCH("furniture", U1090)), ISNUMBER(SEARCH("public", U1090))), "Business/Commercial",
IF(OR(ISNUMBER(SEARCH("hospital", U1090)), ISNUMBER(SEARCH("assisted", U1090)), ISNUMBER(SEARCH("residential care", U1090)), ISNUMBER(SEARCH("emergency room", U1090)), ISNUMBER(SEARCH("emergency", U1090)), ISNUMBER(SEARCH("intensive care unit", U1090)), ISNUMBER(SEARCH("icu", U1090))), "Medical Facility",
IF(OR(ISNUMBER(SEARCH("shelter", U1090)), ISNUMBER(SEARCH("jail", U1090))), "Shelter/Temporary Housing",
"Other / Unknown"))))))</f>
        <v>Outdoors/Public</v>
      </c>
    </row>
    <row r="1091" spans="1:22">
      <c r="A1091" t="s">
        <v>1936</v>
      </c>
      <c r="B1091" t="s">
        <v>1937</v>
      </c>
      <c r="C1091" s="1">
        <v>44385</v>
      </c>
      <c r="D1091" s="4">
        <v>114.08</v>
      </c>
      <c r="E1091">
        <v>78</v>
      </c>
      <c r="F1091" t="str">
        <f t="shared" si="68"/>
        <v>70's</v>
      </c>
      <c r="G1091" t="str" cm="1">
        <f t="array" ref="G1091">_xlfn.IFS(
  F1091="10's", "Child (5–12)",
  OR(F1091="20's", F1091="30's"), "Young Adult (20–39)",
  OR(F1091="40's", F1091="50's"), "Adult (40–59)",
  OR(F1091="60's", F1091="70's", F1091="80's", F1091="90's"), "Senior (60+)",
  TRUE, "Unknown"
)</f>
        <v>Senior (60+)</v>
      </c>
      <c r="H1091" t="s">
        <v>841</v>
      </c>
      <c r="I1091" t="s">
        <v>97</v>
      </c>
      <c r="J1091" t="str">
        <f t="shared" si="69"/>
        <v>Environmental Heat</v>
      </c>
      <c r="K1091" t="s">
        <v>4274</v>
      </c>
      <c r="L1091" t="s">
        <v>250</v>
      </c>
      <c r="M1091" t="s">
        <v>4466</v>
      </c>
      <c r="N1091" t="s">
        <v>5110</v>
      </c>
      <c r="O1091" t="str" cm="1">
        <f t="array" ref="O1091">_xlfn.IFS(
  TEXT(TRIM(N1091),"00000")="NULL", "Missing/Unknown",
  OR(TEXT(TRIM(N1091),"00000")="89101", TEXT(TRIM(N1091),"00000")="89104", TEXT(TRIM(N1091),"00000")="89106", TEXT(TRIM(N1091),"00000")="89102", TEXT(TRIM(N1091),"00000")="89107", TEXT(TRIM(N1091),"00000")="89108"), "Urban Core",
  OR(TEXT(TRIM(N1091),"00000")="89110", TEXT(TRIM(N1091),"00000")="89115", TEXT(TRIM(N1091),"00000")="89121", TEXT(TRIM(N1091),"00000")="89122", TEXT(TRIM(N1091),"00000")="89142", TEXT(TRIM(N1091),"00000")="89156"), "East Valley",
  OR(TEXT(TRIM(N1091),"00000")="89030", TEXT(TRIM(N1091),"00000")="89031", TEXT(TRIM(N1091),"00000")="89032", TEXT(TRIM(N1091),"00000")="89086", TEXT(TRIM(N1091),"00000")="89084", TEXT(TRIM(N1091),"00000")="89081"), "North LV",
  OR(TEXT(TRIM(N1091),"00000")="89109", TEXT(TRIM(N1091),"00000")="89103", TEXT(TRIM(N1091),"00000")="89119", TEXT(TRIM(N1091),"00000")="89123", TEXT(TRIM(N1091),"00000")="89169", TEXT(TRIM(N1091),"00000")="89118"), "South/Strip",
  OR(TEXT(TRIM(N1091),"00000")="89074", TEXT(TRIM(N1091),"00000")="89014", TEXT(TRIM(N1091),"00000")="89015", TEXT(TRIM(N1091),"00000")="89011", TEXT(TRIM(N1091),"00000")="89012"), "Suburban SE",
  OR(TEXT(TRIM(N1091),"00000")="89117", TEXT(TRIM(N1091),"00000")="89128", TEXT(TRIM(N1091),"00000")="89135", TEXT(TRIM(N1091),"00000")="89144", TEXT(TRIM(N1091),"00000")="89145", TEXT(TRIM(N1091),"00000")="89147"), "West Valley",
  TRUE, "Other"
)</f>
        <v>Suburban SE</v>
      </c>
      <c r="P1091" t="s">
        <v>65</v>
      </c>
      <c r="Q1091" t="str">
        <f t="shared" si="70"/>
        <v>Vehicle-related</v>
      </c>
      <c r="R1091" t="s">
        <v>5053</v>
      </c>
      <c r="S1091" t="s">
        <v>5110</v>
      </c>
      <c r="T1091" t="str" cm="1">
        <f t="array" ref="T1091">_xlfn.IFS(
  TEXT(TRIM(S1091),"00000")="NULL", "Missing/Unknown",
  OR(TEXT(TRIM(S1091),"00000")="89101", TEXT(TRIM(S1091),"00000")="89104", TEXT(TRIM(S1091),"00000")="89106", TEXT(TRIM(S1091),"00000")="89102", TEXT(TRIM(S1091),"00000")="89107", TEXT(TRIM(S1091),"00000")="89108"), "Urban Core",
  OR(TEXT(TRIM(S1091),"00000")="89110", TEXT(TRIM(S1091),"00000")="89115", TEXT(TRIM(S1091),"00000")="89121", TEXT(TRIM(S1091),"00000")="89122", TEXT(TRIM(S1091),"00000")="89142", TEXT(TRIM(S1091),"00000")="89156"), "East Valley",
  OR(TEXT(TRIM(S1091),"00000")="89030", TEXT(TRIM(S1091),"00000")="89031", TEXT(TRIM(S1091),"00000")="89032", TEXT(TRIM(S1091),"00000")="89086", TEXT(TRIM(S1091),"00000")="89084", TEXT(TRIM(S1091),"00000")="89081"), "North LV",
  OR(TEXT(TRIM(S1091),"00000")="89109", TEXT(TRIM(S1091),"00000")="89103", TEXT(TRIM(S1091),"00000")="89119", TEXT(TRIM(S1091),"00000")="89123", TEXT(TRIM(S1091),"00000")="89169", TEXT(TRIM(S1091),"00000")="89118"), "South/Strip",
  OR(TEXT(TRIM(S1091),"00000")="89074", TEXT(TRIM(S1091),"00000")="89014", TEXT(TRIM(S1091),"00000")="89015", TEXT(TRIM(S1091),"00000")="89011", TEXT(TRIM(S1091),"00000")="89012"), "Suburban SE",
  OR(TEXT(TRIM(S1091),"00000")="89117", TEXT(TRIM(S1091),"00000")="89128", TEXT(TRIM(S1091),"00000")="89135", TEXT(TRIM(S1091),"00000")="89144", TEXT(TRIM(S1091),"00000")="89145", TEXT(TRIM(S1091),"00000")="89147"), "West Valley",
  TRUE, "Other"
)</f>
        <v>Suburban SE</v>
      </c>
      <c r="U1091" t="s">
        <v>4301</v>
      </c>
      <c r="V1091" t="str">
        <f t="shared" si="71"/>
        <v>Medical Facility</v>
      </c>
    </row>
    <row r="1092" spans="1:22">
      <c r="A1092" t="s">
        <v>1918</v>
      </c>
      <c r="B1092" t="s">
        <v>1919</v>
      </c>
      <c r="C1092" s="1">
        <v>44385</v>
      </c>
      <c r="D1092" s="4">
        <v>114.08</v>
      </c>
      <c r="E1092">
        <v>50</v>
      </c>
      <c r="F1092" t="str">
        <f t="shared" si="68"/>
        <v>50's</v>
      </c>
      <c r="G1092" t="str" cm="1">
        <f t="array" ref="G1092">_xlfn.IFS(
  F1092="10's", "Child (5–12)",
  OR(F1092="20's", F1092="30's"), "Young Adult (20–39)",
  OR(F1092="40's", F1092="50's"), "Adult (40–59)",
  OR(F1092="60's", F1092="70's", F1092="80's", F1092="90's"), "Senior (60+)",
  TRUE, "Unknown"
)</f>
        <v>Adult (40–59)</v>
      </c>
      <c r="H1092" t="s">
        <v>778</v>
      </c>
      <c r="I1092" t="s">
        <v>172</v>
      </c>
      <c r="J1092" t="str">
        <f t="shared" si="69"/>
        <v>Methamphetamine-related</v>
      </c>
      <c r="K1092" t="s">
        <v>54</v>
      </c>
      <c r="L1092" t="s">
        <v>250</v>
      </c>
      <c r="N1092" t="s">
        <v>5095</v>
      </c>
      <c r="O1092" t="str" cm="1">
        <f t="array" ref="O1092">_xlfn.IFS(
  TEXT(TRIM(N1092),"00000")="NULL", "Missing/Unknown",
  OR(TEXT(TRIM(N1092),"00000")="89101", TEXT(TRIM(N1092),"00000")="89104", TEXT(TRIM(N1092),"00000")="89106", TEXT(TRIM(N1092),"00000")="89102", TEXT(TRIM(N1092),"00000")="89107", TEXT(TRIM(N1092),"00000")="89108"), "Urban Core",
  OR(TEXT(TRIM(N1092),"00000")="89110", TEXT(TRIM(N1092),"00000")="89115", TEXT(TRIM(N1092),"00000")="89121", TEXT(TRIM(N1092),"00000")="89122", TEXT(TRIM(N1092),"00000")="89142", TEXT(TRIM(N1092),"00000")="89156"), "East Valley",
  OR(TEXT(TRIM(N1092),"00000")="89030", TEXT(TRIM(N1092),"00000")="89031", TEXT(TRIM(N1092),"00000")="89032", TEXT(TRIM(N1092),"00000")="89086", TEXT(TRIM(N1092),"00000")="89084", TEXT(TRIM(N1092),"00000")="89081"), "North LV",
  OR(TEXT(TRIM(N1092),"00000")="89109", TEXT(TRIM(N1092),"00000")="89103", TEXT(TRIM(N1092),"00000")="89119", TEXT(TRIM(N1092),"00000")="89123", TEXT(TRIM(N1092),"00000")="89169", TEXT(TRIM(N1092),"00000")="89118"), "South/Strip",
  OR(TEXT(TRIM(N1092),"00000")="89074", TEXT(TRIM(N1092),"00000")="89014", TEXT(TRIM(N1092),"00000")="89015", TEXT(TRIM(N1092),"00000")="89011", TEXT(TRIM(N1092),"00000")="89012"), "Suburban SE",
  OR(TEXT(TRIM(N1092),"00000")="89117", TEXT(TRIM(N1092),"00000")="89128", TEXT(TRIM(N1092),"00000")="89135", TEXT(TRIM(N1092),"00000")="89144", TEXT(TRIM(N1092),"00000")="89145", TEXT(TRIM(N1092),"00000")="89147"), "West Valley",
  TRUE, "Other"
)</f>
        <v>Missing/Unknown</v>
      </c>
      <c r="P1092" t="s">
        <v>3298</v>
      </c>
      <c r="Q1092" t="str">
        <f t="shared" si="70"/>
        <v>Outdoors/Public</v>
      </c>
      <c r="S1092" t="s">
        <v>5095</v>
      </c>
      <c r="T1092" t="str" cm="1">
        <f t="array" ref="T1092">_xlfn.IFS(
  TEXT(TRIM(S1092),"00000")="NULL", "Missing/Unknown",
  OR(TEXT(TRIM(S1092),"00000")="89101", TEXT(TRIM(S1092),"00000")="89104", TEXT(TRIM(S1092),"00000")="89106", TEXT(TRIM(S1092),"00000")="89102", TEXT(TRIM(S1092),"00000")="89107", TEXT(TRIM(S1092),"00000")="89108"), "Urban Core",
  OR(TEXT(TRIM(S1092),"00000")="89110", TEXT(TRIM(S1092),"00000")="89115", TEXT(TRIM(S1092),"00000")="89121", TEXT(TRIM(S1092),"00000")="89122", TEXT(TRIM(S1092),"00000")="89142", TEXT(TRIM(S1092),"00000")="89156"), "East Valley",
  OR(TEXT(TRIM(S1092),"00000")="89030", TEXT(TRIM(S1092),"00000")="89031", TEXT(TRIM(S1092),"00000")="89032", TEXT(TRIM(S1092),"00000")="89086", TEXT(TRIM(S1092),"00000")="89084", TEXT(TRIM(S1092),"00000")="89081"), "North LV",
  OR(TEXT(TRIM(S1092),"00000")="89109", TEXT(TRIM(S1092),"00000")="89103", TEXT(TRIM(S1092),"00000")="89119", TEXT(TRIM(S1092),"00000")="89123", TEXT(TRIM(S1092),"00000")="89169", TEXT(TRIM(S1092),"00000")="89118"), "South/Strip",
  OR(TEXT(TRIM(S1092),"00000")="89074", TEXT(TRIM(S1092),"00000")="89014", TEXT(TRIM(S1092),"00000")="89015", TEXT(TRIM(S1092),"00000")="89011", TEXT(TRIM(S1092),"00000")="89012"), "Suburban SE",
  OR(TEXT(TRIM(S1092),"00000")="89117", TEXT(TRIM(S1092),"00000")="89128", TEXT(TRIM(S1092),"00000")="89135", TEXT(TRIM(S1092),"00000")="89144", TEXT(TRIM(S1092),"00000")="89145", TEXT(TRIM(S1092),"00000")="89147"), "West Valley",
  TRUE, "Other"
)</f>
        <v>Missing/Unknown</v>
      </c>
      <c r="U1092" t="s">
        <v>3298</v>
      </c>
      <c r="V1092" t="str">
        <f t="shared" si="71"/>
        <v>Outdoors/Public</v>
      </c>
    </row>
    <row r="1093" spans="1:22">
      <c r="A1093" t="s">
        <v>1920</v>
      </c>
      <c r="B1093" t="s">
        <v>1921</v>
      </c>
      <c r="C1093" s="1">
        <v>44385</v>
      </c>
      <c r="D1093" s="4">
        <v>114.08</v>
      </c>
      <c r="E1093">
        <v>64</v>
      </c>
      <c r="F1093" t="str">
        <f t="shared" si="68"/>
        <v>60's</v>
      </c>
      <c r="G1093" t="str" cm="1">
        <f t="array" ref="G1093">_xlfn.IFS(
  F1093="10's", "Child (5–12)",
  OR(F1093="20's", F1093="30's"), "Young Adult (20–39)",
  OR(F1093="40's", F1093="50's"), "Adult (40–59)",
  OR(F1093="60's", F1093="70's", F1093="80's", F1093="90's"), "Senior (60+)",
  TRUE, "Unknown"
)</f>
        <v>Senior (60+)</v>
      </c>
      <c r="H1093" t="s">
        <v>841</v>
      </c>
      <c r="I1093" t="s">
        <v>54</v>
      </c>
      <c r="J1093" t="str">
        <f t="shared" si="69"/>
        <v>Environmental Heat</v>
      </c>
      <c r="K1093" t="s">
        <v>4284</v>
      </c>
      <c r="L1093" t="s">
        <v>1071</v>
      </c>
      <c r="N1093" t="s">
        <v>5095</v>
      </c>
      <c r="O1093" t="str" cm="1">
        <f t="array" ref="O1093">_xlfn.IFS(
  TEXT(TRIM(N1093),"00000")="NULL", "Missing/Unknown",
  OR(TEXT(TRIM(N1093),"00000")="89101", TEXT(TRIM(N1093),"00000")="89104", TEXT(TRIM(N1093),"00000")="89106", TEXT(TRIM(N1093),"00000")="89102", TEXT(TRIM(N1093),"00000")="89107", TEXT(TRIM(N1093),"00000")="89108"), "Urban Core",
  OR(TEXT(TRIM(N1093),"00000")="89110", TEXT(TRIM(N1093),"00000")="89115", TEXT(TRIM(N1093),"00000")="89121", TEXT(TRIM(N1093),"00000")="89122", TEXT(TRIM(N1093),"00000")="89142", TEXT(TRIM(N1093),"00000")="89156"), "East Valley",
  OR(TEXT(TRIM(N1093),"00000")="89030", TEXT(TRIM(N1093),"00000")="89031", TEXT(TRIM(N1093),"00000")="89032", TEXT(TRIM(N1093),"00000")="89086", TEXT(TRIM(N1093),"00000")="89084", TEXT(TRIM(N1093),"00000")="89081"), "North LV",
  OR(TEXT(TRIM(N1093),"00000")="89109", TEXT(TRIM(N1093),"00000")="89103", TEXT(TRIM(N1093),"00000")="89119", TEXT(TRIM(N1093),"00000")="89123", TEXT(TRIM(N1093),"00000")="89169", TEXT(TRIM(N1093),"00000")="89118"), "South/Strip",
  OR(TEXT(TRIM(N1093),"00000")="89074", TEXT(TRIM(N1093),"00000")="89014", TEXT(TRIM(N1093),"00000")="89015", TEXT(TRIM(N1093),"00000")="89011", TEXT(TRIM(N1093),"00000")="89012"), "Suburban SE",
  OR(TEXT(TRIM(N1093),"00000")="89117", TEXT(TRIM(N1093),"00000")="89128", TEXT(TRIM(N1093),"00000")="89135", TEXT(TRIM(N1093),"00000")="89144", TEXT(TRIM(N1093),"00000")="89145", TEXT(TRIM(N1093),"00000")="89147"), "West Valley",
  TRUE, "Other"
)</f>
        <v>Missing/Unknown</v>
      </c>
      <c r="P1093" t="s">
        <v>65</v>
      </c>
      <c r="Q1093" t="str">
        <f t="shared" si="70"/>
        <v>Vehicle-related</v>
      </c>
      <c r="S1093" t="s">
        <v>5095</v>
      </c>
      <c r="T1093" t="str" cm="1">
        <f t="array" ref="T1093">_xlfn.IFS(
  TEXT(TRIM(S1093),"00000")="NULL", "Missing/Unknown",
  OR(TEXT(TRIM(S1093),"00000")="89101", TEXT(TRIM(S1093),"00000")="89104", TEXT(TRIM(S1093),"00000")="89106", TEXT(TRIM(S1093),"00000")="89102", TEXT(TRIM(S1093),"00000")="89107", TEXT(TRIM(S1093),"00000")="89108"), "Urban Core",
  OR(TEXT(TRIM(S1093),"00000")="89110", TEXT(TRIM(S1093),"00000")="89115", TEXT(TRIM(S1093),"00000")="89121", TEXT(TRIM(S1093),"00000")="89122", TEXT(TRIM(S1093),"00000")="89142", TEXT(TRIM(S1093),"00000")="89156"), "East Valley",
  OR(TEXT(TRIM(S1093),"00000")="89030", TEXT(TRIM(S1093),"00000")="89031", TEXT(TRIM(S1093),"00000")="89032", TEXT(TRIM(S1093),"00000")="89086", TEXT(TRIM(S1093),"00000")="89084", TEXT(TRIM(S1093),"00000")="89081"), "North LV",
  OR(TEXT(TRIM(S1093),"00000")="89109", TEXT(TRIM(S1093),"00000")="89103", TEXT(TRIM(S1093),"00000")="89119", TEXT(TRIM(S1093),"00000")="89123", TEXT(TRIM(S1093),"00000")="89169", TEXT(TRIM(S1093),"00000")="89118"), "South/Strip",
  OR(TEXT(TRIM(S1093),"00000")="89074", TEXT(TRIM(S1093),"00000")="89014", TEXT(TRIM(S1093),"00000")="89015", TEXT(TRIM(S1093),"00000")="89011", TEXT(TRIM(S1093),"00000")="89012"), "Suburban SE",
  OR(TEXT(TRIM(S1093),"00000")="89117", TEXT(TRIM(S1093),"00000")="89128", TEXT(TRIM(S1093),"00000")="89135", TEXT(TRIM(S1093),"00000")="89144", TEXT(TRIM(S1093),"00000")="89145", TEXT(TRIM(S1093),"00000")="89147"), "West Valley",
  TRUE, "Other"
)</f>
        <v>Missing/Unknown</v>
      </c>
      <c r="U1093" t="s">
        <v>65</v>
      </c>
      <c r="V1093" t="str">
        <f t="shared" si="71"/>
        <v>Vehicle-related</v>
      </c>
    </row>
    <row r="1094" spans="1:22">
      <c r="A1094" t="s">
        <v>1883</v>
      </c>
      <c r="B1094" t="s">
        <v>1884</v>
      </c>
      <c r="C1094" s="1">
        <v>44384</v>
      </c>
      <c r="D1094" s="4">
        <v>114.08</v>
      </c>
      <c r="E1094">
        <v>69</v>
      </c>
      <c r="F1094" t="str">
        <f t="shared" si="68"/>
        <v>60's</v>
      </c>
      <c r="G1094" t="str" cm="1">
        <f t="array" ref="G1094">_xlfn.IFS(
  F1094="10's", "Child (5–12)",
  OR(F1094="20's", F1094="30's"), "Young Adult (20–39)",
  OR(F1094="40's", F1094="50's"), "Adult (40–59)",
  OR(F1094="60's", F1094="70's", F1094="80's", F1094="90's"), "Senior (60+)",
  TRUE, "Unknown"
)</f>
        <v>Senior (60+)</v>
      </c>
      <c r="H1094" t="s">
        <v>841</v>
      </c>
      <c r="I1094" t="s">
        <v>54</v>
      </c>
      <c r="J1094" t="str">
        <f t="shared" si="69"/>
        <v>Environmental Heat</v>
      </c>
      <c r="K1094" t="s">
        <v>4285</v>
      </c>
      <c r="L1094" t="s">
        <v>1071</v>
      </c>
      <c r="M1094" t="s">
        <v>4359</v>
      </c>
      <c r="N1094" t="s">
        <v>5098</v>
      </c>
      <c r="O1094" t="str" cm="1">
        <f t="array" ref="O1094">_xlfn.IFS(
  TEXT(TRIM(N1094),"00000")="NULL", "Missing/Unknown",
  OR(TEXT(TRIM(N1094),"00000")="89101", TEXT(TRIM(N1094),"00000")="89104", TEXT(TRIM(N1094),"00000")="89106", TEXT(TRIM(N1094),"00000")="89102", TEXT(TRIM(N1094),"00000")="89107", TEXT(TRIM(N1094),"00000")="89108"), "Urban Core",
  OR(TEXT(TRIM(N1094),"00000")="89110", TEXT(TRIM(N1094),"00000")="89115", TEXT(TRIM(N1094),"00000")="89121", TEXT(TRIM(N1094),"00000")="89122", TEXT(TRIM(N1094),"00000")="89142", TEXT(TRIM(N1094),"00000")="89156"), "East Valley",
  OR(TEXT(TRIM(N1094),"00000")="89030", TEXT(TRIM(N1094),"00000")="89031", TEXT(TRIM(N1094),"00000")="89032", TEXT(TRIM(N1094),"00000")="89086", TEXT(TRIM(N1094),"00000")="89084", TEXT(TRIM(N1094),"00000")="89081"), "North LV",
  OR(TEXT(TRIM(N1094),"00000")="89109", TEXT(TRIM(N1094),"00000")="89103", TEXT(TRIM(N1094),"00000")="89119", TEXT(TRIM(N1094),"00000")="89123", TEXT(TRIM(N1094),"00000")="89169", TEXT(TRIM(N1094),"00000")="89118"), "South/Strip",
  OR(TEXT(TRIM(N1094),"00000")="89074", TEXT(TRIM(N1094),"00000")="89014", TEXT(TRIM(N1094),"00000")="89015", TEXT(TRIM(N1094),"00000")="89011", TEXT(TRIM(N1094),"00000")="89012"), "Suburban SE",
  OR(TEXT(TRIM(N1094),"00000")="89117", TEXT(TRIM(N1094),"00000")="89128", TEXT(TRIM(N1094),"00000")="89135", TEXT(TRIM(N1094),"00000")="89144", TEXT(TRIM(N1094),"00000")="89145", TEXT(TRIM(N1094),"00000")="89147"), "West Valley",
  TRUE, "Other"
)</f>
        <v>Urban Core</v>
      </c>
      <c r="P1094" t="s">
        <v>38</v>
      </c>
      <c r="Q1094" t="str">
        <f t="shared" si="70"/>
        <v>Home/Residence</v>
      </c>
      <c r="R1094" t="s">
        <v>4359</v>
      </c>
      <c r="S1094" t="s">
        <v>5098</v>
      </c>
      <c r="T1094" t="str" cm="1">
        <f t="array" ref="T1094">_xlfn.IFS(
  TEXT(TRIM(S1094),"00000")="NULL", "Missing/Unknown",
  OR(TEXT(TRIM(S1094),"00000")="89101", TEXT(TRIM(S1094),"00000")="89104", TEXT(TRIM(S1094),"00000")="89106", TEXT(TRIM(S1094),"00000")="89102", TEXT(TRIM(S1094),"00000")="89107", TEXT(TRIM(S1094),"00000")="89108"), "Urban Core",
  OR(TEXT(TRIM(S1094),"00000")="89110", TEXT(TRIM(S1094),"00000")="89115", TEXT(TRIM(S1094),"00000")="89121", TEXT(TRIM(S1094),"00000")="89122", TEXT(TRIM(S1094),"00000")="89142", TEXT(TRIM(S1094),"00000")="89156"), "East Valley",
  OR(TEXT(TRIM(S1094),"00000")="89030", TEXT(TRIM(S1094),"00000")="89031", TEXT(TRIM(S1094),"00000")="89032", TEXT(TRIM(S1094),"00000")="89086", TEXT(TRIM(S1094),"00000")="89084", TEXT(TRIM(S1094),"00000")="89081"), "North LV",
  OR(TEXT(TRIM(S1094),"00000")="89109", TEXT(TRIM(S1094),"00000")="89103", TEXT(TRIM(S1094),"00000")="89119", TEXT(TRIM(S1094),"00000")="89123", TEXT(TRIM(S1094),"00000")="89169", TEXT(TRIM(S1094),"00000")="89118"), "South/Strip",
  OR(TEXT(TRIM(S1094),"00000")="89074", TEXT(TRIM(S1094),"00000")="89014", TEXT(TRIM(S1094),"00000")="89015", TEXT(TRIM(S1094),"00000")="89011", TEXT(TRIM(S1094),"00000")="89012"), "Suburban SE",
  OR(TEXT(TRIM(S1094),"00000")="89117", TEXT(TRIM(S1094),"00000")="89128", TEXT(TRIM(S1094),"00000")="89135", TEXT(TRIM(S1094),"00000")="89144", TEXT(TRIM(S1094),"00000")="89145", TEXT(TRIM(S1094),"00000")="89147"), "West Valley",
  TRUE, "Other"
)</f>
        <v>Urban Core</v>
      </c>
      <c r="U1094" t="s">
        <v>38</v>
      </c>
      <c r="V1094" t="str">
        <f t="shared" si="71"/>
        <v>Home/Residence</v>
      </c>
    </row>
    <row r="1095" spans="1:22">
      <c r="A1095" t="s">
        <v>1887</v>
      </c>
      <c r="B1095" t="s">
        <v>1888</v>
      </c>
      <c r="C1095" s="1">
        <v>44384</v>
      </c>
      <c r="D1095" s="4">
        <v>114.08</v>
      </c>
      <c r="E1095">
        <v>68</v>
      </c>
      <c r="F1095" t="str">
        <f t="shared" si="68"/>
        <v>60's</v>
      </c>
      <c r="G1095" t="str" cm="1">
        <f t="array" ref="G1095">_xlfn.IFS(
  F1095="10's", "Child (5–12)",
  OR(F1095="20's", F1095="30's"), "Young Adult (20–39)",
  OR(F1095="40's", F1095="50's"), "Adult (40–59)",
  OR(F1095="60's", F1095="70's", F1095="80's", F1095="90's"), "Senior (60+)",
  TRUE, "Unknown"
)</f>
        <v>Senior (60+)</v>
      </c>
      <c r="H1095" t="s">
        <v>841</v>
      </c>
      <c r="I1095" t="s">
        <v>54</v>
      </c>
      <c r="J1095" t="str">
        <f t="shared" si="69"/>
        <v>Environmental Heat</v>
      </c>
      <c r="K1095" t="s">
        <v>172</v>
      </c>
      <c r="L1095" t="s">
        <v>1071</v>
      </c>
      <c r="M1095" t="s">
        <v>4447</v>
      </c>
      <c r="N1095" t="s">
        <v>5106</v>
      </c>
      <c r="O1095" t="str" cm="1">
        <f t="array" ref="O1095">_xlfn.IFS(
  TEXT(TRIM(N1095),"00000")="NULL", "Missing/Unknown",
  OR(TEXT(TRIM(N1095),"00000")="89101", TEXT(TRIM(N1095),"00000")="89104", TEXT(TRIM(N1095),"00000")="89106", TEXT(TRIM(N1095),"00000")="89102", TEXT(TRIM(N1095),"00000")="89107", TEXT(TRIM(N1095),"00000")="89108"), "Urban Core",
  OR(TEXT(TRIM(N1095),"00000")="89110", TEXT(TRIM(N1095),"00000")="89115", TEXT(TRIM(N1095),"00000")="89121", TEXT(TRIM(N1095),"00000")="89122", TEXT(TRIM(N1095),"00000")="89142", TEXT(TRIM(N1095),"00000")="89156"), "East Valley",
  OR(TEXT(TRIM(N1095),"00000")="89030", TEXT(TRIM(N1095),"00000")="89031", TEXT(TRIM(N1095),"00000")="89032", TEXT(TRIM(N1095),"00000")="89086", TEXT(TRIM(N1095),"00000")="89084", TEXT(TRIM(N1095),"00000")="89081"), "North LV",
  OR(TEXT(TRIM(N1095),"00000")="89109", TEXT(TRIM(N1095),"00000")="89103", TEXT(TRIM(N1095),"00000")="89119", TEXT(TRIM(N1095),"00000")="89123", TEXT(TRIM(N1095),"00000")="89169", TEXT(TRIM(N1095),"00000")="89118"), "South/Strip",
  OR(TEXT(TRIM(N1095),"00000")="89074", TEXT(TRIM(N1095),"00000")="89014", TEXT(TRIM(N1095),"00000")="89015", TEXT(TRIM(N1095),"00000")="89011", TEXT(TRIM(N1095),"00000")="89012"), "Suburban SE",
  OR(TEXT(TRIM(N1095),"00000")="89117", TEXT(TRIM(N1095),"00000")="89128", TEXT(TRIM(N1095),"00000")="89135", TEXT(TRIM(N1095),"00000")="89144", TEXT(TRIM(N1095),"00000")="89145", TEXT(TRIM(N1095),"00000")="89147"), "West Valley",
  TRUE, "Other"
)</f>
        <v>East Valley</v>
      </c>
      <c r="P1095" t="s">
        <v>38</v>
      </c>
      <c r="Q1095" t="str">
        <f t="shared" si="70"/>
        <v>Home/Residence</v>
      </c>
      <c r="R1095" t="s">
        <v>4447</v>
      </c>
      <c r="S1095" t="s">
        <v>5106</v>
      </c>
      <c r="T1095" t="str" cm="1">
        <f t="array" ref="T1095">_xlfn.IFS(
  TEXT(TRIM(S1095),"00000")="NULL", "Missing/Unknown",
  OR(TEXT(TRIM(S1095),"00000")="89101", TEXT(TRIM(S1095),"00000")="89104", TEXT(TRIM(S1095),"00000")="89106", TEXT(TRIM(S1095),"00000")="89102", TEXT(TRIM(S1095),"00000")="89107", TEXT(TRIM(S1095),"00000")="89108"), "Urban Core",
  OR(TEXT(TRIM(S1095),"00000")="89110", TEXT(TRIM(S1095),"00000")="89115", TEXT(TRIM(S1095),"00000")="89121", TEXT(TRIM(S1095),"00000")="89122", TEXT(TRIM(S1095),"00000")="89142", TEXT(TRIM(S1095),"00000")="89156"), "East Valley",
  OR(TEXT(TRIM(S1095),"00000")="89030", TEXT(TRIM(S1095),"00000")="89031", TEXT(TRIM(S1095),"00000")="89032", TEXT(TRIM(S1095),"00000")="89086", TEXT(TRIM(S1095),"00000")="89084", TEXT(TRIM(S1095),"00000")="89081"), "North LV",
  OR(TEXT(TRIM(S1095),"00000")="89109", TEXT(TRIM(S1095),"00000")="89103", TEXT(TRIM(S1095),"00000")="89119", TEXT(TRIM(S1095),"00000")="89123", TEXT(TRIM(S1095),"00000")="89169", TEXT(TRIM(S1095),"00000")="89118"), "South/Strip",
  OR(TEXT(TRIM(S1095),"00000")="89074", TEXT(TRIM(S1095),"00000")="89014", TEXT(TRIM(S1095),"00000")="89015", TEXT(TRIM(S1095),"00000")="89011", TEXT(TRIM(S1095),"00000")="89012"), "Suburban SE",
  OR(TEXT(TRIM(S1095),"00000")="89117", TEXT(TRIM(S1095),"00000")="89128", TEXT(TRIM(S1095),"00000")="89135", TEXT(TRIM(S1095),"00000")="89144", TEXT(TRIM(S1095),"00000")="89145", TEXT(TRIM(S1095),"00000")="89147"), "West Valley",
  TRUE, "Other"
)</f>
        <v>East Valley</v>
      </c>
      <c r="U1095" t="s">
        <v>38</v>
      </c>
      <c r="V1095" t="str">
        <f t="shared" si="71"/>
        <v>Home/Residence</v>
      </c>
    </row>
    <row r="1096" spans="1:22">
      <c r="A1096" t="s">
        <v>1908</v>
      </c>
      <c r="B1096" t="s">
        <v>1909</v>
      </c>
      <c r="C1096" s="1">
        <v>44384</v>
      </c>
      <c r="D1096" s="4">
        <v>114.08</v>
      </c>
      <c r="E1096">
        <v>74</v>
      </c>
      <c r="F1096" t="str">
        <f t="shared" si="68"/>
        <v>70's</v>
      </c>
      <c r="G1096" t="str" cm="1">
        <f t="array" ref="G1096">_xlfn.IFS(
  F1096="10's", "Child (5–12)",
  OR(F1096="20's", F1096="30's"), "Young Adult (20–39)",
  OR(F1096="40's", F1096="50's"), "Adult (40–59)",
  OR(F1096="60's", F1096="70's", F1096="80's", F1096="90's"), "Senior (60+)",
  TRUE, "Unknown"
)</f>
        <v>Senior (60+)</v>
      </c>
      <c r="H1096" t="s">
        <v>841</v>
      </c>
      <c r="I1096" t="s">
        <v>54</v>
      </c>
      <c r="J1096" t="str">
        <f t="shared" si="69"/>
        <v>Environmental Heat</v>
      </c>
      <c r="K1096" t="s">
        <v>434</v>
      </c>
      <c r="L1096" t="s">
        <v>1071</v>
      </c>
      <c r="M1096" t="s">
        <v>4483</v>
      </c>
      <c r="N1096" t="s">
        <v>5105</v>
      </c>
      <c r="O1096" t="str" cm="1">
        <f t="array" ref="O1096">_xlfn.IFS(
  TEXT(TRIM(N1096),"00000")="NULL", "Missing/Unknown",
  OR(TEXT(TRIM(N1096),"00000")="89101", TEXT(TRIM(N1096),"00000")="89104", TEXT(TRIM(N1096),"00000")="89106", TEXT(TRIM(N1096),"00000")="89102", TEXT(TRIM(N1096),"00000")="89107", TEXT(TRIM(N1096),"00000")="89108"), "Urban Core",
  OR(TEXT(TRIM(N1096),"00000")="89110", TEXT(TRIM(N1096),"00000")="89115", TEXT(TRIM(N1096),"00000")="89121", TEXT(TRIM(N1096),"00000")="89122", TEXT(TRIM(N1096),"00000")="89142", TEXT(TRIM(N1096),"00000")="89156"), "East Valley",
  OR(TEXT(TRIM(N1096),"00000")="89030", TEXT(TRIM(N1096),"00000")="89031", TEXT(TRIM(N1096),"00000")="89032", TEXT(TRIM(N1096),"00000")="89086", TEXT(TRIM(N1096),"00000")="89084", TEXT(TRIM(N1096),"00000")="89081"), "North LV",
  OR(TEXT(TRIM(N1096),"00000")="89109", TEXT(TRIM(N1096),"00000")="89103", TEXT(TRIM(N1096),"00000")="89119", TEXT(TRIM(N1096),"00000")="89123", TEXT(TRIM(N1096),"00000")="89169", TEXT(TRIM(N1096),"00000")="89118"), "South/Strip",
  OR(TEXT(TRIM(N1096),"00000")="89074", TEXT(TRIM(N1096),"00000")="89014", TEXT(TRIM(N1096),"00000")="89015", TEXT(TRIM(N1096),"00000")="89011", TEXT(TRIM(N1096),"00000")="89012"), "Suburban SE",
  OR(TEXT(TRIM(N1096),"00000")="89117", TEXT(TRIM(N1096),"00000")="89128", TEXT(TRIM(N1096),"00000")="89135", TEXT(TRIM(N1096),"00000")="89144", TEXT(TRIM(N1096),"00000")="89145", TEXT(TRIM(N1096),"00000")="89147"), "West Valley",
  TRUE, "Other"
)</f>
        <v>East Valley</v>
      </c>
      <c r="P1096" t="s">
        <v>38</v>
      </c>
      <c r="Q1096" t="str">
        <f t="shared" si="70"/>
        <v>Home/Residence</v>
      </c>
      <c r="R1096" t="s">
        <v>4483</v>
      </c>
      <c r="S1096" t="s">
        <v>5105</v>
      </c>
      <c r="T1096" t="str" cm="1">
        <f t="array" ref="T1096">_xlfn.IFS(
  TEXT(TRIM(S1096),"00000")="NULL", "Missing/Unknown",
  OR(TEXT(TRIM(S1096),"00000")="89101", TEXT(TRIM(S1096),"00000")="89104", TEXT(TRIM(S1096),"00000")="89106", TEXT(TRIM(S1096),"00000")="89102", TEXT(TRIM(S1096),"00000")="89107", TEXT(TRIM(S1096),"00000")="89108"), "Urban Core",
  OR(TEXT(TRIM(S1096),"00000")="89110", TEXT(TRIM(S1096),"00000")="89115", TEXT(TRIM(S1096),"00000")="89121", TEXT(TRIM(S1096),"00000")="89122", TEXT(TRIM(S1096),"00000")="89142", TEXT(TRIM(S1096),"00000")="89156"), "East Valley",
  OR(TEXT(TRIM(S1096),"00000")="89030", TEXT(TRIM(S1096),"00000")="89031", TEXT(TRIM(S1096),"00000")="89032", TEXT(TRIM(S1096),"00000")="89086", TEXT(TRIM(S1096),"00000")="89084", TEXT(TRIM(S1096),"00000")="89081"), "North LV",
  OR(TEXT(TRIM(S1096),"00000")="89109", TEXT(TRIM(S1096),"00000")="89103", TEXT(TRIM(S1096),"00000")="89119", TEXT(TRIM(S1096),"00000")="89123", TEXT(TRIM(S1096),"00000")="89169", TEXT(TRIM(S1096),"00000")="89118"), "South/Strip",
  OR(TEXT(TRIM(S1096),"00000")="89074", TEXT(TRIM(S1096),"00000")="89014", TEXT(TRIM(S1096),"00000")="89015", TEXT(TRIM(S1096),"00000")="89011", TEXT(TRIM(S1096),"00000")="89012"), "Suburban SE",
  OR(TEXT(TRIM(S1096),"00000")="89117", TEXT(TRIM(S1096),"00000")="89128", TEXT(TRIM(S1096),"00000")="89135", TEXT(TRIM(S1096),"00000")="89144", TEXT(TRIM(S1096),"00000")="89145", TEXT(TRIM(S1096),"00000")="89147"), "West Valley",
  TRUE, "Other"
)</f>
        <v>East Valley</v>
      </c>
      <c r="U1096" t="s">
        <v>38</v>
      </c>
      <c r="V1096" t="str">
        <f t="shared" si="71"/>
        <v>Home/Residence</v>
      </c>
    </row>
    <row r="1097" spans="1:22">
      <c r="A1097" t="s">
        <v>1904</v>
      </c>
      <c r="B1097" t="s">
        <v>1905</v>
      </c>
      <c r="C1097" s="1">
        <v>44384</v>
      </c>
      <c r="D1097" s="4">
        <v>114.08</v>
      </c>
      <c r="E1097">
        <v>52</v>
      </c>
      <c r="F1097" t="str">
        <f t="shared" si="68"/>
        <v>50's</v>
      </c>
      <c r="G1097" t="str" cm="1">
        <f t="array" ref="G1097">_xlfn.IFS(
  F1097="10's", "Child (5–12)",
  OR(F1097="20's", F1097="30's"), "Young Adult (20–39)",
  OR(F1097="40's", F1097="50's"), "Adult (40–59)",
  OR(F1097="60's", F1097="70's", F1097="80's", F1097="90's"), "Senior (60+)",
  TRUE, "Unknown"
)</f>
        <v>Adult (40–59)</v>
      </c>
      <c r="H1097" t="s">
        <v>841</v>
      </c>
      <c r="I1097" t="s">
        <v>4125</v>
      </c>
      <c r="J1097" t="str">
        <f t="shared" si="69"/>
        <v>Other / Unknown</v>
      </c>
      <c r="K1097" t="s">
        <v>54</v>
      </c>
      <c r="L1097" t="s">
        <v>1071</v>
      </c>
      <c r="M1097" t="s">
        <v>4990</v>
      </c>
      <c r="N1097" t="s">
        <v>5145</v>
      </c>
      <c r="O1097" t="str" cm="1">
        <f t="array" ref="O1097">_xlfn.IFS(
  TEXT(TRIM(N1097),"00000")="NULL", "Missing/Unknown",
  OR(TEXT(TRIM(N1097),"00000")="89101", TEXT(TRIM(N1097),"00000")="89104", TEXT(TRIM(N1097),"00000")="89106", TEXT(TRIM(N1097),"00000")="89102", TEXT(TRIM(N1097),"00000")="89107", TEXT(TRIM(N1097),"00000")="89108"), "Urban Core",
  OR(TEXT(TRIM(N1097),"00000")="89110", TEXT(TRIM(N1097),"00000")="89115", TEXT(TRIM(N1097),"00000")="89121", TEXT(TRIM(N1097),"00000")="89122", TEXT(TRIM(N1097),"00000")="89142", TEXT(TRIM(N1097),"00000")="89156"), "East Valley",
  OR(TEXT(TRIM(N1097),"00000")="89030", TEXT(TRIM(N1097),"00000")="89031", TEXT(TRIM(N1097),"00000")="89032", TEXT(TRIM(N1097),"00000")="89086", TEXT(TRIM(N1097),"00000")="89084", TEXT(TRIM(N1097),"00000")="89081"), "North LV",
  OR(TEXT(TRIM(N1097),"00000")="89109", TEXT(TRIM(N1097),"00000")="89103", TEXT(TRIM(N1097),"00000")="89119", TEXT(TRIM(N1097),"00000")="89123", TEXT(TRIM(N1097),"00000")="89169", TEXT(TRIM(N1097),"00000")="89118"), "South/Strip",
  OR(TEXT(TRIM(N1097),"00000")="89074", TEXT(TRIM(N1097),"00000")="89014", TEXT(TRIM(N1097),"00000")="89015", TEXT(TRIM(N1097),"00000")="89011", TEXT(TRIM(N1097),"00000")="89012"), "Suburban SE",
  OR(TEXT(TRIM(N1097),"00000")="89117", TEXT(TRIM(N1097),"00000")="89128", TEXT(TRIM(N1097),"00000")="89135", TEXT(TRIM(N1097),"00000")="89144", TEXT(TRIM(N1097),"00000")="89145", TEXT(TRIM(N1097),"00000")="89147"), "West Valley",
  TRUE, "Other"
)</f>
        <v>Other</v>
      </c>
      <c r="P1097" t="s">
        <v>65</v>
      </c>
      <c r="Q1097" t="str">
        <f t="shared" si="70"/>
        <v>Vehicle-related</v>
      </c>
      <c r="R1097" t="s">
        <v>4990</v>
      </c>
      <c r="S1097" t="s">
        <v>5145</v>
      </c>
      <c r="T1097" t="str" cm="1">
        <f t="array" ref="T1097">_xlfn.IFS(
  TEXT(TRIM(S1097),"00000")="NULL", "Missing/Unknown",
  OR(TEXT(TRIM(S1097),"00000")="89101", TEXT(TRIM(S1097),"00000")="89104", TEXT(TRIM(S1097),"00000")="89106", TEXT(TRIM(S1097),"00000")="89102", TEXT(TRIM(S1097),"00000")="89107", TEXT(TRIM(S1097),"00000")="89108"), "Urban Core",
  OR(TEXT(TRIM(S1097),"00000")="89110", TEXT(TRIM(S1097),"00000")="89115", TEXT(TRIM(S1097),"00000")="89121", TEXT(TRIM(S1097),"00000")="89122", TEXT(TRIM(S1097),"00000")="89142", TEXT(TRIM(S1097),"00000")="89156"), "East Valley",
  OR(TEXT(TRIM(S1097),"00000")="89030", TEXT(TRIM(S1097),"00000")="89031", TEXT(TRIM(S1097),"00000")="89032", TEXT(TRIM(S1097),"00000")="89086", TEXT(TRIM(S1097),"00000")="89084", TEXT(TRIM(S1097),"00000")="89081"), "North LV",
  OR(TEXT(TRIM(S1097),"00000")="89109", TEXT(TRIM(S1097),"00000")="89103", TEXT(TRIM(S1097),"00000")="89119", TEXT(TRIM(S1097),"00000")="89123", TEXT(TRIM(S1097),"00000")="89169", TEXT(TRIM(S1097),"00000")="89118"), "South/Strip",
  OR(TEXT(TRIM(S1097),"00000")="89074", TEXT(TRIM(S1097),"00000")="89014", TEXT(TRIM(S1097),"00000")="89015", TEXT(TRIM(S1097),"00000")="89011", TEXT(TRIM(S1097),"00000")="89012"), "Suburban SE",
  OR(TEXT(TRIM(S1097),"00000")="89117", TEXT(TRIM(S1097),"00000")="89128", TEXT(TRIM(S1097),"00000")="89135", TEXT(TRIM(S1097),"00000")="89144", TEXT(TRIM(S1097),"00000")="89145", TEXT(TRIM(S1097),"00000")="89147"), "West Valley",
  TRUE, "Other"
)</f>
        <v>Other</v>
      </c>
      <c r="U1097" t="s">
        <v>65</v>
      </c>
      <c r="V1097" t="str">
        <f t="shared" si="71"/>
        <v>Vehicle-related</v>
      </c>
    </row>
    <row r="1098" spans="1:22">
      <c r="A1098" t="s">
        <v>1914</v>
      </c>
      <c r="B1098" t="s">
        <v>1915</v>
      </c>
      <c r="C1098" s="1">
        <v>44384</v>
      </c>
      <c r="D1098" s="4">
        <v>114.08</v>
      </c>
      <c r="E1098">
        <v>62</v>
      </c>
      <c r="F1098" t="str">
        <f t="shared" si="68"/>
        <v>60's</v>
      </c>
      <c r="G1098" t="str" cm="1">
        <f t="array" ref="G1098">_xlfn.IFS(
  F1098="10's", "Child (5–12)",
  OR(F1098="20's", F1098="30's"), "Young Adult (20–39)",
  OR(F1098="40's", F1098="50's"), "Adult (40–59)",
  OR(F1098="60's", F1098="70's", F1098="80's", F1098="90's"), "Senior (60+)",
  TRUE, "Unknown"
)</f>
        <v>Senior (60+)</v>
      </c>
      <c r="H1098" t="s">
        <v>841</v>
      </c>
      <c r="I1098" t="s">
        <v>54</v>
      </c>
      <c r="J1098" t="str">
        <f t="shared" si="69"/>
        <v>Environmental Heat</v>
      </c>
      <c r="K1098" t="s">
        <v>4286</v>
      </c>
      <c r="L1098" t="s">
        <v>1071</v>
      </c>
      <c r="M1098" t="s">
        <v>4484</v>
      </c>
      <c r="N1098" t="s">
        <v>5100</v>
      </c>
      <c r="O1098" t="str" cm="1">
        <f t="array" ref="O1098">_xlfn.IFS(
  TEXT(TRIM(N1098),"00000")="NULL", "Missing/Unknown",
  OR(TEXT(TRIM(N1098),"00000")="89101", TEXT(TRIM(N1098),"00000")="89104", TEXT(TRIM(N1098),"00000")="89106", TEXT(TRIM(N1098),"00000")="89102", TEXT(TRIM(N1098),"00000")="89107", TEXT(TRIM(N1098),"00000")="89108"), "Urban Core",
  OR(TEXT(TRIM(N1098),"00000")="89110", TEXT(TRIM(N1098),"00000")="89115", TEXT(TRIM(N1098),"00000")="89121", TEXT(TRIM(N1098),"00000")="89122", TEXT(TRIM(N1098),"00000")="89142", TEXT(TRIM(N1098),"00000")="89156"), "East Valley",
  OR(TEXT(TRIM(N1098),"00000")="89030", TEXT(TRIM(N1098),"00000")="89031", TEXT(TRIM(N1098),"00000")="89032", TEXT(TRIM(N1098),"00000")="89086", TEXT(TRIM(N1098),"00000")="89084", TEXT(TRIM(N1098),"00000")="89081"), "North LV",
  OR(TEXT(TRIM(N1098),"00000")="89109", TEXT(TRIM(N1098),"00000")="89103", TEXT(TRIM(N1098),"00000")="89119", TEXT(TRIM(N1098),"00000")="89123", TEXT(TRIM(N1098),"00000")="89169", TEXT(TRIM(N1098),"00000")="89118"), "South/Strip",
  OR(TEXT(TRIM(N1098),"00000")="89074", TEXT(TRIM(N1098),"00000")="89014", TEXT(TRIM(N1098),"00000")="89015", TEXT(TRIM(N1098),"00000")="89011", TEXT(TRIM(N1098),"00000")="89012"), "Suburban SE",
  OR(TEXT(TRIM(N1098),"00000")="89117", TEXT(TRIM(N1098),"00000")="89128", TEXT(TRIM(N1098),"00000")="89135", TEXT(TRIM(N1098),"00000")="89144", TEXT(TRIM(N1098),"00000")="89145", TEXT(TRIM(N1098),"00000")="89147"), "West Valley",
  TRUE, "Other"
)</f>
        <v>North LV</v>
      </c>
      <c r="P1098" t="s">
        <v>38</v>
      </c>
      <c r="Q1098" t="str">
        <f t="shared" si="70"/>
        <v>Home/Residence</v>
      </c>
      <c r="R1098" t="s">
        <v>4484</v>
      </c>
      <c r="S1098" t="s">
        <v>5100</v>
      </c>
      <c r="T1098" t="str" cm="1">
        <f t="array" ref="T1098">_xlfn.IFS(
  TEXT(TRIM(S1098),"00000")="NULL", "Missing/Unknown",
  OR(TEXT(TRIM(S1098),"00000")="89101", TEXT(TRIM(S1098),"00000")="89104", TEXT(TRIM(S1098),"00000")="89106", TEXT(TRIM(S1098),"00000")="89102", TEXT(TRIM(S1098),"00000")="89107", TEXT(TRIM(S1098),"00000")="89108"), "Urban Core",
  OR(TEXT(TRIM(S1098),"00000")="89110", TEXT(TRIM(S1098),"00000")="89115", TEXT(TRIM(S1098),"00000")="89121", TEXT(TRIM(S1098),"00000")="89122", TEXT(TRIM(S1098),"00000")="89142", TEXT(TRIM(S1098),"00000")="89156"), "East Valley",
  OR(TEXT(TRIM(S1098),"00000")="89030", TEXT(TRIM(S1098),"00000")="89031", TEXT(TRIM(S1098),"00000")="89032", TEXT(TRIM(S1098),"00000")="89086", TEXT(TRIM(S1098),"00000")="89084", TEXT(TRIM(S1098),"00000")="89081"), "North LV",
  OR(TEXT(TRIM(S1098),"00000")="89109", TEXT(TRIM(S1098),"00000")="89103", TEXT(TRIM(S1098),"00000")="89119", TEXT(TRIM(S1098),"00000")="89123", TEXT(TRIM(S1098),"00000")="89169", TEXT(TRIM(S1098),"00000")="89118"), "South/Strip",
  OR(TEXT(TRIM(S1098),"00000")="89074", TEXT(TRIM(S1098),"00000")="89014", TEXT(TRIM(S1098),"00000")="89015", TEXT(TRIM(S1098),"00000")="89011", TEXT(TRIM(S1098),"00000")="89012"), "Suburban SE",
  OR(TEXT(TRIM(S1098),"00000")="89117", TEXT(TRIM(S1098),"00000")="89128", TEXT(TRIM(S1098),"00000")="89135", TEXT(TRIM(S1098),"00000")="89144", TEXT(TRIM(S1098),"00000")="89145", TEXT(TRIM(S1098),"00000")="89147"), "West Valley",
  TRUE, "Other"
)</f>
        <v>North LV</v>
      </c>
      <c r="U1098" t="s">
        <v>38</v>
      </c>
      <c r="V1098" t="str">
        <f t="shared" si="71"/>
        <v>Home/Residence</v>
      </c>
    </row>
    <row r="1099" spans="1:22">
      <c r="A1099" t="s">
        <v>1880</v>
      </c>
      <c r="B1099" t="s">
        <v>1881</v>
      </c>
      <c r="C1099" s="1">
        <v>44384</v>
      </c>
      <c r="D1099" s="4">
        <v>114.08</v>
      </c>
      <c r="E1099">
        <v>74</v>
      </c>
      <c r="F1099" t="str">
        <f t="shared" si="68"/>
        <v>70's</v>
      </c>
      <c r="G1099" t="str" cm="1">
        <f t="array" ref="G1099">_xlfn.IFS(
  F1099="10's", "Child (5–12)",
  OR(F1099="20's", F1099="30's"), "Young Adult (20–39)",
  OR(F1099="40's", F1099="50's"), "Adult (40–59)",
  OR(F1099="60's", F1099="70's", F1099="80's", F1099="90's"), "Senior (60+)",
  TRUE, "Unknown"
)</f>
        <v>Senior (60+)</v>
      </c>
      <c r="H1099" t="s">
        <v>841</v>
      </c>
      <c r="I1099" t="s">
        <v>1083</v>
      </c>
      <c r="J1099" t="str">
        <f t="shared" si="69"/>
        <v>Other / Unknown</v>
      </c>
      <c r="K1099" t="s">
        <v>4173</v>
      </c>
      <c r="L1099" t="s">
        <v>250</v>
      </c>
      <c r="M1099" t="s">
        <v>4336</v>
      </c>
      <c r="N1099" t="s">
        <v>5101</v>
      </c>
      <c r="O1099" t="str" cm="1">
        <f t="array" ref="O1099">_xlfn.IFS(
  TEXT(TRIM(N1099),"00000")="NULL", "Missing/Unknown",
  OR(TEXT(TRIM(N1099),"00000")="89101", TEXT(TRIM(N1099),"00000")="89104", TEXT(TRIM(N1099),"00000")="89106", TEXT(TRIM(N1099),"00000")="89102", TEXT(TRIM(N1099),"00000")="89107", TEXT(TRIM(N1099),"00000")="89108"), "Urban Core",
  OR(TEXT(TRIM(N1099),"00000")="89110", TEXT(TRIM(N1099),"00000")="89115", TEXT(TRIM(N1099),"00000")="89121", TEXT(TRIM(N1099),"00000")="89122", TEXT(TRIM(N1099),"00000")="89142", TEXT(TRIM(N1099),"00000")="89156"), "East Valley",
  OR(TEXT(TRIM(N1099),"00000")="89030", TEXT(TRIM(N1099),"00000")="89031", TEXT(TRIM(N1099),"00000")="89032", TEXT(TRIM(N1099),"00000")="89086", TEXT(TRIM(N1099),"00000")="89084", TEXT(TRIM(N1099),"00000")="89081"), "North LV",
  OR(TEXT(TRIM(N1099),"00000")="89109", TEXT(TRIM(N1099),"00000")="89103", TEXT(TRIM(N1099),"00000")="89119", TEXT(TRIM(N1099),"00000")="89123", TEXT(TRIM(N1099),"00000")="89169", TEXT(TRIM(N1099),"00000")="89118"), "South/Strip",
  OR(TEXT(TRIM(N1099),"00000")="89074", TEXT(TRIM(N1099),"00000")="89014", TEXT(TRIM(N1099),"00000")="89015", TEXT(TRIM(N1099),"00000")="89011", TEXT(TRIM(N1099),"00000")="89012"), "Suburban SE",
  OR(TEXT(TRIM(N1099),"00000")="89117", TEXT(TRIM(N1099),"00000")="89128", TEXT(TRIM(N1099),"00000")="89135", TEXT(TRIM(N1099),"00000")="89144", TEXT(TRIM(N1099),"00000")="89145", TEXT(TRIM(N1099),"00000")="89147"), "West Valley",
  TRUE, "Other"
)</f>
        <v>Urban Core</v>
      </c>
      <c r="P1099" t="s">
        <v>3298</v>
      </c>
      <c r="Q1099" t="str">
        <f t="shared" si="70"/>
        <v>Outdoors/Public</v>
      </c>
      <c r="R1099" t="s">
        <v>4336</v>
      </c>
      <c r="S1099" t="s">
        <v>5101</v>
      </c>
      <c r="T1099" t="str" cm="1">
        <f t="array" ref="T1099">_xlfn.IFS(
  TEXT(TRIM(S1099),"00000")="NULL", "Missing/Unknown",
  OR(TEXT(TRIM(S1099),"00000")="89101", TEXT(TRIM(S1099),"00000")="89104", TEXT(TRIM(S1099),"00000")="89106", TEXT(TRIM(S1099),"00000")="89102", TEXT(TRIM(S1099),"00000")="89107", TEXT(TRIM(S1099),"00000")="89108"), "Urban Core",
  OR(TEXT(TRIM(S1099),"00000")="89110", TEXT(TRIM(S1099),"00000")="89115", TEXT(TRIM(S1099),"00000")="89121", TEXT(TRIM(S1099),"00000")="89122", TEXT(TRIM(S1099),"00000")="89142", TEXT(TRIM(S1099),"00000")="89156"), "East Valley",
  OR(TEXT(TRIM(S1099),"00000")="89030", TEXT(TRIM(S1099),"00000")="89031", TEXT(TRIM(S1099),"00000")="89032", TEXT(TRIM(S1099),"00000")="89086", TEXT(TRIM(S1099),"00000")="89084", TEXT(TRIM(S1099),"00000")="89081"), "North LV",
  OR(TEXT(TRIM(S1099),"00000")="89109", TEXT(TRIM(S1099),"00000")="89103", TEXT(TRIM(S1099),"00000")="89119", TEXT(TRIM(S1099),"00000")="89123", TEXT(TRIM(S1099),"00000")="89169", TEXT(TRIM(S1099),"00000")="89118"), "South/Strip",
  OR(TEXT(TRIM(S1099),"00000")="89074", TEXT(TRIM(S1099),"00000")="89014", TEXT(TRIM(S1099),"00000")="89015", TEXT(TRIM(S1099),"00000")="89011", TEXT(TRIM(S1099),"00000")="89012"), "Suburban SE",
  OR(TEXT(TRIM(S1099),"00000")="89117", TEXT(TRIM(S1099),"00000")="89128", TEXT(TRIM(S1099),"00000")="89135", TEXT(TRIM(S1099),"00000")="89144", TEXT(TRIM(S1099),"00000")="89145", TEXT(TRIM(S1099),"00000")="89147"), "West Valley",
  TRUE, "Other"
)</f>
        <v>Urban Core</v>
      </c>
      <c r="U1099" t="s">
        <v>3298</v>
      </c>
      <c r="V1099" t="str">
        <f t="shared" si="71"/>
        <v>Outdoors/Public</v>
      </c>
    </row>
    <row r="1100" spans="1:22">
      <c r="A1100" t="s">
        <v>1894</v>
      </c>
      <c r="B1100" t="s">
        <v>1895</v>
      </c>
      <c r="C1100" s="1">
        <v>44384</v>
      </c>
      <c r="D1100" s="4">
        <v>114.08</v>
      </c>
      <c r="E1100">
        <v>59</v>
      </c>
      <c r="F1100" t="str">
        <f t="shared" si="68"/>
        <v>50's</v>
      </c>
      <c r="G1100" t="str" cm="1">
        <f t="array" ref="G1100">_xlfn.IFS(
  F1100="10's", "Child (5–12)",
  OR(F1100="20's", F1100="30's"), "Young Adult (20–39)",
  OR(F1100="40's", F1100="50's"), "Adult (40–59)",
  OR(F1100="60's", F1100="70's", F1100="80's", F1100="90's"), "Senior (60+)",
  TRUE, "Unknown"
)</f>
        <v>Adult (40–59)</v>
      </c>
      <c r="H1100" t="s">
        <v>841</v>
      </c>
      <c r="I1100" t="s">
        <v>54</v>
      </c>
      <c r="J1100" t="str">
        <f t="shared" si="69"/>
        <v>Environmental Heat</v>
      </c>
      <c r="K1100" t="s">
        <v>172</v>
      </c>
      <c r="L1100" t="s">
        <v>250</v>
      </c>
      <c r="M1100" t="s">
        <v>4817</v>
      </c>
      <c r="N1100" t="s">
        <v>5109</v>
      </c>
      <c r="O1100" t="str" cm="1">
        <f t="array" ref="O1100">_xlfn.IFS(
  TEXT(TRIM(N1100),"00000")="NULL", "Missing/Unknown",
  OR(TEXT(TRIM(N1100),"00000")="89101", TEXT(TRIM(N1100),"00000")="89104", TEXT(TRIM(N1100),"00000")="89106", TEXT(TRIM(N1100),"00000")="89102", TEXT(TRIM(N1100),"00000")="89107", TEXT(TRIM(N1100),"00000")="89108"), "Urban Core",
  OR(TEXT(TRIM(N1100),"00000")="89110", TEXT(TRIM(N1100),"00000")="89115", TEXT(TRIM(N1100),"00000")="89121", TEXT(TRIM(N1100),"00000")="89122", TEXT(TRIM(N1100),"00000")="89142", TEXT(TRIM(N1100),"00000")="89156"), "East Valley",
  OR(TEXT(TRIM(N1100),"00000")="89030", TEXT(TRIM(N1100),"00000")="89031", TEXT(TRIM(N1100),"00000")="89032", TEXT(TRIM(N1100),"00000")="89086", TEXT(TRIM(N1100),"00000")="89084", TEXT(TRIM(N1100),"00000")="89081"), "North LV",
  OR(TEXT(TRIM(N1100),"00000")="89109", TEXT(TRIM(N1100),"00000")="89103", TEXT(TRIM(N1100),"00000")="89119", TEXT(TRIM(N1100),"00000")="89123", TEXT(TRIM(N1100),"00000")="89169", TEXT(TRIM(N1100),"00000")="89118"), "South/Strip",
  OR(TEXT(TRIM(N1100),"00000")="89074", TEXT(TRIM(N1100),"00000")="89014", TEXT(TRIM(N1100),"00000")="89015", TEXT(TRIM(N1100),"00000")="89011", TEXT(TRIM(N1100),"00000")="89012"), "Suburban SE",
  OR(TEXT(TRIM(N1100),"00000")="89117", TEXT(TRIM(N1100),"00000")="89128", TEXT(TRIM(N1100),"00000")="89135", TEXT(TRIM(N1100),"00000")="89144", TEXT(TRIM(N1100),"00000")="89145", TEXT(TRIM(N1100),"00000")="89147"), "West Valley",
  TRUE, "Other"
)</f>
        <v>South/Strip</v>
      </c>
      <c r="P1100" t="s">
        <v>3298</v>
      </c>
      <c r="Q1100" t="str">
        <f t="shared" si="70"/>
        <v>Outdoors/Public</v>
      </c>
      <c r="R1100" t="s">
        <v>4817</v>
      </c>
      <c r="S1100" t="s">
        <v>5109</v>
      </c>
      <c r="T1100" t="str" cm="1">
        <f t="array" ref="T1100">_xlfn.IFS(
  TEXT(TRIM(S1100),"00000")="NULL", "Missing/Unknown",
  OR(TEXT(TRIM(S1100),"00000")="89101", TEXT(TRIM(S1100),"00000")="89104", TEXT(TRIM(S1100),"00000")="89106", TEXT(TRIM(S1100),"00000")="89102", TEXT(TRIM(S1100),"00000")="89107", TEXT(TRIM(S1100),"00000")="89108"), "Urban Core",
  OR(TEXT(TRIM(S1100),"00000")="89110", TEXT(TRIM(S1100),"00000")="89115", TEXT(TRIM(S1100),"00000")="89121", TEXT(TRIM(S1100),"00000")="89122", TEXT(TRIM(S1100),"00000")="89142", TEXT(TRIM(S1100),"00000")="89156"), "East Valley",
  OR(TEXT(TRIM(S1100),"00000")="89030", TEXT(TRIM(S1100),"00000")="89031", TEXT(TRIM(S1100),"00000")="89032", TEXT(TRIM(S1100),"00000")="89086", TEXT(TRIM(S1100),"00000")="89084", TEXT(TRIM(S1100),"00000")="89081"), "North LV",
  OR(TEXT(TRIM(S1100),"00000")="89109", TEXT(TRIM(S1100),"00000")="89103", TEXT(TRIM(S1100),"00000")="89119", TEXT(TRIM(S1100),"00000")="89123", TEXT(TRIM(S1100),"00000")="89169", TEXT(TRIM(S1100),"00000")="89118"), "South/Strip",
  OR(TEXT(TRIM(S1100),"00000")="89074", TEXT(TRIM(S1100),"00000")="89014", TEXT(TRIM(S1100),"00000")="89015", TEXT(TRIM(S1100),"00000")="89011", TEXT(TRIM(S1100),"00000")="89012"), "Suburban SE",
  OR(TEXT(TRIM(S1100),"00000")="89117", TEXT(TRIM(S1100),"00000")="89128", TEXT(TRIM(S1100),"00000")="89135", TEXT(TRIM(S1100),"00000")="89144", TEXT(TRIM(S1100),"00000")="89145", TEXT(TRIM(S1100),"00000")="89147"), "West Valley",
  TRUE, "Other"
)</f>
        <v>South/Strip</v>
      </c>
      <c r="U1100" t="s">
        <v>3298</v>
      </c>
      <c r="V1100" t="str">
        <f t="shared" si="71"/>
        <v>Outdoors/Public</v>
      </c>
    </row>
    <row r="1101" spans="1:22">
      <c r="A1101" t="s">
        <v>1897</v>
      </c>
      <c r="B1101" t="s">
        <v>1898</v>
      </c>
      <c r="C1101" s="1">
        <v>44384</v>
      </c>
      <c r="D1101" s="4">
        <v>114.08</v>
      </c>
      <c r="E1101">
        <v>56</v>
      </c>
      <c r="F1101" t="str">
        <f t="shared" si="68"/>
        <v>50's</v>
      </c>
      <c r="G1101" t="str" cm="1">
        <f t="array" ref="G1101">_xlfn.IFS(
  F1101="10's", "Child (5–12)",
  OR(F1101="20's", F1101="30's"), "Young Adult (20–39)",
  OR(F1101="40's", F1101="50's"), "Adult (40–59)",
  OR(F1101="60's", F1101="70's", F1101="80's", F1101="90's"), "Senior (60+)",
  TRUE, "Unknown"
)</f>
        <v>Adult (40–59)</v>
      </c>
      <c r="H1101" t="s">
        <v>4310</v>
      </c>
      <c r="I1101" t="s">
        <v>54</v>
      </c>
      <c r="J1101" t="str">
        <f t="shared" si="69"/>
        <v>Environmental Heat</v>
      </c>
      <c r="K1101" t="s">
        <v>172</v>
      </c>
      <c r="L1101" t="s">
        <v>250</v>
      </c>
      <c r="M1101" t="s">
        <v>4598</v>
      </c>
      <c r="N1101" t="s">
        <v>5106</v>
      </c>
      <c r="O1101" t="str" cm="1">
        <f t="array" ref="O1101">_xlfn.IFS(
  TEXT(TRIM(N1101),"00000")="NULL", "Missing/Unknown",
  OR(TEXT(TRIM(N1101),"00000")="89101", TEXT(TRIM(N1101),"00000")="89104", TEXT(TRIM(N1101),"00000")="89106", TEXT(TRIM(N1101),"00000")="89102", TEXT(TRIM(N1101),"00000")="89107", TEXT(TRIM(N1101),"00000")="89108"), "Urban Core",
  OR(TEXT(TRIM(N1101),"00000")="89110", TEXT(TRIM(N1101),"00000")="89115", TEXT(TRIM(N1101),"00000")="89121", TEXT(TRIM(N1101),"00000")="89122", TEXT(TRIM(N1101),"00000")="89142", TEXT(TRIM(N1101),"00000")="89156"), "East Valley",
  OR(TEXT(TRIM(N1101),"00000")="89030", TEXT(TRIM(N1101),"00000")="89031", TEXT(TRIM(N1101),"00000")="89032", TEXT(TRIM(N1101),"00000")="89086", TEXT(TRIM(N1101),"00000")="89084", TEXT(TRIM(N1101),"00000")="89081"), "North LV",
  OR(TEXT(TRIM(N1101),"00000")="89109", TEXT(TRIM(N1101),"00000")="89103", TEXT(TRIM(N1101),"00000")="89119", TEXT(TRIM(N1101),"00000")="89123", TEXT(TRIM(N1101),"00000")="89169", TEXT(TRIM(N1101),"00000")="89118"), "South/Strip",
  OR(TEXT(TRIM(N1101),"00000")="89074", TEXT(TRIM(N1101),"00000")="89014", TEXT(TRIM(N1101),"00000")="89015", TEXT(TRIM(N1101),"00000")="89011", TEXT(TRIM(N1101),"00000")="89012"), "Suburban SE",
  OR(TEXT(TRIM(N1101),"00000")="89117", TEXT(TRIM(N1101),"00000")="89128", TEXT(TRIM(N1101),"00000")="89135", TEXT(TRIM(N1101),"00000")="89144", TEXT(TRIM(N1101),"00000")="89145", TEXT(TRIM(N1101),"00000")="89147"), "West Valley",
  TRUE, "Other"
)</f>
        <v>East Valley</v>
      </c>
      <c r="P1101" t="s">
        <v>38</v>
      </c>
      <c r="Q1101" t="str">
        <f t="shared" si="70"/>
        <v>Home/Residence</v>
      </c>
      <c r="R1101" t="s">
        <v>4598</v>
      </c>
      <c r="S1101" t="s">
        <v>5106</v>
      </c>
      <c r="T1101" t="str" cm="1">
        <f t="array" ref="T1101">_xlfn.IFS(
  TEXT(TRIM(S1101),"00000")="NULL", "Missing/Unknown",
  OR(TEXT(TRIM(S1101),"00000")="89101", TEXT(TRIM(S1101),"00000")="89104", TEXT(TRIM(S1101),"00000")="89106", TEXT(TRIM(S1101),"00000")="89102", TEXT(TRIM(S1101),"00000")="89107", TEXT(TRIM(S1101),"00000")="89108"), "Urban Core",
  OR(TEXT(TRIM(S1101),"00000")="89110", TEXT(TRIM(S1101),"00000")="89115", TEXT(TRIM(S1101),"00000")="89121", TEXT(TRIM(S1101),"00000")="89122", TEXT(TRIM(S1101),"00000")="89142", TEXT(TRIM(S1101),"00000")="89156"), "East Valley",
  OR(TEXT(TRIM(S1101),"00000")="89030", TEXT(TRIM(S1101),"00000")="89031", TEXT(TRIM(S1101),"00000")="89032", TEXT(TRIM(S1101),"00000")="89086", TEXT(TRIM(S1101),"00000")="89084", TEXT(TRIM(S1101),"00000")="89081"), "North LV",
  OR(TEXT(TRIM(S1101),"00000")="89109", TEXT(TRIM(S1101),"00000")="89103", TEXT(TRIM(S1101),"00000")="89119", TEXT(TRIM(S1101),"00000")="89123", TEXT(TRIM(S1101),"00000")="89169", TEXT(TRIM(S1101),"00000")="89118"), "South/Strip",
  OR(TEXT(TRIM(S1101),"00000")="89074", TEXT(TRIM(S1101),"00000")="89014", TEXT(TRIM(S1101),"00000")="89015", TEXT(TRIM(S1101),"00000")="89011", TEXT(TRIM(S1101),"00000")="89012"), "Suburban SE",
  OR(TEXT(TRIM(S1101),"00000")="89117", TEXT(TRIM(S1101),"00000")="89128", TEXT(TRIM(S1101),"00000")="89135", TEXT(TRIM(S1101),"00000")="89144", TEXT(TRIM(S1101),"00000")="89145", TEXT(TRIM(S1101),"00000")="89147"), "West Valley",
  TRUE, "Other"
)</f>
        <v>East Valley</v>
      </c>
      <c r="U1101" t="s">
        <v>3298</v>
      </c>
      <c r="V1101" t="str">
        <f t="shared" si="71"/>
        <v>Outdoors/Public</v>
      </c>
    </row>
    <row r="1102" spans="1:22">
      <c r="A1102" t="s">
        <v>1912</v>
      </c>
      <c r="B1102" t="s">
        <v>1913</v>
      </c>
      <c r="C1102" s="1">
        <v>44384</v>
      </c>
      <c r="D1102" s="4">
        <v>114.08</v>
      </c>
      <c r="E1102">
        <v>64</v>
      </c>
      <c r="F1102" t="str">
        <f t="shared" si="68"/>
        <v>60's</v>
      </c>
      <c r="G1102" t="str" cm="1">
        <f t="array" ref="G1102">_xlfn.IFS(
  F1102="10's", "Child (5–12)",
  OR(F1102="20's", F1102="30's"), "Young Adult (20–39)",
  OR(F1102="40's", F1102="50's"), "Adult (40–59)",
  OR(F1102="60's", F1102="70's", F1102="80's", F1102="90's"), "Senior (60+)",
  TRUE, "Unknown"
)</f>
        <v>Senior (60+)</v>
      </c>
      <c r="H1102" t="s">
        <v>841</v>
      </c>
      <c r="I1102" t="s">
        <v>54</v>
      </c>
      <c r="J1102" t="str">
        <f t="shared" si="69"/>
        <v>Environmental Heat</v>
      </c>
      <c r="K1102" t="s">
        <v>172</v>
      </c>
      <c r="L1102" t="s">
        <v>250</v>
      </c>
      <c r="N1102" t="s">
        <v>5095</v>
      </c>
      <c r="O1102" t="str" cm="1">
        <f t="array" ref="O1102">_xlfn.IFS(
  TEXT(TRIM(N1102),"00000")="NULL", "Missing/Unknown",
  OR(TEXT(TRIM(N1102),"00000")="89101", TEXT(TRIM(N1102),"00000")="89104", TEXT(TRIM(N1102),"00000")="89106", TEXT(TRIM(N1102),"00000")="89102", TEXT(TRIM(N1102),"00000")="89107", TEXT(TRIM(N1102),"00000")="89108"), "Urban Core",
  OR(TEXT(TRIM(N1102),"00000")="89110", TEXT(TRIM(N1102),"00000")="89115", TEXT(TRIM(N1102),"00000")="89121", TEXT(TRIM(N1102),"00000")="89122", TEXT(TRIM(N1102),"00000")="89142", TEXT(TRIM(N1102),"00000")="89156"), "East Valley",
  OR(TEXT(TRIM(N1102),"00000")="89030", TEXT(TRIM(N1102),"00000")="89031", TEXT(TRIM(N1102),"00000")="89032", TEXT(TRIM(N1102),"00000")="89086", TEXT(TRIM(N1102),"00000")="89084", TEXT(TRIM(N1102),"00000")="89081"), "North LV",
  OR(TEXT(TRIM(N1102),"00000")="89109", TEXT(TRIM(N1102),"00000")="89103", TEXT(TRIM(N1102),"00000")="89119", TEXT(TRIM(N1102),"00000")="89123", TEXT(TRIM(N1102),"00000")="89169", TEXT(TRIM(N1102),"00000")="89118"), "South/Strip",
  OR(TEXT(TRIM(N1102),"00000")="89074", TEXT(TRIM(N1102),"00000")="89014", TEXT(TRIM(N1102),"00000")="89015", TEXT(TRIM(N1102),"00000")="89011", TEXT(TRIM(N1102),"00000")="89012"), "Suburban SE",
  OR(TEXT(TRIM(N1102),"00000")="89117", TEXT(TRIM(N1102),"00000")="89128", TEXT(TRIM(N1102),"00000")="89135", TEXT(TRIM(N1102),"00000")="89144", TEXT(TRIM(N1102),"00000")="89145", TEXT(TRIM(N1102),"00000")="89147"), "West Valley",
  TRUE, "Other"
)</f>
        <v>Missing/Unknown</v>
      </c>
      <c r="P1102" t="s">
        <v>3298</v>
      </c>
      <c r="Q1102" t="str">
        <f t="shared" si="70"/>
        <v>Outdoors/Public</v>
      </c>
      <c r="S1102" t="s">
        <v>5095</v>
      </c>
      <c r="T1102" t="str" cm="1">
        <f t="array" ref="T1102">_xlfn.IFS(
  TEXT(TRIM(S1102),"00000")="NULL", "Missing/Unknown",
  OR(TEXT(TRIM(S1102),"00000")="89101", TEXT(TRIM(S1102),"00000")="89104", TEXT(TRIM(S1102),"00000")="89106", TEXT(TRIM(S1102),"00000")="89102", TEXT(TRIM(S1102),"00000")="89107", TEXT(TRIM(S1102),"00000")="89108"), "Urban Core",
  OR(TEXT(TRIM(S1102),"00000")="89110", TEXT(TRIM(S1102),"00000")="89115", TEXT(TRIM(S1102),"00000")="89121", TEXT(TRIM(S1102),"00000")="89122", TEXT(TRIM(S1102),"00000")="89142", TEXT(TRIM(S1102),"00000")="89156"), "East Valley",
  OR(TEXT(TRIM(S1102),"00000")="89030", TEXT(TRIM(S1102),"00000")="89031", TEXT(TRIM(S1102),"00000")="89032", TEXT(TRIM(S1102),"00000")="89086", TEXT(TRIM(S1102),"00000")="89084", TEXT(TRIM(S1102),"00000")="89081"), "North LV",
  OR(TEXT(TRIM(S1102),"00000")="89109", TEXT(TRIM(S1102),"00000")="89103", TEXT(TRIM(S1102),"00000")="89119", TEXT(TRIM(S1102),"00000")="89123", TEXT(TRIM(S1102),"00000")="89169", TEXT(TRIM(S1102),"00000")="89118"), "South/Strip",
  OR(TEXT(TRIM(S1102),"00000")="89074", TEXT(TRIM(S1102),"00000")="89014", TEXT(TRIM(S1102),"00000")="89015", TEXT(TRIM(S1102),"00000")="89011", TEXT(TRIM(S1102),"00000")="89012"), "Suburban SE",
  OR(TEXT(TRIM(S1102),"00000")="89117", TEXT(TRIM(S1102),"00000")="89128", TEXT(TRIM(S1102),"00000")="89135", TEXT(TRIM(S1102),"00000")="89144", TEXT(TRIM(S1102),"00000")="89145", TEXT(TRIM(S1102),"00000")="89147"), "West Valley",
  TRUE, "Other"
)</f>
        <v>Missing/Unknown</v>
      </c>
      <c r="U1102" t="s">
        <v>3298</v>
      </c>
      <c r="V1102" t="str">
        <f t="shared" si="71"/>
        <v>Outdoors/Public</v>
      </c>
    </row>
    <row r="1103" spans="1:22">
      <c r="A1103" t="s">
        <v>1890</v>
      </c>
      <c r="B1103" t="s">
        <v>1891</v>
      </c>
      <c r="C1103" s="1">
        <v>44384</v>
      </c>
      <c r="D1103" s="4">
        <v>114.08</v>
      </c>
      <c r="E1103">
        <v>58</v>
      </c>
      <c r="F1103" t="str">
        <f t="shared" si="68"/>
        <v>50's</v>
      </c>
      <c r="G1103" t="str" cm="1">
        <f t="array" ref="G1103">_xlfn.IFS(
  F1103="10's", "Child (5–12)",
  OR(F1103="20's", F1103="30's"), "Young Adult (20–39)",
  OR(F1103="40's", F1103="50's"), "Adult (40–59)",
  OR(F1103="60's", F1103="70's", F1103="80's", F1103="90's"), "Senior (60+)",
  TRUE, "Unknown"
)</f>
        <v>Adult (40–59)</v>
      </c>
      <c r="H1103" t="s">
        <v>841</v>
      </c>
      <c r="I1103" t="s">
        <v>54</v>
      </c>
      <c r="J1103" t="str">
        <f t="shared" si="69"/>
        <v>Environmental Heat</v>
      </c>
      <c r="K1103" t="s">
        <v>1892</v>
      </c>
      <c r="L1103" t="s">
        <v>250</v>
      </c>
      <c r="N1103" t="s">
        <v>5095</v>
      </c>
      <c r="O1103" t="str" cm="1">
        <f t="array" ref="O1103">_xlfn.IFS(
  TEXT(TRIM(N1103),"00000")="NULL", "Missing/Unknown",
  OR(TEXT(TRIM(N1103),"00000")="89101", TEXT(TRIM(N1103),"00000")="89104", TEXT(TRIM(N1103),"00000")="89106", TEXT(TRIM(N1103),"00000")="89102", TEXT(TRIM(N1103),"00000")="89107", TEXT(TRIM(N1103),"00000")="89108"), "Urban Core",
  OR(TEXT(TRIM(N1103),"00000")="89110", TEXT(TRIM(N1103),"00000")="89115", TEXT(TRIM(N1103),"00000")="89121", TEXT(TRIM(N1103),"00000")="89122", TEXT(TRIM(N1103),"00000")="89142", TEXT(TRIM(N1103),"00000")="89156"), "East Valley",
  OR(TEXT(TRIM(N1103),"00000")="89030", TEXT(TRIM(N1103),"00000")="89031", TEXT(TRIM(N1103),"00000")="89032", TEXT(TRIM(N1103),"00000")="89086", TEXT(TRIM(N1103),"00000")="89084", TEXT(TRIM(N1103),"00000")="89081"), "North LV",
  OR(TEXT(TRIM(N1103),"00000")="89109", TEXT(TRIM(N1103),"00000")="89103", TEXT(TRIM(N1103),"00000")="89119", TEXT(TRIM(N1103),"00000")="89123", TEXT(TRIM(N1103),"00000")="89169", TEXT(TRIM(N1103),"00000")="89118"), "South/Strip",
  OR(TEXT(TRIM(N1103),"00000")="89074", TEXT(TRIM(N1103),"00000")="89014", TEXT(TRIM(N1103),"00000")="89015", TEXT(TRIM(N1103),"00000")="89011", TEXT(TRIM(N1103),"00000")="89012"), "Suburban SE",
  OR(TEXT(TRIM(N1103),"00000")="89117", TEXT(TRIM(N1103),"00000")="89128", TEXT(TRIM(N1103),"00000")="89135", TEXT(TRIM(N1103),"00000")="89144", TEXT(TRIM(N1103),"00000")="89145", TEXT(TRIM(N1103),"00000")="89147"), "West Valley",
  TRUE, "Other"
)</f>
        <v>Missing/Unknown</v>
      </c>
      <c r="P1103" t="s">
        <v>38</v>
      </c>
      <c r="Q1103" t="str">
        <f t="shared" si="70"/>
        <v>Home/Residence</v>
      </c>
      <c r="R1103" t="s">
        <v>5072</v>
      </c>
      <c r="S1103" t="s">
        <v>5107</v>
      </c>
      <c r="T1103" t="str" cm="1">
        <f t="array" ref="T1103">_xlfn.IFS(
  TEXT(TRIM(S1103),"00000")="NULL", "Missing/Unknown",
  OR(TEXT(TRIM(S1103),"00000")="89101", TEXT(TRIM(S1103),"00000")="89104", TEXT(TRIM(S1103),"00000")="89106", TEXT(TRIM(S1103),"00000")="89102", TEXT(TRIM(S1103),"00000")="89107", TEXT(TRIM(S1103),"00000")="89108"), "Urban Core",
  OR(TEXT(TRIM(S1103),"00000")="89110", TEXT(TRIM(S1103),"00000")="89115", TEXT(TRIM(S1103),"00000")="89121", TEXT(TRIM(S1103),"00000")="89122", TEXT(TRIM(S1103),"00000")="89142", TEXT(TRIM(S1103),"00000")="89156"), "East Valley",
  OR(TEXT(TRIM(S1103),"00000")="89030", TEXT(TRIM(S1103),"00000")="89031", TEXT(TRIM(S1103),"00000")="89032", TEXT(TRIM(S1103),"00000")="89086", TEXT(TRIM(S1103),"00000")="89084", TEXT(TRIM(S1103),"00000")="89081"), "North LV",
  OR(TEXT(TRIM(S1103),"00000")="89109", TEXT(TRIM(S1103),"00000")="89103", TEXT(TRIM(S1103),"00000")="89119", TEXT(TRIM(S1103),"00000")="89123", TEXT(TRIM(S1103),"00000")="89169", TEXT(TRIM(S1103),"00000")="89118"), "South/Strip",
  OR(TEXT(TRIM(S1103),"00000")="89074", TEXT(TRIM(S1103),"00000")="89014", TEXT(TRIM(S1103),"00000")="89015", TEXT(TRIM(S1103),"00000")="89011", TEXT(TRIM(S1103),"00000")="89012"), "Suburban SE",
  OR(TEXT(TRIM(S1103),"00000")="89117", TEXT(TRIM(S1103),"00000")="89128", TEXT(TRIM(S1103),"00000")="89135", TEXT(TRIM(S1103),"00000")="89144", TEXT(TRIM(S1103),"00000")="89145", TEXT(TRIM(S1103),"00000")="89147"), "West Valley",
  TRUE, "Other"
)</f>
        <v>South/Strip</v>
      </c>
      <c r="U1103" t="s">
        <v>3298</v>
      </c>
      <c r="V1103" t="str">
        <f t="shared" si="71"/>
        <v>Outdoors/Public</v>
      </c>
    </row>
    <row r="1104" spans="1:22">
      <c r="A1104" t="s">
        <v>1900</v>
      </c>
      <c r="B1104" t="s">
        <v>1901</v>
      </c>
      <c r="C1104" s="1">
        <v>44384</v>
      </c>
      <c r="D1104" s="4">
        <v>114.08</v>
      </c>
      <c r="E1104">
        <v>57</v>
      </c>
      <c r="F1104" t="str">
        <f t="shared" si="68"/>
        <v>50's</v>
      </c>
      <c r="G1104" t="str" cm="1">
        <f t="array" ref="G1104">_xlfn.IFS(
  F1104="10's", "Child (5–12)",
  OR(F1104="20's", F1104="30's"), "Young Adult (20–39)",
  OR(F1104="40's", F1104="50's"), "Adult (40–59)",
  OR(F1104="60's", F1104="70's", F1104="80's", F1104="90's"), "Senior (60+)",
  TRUE, "Unknown"
)</f>
        <v>Adult (40–59)</v>
      </c>
      <c r="H1104" t="s">
        <v>841</v>
      </c>
      <c r="I1104" t="s">
        <v>54</v>
      </c>
      <c r="J1104" t="str">
        <f t="shared" si="69"/>
        <v>Environmental Heat</v>
      </c>
      <c r="K1104" t="s">
        <v>172</v>
      </c>
      <c r="L1104" t="s">
        <v>250</v>
      </c>
      <c r="M1104" t="s">
        <v>4967</v>
      </c>
      <c r="N1104" t="s">
        <v>5120</v>
      </c>
      <c r="O1104" t="str" cm="1">
        <f t="array" ref="O1104">_xlfn.IFS(
  TEXT(TRIM(N1104),"00000")="NULL", "Missing/Unknown",
  OR(TEXT(TRIM(N1104),"00000")="89101", TEXT(TRIM(N1104),"00000")="89104", TEXT(TRIM(N1104),"00000")="89106", TEXT(TRIM(N1104),"00000")="89102", TEXT(TRIM(N1104),"00000")="89107", TEXT(TRIM(N1104),"00000")="89108"), "Urban Core",
  OR(TEXT(TRIM(N1104),"00000")="89110", TEXT(TRIM(N1104),"00000")="89115", TEXT(TRIM(N1104),"00000")="89121", TEXT(TRIM(N1104),"00000")="89122", TEXT(TRIM(N1104),"00000")="89142", TEXT(TRIM(N1104),"00000")="89156"), "East Valley",
  OR(TEXT(TRIM(N1104),"00000")="89030", TEXT(TRIM(N1104),"00000")="89031", TEXT(TRIM(N1104),"00000")="89032", TEXT(TRIM(N1104),"00000")="89086", TEXT(TRIM(N1104),"00000")="89084", TEXT(TRIM(N1104),"00000")="89081"), "North LV",
  OR(TEXT(TRIM(N1104),"00000")="89109", TEXT(TRIM(N1104),"00000")="89103", TEXT(TRIM(N1104),"00000")="89119", TEXT(TRIM(N1104),"00000")="89123", TEXT(TRIM(N1104),"00000")="89169", TEXT(TRIM(N1104),"00000")="89118"), "South/Strip",
  OR(TEXT(TRIM(N1104),"00000")="89074", TEXT(TRIM(N1104),"00000")="89014", TEXT(TRIM(N1104),"00000")="89015", TEXT(TRIM(N1104),"00000")="89011", TEXT(TRIM(N1104),"00000")="89012"), "Suburban SE",
  OR(TEXT(TRIM(N1104),"00000")="89117", TEXT(TRIM(N1104),"00000")="89128", TEXT(TRIM(N1104),"00000")="89135", TEXT(TRIM(N1104),"00000")="89144", TEXT(TRIM(N1104),"00000")="89145", TEXT(TRIM(N1104),"00000")="89147"), "West Valley",
  TRUE, "Other"
)</f>
        <v>Suburban SE</v>
      </c>
      <c r="P1104" t="s">
        <v>726</v>
      </c>
      <c r="Q1104" t="str">
        <f t="shared" si="70"/>
        <v>Outdoors/Public</v>
      </c>
      <c r="R1104" t="s">
        <v>4974</v>
      </c>
      <c r="S1104" t="s">
        <v>5120</v>
      </c>
      <c r="T1104" t="str" cm="1">
        <f t="array" ref="T1104">_xlfn.IFS(
  TEXT(TRIM(S1104),"00000")="NULL", "Missing/Unknown",
  OR(TEXT(TRIM(S1104),"00000")="89101", TEXT(TRIM(S1104),"00000")="89104", TEXT(TRIM(S1104),"00000")="89106", TEXT(TRIM(S1104),"00000")="89102", TEXT(TRIM(S1104),"00000")="89107", TEXT(TRIM(S1104),"00000")="89108"), "Urban Core",
  OR(TEXT(TRIM(S1104),"00000")="89110", TEXT(TRIM(S1104),"00000")="89115", TEXT(TRIM(S1104),"00000")="89121", TEXT(TRIM(S1104),"00000")="89122", TEXT(TRIM(S1104),"00000")="89142", TEXT(TRIM(S1104),"00000")="89156"), "East Valley",
  OR(TEXT(TRIM(S1104),"00000")="89030", TEXT(TRIM(S1104),"00000")="89031", TEXT(TRIM(S1104),"00000")="89032", TEXT(TRIM(S1104),"00000")="89086", TEXT(TRIM(S1104),"00000")="89084", TEXT(TRIM(S1104),"00000")="89081"), "North LV",
  OR(TEXT(TRIM(S1104),"00000")="89109", TEXT(TRIM(S1104),"00000")="89103", TEXT(TRIM(S1104),"00000")="89119", TEXT(TRIM(S1104),"00000")="89123", TEXT(TRIM(S1104),"00000")="89169", TEXT(TRIM(S1104),"00000")="89118"), "South/Strip",
  OR(TEXT(TRIM(S1104),"00000")="89074", TEXT(TRIM(S1104),"00000")="89014", TEXT(TRIM(S1104),"00000")="89015", TEXT(TRIM(S1104),"00000")="89011", TEXT(TRIM(S1104),"00000")="89012"), "Suburban SE",
  OR(TEXT(TRIM(S1104),"00000")="89117", TEXT(TRIM(S1104),"00000")="89128", TEXT(TRIM(S1104),"00000")="89135", TEXT(TRIM(S1104),"00000")="89144", TEXT(TRIM(S1104),"00000")="89145", TEXT(TRIM(S1104),"00000")="89147"), "West Valley",
  TRUE, "Other"
)</f>
        <v>Suburban SE</v>
      </c>
      <c r="U1104" t="s">
        <v>726</v>
      </c>
      <c r="V1104" t="str">
        <f t="shared" si="71"/>
        <v>Outdoors/Public</v>
      </c>
    </row>
    <row r="1105" spans="1:22">
      <c r="A1105" t="s">
        <v>1876</v>
      </c>
      <c r="B1105" t="s">
        <v>1877</v>
      </c>
      <c r="C1105" s="1">
        <v>44383</v>
      </c>
      <c r="D1105" s="4">
        <v>111.02</v>
      </c>
      <c r="E1105">
        <v>90</v>
      </c>
      <c r="F1105" t="str">
        <f t="shared" si="68"/>
        <v>90's</v>
      </c>
      <c r="G1105" t="str" cm="1">
        <f t="array" ref="G1105">_xlfn.IFS(
  F1105="10's", "Child (5–12)",
  OR(F1105="20's", F1105="30's"), "Young Adult (20–39)",
  OR(F1105="40's", F1105="50's"), "Adult (40–59)",
  OR(F1105="60's", F1105="70's", F1105="80's", F1105="90's"), "Senior (60+)",
  TRUE, "Unknown"
)</f>
        <v>Senior (60+)</v>
      </c>
      <c r="H1105" t="s">
        <v>778</v>
      </c>
      <c r="I1105" t="s">
        <v>28</v>
      </c>
      <c r="J1105" t="str">
        <f t="shared" si="69"/>
        <v>Cardiovascular Disease</v>
      </c>
      <c r="K1105" t="s">
        <v>4287</v>
      </c>
      <c r="L1105" t="s">
        <v>1071</v>
      </c>
      <c r="M1105" t="s">
        <v>4485</v>
      </c>
      <c r="N1105" t="s">
        <v>5101</v>
      </c>
      <c r="O1105" t="str" cm="1">
        <f t="array" ref="O1105">_xlfn.IFS(
  TEXT(TRIM(N1105),"00000")="NULL", "Missing/Unknown",
  OR(TEXT(TRIM(N1105),"00000")="89101", TEXT(TRIM(N1105),"00000")="89104", TEXT(TRIM(N1105),"00000")="89106", TEXT(TRIM(N1105),"00000")="89102", TEXT(TRIM(N1105),"00000")="89107", TEXT(TRIM(N1105),"00000")="89108"), "Urban Core",
  OR(TEXT(TRIM(N1105),"00000")="89110", TEXT(TRIM(N1105),"00000")="89115", TEXT(TRIM(N1105),"00000")="89121", TEXT(TRIM(N1105),"00000")="89122", TEXT(TRIM(N1105),"00000")="89142", TEXT(TRIM(N1105),"00000")="89156"), "East Valley",
  OR(TEXT(TRIM(N1105),"00000")="89030", TEXT(TRIM(N1105),"00000")="89031", TEXT(TRIM(N1105),"00000")="89032", TEXT(TRIM(N1105),"00000")="89086", TEXT(TRIM(N1105),"00000")="89084", TEXT(TRIM(N1105),"00000")="89081"), "North LV",
  OR(TEXT(TRIM(N1105),"00000")="89109", TEXT(TRIM(N1105),"00000")="89103", TEXT(TRIM(N1105),"00000")="89119", TEXT(TRIM(N1105),"00000")="89123", TEXT(TRIM(N1105),"00000")="89169", TEXT(TRIM(N1105),"00000")="89118"), "South/Strip",
  OR(TEXT(TRIM(N1105),"00000")="89074", TEXT(TRIM(N1105),"00000")="89014", TEXT(TRIM(N1105),"00000")="89015", TEXT(TRIM(N1105),"00000")="89011", TEXT(TRIM(N1105),"00000")="89012"), "Suburban SE",
  OR(TEXT(TRIM(N1105),"00000")="89117", TEXT(TRIM(N1105),"00000")="89128", TEXT(TRIM(N1105),"00000")="89135", TEXT(TRIM(N1105),"00000")="89144", TEXT(TRIM(N1105),"00000")="89145", TEXT(TRIM(N1105),"00000")="89147"), "West Valley",
  TRUE, "Other"
)</f>
        <v>Urban Core</v>
      </c>
      <c r="P1105" t="s">
        <v>38</v>
      </c>
      <c r="Q1105" t="str">
        <f t="shared" si="70"/>
        <v>Home/Residence</v>
      </c>
      <c r="R1105" t="s">
        <v>4485</v>
      </c>
      <c r="S1105" t="s">
        <v>5101</v>
      </c>
      <c r="T1105" t="str" cm="1">
        <f t="array" ref="T1105">_xlfn.IFS(
  TEXT(TRIM(S1105),"00000")="NULL", "Missing/Unknown",
  OR(TEXT(TRIM(S1105),"00000")="89101", TEXT(TRIM(S1105),"00000")="89104", TEXT(TRIM(S1105),"00000")="89106", TEXT(TRIM(S1105),"00000")="89102", TEXT(TRIM(S1105),"00000")="89107", TEXT(TRIM(S1105),"00000")="89108"), "Urban Core",
  OR(TEXT(TRIM(S1105),"00000")="89110", TEXT(TRIM(S1105),"00000")="89115", TEXT(TRIM(S1105),"00000")="89121", TEXT(TRIM(S1105),"00000")="89122", TEXT(TRIM(S1105),"00000")="89142", TEXT(TRIM(S1105),"00000")="89156"), "East Valley",
  OR(TEXT(TRIM(S1105),"00000")="89030", TEXT(TRIM(S1105),"00000")="89031", TEXT(TRIM(S1105),"00000")="89032", TEXT(TRIM(S1105),"00000")="89086", TEXT(TRIM(S1105),"00000")="89084", TEXT(TRIM(S1105),"00000")="89081"), "North LV",
  OR(TEXT(TRIM(S1105),"00000")="89109", TEXT(TRIM(S1105),"00000")="89103", TEXT(TRIM(S1105),"00000")="89119", TEXT(TRIM(S1105),"00000")="89123", TEXT(TRIM(S1105),"00000")="89169", TEXT(TRIM(S1105),"00000")="89118"), "South/Strip",
  OR(TEXT(TRIM(S1105),"00000")="89074", TEXT(TRIM(S1105),"00000")="89014", TEXT(TRIM(S1105),"00000")="89015", TEXT(TRIM(S1105),"00000")="89011", TEXT(TRIM(S1105),"00000")="89012"), "Suburban SE",
  OR(TEXT(TRIM(S1105),"00000")="89117", TEXT(TRIM(S1105),"00000")="89128", TEXT(TRIM(S1105),"00000")="89135", TEXT(TRIM(S1105),"00000")="89144", TEXT(TRIM(S1105),"00000")="89145", TEXT(TRIM(S1105),"00000")="89147"), "West Valley",
  TRUE, "Other"
)</f>
        <v>Urban Core</v>
      </c>
      <c r="U1105" t="s">
        <v>38</v>
      </c>
      <c r="V1105" t="str">
        <f t="shared" si="71"/>
        <v>Home/Residence</v>
      </c>
    </row>
    <row r="1106" spans="1:22">
      <c r="A1106" t="s">
        <v>1873</v>
      </c>
      <c r="B1106" t="s">
        <v>1874</v>
      </c>
      <c r="C1106" s="1">
        <v>44383</v>
      </c>
      <c r="D1106" s="4">
        <v>111.02</v>
      </c>
      <c r="E1106">
        <v>84</v>
      </c>
      <c r="F1106" t="str">
        <f t="shared" si="68"/>
        <v>80's</v>
      </c>
      <c r="G1106" t="str" cm="1">
        <f t="array" ref="G1106">_xlfn.IFS(
  F1106="10's", "Child (5–12)",
  OR(F1106="20's", F1106="30's"), "Young Adult (20–39)",
  OR(F1106="40's", F1106="50's"), "Adult (40–59)",
  OR(F1106="60's", F1106="70's", F1106="80's", F1106="90's"), "Senior (60+)",
  TRUE, "Unknown"
)</f>
        <v>Senior (60+)</v>
      </c>
      <c r="H1106" t="s">
        <v>841</v>
      </c>
      <c r="I1106" t="s">
        <v>54</v>
      </c>
      <c r="J1106" t="str">
        <f t="shared" si="69"/>
        <v>Environmental Heat</v>
      </c>
      <c r="K1106" t="s">
        <v>28</v>
      </c>
      <c r="L1106" t="s">
        <v>1071</v>
      </c>
      <c r="M1106" t="s">
        <v>4337</v>
      </c>
      <c r="N1106" t="s">
        <v>5097</v>
      </c>
      <c r="O1106" t="str" cm="1">
        <f t="array" ref="O1106">_xlfn.IFS(
  TEXT(TRIM(N1106),"00000")="NULL", "Missing/Unknown",
  OR(TEXT(TRIM(N1106),"00000")="89101", TEXT(TRIM(N1106),"00000")="89104", TEXT(TRIM(N1106),"00000")="89106", TEXT(TRIM(N1106),"00000")="89102", TEXT(TRIM(N1106),"00000")="89107", TEXT(TRIM(N1106),"00000")="89108"), "Urban Core",
  OR(TEXT(TRIM(N1106),"00000")="89110", TEXT(TRIM(N1106),"00000")="89115", TEXT(TRIM(N1106),"00000")="89121", TEXT(TRIM(N1106),"00000")="89122", TEXT(TRIM(N1106),"00000")="89142", TEXT(TRIM(N1106),"00000")="89156"), "East Valley",
  OR(TEXT(TRIM(N1106),"00000")="89030", TEXT(TRIM(N1106),"00000")="89031", TEXT(TRIM(N1106),"00000")="89032", TEXT(TRIM(N1106),"00000")="89086", TEXT(TRIM(N1106),"00000")="89084", TEXT(TRIM(N1106),"00000")="89081"), "North LV",
  OR(TEXT(TRIM(N1106),"00000")="89109", TEXT(TRIM(N1106),"00000")="89103", TEXT(TRIM(N1106),"00000")="89119", TEXT(TRIM(N1106),"00000")="89123", TEXT(TRIM(N1106),"00000")="89169", TEXT(TRIM(N1106),"00000")="89118"), "South/Strip",
  OR(TEXT(TRIM(N1106),"00000")="89074", TEXT(TRIM(N1106),"00000")="89014", TEXT(TRIM(N1106),"00000")="89015", TEXT(TRIM(N1106),"00000")="89011", TEXT(TRIM(N1106),"00000")="89012"), "Suburban SE",
  OR(TEXT(TRIM(N1106),"00000")="89117", TEXT(TRIM(N1106),"00000")="89128", TEXT(TRIM(N1106),"00000")="89135", TEXT(TRIM(N1106),"00000")="89144", TEXT(TRIM(N1106),"00000")="89145", TEXT(TRIM(N1106),"00000")="89147"), "West Valley",
  TRUE, "Other"
)</f>
        <v>Urban Core</v>
      </c>
      <c r="P1106" t="s">
        <v>38</v>
      </c>
      <c r="Q1106" t="str">
        <f t="shared" si="70"/>
        <v>Home/Residence</v>
      </c>
      <c r="R1106" t="s">
        <v>4337</v>
      </c>
      <c r="S1106" t="s">
        <v>5097</v>
      </c>
      <c r="T1106" t="str" cm="1">
        <f t="array" ref="T1106">_xlfn.IFS(
  TEXT(TRIM(S1106),"00000")="NULL", "Missing/Unknown",
  OR(TEXT(TRIM(S1106),"00000")="89101", TEXT(TRIM(S1106),"00000")="89104", TEXT(TRIM(S1106),"00000")="89106", TEXT(TRIM(S1106),"00000")="89102", TEXT(TRIM(S1106),"00000")="89107", TEXT(TRIM(S1106),"00000")="89108"), "Urban Core",
  OR(TEXT(TRIM(S1106),"00000")="89110", TEXT(TRIM(S1106),"00000")="89115", TEXT(TRIM(S1106),"00000")="89121", TEXT(TRIM(S1106),"00000")="89122", TEXT(TRIM(S1106),"00000")="89142", TEXT(TRIM(S1106),"00000")="89156"), "East Valley",
  OR(TEXT(TRIM(S1106),"00000")="89030", TEXT(TRIM(S1106),"00000")="89031", TEXT(TRIM(S1106),"00000")="89032", TEXT(TRIM(S1106),"00000")="89086", TEXT(TRIM(S1106),"00000")="89084", TEXT(TRIM(S1106),"00000")="89081"), "North LV",
  OR(TEXT(TRIM(S1106),"00000")="89109", TEXT(TRIM(S1106),"00000")="89103", TEXT(TRIM(S1106),"00000")="89119", TEXT(TRIM(S1106),"00000")="89123", TEXT(TRIM(S1106),"00000")="89169", TEXT(TRIM(S1106),"00000")="89118"), "South/Strip",
  OR(TEXT(TRIM(S1106),"00000")="89074", TEXT(TRIM(S1106),"00000")="89014", TEXT(TRIM(S1106),"00000")="89015", TEXT(TRIM(S1106),"00000")="89011", TEXT(TRIM(S1106),"00000")="89012"), "Suburban SE",
  OR(TEXT(TRIM(S1106),"00000")="89117", TEXT(TRIM(S1106),"00000")="89128", TEXT(TRIM(S1106),"00000")="89135", TEXT(TRIM(S1106),"00000")="89144", TEXT(TRIM(S1106),"00000")="89145", TEXT(TRIM(S1106),"00000")="89147"), "West Valley",
  TRUE, "Other"
)</f>
        <v>Urban Core</v>
      </c>
      <c r="U1106" t="s">
        <v>38</v>
      </c>
      <c r="V1106" t="str">
        <f t="shared" si="71"/>
        <v>Home/Residence</v>
      </c>
    </row>
    <row r="1107" spans="1:22">
      <c r="A1107" t="s">
        <v>1871</v>
      </c>
      <c r="B1107" t="s">
        <v>1872</v>
      </c>
      <c r="C1107" s="1">
        <v>44380</v>
      </c>
      <c r="D1107" s="4">
        <v>107.06</v>
      </c>
      <c r="E1107">
        <v>54</v>
      </c>
      <c r="F1107" t="str">
        <f t="shared" si="68"/>
        <v>50's</v>
      </c>
      <c r="G1107" t="str" cm="1">
        <f t="array" ref="G1107">_xlfn.IFS(
  F1107="10's", "Child (5–12)",
  OR(F1107="20's", F1107="30's"), "Young Adult (20–39)",
  OR(F1107="40's", F1107="50's"), "Adult (40–59)",
  OR(F1107="60's", F1107="70's", F1107="80's", F1107="90's"), "Senior (60+)",
  TRUE, "Unknown"
)</f>
        <v>Adult (40–59)</v>
      </c>
      <c r="H1107" t="s">
        <v>841</v>
      </c>
      <c r="I1107" t="s">
        <v>97</v>
      </c>
      <c r="J1107" t="str">
        <f t="shared" si="69"/>
        <v>Environmental Heat</v>
      </c>
      <c r="K1107" t="s">
        <v>98</v>
      </c>
      <c r="L1107" t="s">
        <v>1071</v>
      </c>
      <c r="N1107" t="s">
        <v>5095</v>
      </c>
      <c r="O1107" t="str" cm="1">
        <f t="array" ref="O1107">_xlfn.IFS(
  TEXT(TRIM(N1107),"00000")="NULL", "Missing/Unknown",
  OR(TEXT(TRIM(N1107),"00000")="89101", TEXT(TRIM(N1107),"00000")="89104", TEXT(TRIM(N1107),"00000")="89106", TEXT(TRIM(N1107),"00000")="89102", TEXT(TRIM(N1107),"00000")="89107", TEXT(TRIM(N1107),"00000")="89108"), "Urban Core",
  OR(TEXT(TRIM(N1107),"00000")="89110", TEXT(TRIM(N1107),"00000")="89115", TEXT(TRIM(N1107),"00000")="89121", TEXT(TRIM(N1107),"00000")="89122", TEXT(TRIM(N1107),"00000")="89142", TEXT(TRIM(N1107),"00000")="89156"), "East Valley",
  OR(TEXT(TRIM(N1107),"00000")="89030", TEXT(TRIM(N1107),"00000")="89031", TEXT(TRIM(N1107),"00000")="89032", TEXT(TRIM(N1107),"00000")="89086", TEXT(TRIM(N1107),"00000")="89084", TEXT(TRIM(N1107),"00000")="89081"), "North LV",
  OR(TEXT(TRIM(N1107),"00000")="89109", TEXT(TRIM(N1107),"00000")="89103", TEXT(TRIM(N1107),"00000")="89119", TEXT(TRIM(N1107),"00000")="89123", TEXT(TRIM(N1107),"00000")="89169", TEXT(TRIM(N1107),"00000")="89118"), "South/Strip",
  OR(TEXT(TRIM(N1107),"00000")="89074", TEXT(TRIM(N1107),"00000")="89014", TEXT(TRIM(N1107),"00000")="89015", TEXT(TRIM(N1107),"00000")="89011", TEXT(TRIM(N1107),"00000")="89012"), "Suburban SE",
  OR(TEXT(TRIM(N1107),"00000")="89117", TEXT(TRIM(N1107),"00000")="89128", TEXT(TRIM(N1107),"00000")="89135", TEXT(TRIM(N1107),"00000")="89144", TEXT(TRIM(N1107),"00000")="89145", TEXT(TRIM(N1107),"00000")="89147"), "West Valley",
  TRUE, "Other"
)</f>
        <v>Missing/Unknown</v>
      </c>
      <c r="P1107" t="s">
        <v>3298</v>
      </c>
      <c r="Q1107" t="str">
        <f t="shared" si="70"/>
        <v>Outdoors/Public</v>
      </c>
      <c r="S1107" t="s">
        <v>5095</v>
      </c>
      <c r="T1107" t="str" cm="1">
        <f t="array" ref="T1107">_xlfn.IFS(
  TEXT(TRIM(S1107),"00000")="NULL", "Missing/Unknown",
  OR(TEXT(TRIM(S1107),"00000")="89101", TEXT(TRIM(S1107),"00000")="89104", TEXT(TRIM(S1107),"00000")="89106", TEXT(TRIM(S1107),"00000")="89102", TEXT(TRIM(S1107),"00000")="89107", TEXT(TRIM(S1107),"00000")="89108"), "Urban Core",
  OR(TEXT(TRIM(S1107),"00000")="89110", TEXT(TRIM(S1107),"00000")="89115", TEXT(TRIM(S1107),"00000")="89121", TEXT(TRIM(S1107),"00000")="89122", TEXT(TRIM(S1107),"00000")="89142", TEXT(TRIM(S1107),"00000")="89156"), "East Valley",
  OR(TEXT(TRIM(S1107),"00000")="89030", TEXT(TRIM(S1107),"00000")="89031", TEXT(TRIM(S1107),"00000")="89032", TEXT(TRIM(S1107),"00000")="89086", TEXT(TRIM(S1107),"00000")="89084", TEXT(TRIM(S1107),"00000")="89081"), "North LV",
  OR(TEXT(TRIM(S1107),"00000")="89109", TEXT(TRIM(S1107),"00000")="89103", TEXT(TRIM(S1107),"00000")="89119", TEXT(TRIM(S1107),"00000")="89123", TEXT(TRIM(S1107),"00000")="89169", TEXT(TRIM(S1107),"00000")="89118"), "South/Strip",
  OR(TEXT(TRIM(S1107),"00000")="89074", TEXT(TRIM(S1107),"00000")="89014", TEXT(TRIM(S1107),"00000")="89015", TEXT(TRIM(S1107),"00000")="89011", TEXT(TRIM(S1107),"00000")="89012"), "Suburban SE",
  OR(TEXT(TRIM(S1107),"00000")="89117", TEXT(TRIM(S1107),"00000")="89128", TEXT(TRIM(S1107),"00000")="89135", TEXT(TRIM(S1107),"00000")="89144", TEXT(TRIM(S1107),"00000")="89145", TEXT(TRIM(S1107),"00000")="89147"), "West Valley",
  TRUE, "Other"
)</f>
        <v>Missing/Unknown</v>
      </c>
      <c r="U1107" t="s">
        <v>208</v>
      </c>
      <c r="V1107" t="str">
        <f t="shared" si="71"/>
        <v>Outdoors/Public</v>
      </c>
    </row>
    <row r="1108" spans="1:22">
      <c r="A1108" t="s">
        <v>1868</v>
      </c>
      <c r="B1108" t="s">
        <v>1869</v>
      </c>
      <c r="C1108" s="1">
        <v>44378</v>
      </c>
      <c r="D1108" s="4">
        <v>105.98</v>
      </c>
      <c r="E1108">
        <v>84</v>
      </c>
      <c r="F1108" t="str">
        <f t="shared" si="68"/>
        <v>80's</v>
      </c>
      <c r="G1108" t="str" cm="1">
        <f t="array" ref="G1108">_xlfn.IFS(
  F1108="10's", "Child (5–12)",
  OR(F1108="20's", F1108="30's"), "Young Adult (20–39)",
  OR(F1108="40's", F1108="50's"), "Adult (40–59)",
  OR(F1108="60's", F1108="70's", F1108="80's", F1108="90's"), "Senior (60+)",
  TRUE, "Unknown"
)</f>
        <v>Senior (60+)</v>
      </c>
      <c r="H1108" t="s">
        <v>841</v>
      </c>
      <c r="I1108" t="s">
        <v>97</v>
      </c>
      <c r="J1108" t="str">
        <f t="shared" si="69"/>
        <v>Environmental Heat</v>
      </c>
      <c r="K1108" t="s">
        <v>98</v>
      </c>
      <c r="L1108" t="s">
        <v>1071</v>
      </c>
      <c r="M1108" t="s">
        <v>4481</v>
      </c>
      <c r="N1108" t="s">
        <v>5134</v>
      </c>
      <c r="O1108" t="str" cm="1">
        <f t="array" ref="O1108">_xlfn.IFS(
  TEXT(TRIM(N1108),"00000")="NULL", "Missing/Unknown",
  OR(TEXT(TRIM(N1108),"00000")="89101", TEXT(TRIM(N1108),"00000")="89104", TEXT(TRIM(N1108),"00000")="89106", TEXT(TRIM(N1108),"00000")="89102", TEXT(TRIM(N1108),"00000")="89107", TEXT(TRIM(N1108),"00000")="89108"), "Urban Core",
  OR(TEXT(TRIM(N1108),"00000")="89110", TEXT(TRIM(N1108),"00000")="89115", TEXT(TRIM(N1108),"00000")="89121", TEXT(TRIM(N1108),"00000")="89122", TEXT(TRIM(N1108),"00000")="89142", TEXT(TRIM(N1108),"00000")="89156"), "East Valley",
  OR(TEXT(TRIM(N1108),"00000")="89030", TEXT(TRIM(N1108),"00000")="89031", TEXT(TRIM(N1108),"00000")="89032", TEXT(TRIM(N1108),"00000")="89086", TEXT(TRIM(N1108),"00000")="89084", TEXT(TRIM(N1108),"00000")="89081"), "North LV",
  OR(TEXT(TRIM(N1108),"00000")="89109", TEXT(TRIM(N1108),"00000")="89103", TEXT(TRIM(N1108),"00000")="89119", TEXT(TRIM(N1108),"00000")="89123", TEXT(TRIM(N1108),"00000")="89169", TEXT(TRIM(N1108),"00000")="89118"), "South/Strip",
  OR(TEXT(TRIM(N1108),"00000")="89074", TEXT(TRIM(N1108),"00000")="89014", TEXT(TRIM(N1108),"00000")="89015", TEXT(TRIM(N1108),"00000")="89011", TEXT(TRIM(N1108),"00000")="89012"), "Suburban SE",
  OR(TEXT(TRIM(N1108),"00000")="89117", TEXT(TRIM(N1108),"00000")="89128", TEXT(TRIM(N1108),"00000")="89135", TEXT(TRIM(N1108),"00000")="89144", TEXT(TRIM(N1108),"00000")="89145", TEXT(TRIM(N1108),"00000")="89147"), "West Valley",
  TRUE, "Other"
)</f>
        <v>Other</v>
      </c>
      <c r="P1108" t="s">
        <v>38</v>
      </c>
      <c r="Q1108" t="str">
        <f t="shared" si="70"/>
        <v>Home/Residence</v>
      </c>
      <c r="R1108" t="s">
        <v>4481</v>
      </c>
      <c r="S1108" t="s">
        <v>5134</v>
      </c>
      <c r="T1108" t="str" cm="1">
        <f t="array" ref="T1108">_xlfn.IFS(
  TEXT(TRIM(S1108),"00000")="NULL", "Missing/Unknown",
  OR(TEXT(TRIM(S1108),"00000")="89101", TEXT(TRIM(S1108),"00000")="89104", TEXT(TRIM(S1108),"00000")="89106", TEXT(TRIM(S1108),"00000")="89102", TEXT(TRIM(S1108),"00000")="89107", TEXT(TRIM(S1108),"00000")="89108"), "Urban Core",
  OR(TEXT(TRIM(S1108),"00000")="89110", TEXT(TRIM(S1108),"00000")="89115", TEXT(TRIM(S1108),"00000")="89121", TEXT(TRIM(S1108),"00000")="89122", TEXT(TRIM(S1108),"00000")="89142", TEXT(TRIM(S1108),"00000")="89156"), "East Valley",
  OR(TEXT(TRIM(S1108),"00000")="89030", TEXT(TRIM(S1108),"00000")="89031", TEXT(TRIM(S1108),"00000")="89032", TEXT(TRIM(S1108),"00000")="89086", TEXT(TRIM(S1108),"00000")="89084", TEXT(TRIM(S1108),"00000")="89081"), "North LV",
  OR(TEXT(TRIM(S1108),"00000")="89109", TEXT(TRIM(S1108),"00000")="89103", TEXT(TRIM(S1108),"00000")="89119", TEXT(TRIM(S1108),"00000")="89123", TEXT(TRIM(S1108),"00000")="89169", TEXT(TRIM(S1108),"00000")="89118"), "South/Strip",
  OR(TEXT(TRIM(S1108),"00000")="89074", TEXT(TRIM(S1108),"00000")="89014", TEXT(TRIM(S1108),"00000")="89015", TEXT(TRIM(S1108),"00000")="89011", TEXT(TRIM(S1108),"00000")="89012"), "Suburban SE",
  OR(TEXT(TRIM(S1108),"00000")="89117", TEXT(TRIM(S1108),"00000")="89128", TEXT(TRIM(S1108),"00000")="89135", TEXT(TRIM(S1108),"00000")="89144", TEXT(TRIM(S1108),"00000")="89145", TEXT(TRIM(S1108),"00000")="89147"), "West Valley",
  TRUE, "Other"
)</f>
        <v>Other</v>
      </c>
      <c r="U1108" t="s">
        <v>38</v>
      </c>
      <c r="V1108" t="str">
        <f t="shared" si="71"/>
        <v>Home/Residence</v>
      </c>
    </row>
    <row r="1109" spans="1:22">
      <c r="A1109" t="s">
        <v>1861</v>
      </c>
      <c r="B1109" t="s">
        <v>1862</v>
      </c>
      <c r="C1109" s="1">
        <v>44376</v>
      </c>
      <c r="D1109" s="4">
        <v>105.08</v>
      </c>
      <c r="E1109">
        <v>74</v>
      </c>
      <c r="F1109" t="str">
        <f t="shared" si="68"/>
        <v>70's</v>
      </c>
      <c r="G1109" t="str" cm="1">
        <f t="array" ref="G1109">_xlfn.IFS(
  F1109="10's", "Child (5–12)",
  OR(F1109="20's", F1109="30's"), "Young Adult (20–39)",
  OR(F1109="40's", F1109="50's"), "Adult (40–59)",
  OR(F1109="60's", F1109="70's", F1109="80's", F1109="90's"), "Senior (60+)",
  TRUE, "Unknown"
)</f>
        <v>Senior (60+)</v>
      </c>
      <c r="H1109" t="s">
        <v>841</v>
      </c>
      <c r="I1109" t="s">
        <v>199</v>
      </c>
      <c r="J1109" t="str">
        <f t="shared" si="69"/>
        <v>Ethanol-related</v>
      </c>
      <c r="K1109" t="s">
        <v>1863</v>
      </c>
      <c r="L1109" t="s">
        <v>1071</v>
      </c>
      <c r="M1109" t="s">
        <v>4486</v>
      </c>
      <c r="N1109" t="s">
        <v>5100</v>
      </c>
      <c r="O1109" t="str" cm="1">
        <f t="array" ref="O1109">_xlfn.IFS(
  TEXT(TRIM(N1109),"00000")="NULL", "Missing/Unknown",
  OR(TEXT(TRIM(N1109),"00000")="89101", TEXT(TRIM(N1109),"00000")="89104", TEXT(TRIM(N1109),"00000")="89106", TEXT(TRIM(N1109),"00000")="89102", TEXT(TRIM(N1109),"00000")="89107", TEXT(TRIM(N1109),"00000")="89108"), "Urban Core",
  OR(TEXT(TRIM(N1109),"00000")="89110", TEXT(TRIM(N1109),"00000")="89115", TEXT(TRIM(N1109),"00000")="89121", TEXT(TRIM(N1109),"00000")="89122", TEXT(TRIM(N1109),"00000")="89142", TEXT(TRIM(N1109),"00000")="89156"), "East Valley",
  OR(TEXT(TRIM(N1109),"00000")="89030", TEXT(TRIM(N1109),"00000")="89031", TEXT(TRIM(N1109),"00000")="89032", TEXT(TRIM(N1109),"00000")="89086", TEXT(TRIM(N1109),"00000")="89084", TEXT(TRIM(N1109),"00000")="89081"), "North LV",
  OR(TEXT(TRIM(N1109),"00000")="89109", TEXT(TRIM(N1109),"00000")="89103", TEXT(TRIM(N1109),"00000")="89119", TEXT(TRIM(N1109),"00000")="89123", TEXT(TRIM(N1109),"00000")="89169", TEXT(TRIM(N1109),"00000")="89118"), "South/Strip",
  OR(TEXT(TRIM(N1109),"00000")="89074", TEXT(TRIM(N1109),"00000")="89014", TEXT(TRIM(N1109),"00000")="89015", TEXT(TRIM(N1109),"00000")="89011", TEXT(TRIM(N1109),"00000")="89012"), "Suburban SE",
  OR(TEXT(TRIM(N1109),"00000")="89117", TEXT(TRIM(N1109),"00000")="89128", TEXT(TRIM(N1109),"00000")="89135", TEXT(TRIM(N1109),"00000")="89144", TEXT(TRIM(N1109),"00000")="89145", TEXT(TRIM(N1109),"00000")="89147"), "West Valley",
  TRUE, "Other"
)</f>
        <v>North LV</v>
      </c>
      <c r="P1109" t="s">
        <v>38</v>
      </c>
      <c r="Q1109" t="str">
        <f t="shared" si="70"/>
        <v>Home/Residence</v>
      </c>
      <c r="R1109" t="s">
        <v>4486</v>
      </c>
      <c r="S1109" t="s">
        <v>5100</v>
      </c>
      <c r="T1109" t="str" cm="1">
        <f t="array" ref="T1109">_xlfn.IFS(
  TEXT(TRIM(S1109),"00000")="NULL", "Missing/Unknown",
  OR(TEXT(TRIM(S1109),"00000")="89101", TEXT(TRIM(S1109),"00000")="89104", TEXT(TRIM(S1109),"00000")="89106", TEXT(TRIM(S1109),"00000")="89102", TEXT(TRIM(S1109),"00000")="89107", TEXT(TRIM(S1109),"00000")="89108"), "Urban Core",
  OR(TEXT(TRIM(S1109),"00000")="89110", TEXT(TRIM(S1109),"00000")="89115", TEXT(TRIM(S1109),"00000")="89121", TEXT(TRIM(S1109),"00000")="89122", TEXT(TRIM(S1109),"00000")="89142", TEXT(TRIM(S1109),"00000")="89156"), "East Valley",
  OR(TEXT(TRIM(S1109),"00000")="89030", TEXT(TRIM(S1109),"00000")="89031", TEXT(TRIM(S1109),"00000")="89032", TEXT(TRIM(S1109),"00000")="89086", TEXT(TRIM(S1109),"00000")="89084", TEXT(TRIM(S1109),"00000")="89081"), "North LV",
  OR(TEXT(TRIM(S1109),"00000")="89109", TEXT(TRIM(S1109),"00000")="89103", TEXT(TRIM(S1109),"00000")="89119", TEXT(TRIM(S1109),"00000")="89123", TEXT(TRIM(S1109),"00000")="89169", TEXT(TRIM(S1109),"00000")="89118"), "South/Strip",
  OR(TEXT(TRIM(S1109),"00000")="89074", TEXT(TRIM(S1109),"00000")="89014", TEXT(TRIM(S1109),"00000")="89015", TEXT(TRIM(S1109),"00000")="89011", TEXT(TRIM(S1109),"00000")="89012"), "Suburban SE",
  OR(TEXT(TRIM(S1109),"00000")="89117", TEXT(TRIM(S1109),"00000")="89128", TEXT(TRIM(S1109),"00000")="89135", TEXT(TRIM(S1109),"00000")="89144", TEXT(TRIM(S1109),"00000")="89145", TEXT(TRIM(S1109),"00000")="89147"), "West Valley",
  TRUE, "Other"
)</f>
        <v>North LV</v>
      </c>
      <c r="U1109" t="s">
        <v>38</v>
      </c>
      <c r="V1109" t="str">
        <f t="shared" si="71"/>
        <v>Home/Residence</v>
      </c>
    </row>
    <row r="1110" spans="1:22">
      <c r="A1110" t="s">
        <v>1859</v>
      </c>
      <c r="B1110" t="s">
        <v>1860</v>
      </c>
      <c r="C1110" s="1">
        <v>44376</v>
      </c>
      <c r="D1110" s="4">
        <v>105.08</v>
      </c>
      <c r="E1110">
        <v>48</v>
      </c>
      <c r="F1110" t="str">
        <f t="shared" si="68"/>
        <v>40's</v>
      </c>
      <c r="G1110" t="str" cm="1">
        <f t="array" ref="G1110">_xlfn.IFS(
  F1110="10's", "Child (5–12)",
  OR(F1110="20's", F1110="30's"), "Young Adult (20–39)",
  OR(F1110="40's", F1110="50's"), "Adult (40–59)",
  OR(F1110="60's", F1110="70's", F1110="80's", F1110="90's"), "Senior (60+)",
  TRUE, "Unknown"
)</f>
        <v>Adult (40–59)</v>
      </c>
      <c r="H1110" t="s">
        <v>4310</v>
      </c>
      <c r="I1110" t="s">
        <v>97</v>
      </c>
      <c r="J1110" t="str">
        <f t="shared" si="69"/>
        <v>Environmental Heat</v>
      </c>
      <c r="K1110" t="s">
        <v>98</v>
      </c>
      <c r="L1110" t="s">
        <v>250</v>
      </c>
      <c r="N1110" t="s">
        <v>5095</v>
      </c>
      <c r="O1110" t="str" cm="1">
        <f t="array" ref="O1110">_xlfn.IFS(
  TEXT(TRIM(N1110),"00000")="NULL", "Missing/Unknown",
  OR(TEXT(TRIM(N1110),"00000")="89101", TEXT(TRIM(N1110),"00000")="89104", TEXT(TRIM(N1110),"00000")="89106", TEXT(TRIM(N1110),"00000")="89102", TEXT(TRIM(N1110),"00000")="89107", TEXT(TRIM(N1110),"00000")="89108"), "Urban Core",
  OR(TEXT(TRIM(N1110),"00000")="89110", TEXT(TRIM(N1110),"00000")="89115", TEXT(TRIM(N1110),"00000")="89121", TEXT(TRIM(N1110),"00000")="89122", TEXT(TRIM(N1110),"00000")="89142", TEXT(TRIM(N1110),"00000")="89156"), "East Valley",
  OR(TEXT(TRIM(N1110),"00000")="89030", TEXT(TRIM(N1110),"00000")="89031", TEXT(TRIM(N1110),"00000")="89032", TEXT(TRIM(N1110),"00000")="89086", TEXT(TRIM(N1110),"00000")="89084", TEXT(TRIM(N1110),"00000")="89081"), "North LV",
  OR(TEXT(TRIM(N1110),"00000")="89109", TEXT(TRIM(N1110),"00000")="89103", TEXT(TRIM(N1110),"00000")="89119", TEXT(TRIM(N1110),"00000")="89123", TEXT(TRIM(N1110),"00000")="89169", TEXT(TRIM(N1110),"00000")="89118"), "South/Strip",
  OR(TEXT(TRIM(N1110),"00000")="89074", TEXT(TRIM(N1110),"00000")="89014", TEXT(TRIM(N1110),"00000")="89015", TEXT(TRIM(N1110),"00000")="89011", TEXT(TRIM(N1110),"00000")="89012"), "Suburban SE",
  OR(TEXT(TRIM(N1110),"00000")="89117", TEXT(TRIM(N1110),"00000")="89128", TEXT(TRIM(N1110),"00000")="89135", TEXT(TRIM(N1110),"00000")="89144", TEXT(TRIM(N1110),"00000")="89145", TEXT(TRIM(N1110),"00000")="89147"), "West Valley",
  TRUE, "Other"
)</f>
        <v>Missing/Unknown</v>
      </c>
      <c r="P1110" t="s">
        <v>3298</v>
      </c>
      <c r="Q1110" t="str">
        <f t="shared" si="70"/>
        <v>Outdoors/Public</v>
      </c>
      <c r="R1110" t="s">
        <v>4341</v>
      </c>
      <c r="S1110" t="s">
        <v>5100</v>
      </c>
      <c r="T1110" t="str" cm="1">
        <f t="array" ref="T1110">_xlfn.IFS(
  TEXT(TRIM(S1110),"00000")="NULL", "Missing/Unknown",
  OR(TEXT(TRIM(S1110),"00000")="89101", TEXT(TRIM(S1110),"00000")="89104", TEXT(TRIM(S1110),"00000")="89106", TEXT(TRIM(S1110),"00000")="89102", TEXT(TRIM(S1110),"00000")="89107", TEXT(TRIM(S1110),"00000")="89108"), "Urban Core",
  OR(TEXT(TRIM(S1110),"00000")="89110", TEXT(TRIM(S1110),"00000")="89115", TEXT(TRIM(S1110),"00000")="89121", TEXT(TRIM(S1110),"00000")="89122", TEXT(TRIM(S1110),"00000")="89142", TEXT(TRIM(S1110),"00000")="89156"), "East Valley",
  OR(TEXT(TRIM(S1110),"00000")="89030", TEXT(TRIM(S1110),"00000")="89031", TEXT(TRIM(S1110),"00000")="89032", TEXT(TRIM(S1110),"00000")="89086", TEXT(TRIM(S1110),"00000")="89084", TEXT(TRIM(S1110),"00000")="89081"), "North LV",
  OR(TEXT(TRIM(S1110),"00000")="89109", TEXT(TRIM(S1110),"00000")="89103", TEXT(TRIM(S1110),"00000")="89119", TEXT(TRIM(S1110),"00000")="89123", TEXT(TRIM(S1110),"00000")="89169", TEXT(TRIM(S1110),"00000")="89118"), "South/Strip",
  OR(TEXT(TRIM(S1110),"00000")="89074", TEXT(TRIM(S1110),"00000")="89014", TEXT(TRIM(S1110),"00000")="89015", TEXT(TRIM(S1110),"00000")="89011", TEXT(TRIM(S1110),"00000")="89012"), "Suburban SE",
  OR(TEXT(TRIM(S1110),"00000")="89117", TEXT(TRIM(S1110),"00000")="89128", TEXT(TRIM(S1110),"00000")="89135", TEXT(TRIM(S1110),"00000")="89144", TEXT(TRIM(S1110),"00000")="89145", TEXT(TRIM(S1110),"00000")="89147"), "West Valley",
  TRUE, "Other"
)</f>
        <v>North LV</v>
      </c>
      <c r="U1110" t="s">
        <v>4305</v>
      </c>
      <c r="V1110" t="str">
        <f t="shared" si="71"/>
        <v>Medical Facility</v>
      </c>
    </row>
    <row r="1111" spans="1:22">
      <c r="A1111" t="s">
        <v>1865</v>
      </c>
      <c r="B1111" t="s">
        <v>1866</v>
      </c>
      <c r="C1111" s="1">
        <v>44376</v>
      </c>
      <c r="D1111" s="4">
        <v>105.08</v>
      </c>
      <c r="E1111">
        <v>68</v>
      </c>
      <c r="F1111" t="str">
        <f t="shared" si="68"/>
        <v>60's</v>
      </c>
      <c r="G1111" t="str" cm="1">
        <f t="array" ref="G1111">_xlfn.IFS(
  F1111="10's", "Child (5–12)",
  OR(F1111="20's", F1111="30's"), "Young Adult (20–39)",
  OR(F1111="40's", F1111="50's"), "Adult (40–59)",
  OR(F1111="60's", F1111="70's", F1111="80's", F1111="90's"), "Senior (60+)",
  TRUE, "Unknown"
)</f>
        <v>Senior (60+)</v>
      </c>
      <c r="H1111" t="s">
        <v>4310</v>
      </c>
      <c r="I1111" t="s">
        <v>172</v>
      </c>
      <c r="J1111" t="str">
        <f t="shared" si="69"/>
        <v>Methamphetamine-related</v>
      </c>
      <c r="K1111" t="s">
        <v>54</v>
      </c>
      <c r="L1111" t="s">
        <v>250</v>
      </c>
      <c r="M1111" t="s">
        <v>4542</v>
      </c>
      <c r="N1111" t="s">
        <v>5098</v>
      </c>
      <c r="O1111" t="str" cm="1">
        <f t="array" ref="O1111">_xlfn.IFS(
  TEXT(TRIM(N1111),"00000")="NULL", "Missing/Unknown",
  OR(TEXT(TRIM(N1111),"00000")="89101", TEXT(TRIM(N1111),"00000")="89104", TEXT(TRIM(N1111),"00000")="89106", TEXT(TRIM(N1111),"00000")="89102", TEXT(TRIM(N1111),"00000")="89107", TEXT(TRIM(N1111),"00000")="89108"), "Urban Core",
  OR(TEXT(TRIM(N1111),"00000")="89110", TEXT(TRIM(N1111),"00000")="89115", TEXT(TRIM(N1111),"00000")="89121", TEXT(TRIM(N1111),"00000")="89122", TEXT(TRIM(N1111),"00000")="89142", TEXT(TRIM(N1111),"00000")="89156"), "East Valley",
  OR(TEXT(TRIM(N1111),"00000")="89030", TEXT(TRIM(N1111),"00000")="89031", TEXT(TRIM(N1111),"00000")="89032", TEXT(TRIM(N1111),"00000")="89086", TEXT(TRIM(N1111),"00000")="89084", TEXT(TRIM(N1111),"00000")="89081"), "North LV",
  OR(TEXT(TRIM(N1111),"00000")="89109", TEXT(TRIM(N1111),"00000")="89103", TEXT(TRIM(N1111),"00000")="89119", TEXT(TRIM(N1111),"00000")="89123", TEXT(TRIM(N1111),"00000")="89169", TEXT(TRIM(N1111),"00000")="89118"), "South/Strip",
  OR(TEXT(TRIM(N1111),"00000")="89074", TEXT(TRIM(N1111),"00000")="89014", TEXT(TRIM(N1111),"00000")="89015", TEXT(TRIM(N1111),"00000")="89011", TEXT(TRIM(N1111),"00000")="89012"), "Suburban SE",
  OR(TEXT(TRIM(N1111),"00000")="89117", TEXT(TRIM(N1111),"00000")="89128", TEXT(TRIM(N1111),"00000")="89135", TEXT(TRIM(N1111),"00000")="89144", TEXT(TRIM(N1111),"00000")="89145", TEXT(TRIM(N1111),"00000")="89147"), "West Valley",
  TRUE, "Other"
)</f>
        <v>Urban Core</v>
      </c>
      <c r="P1111" t="s">
        <v>3298</v>
      </c>
      <c r="Q1111" t="str">
        <f t="shared" si="70"/>
        <v>Outdoors/Public</v>
      </c>
      <c r="R1111" t="s">
        <v>4713</v>
      </c>
      <c r="S1111" t="s">
        <v>5125</v>
      </c>
      <c r="T1111" t="str" cm="1">
        <f t="array" ref="T1111">_xlfn.IFS(
  TEXT(TRIM(S1111),"00000")="NULL", "Missing/Unknown",
  OR(TEXT(TRIM(S1111),"00000")="89101", TEXT(TRIM(S1111),"00000")="89104", TEXT(TRIM(S1111),"00000")="89106", TEXT(TRIM(S1111),"00000")="89102", TEXT(TRIM(S1111),"00000")="89107", TEXT(TRIM(S1111),"00000")="89108"), "Urban Core",
  OR(TEXT(TRIM(S1111),"00000")="89110", TEXT(TRIM(S1111),"00000")="89115", TEXT(TRIM(S1111),"00000")="89121", TEXT(TRIM(S1111),"00000")="89122", TEXT(TRIM(S1111),"00000")="89142", TEXT(TRIM(S1111),"00000")="89156"), "East Valley",
  OR(TEXT(TRIM(S1111),"00000")="89030", TEXT(TRIM(S1111),"00000")="89031", TEXT(TRIM(S1111),"00000")="89032", TEXT(TRIM(S1111),"00000")="89086", TEXT(TRIM(S1111),"00000")="89084", TEXT(TRIM(S1111),"00000")="89081"), "North LV",
  OR(TEXT(TRIM(S1111),"00000")="89109", TEXT(TRIM(S1111),"00000")="89103", TEXT(TRIM(S1111),"00000")="89119", TEXT(TRIM(S1111),"00000")="89123", TEXT(TRIM(S1111),"00000")="89169", TEXT(TRIM(S1111),"00000")="89118"), "South/Strip",
  OR(TEXT(TRIM(S1111),"00000")="89074", TEXT(TRIM(S1111),"00000")="89014", TEXT(TRIM(S1111),"00000")="89015", TEXT(TRIM(S1111),"00000")="89011", TEXT(TRIM(S1111),"00000")="89012"), "Suburban SE",
  OR(TEXT(TRIM(S1111),"00000")="89117", TEXT(TRIM(S1111),"00000")="89128", TEXT(TRIM(S1111),"00000")="89135", TEXT(TRIM(S1111),"00000")="89144", TEXT(TRIM(S1111),"00000")="89145", TEXT(TRIM(S1111),"00000")="89147"), "West Valley",
  TRUE, "Other"
)</f>
        <v>South/Strip</v>
      </c>
      <c r="U1111" t="s">
        <v>4301</v>
      </c>
      <c r="V1111" t="str">
        <f t="shared" si="71"/>
        <v>Medical Facility</v>
      </c>
    </row>
    <row r="1112" spans="1:22">
      <c r="A1112" t="s">
        <v>1846</v>
      </c>
      <c r="B1112" t="s">
        <v>1847</v>
      </c>
      <c r="C1112" s="1">
        <v>44375</v>
      </c>
      <c r="D1112" s="4">
        <v>107.06</v>
      </c>
      <c r="E1112">
        <v>51</v>
      </c>
      <c r="F1112" t="str">
        <f t="shared" si="68"/>
        <v>50's</v>
      </c>
      <c r="G1112" t="str" cm="1">
        <f t="array" ref="G1112">_xlfn.IFS(
  F1112="10's", "Child (5–12)",
  OR(F1112="20's", F1112="30's"), "Young Adult (20–39)",
  OR(F1112="40's", F1112="50's"), "Adult (40–59)",
  OR(F1112="60's", F1112="70's", F1112="80's", F1112="90's"), "Senior (60+)",
  TRUE, "Unknown"
)</f>
        <v>Adult (40–59)</v>
      </c>
      <c r="H1112" t="s">
        <v>841</v>
      </c>
      <c r="I1112" t="s">
        <v>4127</v>
      </c>
      <c r="J1112" t="str">
        <f t="shared" si="69"/>
        <v>Environmental Heat</v>
      </c>
      <c r="K1112" t="s">
        <v>1849</v>
      </c>
      <c r="L1112" t="s">
        <v>1071</v>
      </c>
      <c r="M1112" t="s">
        <v>4317</v>
      </c>
      <c r="N1112" t="s">
        <v>5100</v>
      </c>
      <c r="O1112" t="str" cm="1">
        <f t="array" ref="O1112">_xlfn.IFS(
  TEXT(TRIM(N1112),"00000")="NULL", "Missing/Unknown",
  OR(TEXT(TRIM(N1112),"00000")="89101", TEXT(TRIM(N1112),"00000")="89104", TEXT(TRIM(N1112),"00000")="89106", TEXT(TRIM(N1112),"00000")="89102", TEXT(TRIM(N1112),"00000")="89107", TEXT(TRIM(N1112),"00000")="89108"), "Urban Core",
  OR(TEXT(TRIM(N1112),"00000")="89110", TEXT(TRIM(N1112),"00000")="89115", TEXT(TRIM(N1112),"00000")="89121", TEXT(TRIM(N1112),"00000")="89122", TEXT(TRIM(N1112),"00000")="89142", TEXT(TRIM(N1112),"00000")="89156"), "East Valley",
  OR(TEXT(TRIM(N1112),"00000")="89030", TEXT(TRIM(N1112),"00000")="89031", TEXT(TRIM(N1112),"00000")="89032", TEXT(TRIM(N1112),"00000")="89086", TEXT(TRIM(N1112),"00000")="89084", TEXT(TRIM(N1112),"00000")="89081"), "North LV",
  OR(TEXT(TRIM(N1112),"00000")="89109", TEXT(TRIM(N1112),"00000")="89103", TEXT(TRIM(N1112),"00000")="89119", TEXT(TRIM(N1112),"00000")="89123", TEXT(TRIM(N1112),"00000")="89169", TEXT(TRIM(N1112),"00000")="89118"), "South/Strip",
  OR(TEXT(TRIM(N1112),"00000")="89074", TEXT(TRIM(N1112),"00000")="89014", TEXT(TRIM(N1112),"00000")="89015", TEXT(TRIM(N1112),"00000")="89011", TEXT(TRIM(N1112),"00000")="89012"), "Suburban SE",
  OR(TEXT(TRIM(N1112),"00000")="89117", TEXT(TRIM(N1112),"00000")="89128", TEXT(TRIM(N1112),"00000")="89135", TEXT(TRIM(N1112),"00000")="89144", TEXT(TRIM(N1112),"00000")="89145", TEXT(TRIM(N1112),"00000")="89147"), "West Valley",
  TRUE, "Other"
)</f>
        <v>North LV</v>
      </c>
      <c r="P1112" t="s">
        <v>3298</v>
      </c>
      <c r="Q1112" t="str">
        <f t="shared" si="70"/>
        <v>Outdoors/Public</v>
      </c>
      <c r="R1112" t="s">
        <v>4341</v>
      </c>
      <c r="S1112" t="s">
        <v>5100</v>
      </c>
      <c r="T1112" t="str" cm="1">
        <f t="array" ref="T1112">_xlfn.IFS(
  TEXT(TRIM(S1112),"00000")="NULL", "Missing/Unknown",
  OR(TEXT(TRIM(S1112),"00000")="89101", TEXT(TRIM(S1112),"00000")="89104", TEXT(TRIM(S1112),"00000")="89106", TEXT(TRIM(S1112),"00000")="89102", TEXT(TRIM(S1112),"00000")="89107", TEXT(TRIM(S1112),"00000")="89108"), "Urban Core",
  OR(TEXT(TRIM(S1112),"00000")="89110", TEXT(TRIM(S1112),"00000")="89115", TEXT(TRIM(S1112),"00000")="89121", TEXT(TRIM(S1112),"00000")="89122", TEXT(TRIM(S1112),"00000")="89142", TEXT(TRIM(S1112),"00000")="89156"), "East Valley",
  OR(TEXT(TRIM(S1112),"00000")="89030", TEXT(TRIM(S1112),"00000")="89031", TEXT(TRIM(S1112),"00000")="89032", TEXT(TRIM(S1112),"00000")="89086", TEXT(TRIM(S1112),"00000")="89084", TEXT(TRIM(S1112),"00000")="89081"), "North LV",
  OR(TEXT(TRIM(S1112),"00000")="89109", TEXT(TRIM(S1112),"00000")="89103", TEXT(TRIM(S1112),"00000")="89119", TEXT(TRIM(S1112),"00000")="89123", TEXT(TRIM(S1112),"00000")="89169", TEXT(TRIM(S1112),"00000")="89118"), "South/Strip",
  OR(TEXT(TRIM(S1112),"00000")="89074", TEXT(TRIM(S1112),"00000")="89014", TEXT(TRIM(S1112),"00000")="89015", TEXT(TRIM(S1112),"00000")="89011", TEXT(TRIM(S1112),"00000")="89012"), "Suburban SE",
  OR(TEXT(TRIM(S1112),"00000")="89117", TEXT(TRIM(S1112),"00000")="89128", TEXT(TRIM(S1112),"00000")="89135", TEXT(TRIM(S1112),"00000")="89144", TEXT(TRIM(S1112),"00000")="89145", TEXT(TRIM(S1112),"00000")="89147"), "West Valley",
  TRUE, "Other"
)</f>
        <v>North LV</v>
      </c>
      <c r="U1112" t="s">
        <v>4305</v>
      </c>
      <c r="V1112" t="str">
        <f t="shared" si="71"/>
        <v>Medical Facility</v>
      </c>
    </row>
    <row r="1113" spans="1:22">
      <c r="A1113" t="s">
        <v>1851</v>
      </c>
      <c r="B1113" t="s">
        <v>1852</v>
      </c>
      <c r="C1113" s="1">
        <v>44375</v>
      </c>
      <c r="D1113" s="4">
        <v>107.06</v>
      </c>
      <c r="E1113">
        <v>35</v>
      </c>
      <c r="F1113" t="str">
        <f t="shared" si="68"/>
        <v>30's</v>
      </c>
      <c r="G1113" t="str" cm="1">
        <f t="array" ref="G1113">_xlfn.IFS(
  F1113="10's", "Child (5–12)",
  OR(F1113="20's", F1113="30's"), "Young Adult (20–39)",
  OR(F1113="40's", F1113="50's"), "Adult (40–59)",
  OR(F1113="60's", F1113="70's", F1113="80's", F1113="90's"), "Senior (60+)",
  TRUE, "Unknown"
)</f>
        <v>Young Adult (20–39)</v>
      </c>
      <c r="H1113" t="s">
        <v>841</v>
      </c>
      <c r="I1113" t="s">
        <v>172</v>
      </c>
      <c r="J1113" t="str">
        <f t="shared" si="69"/>
        <v>Methamphetamine-related</v>
      </c>
      <c r="K1113" t="s">
        <v>1853</v>
      </c>
      <c r="L1113" t="s">
        <v>1071</v>
      </c>
      <c r="M1113" t="s">
        <v>4731</v>
      </c>
      <c r="N1113" t="s">
        <v>5115</v>
      </c>
      <c r="O1113" t="str" cm="1">
        <f t="array" ref="O1113">_xlfn.IFS(
  TEXT(TRIM(N1113),"00000")="NULL", "Missing/Unknown",
  OR(TEXT(TRIM(N1113),"00000")="89101", TEXT(TRIM(N1113),"00000")="89104", TEXT(TRIM(N1113),"00000")="89106", TEXT(TRIM(N1113),"00000")="89102", TEXT(TRIM(N1113),"00000")="89107", TEXT(TRIM(N1113),"00000")="89108"), "Urban Core",
  OR(TEXT(TRIM(N1113),"00000")="89110", TEXT(TRIM(N1113),"00000")="89115", TEXT(TRIM(N1113),"00000")="89121", TEXT(TRIM(N1113),"00000")="89122", TEXT(TRIM(N1113),"00000")="89142", TEXT(TRIM(N1113),"00000")="89156"), "East Valley",
  OR(TEXT(TRIM(N1113),"00000")="89030", TEXT(TRIM(N1113),"00000")="89031", TEXT(TRIM(N1113),"00000")="89032", TEXT(TRIM(N1113),"00000")="89086", TEXT(TRIM(N1113),"00000")="89084", TEXT(TRIM(N1113),"00000")="89081"), "North LV",
  OR(TEXT(TRIM(N1113),"00000")="89109", TEXT(TRIM(N1113),"00000")="89103", TEXT(TRIM(N1113),"00000")="89119", TEXT(TRIM(N1113),"00000")="89123", TEXT(TRIM(N1113),"00000")="89169", TEXT(TRIM(N1113),"00000")="89118"), "South/Strip",
  OR(TEXT(TRIM(N1113),"00000")="89074", TEXT(TRIM(N1113),"00000")="89014", TEXT(TRIM(N1113),"00000")="89015", TEXT(TRIM(N1113),"00000")="89011", TEXT(TRIM(N1113),"00000")="89012"), "Suburban SE",
  OR(TEXT(TRIM(N1113),"00000")="89117", TEXT(TRIM(N1113),"00000")="89128", TEXT(TRIM(N1113),"00000")="89135", TEXT(TRIM(N1113),"00000")="89144", TEXT(TRIM(N1113),"00000")="89145", TEXT(TRIM(N1113),"00000")="89147"), "West Valley",
  TRUE, "Other"
)</f>
        <v>Other</v>
      </c>
      <c r="P1113" t="s">
        <v>3298</v>
      </c>
      <c r="Q1113" t="str">
        <f t="shared" si="70"/>
        <v>Outdoors/Public</v>
      </c>
      <c r="R1113" t="s">
        <v>4731</v>
      </c>
      <c r="S1113" t="s">
        <v>5115</v>
      </c>
      <c r="T1113" t="str" cm="1">
        <f t="array" ref="T1113">_xlfn.IFS(
  TEXT(TRIM(S1113),"00000")="NULL", "Missing/Unknown",
  OR(TEXT(TRIM(S1113),"00000")="89101", TEXT(TRIM(S1113),"00000")="89104", TEXT(TRIM(S1113),"00000")="89106", TEXT(TRIM(S1113),"00000")="89102", TEXT(TRIM(S1113),"00000")="89107", TEXT(TRIM(S1113),"00000")="89108"), "Urban Core",
  OR(TEXT(TRIM(S1113),"00000")="89110", TEXT(TRIM(S1113),"00000")="89115", TEXT(TRIM(S1113),"00000")="89121", TEXT(TRIM(S1113),"00000")="89122", TEXT(TRIM(S1113),"00000")="89142", TEXT(TRIM(S1113),"00000")="89156"), "East Valley",
  OR(TEXT(TRIM(S1113),"00000")="89030", TEXT(TRIM(S1113),"00000")="89031", TEXT(TRIM(S1113),"00000")="89032", TEXT(TRIM(S1113),"00000")="89086", TEXT(TRIM(S1113),"00000")="89084", TEXT(TRIM(S1113),"00000")="89081"), "North LV",
  OR(TEXT(TRIM(S1113),"00000")="89109", TEXT(TRIM(S1113),"00000")="89103", TEXT(TRIM(S1113),"00000")="89119", TEXT(TRIM(S1113),"00000")="89123", TEXT(TRIM(S1113),"00000")="89169", TEXT(TRIM(S1113),"00000")="89118"), "South/Strip",
  OR(TEXT(TRIM(S1113),"00000")="89074", TEXT(TRIM(S1113),"00000")="89014", TEXT(TRIM(S1113),"00000")="89015", TEXT(TRIM(S1113),"00000")="89011", TEXT(TRIM(S1113),"00000")="89012"), "Suburban SE",
  OR(TEXT(TRIM(S1113),"00000")="89117", TEXT(TRIM(S1113),"00000")="89128", TEXT(TRIM(S1113),"00000")="89135", TEXT(TRIM(S1113),"00000")="89144", TEXT(TRIM(S1113),"00000")="89145", TEXT(TRIM(S1113),"00000")="89147"), "West Valley",
  TRUE, "Other"
)</f>
        <v>Other</v>
      </c>
      <c r="U1113" t="s">
        <v>3298</v>
      </c>
      <c r="V1113" t="str">
        <f t="shared" si="71"/>
        <v>Outdoors/Public</v>
      </c>
    </row>
    <row r="1114" spans="1:22">
      <c r="A1114" t="s">
        <v>1855</v>
      </c>
      <c r="B1114" t="s">
        <v>1856</v>
      </c>
      <c r="C1114" s="1">
        <v>44374</v>
      </c>
      <c r="D1114" s="4">
        <v>107.06</v>
      </c>
      <c r="E1114">
        <v>38</v>
      </c>
      <c r="F1114" t="str">
        <f t="shared" si="68"/>
        <v>30's</v>
      </c>
      <c r="G1114" t="str" cm="1">
        <f t="array" ref="G1114">_xlfn.IFS(
  F1114="10's", "Child (5–12)",
  OR(F1114="20's", F1114="30's"), "Young Adult (20–39)",
  OR(F1114="40's", F1114="50's"), "Adult (40–59)",
  OR(F1114="60's", F1114="70's", F1114="80's", F1114="90's"), "Senior (60+)",
  TRUE, "Unknown"
)</f>
        <v>Young Adult (20–39)</v>
      </c>
      <c r="H1114" t="s">
        <v>27</v>
      </c>
      <c r="I1114" t="s">
        <v>4022</v>
      </c>
      <c r="J1114" t="str">
        <f t="shared" si="69"/>
        <v>Environmental Heat</v>
      </c>
      <c r="K1114" t="s">
        <v>54</v>
      </c>
      <c r="L1114" t="s">
        <v>1071</v>
      </c>
      <c r="N1114" t="s">
        <v>5095</v>
      </c>
      <c r="O1114" t="str" cm="1">
        <f t="array" ref="O1114">_xlfn.IFS(
  TEXT(TRIM(N1114),"00000")="NULL", "Missing/Unknown",
  OR(TEXT(TRIM(N1114),"00000")="89101", TEXT(TRIM(N1114),"00000")="89104", TEXT(TRIM(N1114),"00000")="89106", TEXT(TRIM(N1114),"00000")="89102", TEXT(TRIM(N1114),"00000")="89107", TEXT(TRIM(N1114),"00000")="89108"), "Urban Core",
  OR(TEXT(TRIM(N1114),"00000")="89110", TEXT(TRIM(N1114),"00000")="89115", TEXT(TRIM(N1114),"00000")="89121", TEXT(TRIM(N1114),"00000")="89122", TEXT(TRIM(N1114),"00000")="89142", TEXT(TRIM(N1114),"00000")="89156"), "East Valley",
  OR(TEXT(TRIM(N1114),"00000")="89030", TEXT(TRIM(N1114),"00000")="89031", TEXT(TRIM(N1114),"00000")="89032", TEXT(TRIM(N1114),"00000")="89086", TEXT(TRIM(N1114),"00000")="89084", TEXT(TRIM(N1114),"00000")="89081"), "North LV",
  OR(TEXT(TRIM(N1114),"00000")="89109", TEXT(TRIM(N1114),"00000")="89103", TEXT(TRIM(N1114),"00000")="89119", TEXT(TRIM(N1114),"00000")="89123", TEXT(TRIM(N1114),"00000")="89169", TEXT(TRIM(N1114),"00000")="89118"), "South/Strip",
  OR(TEXT(TRIM(N1114),"00000")="89074", TEXT(TRIM(N1114),"00000")="89014", TEXT(TRIM(N1114),"00000")="89015", TEXT(TRIM(N1114),"00000")="89011", TEXT(TRIM(N1114),"00000")="89012"), "Suburban SE",
  OR(TEXT(TRIM(N1114),"00000")="89117", TEXT(TRIM(N1114),"00000")="89128", TEXT(TRIM(N1114),"00000")="89135", TEXT(TRIM(N1114),"00000")="89144", TEXT(TRIM(N1114),"00000")="89145", TEXT(TRIM(N1114),"00000")="89147"), "West Valley",
  TRUE, "Other"
)</f>
        <v>Missing/Unknown</v>
      </c>
      <c r="P1114" t="s">
        <v>3298</v>
      </c>
      <c r="Q1114" t="str">
        <f t="shared" si="70"/>
        <v>Outdoors/Public</v>
      </c>
      <c r="R1114" t="s">
        <v>5058</v>
      </c>
      <c r="S1114" t="s">
        <v>5123</v>
      </c>
      <c r="T1114" t="str" cm="1">
        <f t="array" ref="T1114">_xlfn.IFS(
  TEXT(TRIM(S1114),"00000")="NULL", "Missing/Unknown",
  OR(TEXT(TRIM(S1114),"00000")="89101", TEXT(TRIM(S1114),"00000")="89104", TEXT(TRIM(S1114),"00000")="89106", TEXT(TRIM(S1114),"00000")="89102", TEXT(TRIM(S1114),"00000")="89107", TEXT(TRIM(S1114),"00000")="89108"), "Urban Core",
  OR(TEXT(TRIM(S1114),"00000")="89110", TEXT(TRIM(S1114),"00000")="89115", TEXT(TRIM(S1114),"00000")="89121", TEXT(TRIM(S1114),"00000")="89122", TEXT(TRIM(S1114),"00000")="89142", TEXT(TRIM(S1114),"00000")="89156"), "East Valley",
  OR(TEXT(TRIM(S1114),"00000")="89030", TEXT(TRIM(S1114),"00000")="89031", TEXT(TRIM(S1114),"00000")="89032", TEXT(TRIM(S1114),"00000")="89086", TEXT(TRIM(S1114),"00000")="89084", TEXT(TRIM(S1114),"00000")="89081"), "North LV",
  OR(TEXT(TRIM(S1114),"00000")="89109", TEXT(TRIM(S1114),"00000")="89103", TEXT(TRIM(S1114),"00000")="89119", TEXT(TRIM(S1114),"00000")="89123", TEXT(TRIM(S1114),"00000")="89169", TEXT(TRIM(S1114),"00000")="89118"), "South/Strip",
  OR(TEXT(TRIM(S1114),"00000")="89074", TEXT(TRIM(S1114),"00000")="89014", TEXT(TRIM(S1114),"00000")="89015", TEXT(TRIM(S1114),"00000")="89011", TEXT(TRIM(S1114),"00000")="89012"), "Suburban SE",
  OR(TEXT(TRIM(S1114),"00000")="89117", TEXT(TRIM(S1114),"00000")="89128", TEXT(TRIM(S1114),"00000")="89135", TEXT(TRIM(S1114),"00000")="89144", TEXT(TRIM(S1114),"00000")="89145", TEXT(TRIM(S1114),"00000")="89147"), "West Valley",
  TRUE, "Other"
)</f>
        <v>South/Strip</v>
      </c>
      <c r="U1114" t="s">
        <v>109</v>
      </c>
      <c r="V1114" t="str">
        <f t="shared" si="71"/>
        <v>Other / Unknown</v>
      </c>
    </row>
    <row r="1115" spans="1:22">
      <c r="A1115" t="s">
        <v>1843</v>
      </c>
      <c r="B1115" t="s">
        <v>1844</v>
      </c>
      <c r="C1115" s="1">
        <v>44373</v>
      </c>
      <c r="D1115" s="4">
        <v>107.06</v>
      </c>
      <c r="E1115">
        <v>79</v>
      </c>
      <c r="F1115" t="str">
        <f t="shared" si="68"/>
        <v>70's</v>
      </c>
      <c r="G1115" t="str" cm="1">
        <f t="array" ref="G1115">_xlfn.IFS(
  F1115="10's", "Child (5–12)",
  OR(F1115="20's", F1115="30's"), "Young Adult (20–39)",
  OR(F1115="40's", F1115="50's"), "Adult (40–59)",
  OR(F1115="60's", F1115="70's", F1115="80's", F1115="90's"), "Senior (60+)",
  TRUE, "Unknown"
)</f>
        <v>Senior (60+)</v>
      </c>
      <c r="H1115" t="s">
        <v>778</v>
      </c>
      <c r="I1115" t="s">
        <v>63</v>
      </c>
      <c r="J1115" t="str">
        <f t="shared" si="69"/>
        <v>Cardiovascular Disease</v>
      </c>
      <c r="K1115" t="s">
        <v>54</v>
      </c>
      <c r="L1115" t="s">
        <v>1071</v>
      </c>
      <c r="M1115" t="s">
        <v>4487</v>
      </c>
      <c r="N1115" t="s">
        <v>5098</v>
      </c>
      <c r="O1115" t="str" cm="1">
        <f t="array" ref="O1115">_xlfn.IFS(
  TEXT(TRIM(N1115),"00000")="NULL", "Missing/Unknown",
  OR(TEXT(TRIM(N1115),"00000")="89101", TEXT(TRIM(N1115),"00000")="89104", TEXT(TRIM(N1115),"00000")="89106", TEXT(TRIM(N1115),"00000")="89102", TEXT(TRIM(N1115),"00000")="89107", TEXT(TRIM(N1115),"00000")="89108"), "Urban Core",
  OR(TEXT(TRIM(N1115),"00000")="89110", TEXT(TRIM(N1115),"00000")="89115", TEXT(TRIM(N1115),"00000")="89121", TEXT(TRIM(N1115),"00000")="89122", TEXT(TRIM(N1115),"00000")="89142", TEXT(TRIM(N1115),"00000")="89156"), "East Valley",
  OR(TEXT(TRIM(N1115),"00000")="89030", TEXT(TRIM(N1115),"00000")="89031", TEXT(TRIM(N1115),"00000")="89032", TEXT(TRIM(N1115),"00000")="89086", TEXT(TRIM(N1115),"00000")="89084", TEXT(TRIM(N1115),"00000")="89081"), "North LV",
  OR(TEXT(TRIM(N1115),"00000")="89109", TEXT(TRIM(N1115),"00000")="89103", TEXT(TRIM(N1115),"00000")="89119", TEXT(TRIM(N1115),"00000")="89123", TEXT(TRIM(N1115),"00000")="89169", TEXT(TRIM(N1115),"00000")="89118"), "South/Strip",
  OR(TEXT(TRIM(N1115),"00000")="89074", TEXT(TRIM(N1115),"00000")="89014", TEXT(TRIM(N1115),"00000")="89015", TEXT(TRIM(N1115),"00000")="89011", TEXT(TRIM(N1115),"00000")="89012"), "Suburban SE",
  OR(TEXT(TRIM(N1115),"00000")="89117", TEXT(TRIM(N1115),"00000")="89128", TEXT(TRIM(N1115),"00000")="89135", TEXT(TRIM(N1115),"00000")="89144", TEXT(TRIM(N1115),"00000")="89145", TEXT(TRIM(N1115),"00000")="89147"), "West Valley",
  TRUE, "Other"
)</f>
        <v>Urban Core</v>
      </c>
      <c r="P1115" t="s">
        <v>38</v>
      </c>
      <c r="Q1115" t="str">
        <f t="shared" si="70"/>
        <v>Home/Residence</v>
      </c>
      <c r="R1115" t="s">
        <v>4487</v>
      </c>
      <c r="S1115" t="s">
        <v>5098</v>
      </c>
      <c r="T1115" t="str" cm="1">
        <f t="array" ref="T1115">_xlfn.IFS(
  TEXT(TRIM(S1115),"00000")="NULL", "Missing/Unknown",
  OR(TEXT(TRIM(S1115),"00000")="89101", TEXT(TRIM(S1115),"00000")="89104", TEXT(TRIM(S1115),"00000")="89106", TEXT(TRIM(S1115),"00000")="89102", TEXT(TRIM(S1115),"00000")="89107", TEXT(TRIM(S1115),"00000")="89108"), "Urban Core",
  OR(TEXT(TRIM(S1115),"00000")="89110", TEXT(TRIM(S1115),"00000")="89115", TEXT(TRIM(S1115),"00000")="89121", TEXT(TRIM(S1115),"00000")="89122", TEXT(TRIM(S1115),"00000")="89142", TEXT(TRIM(S1115),"00000")="89156"), "East Valley",
  OR(TEXT(TRIM(S1115),"00000")="89030", TEXT(TRIM(S1115),"00000")="89031", TEXT(TRIM(S1115),"00000")="89032", TEXT(TRIM(S1115),"00000")="89086", TEXT(TRIM(S1115),"00000")="89084", TEXT(TRIM(S1115),"00000")="89081"), "North LV",
  OR(TEXT(TRIM(S1115),"00000")="89109", TEXT(TRIM(S1115),"00000")="89103", TEXT(TRIM(S1115),"00000")="89119", TEXT(TRIM(S1115),"00000")="89123", TEXT(TRIM(S1115),"00000")="89169", TEXT(TRIM(S1115),"00000")="89118"), "South/Strip",
  OR(TEXT(TRIM(S1115),"00000")="89074", TEXT(TRIM(S1115),"00000")="89014", TEXT(TRIM(S1115),"00000")="89015", TEXT(TRIM(S1115),"00000")="89011", TEXT(TRIM(S1115),"00000")="89012"), "Suburban SE",
  OR(TEXT(TRIM(S1115),"00000")="89117", TEXT(TRIM(S1115),"00000")="89128", TEXT(TRIM(S1115),"00000")="89135", TEXT(TRIM(S1115),"00000")="89144", TEXT(TRIM(S1115),"00000")="89145", TEXT(TRIM(S1115),"00000")="89147"), "West Valley",
  TRUE, "Other"
)</f>
        <v>Urban Core</v>
      </c>
      <c r="U1115" t="s">
        <v>38</v>
      </c>
      <c r="V1115" t="str">
        <f t="shared" si="71"/>
        <v>Home/Residence</v>
      </c>
    </row>
    <row r="1116" spans="1:22">
      <c r="A1116" t="s">
        <v>1832</v>
      </c>
      <c r="B1116" t="s">
        <v>1833</v>
      </c>
      <c r="C1116" s="1">
        <v>44373</v>
      </c>
      <c r="D1116" s="4">
        <v>107.06</v>
      </c>
      <c r="E1116">
        <v>78</v>
      </c>
      <c r="F1116" t="str">
        <f t="shared" si="68"/>
        <v>70's</v>
      </c>
      <c r="G1116" t="str" cm="1">
        <f t="array" ref="G1116">_xlfn.IFS(
  F1116="10's", "Child (5–12)",
  OR(F1116="20's", F1116="30's"), "Young Adult (20–39)",
  OR(F1116="40's", F1116="50's"), "Adult (40–59)",
  OR(F1116="60's", F1116="70's", F1116="80's", F1116="90's"), "Senior (60+)",
  TRUE, "Unknown"
)</f>
        <v>Senior (60+)</v>
      </c>
      <c r="H1116" t="s">
        <v>841</v>
      </c>
      <c r="I1116" t="s">
        <v>54</v>
      </c>
      <c r="J1116" t="str">
        <f t="shared" si="69"/>
        <v>Environmental Heat</v>
      </c>
      <c r="K1116" t="s">
        <v>4154</v>
      </c>
      <c r="L1116" t="s">
        <v>1071</v>
      </c>
      <c r="M1116" t="s">
        <v>4654</v>
      </c>
      <c r="N1116" t="s">
        <v>5146</v>
      </c>
      <c r="O1116" t="str" cm="1">
        <f t="array" ref="O1116">_xlfn.IFS(
  TEXT(TRIM(N1116),"00000")="NULL", "Missing/Unknown",
  OR(TEXT(TRIM(N1116),"00000")="89101", TEXT(TRIM(N1116),"00000")="89104", TEXT(TRIM(N1116),"00000")="89106", TEXT(TRIM(N1116),"00000")="89102", TEXT(TRIM(N1116),"00000")="89107", TEXT(TRIM(N1116),"00000")="89108"), "Urban Core",
  OR(TEXT(TRIM(N1116),"00000")="89110", TEXT(TRIM(N1116),"00000")="89115", TEXT(TRIM(N1116),"00000")="89121", TEXT(TRIM(N1116),"00000")="89122", TEXT(TRIM(N1116),"00000")="89142", TEXT(TRIM(N1116),"00000")="89156"), "East Valley",
  OR(TEXT(TRIM(N1116),"00000")="89030", TEXT(TRIM(N1116),"00000")="89031", TEXT(TRIM(N1116),"00000")="89032", TEXT(TRIM(N1116),"00000")="89086", TEXT(TRIM(N1116),"00000")="89084", TEXT(TRIM(N1116),"00000")="89081"), "North LV",
  OR(TEXT(TRIM(N1116),"00000")="89109", TEXT(TRIM(N1116),"00000")="89103", TEXT(TRIM(N1116),"00000")="89119", TEXT(TRIM(N1116),"00000")="89123", TEXT(TRIM(N1116),"00000")="89169", TEXT(TRIM(N1116),"00000")="89118"), "South/Strip",
  OR(TEXT(TRIM(N1116),"00000")="89074", TEXT(TRIM(N1116),"00000")="89014", TEXT(TRIM(N1116),"00000")="89015", TEXT(TRIM(N1116),"00000")="89011", TEXT(TRIM(N1116),"00000")="89012"), "Suburban SE",
  OR(TEXT(TRIM(N1116),"00000")="89117", TEXT(TRIM(N1116),"00000")="89128", TEXT(TRIM(N1116),"00000")="89135", TEXT(TRIM(N1116),"00000")="89144", TEXT(TRIM(N1116),"00000")="89145", TEXT(TRIM(N1116),"00000")="89147"), "West Valley",
  TRUE, "Other"
)</f>
        <v>North LV</v>
      </c>
      <c r="P1116" t="s">
        <v>3298</v>
      </c>
      <c r="Q1116" t="str">
        <f t="shared" si="70"/>
        <v>Outdoors/Public</v>
      </c>
      <c r="R1116" t="s">
        <v>4654</v>
      </c>
      <c r="S1116" t="s">
        <v>5146</v>
      </c>
      <c r="T1116" t="str" cm="1">
        <f t="array" ref="T1116">_xlfn.IFS(
  TEXT(TRIM(S1116),"00000")="NULL", "Missing/Unknown",
  OR(TEXT(TRIM(S1116),"00000")="89101", TEXT(TRIM(S1116),"00000")="89104", TEXT(TRIM(S1116),"00000")="89106", TEXT(TRIM(S1116),"00000")="89102", TEXT(TRIM(S1116),"00000")="89107", TEXT(TRIM(S1116),"00000")="89108"), "Urban Core",
  OR(TEXT(TRIM(S1116),"00000")="89110", TEXT(TRIM(S1116),"00000")="89115", TEXT(TRIM(S1116),"00000")="89121", TEXT(TRIM(S1116),"00000")="89122", TEXT(TRIM(S1116),"00000")="89142", TEXT(TRIM(S1116),"00000")="89156"), "East Valley",
  OR(TEXT(TRIM(S1116),"00000")="89030", TEXT(TRIM(S1116),"00000")="89031", TEXT(TRIM(S1116),"00000")="89032", TEXT(TRIM(S1116),"00000")="89086", TEXT(TRIM(S1116),"00000")="89084", TEXT(TRIM(S1116),"00000")="89081"), "North LV",
  OR(TEXT(TRIM(S1116),"00000")="89109", TEXT(TRIM(S1116),"00000")="89103", TEXT(TRIM(S1116),"00000")="89119", TEXT(TRIM(S1116),"00000")="89123", TEXT(TRIM(S1116),"00000")="89169", TEXT(TRIM(S1116),"00000")="89118"), "South/Strip",
  OR(TEXT(TRIM(S1116),"00000")="89074", TEXT(TRIM(S1116),"00000")="89014", TEXT(TRIM(S1116),"00000")="89015", TEXT(TRIM(S1116),"00000")="89011", TEXT(TRIM(S1116),"00000")="89012"), "Suburban SE",
  OR(TEXT(TRIM(S1116),"00000")="89117", TEXT(TRIM(S1116),"00000")="89128", TEXT(TRIM(S1116),"00000")="89135", TEXT(TRIM(S1116),"00000")="89144", TEXT(TRIM(S1116),"00000")="89145", TEXT(TRIM(S1116),"00000")="89147"), "West Valley",
  TRUE, "Other"
)</f>
        <v>North LV</v>
      </c>
      <c r="U1116" t="s">
        <v>3298</v>
      </c>
      <c r="V1116" t="str">
        <f t="shared" si="71"/>
        <v>Outdoors/Public</v>
      </c>
    </row>
    <row r="1117" spans="1:22">
      <c r="A1117" t="s">
        <v>1836</v>
      </c>
      <c r="B1117" t="s">
        <v>1837</v>
      </c>
      <c r="C1117" s="1">
        <v>44373</v>
      </c>
      <c r="D1117" s="4">
        <v>107.06</v>
      </c>
      <c r="E1117">
        <v>86</v>
      </c>
      <c r="F1117" t="str">
        <f t="shared" si="68"/>
        <v>80's</v>
      </c>
      <c r="G1117" t="str" cm="1">
        <f t="array" ref="G1117">_xlfn.IFS(
  F1117="10's", "Child (5–12)",
  OR(F1117="20's", F1117="30's"), "Young Adult (20–39)",
  OR(F1117="40's", F1117="50's"), "Adult (40–59)",
  OR(F1117="60's", F1117="70's", F1117="80's", F1117="90's"), "Senior (60+)",
  TRUE, "Unknown"
)</f>
        <v>Senior (60+)</v>
      </c>
      <c r="H1117" t="s">
        <v>841</v>
      </c>
      <c r="I1117" t="s">
        <v>4084</v>
      </c>
      <c r="J1117" t="str">
        <f t="shared" si="69"/>
        <v>Cardiovascular Disease</v>
      </c>
      <c r="K1117" t="s">
        <v>4150</v>
      </c>
      <c r="L1117" t="s">
        <v>1071</v>
      </c>
      <c r="M1117" t="s">
        <v>4454</v>
      </c>
      <c r="N1117" t="s">
        <v>5108</v>
      </c>
      <c r="O1117" t="str" cm="1">
        <f t="array" ref="O1117">_xlfn.IFS(
  TEXT(TRIM(N1117),"00000")="NULL", "Missing/Unknown",
  OR(TEXT(TRIM(N1117),"00000")="89101", TEXT(TRIM(N1117),"00000")="89104", TEXT(TRIM(N1117),"00000")="89106", TEXT(TRIM(N1117),"00000")="89102", TEXT(TRIM(N1117),"00000")="89107", TEXT(TRIM(N1117),"00000")="89108"), "Urban Core",
  OR(TEXT(TRIM(N1117),"00000")="89110", TEXT(TRIM(N1117),"00000")="89115", TEXT(TRIM(N1117),"00000")="89121", TEXT(TRIM(N1117),"00000")="89122", TEXT(TRIM(N1117),"00000")="89142", TEXT(TRIM(N1117),"00000")="89156"), "East Valley",
  OR(TEXT(TRIM(N1117),"00000")="89030", TEXT(TRIM(N1117),"00000")="89031", TEXT(TRIM(N1117),"00000")="89032", TEXT(TRIM(N1117),"00000")="89086", TEXT(TRIM(N1117),"00000")="89084", TEXT(TRIM(N1117),"00000")="89081"), "North LV",
  OR(TEXT(TRIM(N1117),"00000")="89109", TEXT(TRIM(N1117),"00000")="89103", TEXT(TRIM(N1117),"00000")="89119", TEXT(TRIM(N1117),"00000")="89123", TEXT(TRIM(N1117),"00000")="89169", TEXT(TRIM(N1117),"00000")="89118"), "South/Strip",
  OR(TEXT(TRIM(N1117),"00000")="89074", TEXT(TRIM(N1117),"00000")="89014", TEXT(TRIM(N1117),"00000")="89015", TEXT(TRIM(N1117),"00000")="89011", TEXT(TRIM(N1117),"00000")="89012"), "Suburban SE",
  OR(TEXT(TRIM(N1117),"00000")="89117", TEXT(TRIM(N1117),"00000")="89128", TEXT(TRIM(N1117),"00000")="89135", TEXT(TRIM(N1117),"00000")="89144", TEXT(TRIM(N1117),"00000")="89145", TEXT(TRIM(N1117),"00000")="89147"), "West Valley",
  TRUE, "Other"
)</f>
        <v>East Valley</v>
      </c>
      <c r="P1117" t="s">
        <v>38</v>
      </c>
      <c r="Q1117" t="str">
        <f t="shared" si="70"/>
        <v>Home/Residence</v>
      </c>
      <c r="R1117" t="s">
        <v>4454</v>
      </c>
      <c r="S1117" t="s">
        <v>5108</v>
      </c>
      <c r="T1117" t="str" cm="1">
        <f t="array" ref="T1117">_xlfn.IFS(
  TEXT(TRIM(S1117),"00000")="NULL", "Missing/Unknown",
  OR(TEXT(TRIM(S1117),"00000")="89101", TEXT(TRIM(S1117),"00000")="89104", TEXT(TRIM(S1117),"00000")="89106", TEXT(TRIM(S1117),"00000")="89102", TEXT(TRIM(S1117),"00000")="89107", TEXT(TRIM(S1117),"00000")="89108"), "Urban Core",
  OR(TEXT(TRIM(S1117),"00000")="89110", TEXT(TRIM(S1117),"00000")="89115", TEXT(TRIM(S1117),"00000")="89121", TEXT(TRIM(S1117),"00000")="89122", TEXT(TRIM(S1117),"00000")="89142", TEXT(TRIM(S1117),"00000")="89156"), "East Valley",
  OR(TEXT(TRIM(S1117),"00000")="89030", TEXT(TRIM(S1117),"00000")="89031", TEXT(TRIM(S1117),"00000")="89032", TEXT(TRIM(S1117),"00000")="89086", TEXT(TRIM(S1117),"00000")="89084", TEXT(TRIM(S1117),"00000")="89081"), "North LV",
  OR(TEXT(TRIM(S1117),"00000")="89109", TEXT(TRIM(S1117),"00000")="89103", TEXT(TRIM(S1117),"00000")="89119", TEXT(TRIM(S1117),"00000")="89123", TEXT(TRIM(S1117),"00000")="89169", TEXT(TRIM(S1117),"00000")="89118"), "South/Strip",
  OR(TEXT(TRIM(S1117),"00000")="89074", TEXT(TRIM(S1117),"00000")="89014", TEXT(TRIM(S1117),"00000")="89015", TEXT(TRIM(S1117),"00000")="89011", TEXT(TRIM(S1117),"00000")="89012"), "Suburban SE",
  OR(TEXT(TRIM(S1117),"00000")="89117", TEXT(TRIM(S1117),"00000")="89128", TEXT(TRIM(S1117),"00000")="89135", TEXT(TRIM(S1117),"00000")="89144", TEXT(TRIM(S1117),"00000")="89145", TEXT(TRIM(S1117),"00000")="89147"), "West Valley",
  TRUE, "Other"
)</f>
        <v>East Valley</v>
      </c>
      <c r="U1117" t="s">
        <v>38</v>
      </c>
      <c r="V1117" t="str">
        <f t="shared" si="71"/>
        <v>Home/Residence</v>
      </c>
    </row>
    <row r="1118" spans="1:22">
      <c r="A1118" t="s">
        <v>1840</v>
      </c>
      <c r="B1118" t="s">
        <v>1841</v>
      </c>
      <c r="C1118" s="1">
        <v>44373</v>
      </c>
      <c r="D1118" s="4">
        <v>107.06</v>
      </c>
      <c r="E1118">
        <v>62</v>
      </c>
      <c r="F1118" t="str">
        <f t="shared" si="68"/>
        <v>60's</v>
      </c>
      <c r="G1118" t="str" cm="1">
        <f t="array" ref="G1118">_xlfn.IFS(
  F1118="10's", "Child (5–12)",
  OR(F1118="20's", F1118="30's"), "Young Adult (20–39)",
  OR(F1118="40's", F1118="50's"), "Adult (40–59)",
  OR(F1118="60's", F1118="70's", F1118="80's", F1118="90's"), "Senior (60+)",
  TRUE, "Unknown"
)</f>
        <v>Senior (60+)</v>
      </c>
      <c r="H1118" t="s">
        <v>841</v>
      </c>
      <c r="I1118" t="s">
        <v>54</v>
      </c>
      <c r="J1118" t="str">
        <f t="shared" si="69"/>
        <v>Environmental Heat</v>
      </c>
      <c r="K1118" t="s">
        <v>98</v>
      </c>
      <c r="L1118" t="s">
        <v>250</v>
      </c>
      <c r="M1118" t="s">
        <v>4564</v>
      </c>
      <c r="N1118" t="s">
        <v>5119</v>
      </c>
      <c r="O1118" t="str" cm="1">
        <f t="array" ref="O1118">_xlfn.IFS(
  TEXT(TRIM(N1118),"00000")="NULL", "Missing/Unknown",
  OR(TEXT(TRIM(N1118),"00000")="89101", TEXT(TRIM(N1118),"00000")="89104", TEXT(TRIM(N1118),"00000")="89106", TEXT(TRIM(N1118),"00000")="89102", TEXT(TRIM(N1118),"00000")="89107", TEXT(TRIM(N1118),"00000")="89108"), "Urban Core",
  OR(TEXT(TRIM(N1118),"00000")="89110", TEXT(TRIM(N1118),"00000")="89115", TEXT(TRIM(N1118),"00000")="89121", TEXT(TRIM(N1118),"00000")="89122", TEXT(TRIM(N1118),"00000")="89142", TEXT(TRIM(N1118),"00000")="89156"), "East Valley",
  OR(TEXT(TRIM(N1118),"00000")="89030", TEXT(TRIM(N1118),"00000")="89031", TEXT(TRIM(N1118),"00000")="89032", TEXT(TRIM(N1118),"00000")="89086", TEXT(TRIM(N1118),"00000")="89084", TEXT(TRIM(N1118),"00000")="89081"), "North LV",
  OR(TEXT(TRIM(N1118),"00000")="89109", TEXT(TRIM(N1118),"00000")="89103", TEXT(TRIM(N1118),"00000")="89119", TEXT(TRIM(N1118),"00000")="89123", TEXT(TRIM(N1118),"00000")="89169", TEXT(TRIM(N1118),"00000")="89118"), "South/Strip",
  OR(TEXT(TRIM(N1118),"00000")="89074", TEXT(TRIM(N1118),"00000")="89014", TEXT(TRIM(N1118),"00000")="89015", TEXT(TRIM(N1118),"00000")="89011", TEXT(TRIM(N1118),"00000")="89012"), "Suburban SE",
  OR(TEXT(TRIM(N1118),"00000")="89117", TEXT(TRIM(N1118),"00000")="89128", TEXT(TRIM(N1118),"00000")="89135", TEXT(TRIM(N1118),"00000")="89144", TEXT(TRIM(N1118),"00000")="89145", TEXT(TRIM(N1118),"00000")="89147"), "West Valley",
  TRUE, "Other"
)</f>
        <v>Urban Core</v>
      </c>
      <c r="P1118" t="s">
        <v>3298</v>
      </c>
      <c r="Q1118" t="str">
        <f t="shared" si="70"/>
        <v>Outdoors/Public</v>
      </c>
      <c r="R1118" t="s">
        <v>5055</v>
      </c>
      <c r="S1118" t="s">
        <v>5119</v>
      </c>
      <c r="T1118" t="str" cm="1">
        <f t="array" ref="T1118">_xlfn.IFS(
  TEXT(TRIM(S1118),"00000")="NULL", "Missing/Unknown",
  OR(TEXT(TRIM(S1118),"00000")="89101", TEXT(TRIM(S1118),"00000")="89104", TEXT(TRIM(S1118),"00000")="89106", TEXT(TRIM(S1118),"00000")="89102", TEXT(TRIM(S1118),"00000")="89107", TEXT(TRIM(S1118),"00000")="89108"), "Urban Core",
  OR(TEXT(TRIM(S1118),"00000")="89110", TEXT(TRIM(S1118),"00000")="89115", TEXT(TRIM(S1118),"00000")="89121", TEXT(TRIM(S1118),"00000")="89122", TEXT(TRIM(S1118),"00000")="89142", TEXT(TRIM(S1118),"00000")="89156"), "East Valley",
  OR(TEXT(TRIM(S1118),"00000")="89030", TEXT(TRIM(S1118),"00000")="89031", TEXT(TRIM(S1118),"00000")="89032", TEXT(TRIM(S1118),"00000")="89086", TEXT(TRIM(S1118),"00000")="89084", TEXT(TRIM(S1118),"00000")="89081"), "North LV",
  OR(TEXT(TRIM(S1118),"00000")="89109", TEXT(TRIM(S1118),"00000")="89103", TEXT(TRIM(S1118),"00000")="89119", TEXT(TRIM(S1118),"00000")="89123", TEXT(TRIM(S1118),"00000")="89169", TEXT(TRIM(S1118),"00000")="89118"), "South/Strip",
  OR(TEXT(TRIM(S1118),"00000")="89074", TEXT(TRIM(S1118),"00000")="89014", TEXT(TRIM(S1118),"00000")="89015", TEXT(TRIM(S1118),"00000")="89011", TEXT(TRIM(S1118),"00000")="89012"), "Suburban SE",
  OR(TEXT(TRIM(S1118),"00000")="89117", TEXT(TRIM(S1118),"00000")="89128", TEXT(TRIM(S1118),"00000")="89135", TEXT(TRIM(S1118),"00000")="89144", TEXT(TRIM(S1118),"00000")="89145", TEXT(TRIM(S1118),"00000")="89147"), "West Valley",
  TRUE, "Other"
)</f>
        <v>Urban Core</v>
      </c>
      <c r="U1118" t="s">
        <v>4301</v>
      </c>
      <c r="V1118" t="str">
        <f t="shared" si="71"/>
        <v>Medical Facility</v>
      </c>
    </row>
    <row r="1119" spans="1:22">
      <c r="A1119" t="s">
        <v>1829</v>
      </c>
      <c r="B1119" t="s">
        <v>1830</v>
      </c>
      <c r="C1119" s="1">
        <v>44372</v>
      </c>
      <c r="D1119" s="4">
        <v>100.94</v>
      </c>
      <c r="E1119">
        <v>53</v>
      </c>
      <c r="F1119" t="str">
        <f t="shared" si="68"/>
        <v>50's</v>
      </c>
      <c r="G1119" t="str" cm="1">
        <f t="array" ref="G1119">_xlfn.IFS(
  F1119="10's", "Child (5–12)",
  OR(F1119="20's", F1119="30's"), "Young Adult (20–39)",
  OR(F1119="40's", F1119="50's"), "Adult (40–59)",
  OR(F1119="60's", F1119="70's", F1119="80's", F1119="90's"), "Senior (60+)",
  TRUE, "Unknown"
)</f>
        <v>Adult (40–59)</v>
      </c>
      <c r="H1119" t="s">
        <v>841</v>
      </c>
      <c r="I1119" t="s">
        <v>4025</v>
      </c>
      <c r="J1119" t="str">
        <f t="shared" si="69"/>
        <v>Methamphetamine-related</v>
      </c>
      <c r="K1119" t="s">
        <v>54</v>
      </c>
      <c r="L1119" t="s">
        <v>1071</v>
      </c>
      <c r="M1119" t="s">
        <v>4655</v>
      </c>
      <c r="N1119" t="s">
        <v>5146</v>
      </c>
      <c r="O1119" t="str" cm="1">
        <f t="array" ref="O1119">_xlfn.IFS(
  TEXT(TRIM(N1119),"00000")="NULL", "Missing/Unknown",
  OR(TEXT(TRIM(N1119),"00000")="89101", TEXT(TRIM(N1119),"00000")="89104", TEXT(TRIM(N1119),"00000")="89106", TEXT(TRIM(N1119),"00000")="89102", TEXT(TRIM(N1119),"00000")="89107", TEXT(TRIM(N1119),"00000")="89108"), "Urban Core",
  OR(TEXT(TRIM(N1119),"00000")="89110", TEXT(TRIM(N1119),"00000")="89115", TEXT(TRIM(N1119),"00000")="89121", TEXT(TRIM(N1119),"00000")="89122", TEXT(TRIM(N1119),"00000")="89142", TEXT(TRIM(N1119),"00000")="89156"), "East Valley",
  OR(TEXT(TRIM(N1119),"00000")="89030", TEXT(TRIM(N1119),"00000")="89031", TEXT(TRIM(N1119),"00000")="89032", TEXT(TRIM(N1119),"00000")="89086", TEXT(TRIM(N1119),"00000")="89084", TEXT(TRIM(N1119),"00000")="89081"), "North LV",
  OR(TEXT(TRIM(N1119),"00000")="89109", TEXT(TRIM(N1119),"00000")="89103", TEXT(TRIM(N1119),"00000")="89119", TEXT(TRIM(N1119),"00000")="89123", TEXT(TRIM(N1119),"00000")="89169", TEXT(TRIM(N1119),"00000")="89118"), "South/Strip",
  OR(TEXT(TRIM(N1119),"00000")="89074", TEXT(TRIM(N1119),"00000")="89014", TEXT(TRIM(N1119),"00000")="89015", TEXT(TRIM(N1119),"00000")="89011", TEXT(TRIM(N1119),"00000")="89012"), "Suburban SE",
  OR(TEXT(TRIM(N1119),"00000")="89117", TEXT(TRIM(N1119),"00000")="89128", TEXT(TRIM(N1119),"00000")="89135", TEXT(TRIM(N1119),"00000")="89144", TEXT(TRIM(N1119),"00000")="89145", TEXT(TRIM(N1119),"00000")="89147"), "West Valley",
  TRUE, "Other"
)</f>
        <v>North LV</v>
      </c>
      <c r="P1119" t="s">
        <v>3298</v>
      </c>
      <c r="Q1119" t="str">
        <f t="shared" si="70"/>
        <v>Outdoors/Public</v>
      </c>
      <c r="R1119" t="s">
        <v>4655</v>
      </c>
      <c r="S1119" t="s">
        <v>5146</v>
      </c>
      <c r="T1119" t="str" cm="1">
        <f t="array" ref="T1119">_xlfn.IFS(
  TEXT(TRIM(S1119),"00000")="NULL", "Missing/Unknown",
  OR(TEXT(TRIM(S1119),"00000")="89101", TEXT(TRIM(S1119),"00000")="89104", TEXT(TRIM(S1119),"00000")="89106", TEXT(TRIM(S1119),"00000")="89102", TEXT(TRIM(S1119),"00000")="89107", TEXT(TRIM(S1119),"00000")="89108"), "Urban Core",
  OR(TEXT(TRIM(S1119),"00000")="89110", TEXT(TRIM(S1119),"00000")="89115", TEXT(TRIM(S1119),"00000")="89121", TEXT(TRIM(S1119),"00000")="89122", TEXT(TRIM(S1119),"00000")="89142", TEXT(TRIM(S1119),"00000")="89156"), "East Valley",
  OR(TEXT(TRIM(S1119),"00000")="89030", TEXT(TRIM(S1119),"00000")="89031", TEXT(TRIM(S1119),"00000")="89032", TEXT(TRIM(S1119),"00000")="89086", TEXT(TRIM(S1119),"00000")="89084", TEXT(TRIM(S1119),"00000")="89081"), "North LV",
  OR(TEXT(TRIM(S1119),"00000")="89109", TEXT(TRIM(S1119),"00000")="89103", TEXT(TRIM(S1119),"00000")="89119", TEXT(TRIM(S1119),"00000")="89123", TEXT(TRIM(S1119),"00000")="89169", TEXT(TRIM(S1119),"00000")="89118"), "South/Strip",
  OR(TEXT(TRIM(S1119),"00000")="89074", TEXT(TRIM(S1119),"00000")="89014", TEXT(TRIM(S1119),"00000")="89015", TEXT(TRIM(S1119),"00000")="89011", TEXT(TRIM(S1119),"00000")="89012"), "Suburban SE",
  OR(TEXT(TRIM(S1119),"00000")="89117", TEXT(TRIM(S1119),"00000")="89128", TEXT(TRIM(S1119),"00000")="89135", TEXT(TRIM(S1119),"00000")="89144", TEXT(TRIM(S1119),"00000")="89145", TEXT(TRIM(S1119),"00000")="89147"), "West Valley",
  TRUE, "Other"
)</f>
        <v>North LV</v>
      </c>
      <c r="U1119" t="s">
        <v>3298</v>
      </c>
      <c r="V1119" t="str">
        <f t="shared" si="71"/>
        <v>Outdoors/Public</v>
      </c>
    </row>
    <row r="1120" spans="1:22">
      <c r="A1120" t="s">
        <v>1825</v>
      </c>
      <c r="B1120" t="s">
        <v>1826</v>
      </c>
      <c r="C1120" s="1">
        <v>44371</v>
      </c>
      <c r="D1120" s="4">
        <v>96.080000000000013</v>
      </c>
      <c r="E1120">
        <v>35</v>
      </c>
      <c r="F1120" t="str">
        <f t="shared" si="68"/>
        <v>30's</v>
      </c>
      <c r="G1120" t="str" cm="1">
        <f t="array" ref="G1120">_xlfn.IFS(
  F1120="10's", "Child (5–12)",
  OR(F1120="20's", F1120="30's"), "Young Adult (20–39)",
  OR(F1120="40's", F1120="50's"), "Adult (40–59)",
  OR(F1120="60's", F1120="70's", F1120="80's", F1120="90's"), "Senior (60+)",
  TRUE, "Unknown"
)</f>
        <v>Young Adult (20–39)</v>
      </c>
      <c r="H1120" t="s">
        <v>4309</v>
      </c>
      <c r="I1120" t="s">
        <v>54</v>
      </c>
      <c r="J1120" t="str">
        <f t="shared" si="69"/>
        <v>Environmental Heat</v>
      </c>
      <c r="K1120" t="s">
        <v>1827</v>
      </c>
      <c r="L1120" t="s">
        <v>250</v>
      </c>
      <c r="M1120" t="s">
        <v>4859</v>
      </c>
      <c r="N1120" t="s">
        <v>5101</v>
      </c>
      <c r="O1120" t="str" cm="1">
        <f t="array" ref="O1120">_xlfn.IFS(
  TEXT(TRIM(N1120),"00000")="NULL", "Missing/Unknown",
  OR(TEXT(TRIM(N1120),"00000")="89101", TEXT(TRIM(N1120),"00000")="89104", TEXT(TRIM(N1120),"00000")="89106", TEXT(TRIM(N1120),"00000")="89102", TEXT(TRIM(N1120),"00000")="89107", TEXT(TRIM(N1120),"00000")="89108"), "Urban Core",
  OR(TEXT(TRIM(N1120),"00000")="89110", TEXT(TRIM(N1120),"00000")="89115", TEXT(TRIM(N1120),"00000")="89121", TEXT(TRIM(N1120),"00000")="89122", TEXT(TRIM(N1120),"00000")="89142", TEXT(TRIM(N1120),"00000")="89156"), "East Valley",
  OR(TEXT(TRIM(N1120),"00000")="89030", TEXT(TRIM(N1120),"00000")="89031", TEXT(TRIM(N1120),"00000")="89032", TEXT(TRIM(N1120),"00000")="89086", TEXT(TRIM(N1120),"00000")="89084", TEXT(TRIM(N1120),"00000")="89081"), "North LV",
  OR(TEXT(TRIM(N1120),"00000")="89109", TEXT(TRIM(N1120),"00000")="89103", TEXT(TRIM(N1120),"00000")="89119", TEXT(TRIM(N1120),"00000")="89123", TEXT(TRIM(N1120),"00000")="89169", TEXT(TRIM(N1120),"00000")="89118"), "South/Strip",
  OR(TEXT(TRIM(N1120),"00000")="89074", TEXT(TRIM(N1120),"00000")="89014", TEXT(TRIM(N1120),"00000")="89015", TEXT(TRIM(N1120),"00000")="89011", TEXT(TRIM(N1120),"00000")="89012"), "Suburban SE",
  OR(TEXT(TRIM(N1120),"00000")="89117", TEXT(TRIM(N1120),"00000")="89128", TEXT(TRIM(N1120),"00000")="89135", TEXT(TRIM(N1120),"00000")="89144", TEXT(TRIM(N1120),"00000")="89145", TEXT(TRIM(N1120),"00000")="89147"), "West Valley",
  TRUE, "Other"
)</f>
        <v>Urban Core</v>
      </c>
      <c r="P1120" t="s">
        <v>3298</v>
      </c>
      <c r="Q1120" t="str">
        <f t="shared" si="70"/>
        <v>Outdoors/Public</v>
      </c>
      <c r="R1120" t="s">
        <v>4859</v>
      </c>
      <c r="S1120" t="s">
        <v>5101</v>
      </c>
      <c r="T1120" t="str" cm="1">
        <f t="array" ref="T1120">_xlfn.IFS(
  TEXT(TRIM(S1120),"00000")="NULL", "Missing/Unknown",
  OR(TEXT(TRIM(S1120),"00000")="89101", TEXT(TRIM(S1120),"00000")="89104", TEXT(TRIM(S1120),"00000")="89106", TEXT(TRIM(S1120),"00000")="89102", TEXT(TRIM(S1120),"00000")="89107", TEXT(TRIM(S1120),"00000")="89108"), "Urban Core",
  OR(TEXT(TRIM(S1120),"00000")="89110", TEXT(TRIM(S1120),"00000")="89115", TEXT(TRIM(S1120),"00000")="89121", TEXT(TRIM(S1120),"00000")="89122", TEXT(TRIM(S1120),"00000")="89142", TEXT(TRIM(S1120),"00000")="89156"), "East Valley",
  OR(TEXT(TRIM(S1120),"00000")="89030", TEXT(TRIM(S1120),"00000")="89031", TEXT(TRIM(S1120),"00000")="89032", TEXT(TRIM(S1120),"00000")="89086", TEXT(TRIM(S1120),"00000")="89084", TEXT(TRIM(S1120),"00000")="89081"), "North LV",
  OR(TEXT(TRIM(S1120),"00000")="89109", TEXT(TRIM(S1120),"00000")="89103", TEXT(TRIM(S1120),"00000")="89119", TEXT(TRIM(S1120),"00000")="89123", TEXT(TRIM(S1120),"00000")="89169", TEXT(TRIM(S1120),"00000")="89118"), "South/Strip",
  OR(TEXT(TRIM(S1120),"00000")="89074", TEXT(TRIM(S1120),"00000")="89014", TEXT(TRIM(S1120),"00000")="89015", TEXT(TRIM(S1120),"00000")="89011", TEXT(TRIM(S1120),"00000")="89012"), "Suburban SE",
  OR(TEXT(TRIM(S1120),"00000")="89117", TEXT(TRIM(S1120),"00000")="89128", TEXT(TRIM(S1120),"00000")="89135", TEXT(TRIM(S1120),"00000")="89144", TEXT(TRIM(S1120),"00000")="89145", TEXT(TRIM(S1120),"00000")="89147"), "West Valley",
  TRUE, "Other"
)</f>
        <v>Urban Core</v>
      </c>
      <c r="U1120" t="s">
        <v>3298</v>
      </c>
      <c r="V1120" t="str">
        <f t="shared" si="71"/>
        <v>Outdoors/Public</v>
      </c>
    </row>
    <row r="1121" spans="1:22">
      <c r="A1121" t="s">
        <v>1818</v>
      </c>
      <c r="B1121" t="s">
        <v>1819</v>
      </c>
      <c r="C1121" s="1">
        <v>44369</v>
      </c>
      <c r="D1121" s="4">
        <v>104</v>
      </c>
      <c r="E1121">
        <v>71</v>
      </c>
      <c r="F1121" t="str">
        <f t="shared" si="68"/>
        <v>70's</v>
      </c>
      <c r="G1121" t="str" cm="1">
        <f t="array" ref="G1121">_xlfn.IFS(
  F1121="10's", "Child (5–12)",
  OR(F1121="20's", F1121="30's"), "Young Adult (20–39)",
  OR(F1121="40's", F1121="50's"), "Adult (40–59)",
  OR(F1121="60's", F1121="70's", F1121="80's", F1121="90's"), "Senior (60+)",
  TRUE, "Unknown"
)</f>
        <v>Senior (60+)</v>
      </c>
      <c r="H1121" t="s">
        <v>841</v>
      </c>
      <c r="I1121" t="s">
        <v>54</v>
      </c>
      <c r="J1121" t="str">
        <f t="shared" si="69"/>
        <v>Environmental Heat</v>
      </c>
      <c r="K1121" t="s">
        <v>4288</v>
      </c>
      <c r="L1121" t="s">
        <v>250</v>
      </c>
      <c r="M1121" t="s">
        <v>4887</v>
      </c>
      <c r="N1121" t="s">
        <v>5101</v>
      </c>
      <c r="O1121" t="str" cm="1">
        <f t="array" ref="O1121">_xlfn.IFS(
  TEXT(TRIM(N1121),"00000")="NULL", "Missing/Unknown",
  OR(TEXT(TRIM(N1121),"00000")="89101", TEXT(TRIM(N1121),"00000")="89104", TEXT(TRIM(N1121),"00000")="89106", TEXT(TRIM(N1121),"00000")="89102", TEXT(TRIM(N1121),"00000")="89107", TEXT(TRIM(N1121),"00000")="89108"), "Urban Core",
  OR(TEXT(TRIM(N1121),"00000")="89110", TEXT(TRIM(N1121),"00000")="89115", TEXT(TRIM(N1121),"00000")="89121", TEXT(TRIM(N1121),"00000")="89122", TEXT(TRIM(N1121),"00000")="89142", TEXT(TRIM(N1121),"00000")="89156"), "East Valley",
  OR(TEXT(TRIM(N1121),"00000")="89030", TEXT(TRIM(N1121),"00000")="89031", TEXT(TRIM(N1121),"00000")="89032", TEXT(TRIM(N1121),"00000")="89086", TEXT(TRIM(N1121),"00000")="89084", TEXT(TRIM(N1121),"00000")="89081"), "North LV",
  OR(TEXT(TRIM(N1121),"00000")="89109", TEXT(TRIM(N1121),"00000")="89103", TEXT(TRIM(N1121),"00000")="89119", TEXT(TRIM(N1121),"00000")="89123", TEXT(TRIM(N1121),"00000")="89169", TEXT(TRIM(N1121),"00000")="89118"), "South/Strip",
  OR(TEXT(TRIM(N1121),"00000")="89074", TEXT(TRIM(N1121),"00000")="89014", TEXT(TRIM(N1121),"00000")="89015", TEXT(TRIM(N1121),"00000")="89011", TEXT(TRIM(N1121),"00000")="89012"), "Suburban SE",
  OR(TEXT(TRIM(N1121),"00000")="89117", TEXT(TRIM(N1121),"00000")="89128", TEXT(TRIM(N1121),"00000")="89135", TEXT(TRIM(N1121),"00000")="89144", TEXT(TRIM(N1121),"00000")="89145", TEXT(TRIM(N1121),"00000")="89147"), "West Valley",
  TRUE, "Other"
)</f>
        <v>Urban Core</v>
      </c>
      <c r="P1121" t="s">
        <v>24</v>
      </c>
      <c r="Q1121" t="str">
        <f t="shared" si="70"/>
        <v>Outdoors/Public</v>
      </c>
      <c r="R1121" t="s">
        <v>4887</v>
      </c>
      <c r="S1121" t="s">
        <v>5101</v>
      </c>
      <c r="T1121" t="str" cm="1">
        <f t="array" ref="T1121">_xlfn.IFS(
  TEXT(TRIM(S1121),"00000")="NULL", "Missing/Unknown",
  OR(TEXT(TRIM(S1121),"00000")="89101", TEXT(TRIM(S1121),"00000")="89104", TEXT(TRIM(S1121),"00000")="89106", TEXT(TRIM(S1121),"00000")="89102", TEXT(TRIM(S1121),"00000")="89107", TEXT(TRIM(S1121),"00000")="89108"), "Urban Core",
  OR(TEXT(TRIM(S1121),"00000")="89110", TEXT(TRIM(S1121),"00000")="89115", TEXT(TRIM(S1121),"00000")="89121", TEXT(TRIM(S1121),"00000")="89122", TEXT(TRIM(S1121),"00000")="89142", TEXT(TRIM(S1121),"00000")="89156"), "East Valley",
  OR(TEXT(TRIM(S1121),"00000")="89030", TEXT(TRIM(S1121),"00000")="89031", TEXT(TRIM(S1121),"00000")="89032", TEXT(TRIM(S1121),"00000")="89086", TEXT(TRIM(S1121),"00000")="89084", TEXT(TRIM(S1121),"00000")="89081"), "North LV",
  OR(TEXT(TRIM(S1121),"00000")="89109", TEXT(TRIM(S1121),"00000")="89103", TEXT(TRIM(S1121),"00000")="89119", TEXT(TRIM(S1121),"00000")="89123", TEXT(TRIM(S1121),"00000")="89169", TEXT(TRIM(S1121),"00000")="89118"), "South/Strip",
  OR(TEXT(TRIM(S1121),"00000")="89074", TEXT(TRIM(S1121),"00000")="89014", TEXT(TRIM(S1121),"00000")="89015", TEXT(TRIM(S1121),"00000")="89011", TEXT(TRIM(S1121),"00000")="89012"), "Suburban SE",
  OR(TEXT(TRIM(S1121),"00000")="89117", TEXT(TRIM(S1121),"00000")="89128", TEXT(TRIM(S1121),"00000")="89135", TEXT(TRIM(S1121),"00000")="89144", TEXT(TRIM(S1121),"00000")="89145", TEXT(TRIM(S1121),"00000")="89147"), "West Valley",
  TRUE, "Other"
)</f>
        <v>Urban Core</v>
      </c>
      <c r="U1121" t="s">
        <v>24</v>
      </c>
      <c r="V1121" t="str">
        <f t="shared" si="71"/>
        <v>Outdoors/Public</v>
      </c>
    </row>
    <row r="1122" spans="1:22">
      <c r="A1122" t="s">
        <v>1810</v>
      </c>
      <c r="B1122" t="s">
        <v>1811</v>
      </c>
      <c r="C1122" s="1">
        <v>44368</v>
      </c>
      <c r="D1122" s="4">
        <v>109.94</v>
      </c>
      <c r="E1122">
        <v>70</v>
      </c>
      <c r="F1122" t="str">
        <f t="shared" si="68"/>
        <v>70's</v>
      </c>
      <c r="G1122" t="str" cm="1">
        <f t="array" ref="G1122">_xlfn.IFS(
  F1122="10's", "Child (5–12)",
  OR(F1122="20's", F1122="30's"), "Young Adult (20–39)",
  OR(F1122="40's", F1122="50's"), "Adult (40–59)",
  OR(F1122="60's", F1122="70's", F1122="80's", F1122="90's"), "Senior (60+)",
  TRUE, "Unknown"
)</f>
        <v>Senior (60+)</v>
      </c>
      <c r="H1122" t="s">
        <v>27</v>
      </c>
      <c r="I1122" t="s">
        <v>97</v>
      </c>
      <c r="J1122" t="str">
        <f t="shared" si="69"/>
        <v>Environmental Heat</v>
      </c>
      <c r="K1122" t="s">
        <v>4289</v>
      </c>
      <c r="L1122" t="s">
        <v>1071</v>
      </c>
      <c r="M1122" t="s">
        <v>4526</v>
      </c>
      <c r="N1122" t="s">
        <v>5128</v>
      </c>
      <c r="O1122" t="str" cm="1">
        <f t="array" ref="O1122">_xlfn.IFS(
  TEXT(TRIM(N1122),"00000")="NULL", "Missing/Unknown",
  OR(TEXT(TRIM(N1122),"00000")="89101", TEXT(TRIM(N1122),"00000")="89104", TEXT(TRIM(N1122),"00000")="89106", TEXT(TRIM(N1122),"00000")="89102", TEXT(TRIM(N1122),"00000")="89107", TEXT(TRIM(N1122),"00000")="89108"), "Urban Core",
  OR(TEXT(TRIM(N1122),"00000")="89110", TEXT(TRIM(N1122),"00000")="89115", TEXT(TRIM(N1122),"00000")="89121", TEXT(TRIM(N1122),"00000")="89122", TEXT(TRIM(N1122),"00000")="89142", TEXT(TRIM(N1122),"00000")="89156"), "East Valley",
  OR(TEXT(TRIM(N1122),"00000")="89030", TEXT(TRIM(N1122),"00000")="89031", TEXT(TRIM(N1122),"00000")="89032", TEXT(TRIM(N1122),"00000")="89086", TEXT(TRIM(N1122),"00000")="89084", TEXT(TRIM(N1122),"00000")="89081"), "North LV",
  OR(TEXT(TRIM(N1122),"00000")="89109", TEXT(TRIM(N1122),"00000")="89103", TEXT(TRIM(N1122),"00000")="89119", TEXT(TRIM(N1122),"00000")="89123", TEXT(TRIM(N1122),"00000")="89169", TEXT(TRIM(N1122),"00000")="89118"), "South/Strip",
  OR(TEXT(TRIM(N1122),"00000")="89074", TEXT(TRIM(N1122),"00000")="89014", TEXT(TRIM(N1122),"00000")="89015", TEXT(TRIM(N1122),"00000")="89011", TEXT(TRIM(N1122),"00000")="89012"), "Suburban SE",
  OR(TEXT(TRIM(N1122),"00000")="89117", TEXT(TRIM(N1122),"00000")="89128", TEXT(TRIM(N1122),"00000")="89135", TEXT(TRIM(N1122),"00000")="89144", TEXT(TRIM(N1122),"00000")="89145", TEXT(TRIM(N1122),"00000")="89147"), "West Valley",
  TRUE, "Other"
)</f>
        <v>East Valley</v>
      </c>
      <c r="P1122" t="s">
        <v>38</v>
      </c>
      <c r="Q1122" t="str">
        <f t="shared" si="70"/>
        <v>Home/Residence</v>
      </c>
      <c r="R1122" t="s">
        <v>4341</v>
      </c>
      <c r="S1122" t="s">
        <v>5100</v>
      </c>
      <c r="T1122" t="str" cm="1">
        <f t="array" ref="T1122">_xlfn.IFS(
  TEXT(TRIM(S1122),"00000")="NULL", "Missing/Unknown",
  OR(TEXT(TRIM(S1122),"00000")="89101", TEXT(TRIM(S1122),"00000")="89104", TEXT(TRIM(S1122),"00000")="89106", TEXT(TRIM(S1122),"00000")="89102", TEXT(TRIM(S1122),"00000")="89107", TEXT(TRIM(S1122),"00000")="89108"), "Urban Core",
  OR(TEXT(TRIM(S1122),"00000")="89110", TEXT(TRIM(S1122),"00000")="89115", TEXT(TRIM(S1122),"00000")="89121", TEXT(TRIM(S1122),"00000")="89122", TEXT(TRIM(S1122),"00000")="89142", TEXT(TRIM(S1122),"00000")="89156"), "East Valley",
  OR(TEXT(TRIM(S1122),"00000")="89030", TEXT(TRIM(S1122),"00000")="89031", TEXT(TRIM(S1122),"00000")="89032", TEXT(TRIM(S1122),"00000")="89086", TEXT(TRIM(S1122),"00000")="89084", TEXT(TRIM(S1122),"00000")="89081"), "North LV",
  OR(TEXT(TRIM(S1122),"00000")="89109", TEXT(TRIM(S1122),"00000")="89103", TEXT(TRIM(S1122),"00000")="89119", TEXT(TRIM(S1122),"00000")="89123", TEXT(TRIM(S1122),"00000")="89169", TEXT(TRIM(S1122),"00000")="89118"), "South/Strip",
  OR(TEXT(TRIM(S1122),"00000")="89074", TEXT(TRIM(S1122),"00000")="89014", TEXT(TRIM(S1122),"00000")="89015", TEXT(TRIM(S1122),"00000")="89011", TEXT(TRIM(S1122),"00000")="89012"), "Suburban SE",
  OR(TEXT(TRIM(S1122),"00000")="89117", TEXT(TRIM(S1122),"00000")="89128", TEXT(TRIM(S1122),"00000")="89135", TEXT(TRIM(S1122),"00000")="89144", TEXT(TRIM(S1122),"00000")="89145", TEXT(TRIM(S1122),"00000")="89147"), "West Valley",
  TRUE, "Other"
)</f>
        <v>North LV</v>
      </c>
      <c r="U1122" t="s">
        <v>4301</v>
      </c>
      <c r="V1122" t="str">
        <f t="shared" si="71"/>
        <v>Medical Facility</v>
      </c>
    </row>
    <row r="1123" spans="1:22">
      <c r="A1123" t="s">
        <v>1806</v>
      </c>
      <c r="B1123" t="s">
        <v>1807</v>
      </c>
      <c r="C1123" s="1">
        <v>44368</v>
      </c>
      <c r="D1123" s="4">
        <v>109.94</v>
      </c>
      <c r="E1123">
        <v>43</v>
      </c>
      <c r="F1123" t="str">
        <f t="shared" si="68"/>
        <v>40's</v>
      </c>
      <c r="G1123" t="str" cm="1">
        <f t="array" ref="G1123">_xlfn.IFS(
  F1123="10's", "Child (5–12)",
  OR(F1123="20's", F1123="30's"), "Young Adult (20–39)",
  OR(F1123="40's", F1123="50's"), "Adult (40–59)",
  OR(F1123="60's", F1123="70's", F1123="80's", F1123="90's"), "Senior (60+)",
  TRUE, "Unknown"
)</f>
        <v>Adult (40–59)</v>
      </c>
      <c r="H1123" t="s">
        <v>841</v>
      </c>
      <c r="I1123" t="s">
        <v>4045</v>
      </c>
      <c r="J1123" t="str">
        <f t="shared" si="69"/>
        <v>Methamphetamine-related</v>
      </c>
      <c r="K1123" t="s">
        <v>54</v>
      </c>
      <c r="L1123" t="s">
        <v>250</v>
      </c>
      <c r="M1123" t="s">
        <v>4860</v>
      </c>
      <c r="N1123" t="s">
        <v>5096</v>
      </c>
      <c r="O1123" t="str" cm="1">
        <f t="array" ref="O1123">_xlfn.IFS(
  TEXT(TRIM(N1123),"00000")="NULL", "Missing/Unknown",
  OR(TEXT(TRIM(N1123),"00000")="89101", TEXT(TRIM(N1123),"00000")="89104", TEXT(TRIM(N1123),"00000")="89106", TEXT(TRIM(N1123),"00000")="89102", TEXT(TRIM(N1123),"00000")="89107", TEXT(TRIM(N1123),"00000")="89108"), "Urban Core",
  OR(TEXT(TRIM(N1123),"00000")="89110", TEXT(TRIM(N1123),"00000")="89115", TEXT(TRIM(N1123),"00000")="89121", TEXT(TRIM(N1123),"00000")="89122", TEXT(TRIM(N1123),"00000")="89142", TEXT(TRIM(N1123),"00000")="89156"), "East Valley",
  OR(TEXT(TRIM(N1123),"00000")="89030", TEXT(TRIM(N1123),"00000")="89031", TEXT(TRIM(N1123),"00000")="89032", TEXT(TRIM(N1123),"00000")="89086", TEXT(TRIM(N1123),"00000")="89084", TEXT(TRIM(N1123),"00000")="89081"), "North LV",
  OR(TEXT(TRIM(N1123),"00000")="89109", TEXT(TRIM(N1123),"00000")="89103", TEXT(TRIM(N1123),"00000")="89119", TEXT(TRIM(N1123),"00000")="89123", TEXT(TRIM(N1123),"00000")="89169", TEXT(TRIM(N1123),"00000")="89118"), "South/Strip",
  OR(TEXT(TRIM(N1123),"00000")="89074", TEXT(TRIM(N1123),"00000")="89014", TEXT(TRIM(N1123),"00000")="89015", TEXT(TRIM(N1123),"00000")="89011", TEXT(TRIM(N1123),"00000")="89012"), "Suburban SE",
  OR(TEXT(TRIM(N1123),"00000")="89117", TEXT(TRIM(N1123),"00000")="89128", TEXT(TRIM(N1123),"00000")="89135", TEXT(TRIM(N1123),"00000")="89144", TEXT(TRIM(N1123),"00000")="89145", TEXT(TRIM(N1123),"00000")="89147"), "West Valley",
  TRUE, "Other"
)</f>
        <v>South/Strip</v>
      </c>
      <c r="P1123" t="s">
        <v>3298</v>
      </c>
      <c r="Q1123" t="str">
        <f t="shared" si="70"/>
        <v>Outdoors/Public</v>
      </c>
      <c r="R1123" t="s">
        <v>4860</v>
      </c>
      <c r="S1123" t="s">
        <v>5096</v>
      </c>
      <c r="T1123" t="str" cm="1">
        <f t="array" ref="T1123">_xlfn.IFS(
  TEXT(TRIM(S1123),"00000")="NULL", "Missing/Unknown",
  OR(TEXT(TRIM(S1123),"00000")="89101", TEXT(TRIM(S1123),"00000")="89104", TEXT(TRIM(S1123),"00000")="89106", TEXT(TRIM(S1123),"00000")="89102", TEXT(TRIM(S1123),"00000")="89107", TEXT(TRIM(S1123),"00000")="89108"), "Urban Core",
  OR(TEXT(TRIM(S1123),"00000")="89110", TEXT(TRIM(S1123),"00000")="89115", TEXT(TRIM(S1123),"00000")="89121", TEXT(TRIM(S1123),"00000")="89122", TEXT(TRIM(S1123),"00000")="89142", TEXT(TRIM(S1123),"00000")="89156"), "East Valley",
  OR(TEXT(TRIM(S1123),"00000")="89030", TEXT(TRIM(S1123),"00000")="89031", TEXT(TRIM(S1123),"00000")="89032", TEXT(TRIM(S1123),"00000")="89086", TEXT(TRIM(S1123),"00000")="89084", TEXT(TRIM(S1123),"00000")="89081"), "North LV",
  OR(TEXT(TRIM(S1123),"00000")="89109", TEXT(TRIM(S1123),"00000")="89103", TEXT(TRIM(S1123),"00000")="89119", TEXT(TRIM(S1123),"00000")="89123", TEXT(TRIM(S1123),"00000")="89169", TEXT(TRIM(S1123),"00000")="89118"), "South/Strip",
  OR(TEXT(TRIM(S1123),"00000")="89074", TEXT(TRIM(S1123),"00000")="89014", TEXT(TRIM(S1123),"00000")="89015", TEXT(TRIM(S1123),"00000")="89011", TEXT(TRIM(S1123),"00000")="89012"), "Suburban SE",
  OR(TEXT(TRIM(S1123),"00000")="89117", TEXT(TRIM(S1123),"00000")="89128", TEXT(TRIM(S1123),"00000")="89135", TEXT(TRIM(S1123),"00000")="89144", TEXT(TRIM(S1123),"00000")="89145", TEXT(TRIM(S1123),"00000")="89147"), "West Valley",
  TRUE, "Other"
)</f>
        <v>South/Strip</v>
      </c>
      <c r="U1123" t="s">
        <v>3298</v>
      </c>
      <c r="V1123" t="str">
        <f t="shared" si="71"/>
        <v>Outdoors/Public</v>
      </c>
    </row>
    <row r="1124" spans="1:22">
      <c r="A1124" t="s">
        <v>1814</v>
      </c>
      <c r="B1124" t="s">
        <v>1815</v>
      </c>
      <c r="C1124" s="1">
        <v>44368</v>
      </c>
      <c r="D1124" s="4">
        <v>109.94</v>
      </c>
      <c r="E1124">
        <v>64</v>
      </c>
      <c r="F1124" t="str">
        <f t="shared" si="68"/>
        <v>60's</v>
      </c>
      <c r="G1124" t="str" cm="1">
        <f t="array" ref="G1124">_xlfn.IFS(
  F1124="10's", "Child (5–12)",
  OR(F1124="20's", F1124="30's"), "Young Adult (20–39)",
  OR(F1124="40's", F1124="50's"), "Adult (40–59)",
  OR(F1124="60's", F1124="70's", F1124="80's", F1124="90's"), "Senior (60+)",
  TRUE, "Unknown"
)</f>
        <v>Senior (60+)</v>
      </c>
      <c r="H1124" t="s">
        <v>778</v>
      </c>
      <c r="I1124" t="s">
        <v>54</v>
      </c>
      <c r="J1124" t="str">
        <f t="shared" si="69"/>
        <v>Environmental Heat</v>
      </c>
      <c r="K1124" t="s">
        <v>4290</v>
      </c>
      <c r="L1124" t="s">
        <v>1071</v>
      </c>
      <c r="M1124" t="s">
        <v>5047</v>
      </c>
      <c r="N1124" t="s">
        <v>5150</v>
      </c>
      <c r="O1124" t="str" cm="1">
        <f t="array" ref="O1124">_xlfn.IFS(
  TEXT(TRIM(N1124),"00000")="NULL", "Missing/Unknown",
  OR(TEXT(TRIM(N1124),"00000")="89101", TEXT(TRIM(N1124),"00000")="89104", TEXT(TRIM(N1124),"00000")="89106", TEXT(TRIM(N1124),"00000")="89102", TEXT(TRIM(N1124),"00000")="89107", TEXT(TRIM(N1124),"00000")="89108"), "Urban Core",
  OR(TEXT(TRIM(N1124),"00000")="89110", TEXT(TRIM(N1124),"00000")="89115", TEXT(TRIM(N1124),"00000")="89121", TEXT(TRIM(N1124),"00000")="89122", TEXT(TRIM(N1124),"00000")="89142", TEXT(TRIM(N1124),"00000")="89156"), "East Valley",
  OR(TEXT(TRIM(N1124),"00000")="89030", TEXT(TRIM(N1124),"00000")="89031", TEXT(TRIM(N1124),"00000")="89032", TEXT(TRIM(N1124),"00000")="89086", TEXT(TRIM(N1124),"00000")="89084", TEXT(TRIM(N1124),"00000")="89081"), "North LV",
  OR(TEXT(TRIM(N1124),"00000")="89109", TEXT(TRIM(N1124),"00000")="89103", TEXT(TRIM(N1124),"00000")="89119", TEXT(TRIM(N1124),"00000")="89123", TEXT(TRIM(N1124),"00000")="89169", TEXT(TRIM(N1124),"00000")="89118"), "South/Strip",
  OR(TEXT(TRIM(N1124),"00000")="89074", TEXT(TRIM(N1124),"00000")="89014", TEXT(TRIM(N1124),"00000")="89015", TEXT(TRIM(N1124),"00000")="89011", TEXT(TRIM(N1124),"00000")="89012"), "Suburban SE",
  OR(TEXT(TRIM(N1124),"00000")="89117", TEXT(TRIM(N1124),"00000")="89128", TEXT(TRIM(N1124),"00000")="89135", TEXT(TRIM(N1124),"00000")="89144", TEXT(TRIM(N1124),"00000")="89145", TEXT(TRIM(N1124),"00000")="89147"), "West Valley",
  TRUE, "Other"
)</f>
        <v>Other</v>
      </c>
      <c r="P1124" t="s">
        <v>38</v>
      </c>
      <c r="Q1124" t="str">
        <f t="shared" si="70"/>
        <v>Home/Residence</v>
      </c>
      <c r="R1124" t="s">
        <v>5047</v>
      </c>
      <c r="S1124" t="s">
        <v>5150</v>
      </c>
      <c r="T1124" t="str" cm="1">
        <f t="array" ref="T1124">_xlfn.IFS(
  TEXT(TRIM(S1124),"00000")="NULL", "Missing/Unknown",
  OR(TEXT(TRIM(S1124),"00000")="89101", TEXT(TRIM(S1124),"00000")="89104", TEXT(TRIM(S1124),"00000")="89106", TEXT(TRIM(S1124),"00000")="89102", TEXT(TRIM(S1124),"00000")="89107", TEXT(TRIM(S1124),"00000")="89108"), "Urban Core",
  OR(TEXT(TRIM(S1124),"00000")="89110", TEXT(TRIM(S1124),"00000")="89115", TEXT(TRIM(S1124),"00000")="89121", TEXT(TRIM(S1124),"00000")="89122", TEXT(TRIM(S1124),"00000")="89142", TEXT(TRIM(S1124),"00000")="89156"), "East Valley",
  OR(TEXT(TRIM(S1124),"00000")="89030", TEXT(TRIM(S1124),"00000")="89031", TEXT(TRIM(S1124),"00000")="89032", TEXT(TRIM(S1124),"00000")="89086", TEXT(TRIM(S1124),"00000")="89084", TEXT(TRIM(S1124),"00000")="89081"), "North LV",
  OR(TEXT(TRIM(S1124),"00000")="89109", TEXT(TRIM(S1124),"00000")="89103", TEXT(TRIM(S1124),"00000")="89119", TEXT(TRIM(S1124),"00000")="89123", TEXT(TRIM(S1124),"00000")="89169", TEXT(TRIM(S1124),"00000")="89118"), "South/Strip",
  OR(TEXT(TRIM(S1124),"00000")="89074", TEXT(TRIM(S1124),"00000")="89014", TEXT(TRIM(S1124),"00000")="89015", TEXT(TRIM(S1124),"00000")="89011", TEXT(TRIM(S1124),"00000")="89012"), "Suburban SE",
  OR(TEXT(TRIM(S1124),"00000")="89117", TEXT(TRIM(S1124),"00000")="89128", TEXT(TRIM(S1124),"00000")="89135", TEXT(TRIM(S1124),"00000")="89144", TEXT(TRIM(S1124),"00000")="89145", TEXT(TRIM(S1124),"00000")="89147"), "West Valley",
  TRUE, "Other"
)</f>
        <v>Other</v>
      </c>
      <c r="U1124" t="s">
        <v>38</v>
      </c>
      <c r="V1124" t="str">
        <f t="shared" si="71"/>
        <v>Home/Residence</v>
      </c>
    </row>
    <row r="1125" spans="1:22">
      <c r="A1125" t="s">
        <v>1803</v>
      </c>
      <c r="B1125" t="s">
        <v>1804</v>
      </c>
      <c r="C1125" s="1">
        <v>44368</v>
      </c>
      <c r="D1125" s="4">
        <v>109.94</v>
      </c>
      <c r="E1125">
        <v>40</v>
      </c>
      <c r="F1125" t="str">
        <f t="shared" si="68"/>
        <v>40's</v>
      </c>
      <c r="G1125" t="str" cm="1">
        <f t="array" ref="G1125">_xlfn.IFS(
  F1125="10's", "Child (5–12)",
  OR(F1125="20's", F1125="30's"), "Young Adult (20–39)",
  OR(F1125="40's", F1125="50's"), "Adult (40–59)",
  OR(F1125="60's", F1125="70's", F1125="80's", F1125="90's"), "Senior (60+)",
  TRUE, "Unknown"
)</f>
        <v>Adult (40–59)</v>
      </c>
      <c r="H1125" t="s">
        <v>778</v>
      </c>
      <c r="I1125" t="s">
        <v>54</v>
      </c>
      <c r="J1125" t="str">
        <f t="shared" si="69"/>
        <v>Environmental Heat</v>
      </c>
      <c r="K1125" t="s">
        <v>503</v>
      </c>
      <c r="L1125" t="s">
        <v>250</v>
      </c>
      <c r="M1125" t="s">
        <v>4656</v>
      </c>
      <c r="N1125" t="s">
        <v>5098</v>
      </c>
      <c r="O1125" t="str" cm="1">
        <f t="array" ref="O1125">_xlfn.IFS(
  TEXT(TRIM(N1125),"00000")="NULL", "Missing/Unknown",
  OR(TEXT(TRIM(N1125),"00000")="89101", TEXT(TRIM(N1125),"00000")="89104", TEXT(TRIM(N1125),"00000")="89106", TEXT(TRIM(N1125),"00000")="89102", TEXT(TRIM(N1125),"00000")="89107", TEXT(TRIM(N1125),"00000")="89108"), "Urban Core",
  OR(TEXT(TRIM(N1125),"00000")="89110", TEXT(TRIM(N1125),"00000")="89115", TEXT(TRIM(N1125),"00000")="89121", TEXT(TRIM(N1125),"00000")="89122", TEXT(TRIM(N1125),"00000")="89142", TEXT(TRIM(N1125),"00000")="89156"), "East Valley",
  OR(TEXT(TRIM(N1125),"00000")="89030", TEXT(TRIM(N1125),"00000")="89031", TEXT(TRIM(N1125),"00000")="89032", TEXT(TRIM(N1125),"00000")="89086", TEXT(TRIM(N1125),"00000")="89084", TEXT(TRIM(N1125),"00000")="89081"), "North LV",
  OR(TEXT(TRIM(N1125),"00000")="89109", TEXT(TRIM(N1125),"00000")="89103", TEXT(TRIM(N1125),"00000")="89119", TEXT(TRIM(N1125),"00000")="89123", TEXT(TRIM(N1125),"00000")="89169", TEXT(TRIM(N1125),"00000")="89118"), "South/Strip",
  OR(TEXT(TRIM(N1125),"00000")="89074", TEXT(TRIM(N1125),"00000")="89014", TEXT(TRIM(N1125),"00000")="89015", TEXT(TRIM(N1125),"00000")="89011", TEXT(TRIM(N1125),"00000")="89012"), "Suburban SE",
  OR(TEXT(TRIM(N1125),"00000")="89117", TEXT(TRIM(N1125),"00000")="89128", TEXT(TRIM(N1125),"00000")="89135", TEXT(TRIM(N1125),"00000")="89144", TEXT(TRIM(N1125),"00000")="89145", TEXT(TRIM(N1125),"00000")="89147"), "West Valley",
  TRUE, "Other"
)</f>
        <v>Urban Core</v>
      </c>
      <c r="P1125" t="s">
        <v>3298</v>
      </c>
      <c r="Q1125" t="str">
        <f t="shared" si="70"/>
        <v>Outdoors/Public</v>
      </c>
      <c r="R1125" t="s">
        <v>4656</v>
      </c>
      <c r="S1125" t="s">
        <v>5098</v>
      </c>
      <c r="T1125" t="str" cm="1">
        <f t="array" ref="T1125">_xlfn.IFS(
  TEXT(TRIM(S1125),"00000")="NULL", "Missing/Unknown",
  OR(TEXT(TRIM(S1125),"00000")="89101", TEXT(TRIM(S1125),"00000")="89104", TEXT(TRIM(S1125),"00000")="89106", TEXT(TRIM(S1125),"00000")="89102", TEXT(TRIM(S1125),"00000")="89107", TEXT(TRIM(S1125),"00000")="89108"), "Urban Core",
  OR(TEXT(TRIM(S1125),"00000")="89110", TEXT(TRIM(S1125),"00000")="89115", TEXT(TRIM(S1125),"00000")="89121", TEXT(TRIM(S1125),"00000")="89122", TEXT(TRIM(S1125),"00000")="89142", TEXT(TRIM(S1125),"00000")="89156"), "East Valley",
  OR(TEXT(TRIM(S1125),"00000")="89030", TEXT(TRIM(S1125),"00000")="89031", TEXT(TRIM(S1125),"00000")="89032", TEXT(TRIM(S1125),"00000")="89086", TEXT(TRIM(S1125),"00000")="89084", TEXT(TRIM(S1125),"00000")="89081"), "North LV",
  OR(TEXT(TRIM(S1125),"00000")="89109", TEXT(TRIM(S1125),"00000")="89103", TEXT(TRIM(S1125),"00000")="89119", TEXT(TRIM(S1125),"00000")="89123", TEXT(TRIM(S1125),"00000")="89169", TEXT(TRIM(S1125),"00000")="89118"), "South/Strip",
  OR(TEXT(TRIM(S1125),"00000")="89074", TEXT(TRIM(S1125),"00000")="89014", TEXT(TRIM(S1125),"00000")="89015", TEXT(TRIM(S1125),"00000")="89011", TEXT(TRIM(S1125),"00000")="89012"), "Suburban SE",
  OR(TEXT(TRIM(S1125),"00000")="89117", TEXT(TRIM(S1125),"00000")="89128", TEXT(TRIM(S1125),"00000")="89135", TEXT(TRIM(S1125),"00000")="89144", TEXT(TRIM(S1125),"00000")="89145", TEXT(TRIM(S1125),"00000")="89147"), "West Valley",
  TRUE, "Other"
)</f>
        <v>Urban Core</v>
      </c>
      <c r="U1125" t="s">
        <v>3298</v>
      </c>
      <c r="V1125" t="str">
        <f t="shared" si="71"/>
        <v>Outdoors/Public</v>
      </c>
    </row>
    <row r="1126" spans="1:22">
      <c r="A1126" t="s">
        <v>1798</v>
      </c>
      <c r="B1126" t="s">
        <v>1799</v>
      </c>
      <c r="C1126" s="1">
        <v>44368</v>
      </c>
      <c r="D1126" s="4">
        <v>109.94</v>
      </c>
      <c r="E1126">
        <v>65</v>
      </c>
      <c r="F1126" t="str">
        <f t="shared" si="68"/>
        <v>60's</v>
      </c>
      <c r="G1126" t="str" cm="1">
        <f t="array" ref="G1126">_xlfn.IFS(
  F1126="10's", "Child (5–12)",
  OR(F1126="20's", F1126="30's"), "Young Adult (20–39)",
  OR(F1126="40's", F1126="50's"), "Adult (40–59)",
  OR(F1126="60's", F1126="70's", F1126="80's", F1126="90's"), "Senior (60+)",
  TRUE, "Unknown"
)</f>
        <v>Senior (60+)</v>
      </c>
      <c r="H1126" t="s">
        <v>841</v>
      </c>
      <c r="I1126" t="s">
        <v>4129</v>
      </c>
      <c r="J1126" t="str">
        <f t="shared" si="69"/>
        <v>Other / Unknown</v>
      </c>
      <c r="K1126" t="s">
        <v>1801</v>
      </c>
      <c r="L1126" t="s">
        <v>250</v>
      </c>
      <c r="M1126" t="s">
        <v>4336</v>
      </c>
      <c r="N1126" t="s">
        <v>5101</v>
      </c>
      <c r="O1126" t="str" cm="1">
        <f t="array" ref="O1126">_xlfn.IFS(
  TEXT(TRIM(N1126),"00000")="NULL", "Missing/Unknown",
  OR(TEXT(TRIM(N1126),"00000")="89101", TEXT(TRIM(N1126),"00000")="89104", TEXT(TRIM(N1126),"00000")="89106", TEXT(TRIM(N1126),"00000")="89102", TEXT(TRIM(N1126),"00000")="89107", TEXT(TRIM(N1126),"00000")="89108"), "Urban Core",
  OR(TEXT(TRIM(N1126),"00000")="89110", TEXT(TRIM(N1126),"00000")="89115", TEXT(TRIM(N1126),"00000")="89121", TEXT(TRIM(N1126),"00000")="89122", TEXT(TRIM(N1126),"00000")="89142", TEXT(TRIM(N1126),"00000")="89156"), "East Valley",
  OR(TEXT(TRIM(N1126),"00000")="89030", TEXT(TRIM(N1126),"00000")="89031", TEXT(TRIM(N1126),"00000")="89032", TEXT(TRIM(N1126),"00000")="89086", TEXT(TRIM(N1126),"00000")="89084", TEXT(TRIM(N1126),"00000")="89081"), "North LV",
  OR(TEXT(TRIM(N1126),"00000")="89109", TEXT(TRIM(N1126),"00000")="89103", TEXT(TRIM(N1126),"00000")="89119", TEXT(TRIM(N1126),"00000")="89123", TEXT(TRIM(N1126),"00000")="89169", TEXT(TRIM(N1126),"00000")="89118"), "South/Strip",
  OR(TEXT(TRIM(N1126),"00000")="89074", TEXT(TRIM(N1126),"00000")="89014", TEXT(TRIM(N1126),"00000")="89015", TEXT(TRIM(N1126),"00000")="89011", TEXT(TRIM(N1126),"00000")="89012"), "Suburban SE",
  OR(TEXT(TRIM(N1126),"00000")="89117", TEXT(TRIM(N1126),"00000")="89128", TEXT(TRIM(N1126),"00000")="89135", TEXT(TRIM(N1126),"00000")="89144", TEXT(TRIM(N1126),"00000")="89145", TEXT(TRIM(N1126),"00000")="89147"), "West Valley",
  TRUE, "Other"
)</f>
        <v>Urban Core</v>
      </c>
      <c r="P1126" t="s">
        <v>3298</v>
      </c>
      <c r="Q1126" t="str">
        <f t="shared" si="70"/>
        <v>Outdoors/Public</v>
      </c>
      <c r="R1126" t="s">
        <v>4336</v>
      </c>
      <c r="S1126" t="s">
        <v>5101</v>
      </c>
      <c r="T1126" t="str" cm="1">
        <f t="array" ref="T1126">_xlfn.IFS(
  TEXT(TRIM(S1126),"00000")="NULL", "Missing/Unknown",
  OR(TEXT(TRIM(S1126),"00000")="89101", TEXT(TRIM(S1126),"00000")="89104", TEXT(TRIM(S1126),"00000")="89106", TEXT(TRIM(S1126),"00000")="89102", TEXT(TRIM(S1126),"00000")="89107", TEXT(TRIM(S1126),"00000")="89108"), "Urban Core",
  OR(TEXT(TRIM(S1126),"00000")="89110", TEXT(TRIM(S1126),"00000")="89115", TEXT(TRIM(S1126),"00000")="89121", TEXT(TRIM(S1126),"00000")="89122", TEXT(TRIM(S1126),"00000")="89142", TEXT(TRIM(S1126),"00000")="89156"), "East Valley",
  OR(TEXT(TRIM(S1126),"00000")="89030", TEXT(TRIM(S1126),"00000")="89031", TEXT(TRIM(S1126),"00000")="89032", TEXT(TRIM(S1126),"00000")="89086", TEXT(TRIM(S1126),"00000")="89084", TEXT(TRIM(S1126),"00000")="89081"), "North LV",
  OR(TEXT(TRIM(S1126),"00000")="89109", TEXT(TRIM(S1126),"00000")="89103", TEXT(TRIM(S1126),"00000")="89119", TEXT(TRIM(S1126),"00000")="89123", TEXT(TRIM(S1126),"00000")="89169", TEXT(TRIM(S1126),"00000")="89118"), "South/Strip",
  OR(TEXT(TRIM(S1126),"00000")="89074", TEXT(TRIM(S1126),"00000")="89014", TEXT(TRIM(S1126),"00000")="89015", TEXT(TRIM(S1126),"00000")="89011", TEXT(TRIM(S1126),"00000")="89012"), "Suburban SE",
  OR(TEXT(TRIM(S1126),"00000")="89117", TEXT(TRIM(S1126),"00000")="89128", TEXT(TRIM(S1126),"00000")="89135", TEXT(TRIM(S1126),"00000")="89144", TEXT(TRIM(S1126),"00000")="89145", TEXT(TRIM(S1126),"00000")="89147"), "West Valley",
  TRUE, "Other"
)</f>
        <v>Urban Core</v>
      </c>
      <c r="U1126" t="s">
        <v>3298</v>
      </c>
      <c r="V1126" t="str">
        <f t="shared" si="71"/>
        <v>Outdoors/Public</v>
      </c>
    </row>
    <row r="1127" spans="1:22">
      <c r="A1127" t="s">
        <v>1774</v>
      </c>
      <c r="B1127" t="s">
        <v>1775</v>
      </c>
      <c r="C1127" s="1">
        <v>44367</v>
      </c>
      <c r="D1127" s="4">
        <v>114.08</v>
      </c>
      <c r="E1127">
        <v>72</v>
      </c>
      <c r="F1127" t="str">
        <f t="shared" si="68"/>
        <v>70's</v>
      </c>
      <c r="G1127" t="str" cm="1">
        <f t="array" ref="G1127">_xlfn.IFS(
  F1127="10's", "Child (5–12)",
  OR(F1127="20's", F1127="30's"), "Young Adult (20–39)",
  OR(F1127="40's", F1127="50's"), "Adult (40–59)",
  OR(F1127="60's", F1127="70's", F1127="80's", F1127="90's"), "Senior (60+)",
  TRUE, "Unknown"
)</f>
        <v>Senior (60+)</v>
      </c>
      <c r="H1127" t="s">
        <v>841</v>
      </c>
      <c r="I1127" t="s">
        <v>54</v>
      </c>
      <c r="J1127" t="str">
        <f t="shared" si="69"/>
        <v>Environmental Heat</v>
      </c>
      <c r="K1127" t="s">
        <v>315</v>
      </c>
      <c r="L1127" t="s">
        <v>1071</v>
      </c>
      <c r="M1127" t="s">
        <v>4488</v>
      </c>
      <c r="N1127" t="s">
        <v>5101</v>
      </c>
      <c r="O1127" t="str" cm="1">
        <f t="array" ref="O1127">_xlfn.IFS(
  TEXT(TRIM(N1127),"00000")="NULL", "Missing/Unknown",
  OR(TEXT(TRIM(N1127),"00000")="89101", TEXT(TRIM(N1127),"00000")="89104", TEXT(TRIM(N1127),"00000")="89106", TEXT(TRIM(N1127),"00000")="89102", TEXT(TRIM(N1127),"00000")="89107", TEXT(TRIM(N1127),"00000")="89108"), "Urban Core",
  OR(TEXT(TRIM(N1127),"00000")="89110", TEXT(TRIM(N1127),"00000")="89115", TEXT(TRIM(N1127),"00000")="89121", TEXT(TRIM(N1127),"00000")="89122", TEXT(TRIM(N1127),"00000")="89142", TEXT(TRIM(N1127),"00000")="89156"), "East Valley",
  OR(TEXT(TRIM(N1127),"00000")="89030", TEXT(TRIM(N1127),"00000")="89031", TEXT(TRIM(N1127),"00000")="89032", TEXT(TRIM(N1127),"00000")="89086", TEXT(TRIM(N1127),"00000")="89084", TEXT(TRIM(N1127),"00000")="89081"), "North LV",
  OR(TEXT(TRIM(N1127),"00000")="89109", TEXT(TRIM(N1127),"00000")="89103", TEXT(TRIM(N1127),"00000")="89119", TEXT(TRIM(N1127),"00000")="89123", TEXT(TRIM(N1127),"00000")="89169", TEXT(TRIM(N1127),"00000")="89118"), "South/Strip",
  OR(TEXT(TRIM(N1127),"00000")="89074", TEXT(TRIM(N1127),"00000")="89014", TEXT(TRIM(N1127),"00000")="89015", TEXT(TRIM(N1127),"00000")="89011", TEXT(TRIM(N1127),"00000")="89012"), "Suburban SE",
  OR(TEXT(TRIM(N1127),"00000")="89117", TEXT(TRIM(N1127),"00000")="89128", TEXT(TRIM(N1127),"00000")="89135", TEXT(TRIM(N1127),"00000")="89144", TEXT(TRIM(N1127),"00000")="89145", TEXT(TRIM(N1127),"00000")="89147"), "West Valley",
  TRUE, "Other"
)</f>
        <v>Urban Core</v>
      </c>
      <c r="P1127" t="s">
        <v>38</v>
      </c>
      <c r="Q1127" t="str">
        <f t="shared" si="70"/>
        <v>Home/Residence</v>
      </c>
      <c r="R1127" t="s">
        <v>4488</v>
      </c>
      <c r="S1127" t="s">
        <v>5101</v>
      </c>
      <c r="T1127" t="str" cm="1">
        <f t="array" ref="T1127">_xlfn.IFS(
  TEXT(TRIM(S1127),"00000")="NULL", "Missing/Unknown",
  OR(TEXT(TRIM(S1127),"00000")="89101", TEXT(TRIM(S1127),"00000")="89104", TEXT(TRIM(S1127),"00000")="89106", TEXT(TRIM(S1127),"00000")="89102", TEXT(TRIM(S1127),"00000")="89107", TEXT(TRIM(S1127),"00000")="89108"), "Urban Core",
  OR(TEXT(TRIM(S1127),"00000")="89110", TEXT(TRIM(S1127),"00000")="89115", TEXT(TRIM(S1127),"00000")="89121", TEXT(TRIM(S1127),"00000")="89122", TEXT(TRIM(S1127),"00000")="89142", TEXT(TRIM(S1127),"00000")="89156"), "East Valley",
  OR(TEXT(TRIM(S1127),"00000")="89030", TEXT(TRIM(S1127),"00000")="89031", TEXT(TRIM(S1127),"00000")="89032", TEXT(TRIM(S1127),"00000")="89086", TEXT(TRIM(S1127),"00000")="89084", TEXT(TRIM(S1127),"00000")="89081"), "North LV",
  OR(TEXT(TRIM(S1127),"00000")="89109", TEXT(TRIM(S1127),"00000")="89103", TEXT(TRIM(S1127),"00000")="89119", TEXT(TRIM(S1127),"00000")="89123", TEXT(TRIM(S1127),"00000")="89169", TEXT(TRIM(S1127),"00000")="89118"), "South/Strip",
  OR(TEXT(TRIM(S1127),"00000")="89074", TEXT(TRIM(S1127),"00000")="89014", TEXT(TRIM(S1127),"00000")="89015", TEXT(TRIM(S1127),"00000")="89011", TEXT(TRIM(S1127),"00000")="89012"), "Suburban SE",
  OR(TEXT(TRIM(S1127),"00000")="89117", TEXT(TRIM(S1127),"00000")="89128", TEXT(TRIM(S1127),"00000")="89135", TEXT(TRIM(S1127),"00000")="89144", TEXT(TRIM(S1127),"00000")="89145", TEXT(TRIM(S1127),"00000")="89147"), "West Valley",
  TRUE, "Other"
)</f>
        <v>Urban Core</v>
      </c>
      <c r="U1127" t="s">
        <v>38</v>
      </c>
      <c r="V1127" t="str">
        <f t="shared" si="71"/>
        <v>Home/Residence</v>
      </c>
    </row>
    <row r="1128" spans="1:22">
      <c r="A1128" t="s">
        <v>1784</v>
      </c>
      <c r="B1128" t="s">
        <v>1785</v>
      </c>
      <c r="C1128" s="1">
        <v>44367</v>
      </c>
      <c r="D1128" s="4">
        <v>114.08</v>
      </c>
      <c r="E1128">
        <v>46</v>
      </c>
      <c r="F1128" t="str">
        <f t="shared" si="68"/>
        <v>40's</v>
      </c>
      <c r="G1128" t="str" cm="1">
        <f t="array" ref="G1128">_xlfn.IFS(
  F1128="10's", "Child (5–12)",
  OR(F1128="20's", F1128="30's"), "Young Adult (20–39)",
  OR(F1128="40's", F1128="50's"), "Adult (40–59)",
  OR(F1128="60's", F1128="70's", F1128="80's", F1128="90's"), "Senior (60+)",
  TRUE, "Unknown"
)</f>
        <v>Adult (40–59)</v>
      </c>
      <c r="H1128" t="s">
        <v>841</v>
      </c>
      <c r="I1128" t="s">
        <v>461</v>
      </c>
      <c r="J1128" t="str">
        <f t="shared" si="69"/>
        <v>Dehydration / Electrolyte</v>
      </c>
      <c r="K1128" t="s">
        <v>54</v>
      </c>
      <c r="L1128" t="s">
        <v>250</v>
      </c>
      <c r="M1128" t="s">
        <v>4719</v>
      </c>
      <c r="N1128" t="s">
        <v>5136</v>
      </c>
      <c r="O1128" t="str" cm="1">
        <f t="array" ref="O1128">_xlfn.IFS(
  TEXT(TRIM(N1128),"00000")="NULL", "Missing/Unknown",
  OR(TEXT(TRIM(N1128),"00000")="89101", TEXT(TRIM(N1128),"00000")="89104", TEXT(TRIM(N1128),"00000")="89106", TEXT(TRIM(N1128),"00000")="89102", TEXT(TRIM(N1128),"00000")="89107", TEXT(TRIM(N1128),"00000")="89108"), "Urban Core",
  OR(TEXT(TRIM(N1128),"00000")="89110", TEXT(TRIM(N1128),"00000")="89115", TEXT(TRIM(N1128),"00000")="89121", TEXT(TRIM(N1128),"00000")="89122", TEXT(TRIM(N1128),"00000")="89142", TEXT(TRIM(N1128),"00000")="89156"), "East Valley",
  OR(TEXT(TRIM(N1128),"00000")="89030", TEXT(TRIM(N1128),"00000")="89031", TEXT(TRIM(N1128),"00000")="89032", TEXT(TRIM(N1128),"00000")="89086", TEXT(TRIM(N1128),"00000")="89084", TEXT(TRIM(N1128),"00000")="89081"), "North LV",
  OR(TEXT(TRIM(N1128),"00000")="89109", TEXT(TRIM(N1128),"00000")="89103", TEXT(TRIM(N1128),"00000")="89119", TEXT(TRIM(N1128),"00000")="89123", TEXT(TRIM(N1128),"00000")="89169", TEXT(TRIM(N1128),"00000")="89118"), "South/Strip",
  OR(TEXT(TRIM(N1128),"00000")="89074", TEXT(TRIM(N1128),"00000")="89014", TEXT(TRIM(N1128),"00000")="89015", TEXT(TRIM(N1128),"00000")="89011", TEXT(TRIM(N1128),"00000")="89012"), "Suburban SE",
  OR(TEXT(TRIM(N1128),"00000")="89117", TEXT(TRIM(N1128),"00000")="89128", TEXT(TRIM(N1128),"00000")="89135", TEXT(TRIM(N1128),"00000")="89144", TEXT(TRIM(N1128),"00000")="89145", TEXT(TRIM(N1128),"00000")="89147"), "West Valley",
  TRUE, "Other"
)</f>
        <v>Other</v>
      </c>
      <c r="P1128" t="s">
        <v>3298</v>
      </c>
      <c r="Q1128" t="str">
        <f t="shared" si="70"/>
        <v>Outdoors/Public</v>
      </c>
      <c r="R1128" t="s">
        <v>4719</v>
      </c>
      <c r="S1128" t="s">
        <v>5136</v>
      </c>
      <c r="T1128" t="str" cm="1">
        <f t="array" ref="T1128">_xlfn.IFS(
  TEXT(TRIM(S1128),"00000")="NULL", "Missing/Unknown",
  OR(TEXT(TRIM(S1128),"00000")="89101", TEXT(TRIM(S1128),"00000")="89104", TEXT(TRIM(S1128),"00000")="89106", TEXT(TRIM(S1128),"00000")="89102", TEXT(TRIM(S1128),"00000")="89107", TEXT(TRIM(S1128),"00000")="89108"), "Urban Core",
  OR(TEXT(TRIM(S1128),"00000")="89110", TEXT(TRIM(S1128),"00000")="89115", TEXT(TRIM(S1128),"00000")="89121", TEXT(TRIM(S1128),"00000")="89122", TEXT(TRIM(S1128),"00000")="89142", TEXT(TRIM(S1128),"00000")="89156"), "East Valley",
  OR(TEXT(TRIM(S1128),"00000")="89030", TEXT(TRIM(S1128),"00000")="89031", TEXT(TRIM(S1128),"00000")="89032", TEXT(TRIM(S1128),"00000")="89086", TEXT(TRIM(S1128),"00000")="89084", TEXT(TRIM(S1128),"00000")="89081"), "North LV",
  OR(TEXT(TRIM(S1128),"00000")="89109", TEXT(TRIM(S1128),"00000")="89103", TEXT(TRIM(S1128),"00000")="89119", TEXT(TRIM(S1128),"00000")="89123", TEXT(TRIM(S1128),"00000")="89169", TEXT(TRIM(S1128),"00000")="89118"), "South/Strip",
  OR(TEXT(TRIM(S1128),"00000")="89074", TEXT(TRIM(S1128),"00000")="89014", TEXT(TRIM(S1128),"00000")="89015", TEXT(TRIM(S1128),"00000")="89011", TEXT(TRIM(S1128),"00000")="89012"), "Suburban SE",
  OR(TEXT(TRIM(S1128),"00000")="89117", TEXT(TRIM(S1128),"00000")="89128", TEXT(TRIM(S1128),"00000")="89135", TEXT(TRIM(S1128),"00000")="89144", TEXT(TRIM(S1128),"00000")="89145", TEXT(TRIM(S1128),"00000")="89147"), "West Valley",
  TRUE, "Other"
)</f>
        <v>Other</v>
      </c>
      <c r="U1128" t="s">
        <v>3298</v>
      </c>
      <c r="V1128" t="str">
        <f t="shared" si="71"/>
        <v>Outdoors/Public</v>
      </c>
    </row>
    <row r="1129" spans="1:22">
      <c r="A1129" t="s">
        <v>1787</v>
      </c>
      <c r="B1129" t="s">
        <v>1788</v>
      </c>
      <c r="C1129" s="1">
        <v>44367</v>
      </c>
      <c r="D1129" s="4">
        <v>114.08</v>
      </c>
      <c r="E1129">
        <v>89</v>
      </c>
      <c r="F1129" t="str">
        <f t="shared" si="68"/>
        <v>80's</v>
      </c>
      <c r="G1129" t="str" cm="1">
        <f t="array" ref="G1129">_xlfn.IFS(
  F1129="10's", "Child (5–12)",
  OR(F1129="20's", F1129="30's"), "Young Adult (20–39)",
  OR(F1129="40's", F1129="50's"), "Adult (40–59)",
  OR(F1129="60's", F1129="70's", F1129="80's", F1129="90's"), "Senior (60+)",
  TRUE, "Unknown"
)</f>
        <v>Senior (60+)</v>
      </c>
      <c r="H1129" t="s">
        <v>27</v>
      </c>
      <c r="I1129" t="s">
        <v>63</v>
      </c>
      <c r="J1129" t="str">
        <f t="shared" si="69"/>
        <v>Cardiovascular Disease</v>
      </c>
      <c r="K1129" t="s">
        <v>1696</v>
      </c>
      <c r="L1129" t="s">
        <v>1071</v>
      </c>
      <c r="M1129" t="s">
        <v>4491</v>
      </c>
      <c r="N1129" t="s">
        <v>5142</v>
      </c>
      <c r="O1129" t="str" cm="1">
        <f t="array" ref="O1129">_xlfn.IFS(
  TEXT(TRIM(N1129),"00000")="NULL", "Missing/Unknown",
  OR(TEXT(TRIM(N1129),"00000")="89101", TEXT(TRIM(N1129),"00000")="89104", TEXT(TRIM(N1129),"00000")="89106", TEXT(TRIM(N1129),"00000")="89102", TEXT(TRIM(N1129),"00000")="89107", TEXT(TRIM(N1129),"00000")="89108"), "Urban Core",
  OR(TEXT(TRIM(N1129),"00000")="89110", TEXT(TRIM(N1129),"00000")="89115", TEXT(TRIM(N1129),"00000")="89121", TEXT(TRIM(N1129),"00000")="89122", TEXT(TRIM(N1129),"00000")="89142", TEXT(TRIM(N1129),"00000")="89156"), "East Valley",
  OR(TEXT(TRIM(N1129),"00000")="89030", TEXT(TRIM(N1129),"00000")="89031", TEXT(TRIM(N1129),"00000")="89032", TEXT(TRIM(N1129),"00000")="89086", TEXT(TRIM(N1129),"00000")="89084", TEXT(TRIM(N1129),"00000")="89081"), "North LV",
  OR(TEXT(TRIM(N1129),"00000")="89109", TEXT(TRIM(N1129),"00000")="89103", TEXT(TRIM(N1129),"00000")="89119", TEXT(TRIM(N1129),"00000")="89123", TEXT(TRIM(N1129),"00000")="89169", TEXT(TRIM(N1129),"00000")="89118"), "South/Strip",
  OR(TEXT(TRIM(N1129),"00000")="89074", TEXT(TRIM(N1129),"00000")="89014", TEXT(TRIM(N1129),"00000")="89015", TEXT(TRIM(N1129),"00000")="89011", TEXT(TRIM(N1129),"00000")="89012"), "Suburban SE",
  OR(TEXT(TRIM(N1129),"00000")="89117", TEXT(TRIM(N1129),"00000")="89128", TEXT(TRIM(N1129),"00000")="89135", TEXT(TRIM(N1129),"00000")="89144", TEXT(TRIM(N1129),"00000")="89145", TEXT(TRIM(N1129),"00000")="89147"), "West Valley",
  TRUE, "Other"
)</f>
        <v>Suburban SE</v>
      </c>
      <c r="P1129" t="s">
        <v>38</v>
      </c>
      <c r="Q1129" t="str">
        <f t="shared" si="70"/>
        <v>Home/Residence</v>
      </c>
      <c r="R1129" t="s">
        <v>4491</v>
      </c>
      <c r="S1129" t="s">
        <v>5142</v>
      </c>
      <c r="T1129" t="str" cm="1">
        <f t="array" ref="T1129">_xlfn.IFS(
  TEXT(TRIM(S1129),"00000")="NULL", "Missing/Unknown",
  OR(TEXT(TRIM(S1129),"00000")="89101", TEXT(TRIM(S1129),"00000")="89104", TEXT(TRIM(S1129),"00000")="89106", TEXT(TRIM(S1129),"00000")="89102", TEXT(TRIM(S1129),"00000")="89107", TEXT(TRIM(S1129),"00000")="89108"), "Urban Core",
  OR(TEXT(TRIM(S1129),"00000")="89110", TEXT(TRIM(S1129),"00000")="89115", TEXT(TRIM(S1129),"00000")="89121", TEXT(TRIM(S1129),"00000")="89122", TEXT(TRIM(S1129),"00000")="89142", TEXT(TRIM(S1129),"00000")="89156"), "East Valley",
  OR(TEXT(TRIM(S1129),"00000")="89030", TEXT(TRIM(S1129),"00000")="89031", TEXT(TRIM(S1129),"00000")="89032", TEXT(TRIM(S1129),"00000")="89086", TEXT(TRIM(S1129),"00000")="89084", TEXT(TRIM(S1129),"00000")="89081"), "North LV",
  OR(TEXT(TRIM(S1129),"00000")="89109", TEXT(TRIM(S1129),"00000")="89103", TEXT(TRIM(S1129),"00000")="89119", TEXT(TRIM(S1129),"00000")="89123", TEXT(TRIM(S1129),"00000")="89169", TEXT(TRIM(S1129),"00000")="89118"), "South/Strip",
  OR(TEXT(TRIM(S1129),"00000")="89074", TEXT(TRIM(S1129),"00000")="89014", TEXT(TRIM(S1129),"00000")="89015", TEXT(TRIM(S1129),"00000")="89011", TEXT(TRIM(S1129),"00000")="89012"), "Suburban SE",
  OR(TEXT(TRIM(S1129),"00000")="89117", TEXT(TRIM(S1129),"00000")="89128", TEXT(TRIM(S1129),"00000")="89135", TEXT(TRIM(S1129),"00000")="89144", TEXT(TRIM(S1129),"00000")="89145", TEXT(TRIM(S1129),"00000")="89147"), "West Valley",
  TRUE, "Other"
)</f>
        <v>Suburban SE</v>
      </c>
      <c r="U1129" t="s">
        <v>38</v>
      </c>
      <c r="V1129" t="str">
        <f t="shared" si="71"/>
        <v>Home/Residence</v>
      </c>
    </row>
    <row r="1130" spans="1:22">
      <c r="A1130" t="s">
        <v>1777</v>
      </c>
      <c r="B1130" t="s">
        <v>1778</v>
      </c>
      <c r="C1130" s="1">
        <v>44367</v>
      </c>
      <c r="D1130" s="4">
        <v>114.08</v>
      </c>
      <c r="E1130">
        <v>98</v>
      </c>
      <c r="F1130" t="str">
        <f t="shared" si="68"/>
        <v>90's</v>
      </c>
      <c r="G1130" t="str" cm="1">
        <f t="array" ref="G1130">_xlfn.IFS(
  F1130="10's", "Child (5–12)",
  OR(F1130="20's", F1130="30's"), "Young Adult (20–39)",
  OR(F1130="40's", F1130="50's"), "Adult (40–59)",
  OR(F1130="60's", F1130="70's", F1130="80's", F1130="90's"), "Senior (60+)",
  TRUE, "Unknown"
)</f>
        <v>Senior (60+)</v>
      </c>
      <c r="H1130" t="s">
        <v>841</v>
      </c>
      <c r="I1130" t="s">
        <v>54</v>
      </c>
      <c r="J1130" t="str">
        <f t="shared" si="69"/>
        <v>Environmental Heat</v>
      </c>
      <c r="K1130" t="s">
        <v>28</v>
      </c>
      <c r="L1130" t="s">
        <v>1071</v>
      </c>
      <c r="M1130" t="s">
        <v>4489</v>
      </c>
      <c r="N1130" t="s">
        <v>5115</v>
      </c>
      <c r="O1130" t="str" cm="1">
        <f t="array" ref="O1130">_xlfn.IFS(
  TEXT(TRIM(N1130),"00000")="NULL", "Missing/Unknown",
  OR(TEXT(TRIM(N1130),"00000")="89101", TEXT(TRIM(N1130),"00000")="89104", TEXT(TRIM(N1130),"00000")="89106", TEXT(TRIM(N1130),"00000")="89102", TEXT(TRIM(N1130),"00000")="89107", TEXT(TRIM(N1130),"00000")="89108"), "Urban Core",
  OR(TEXT(TRIM(N1130),"00000")="89110", TEXT(TRIM(N1130),"00000")="89115", TEXT(TRIM(N1130),"00000")="89121", TEXT(TRIM(N1130),"00000")="89122", TEXT(TRIM(N1130),"00000")="89142", TEXT(TRIM(N1130),"00000")="89156"), "East Valley",
  OR(TEXT(TRIM(N1130),"00000")="89030", TEXT(TRIM(N1130),"00000")="89031", TEXT(TRIM(N1130),"00000")="89032", TEXT(TRIM(N1130),"00000")="89086", TEXT(TRIM(N1130),"00000")="89084", TEXT(TRIM(N1130),"00000")="89081"), "North LV",
  OR(TEXT(TRIM(N1130),"00000")="89109", TEXT(TRIM(N1130),"00000")="89103", TEXT(TRIM(N1130),"00000")="89119", TEXT(TRIM(N1130),"00000")="89123", TEXT(TRIM(N1130),"00000")="89169", TEXT(TRIM(N1130),"00000")="89118"), "South/Strip",
  OR(TEXT(TRIM(N1130),"00000")="89074", TEXT(TRIM(N1130),"00000")="89014", TEXT(TRIM(N1130),"00000")="89015", TEXT(TRIM(N1130),"00000")="89011", TEXT(TRIM(N1130),"00000")="89012"), "Suburban SE",
  OR(TEXT(TRIM(N1130),"00000")="89117", TEXT(TRIM(N1130),"00000")="89128", TEXT(TRIM(N1130),"00000")="89135", TEXT(TRIM(N1130),"00000")="89144", TEXT(TRIM(N1130),"00000")="89145", TEXT(TRIM(N1130),"00000")="89147"), "West Valley",
  TRUE, "Other"
)</f>
        <v>Other</v>
      </c>
      <c r="P1130" t="s">
        <v>38</v>
      </c>
      <c r="Q1130" t="str">
        <f t="shared" si="70"/>
        <v>Home/Residence</v>
      </c>
      <c r="R1130" t="s">
        <v>4489</v>
      </c>
      <c r="S1130" t="s">
        <v>5115</v>
      </c>
      <c r="T1130" t="str" cm="1">
        <f t="array" ref="T1130">_xlfn.IFS(
  TEXT(TRIM(S1130),"00000")="NULL", "Missing/Unknown",
  OR(TEXT(TRIM(S1130),"00000")="89101", TEXT(TRIM(S1130),"00000")="89104", TEXT(TRIM(S1130),"00000")="89106", TEXT(TRIM(S1130),"00000")="89102", TEXT(TRIM(S1130),"00000")="89107", TEXT(TRIM(S1130),"00000")="89108"), "Urban Core",
  OR(TEXT(TRIM(S1130),"00000")="89110", TEXT(TRIM(S1130),"00000")="89115", TEXT(TRIM(S1130),"00000")="89121", TEXT(TRIM(S1130),"00000")="89122", TEXT(TRIM(S1130),"00000")="89142", TEXT(TRIM(S1130),"00000")="89156"), "East Valley",
  OR(TEXT(TRIM(S1130),"00000")="89030", TEXT(TRIM(S1130),"00000")="89031", TEXT(TRIM(S1130),"00000")="89032", TEXT(TRIM(S1130),"00000")="89086", TEXT(TRIM(S1130),"00000")="89084", TEXT(TRIM(S1130),"00000")="89081"), "North LV",
  OR(TEXT(TRIM(S1130),"00000")="89109", TEXT(TRIM(S1130),"00000")="89103", TEXT(TRIM(S1130),"00000")="89119", TEXT(TRIM(S1130),"00000")="89123", TEXT(TRIM(S1130),"00000")="89169", TEXT(TRIM(S1130),"00000")="89118"), "South/Strip",
  OR(TEXT(TRIM(S1130),"00000")="89074", TEXT(TRIM(S1130),"00000")="89014", TEXT(TRIM(S1130),"00000")="89015", TEXT(TRIM(S1130),"00000")="89011", TEXT(TRIM(S1130),"00000")="89012"), "Suburban SE",
  OR(TEXT(TRIM(S1130),"00000")="89117", TEXT(TRIM(S1130),"00000")="89128", TEXT(TRIM(S1130),"00000")="89135", TEXT(TRIM(S1130),"00000")="89144", TEXT(TRIM(S1130),"00000")="89145", TEXT(TRIM(S1130),"00000")="89147"), "West Valley",
  TRUE, "Other"
)</f>
        <v>Other</v>
      </c>
      <c r="U1130" t="s">
        <v>38</v>
      </c>
      <c r="V1130" t="str">
        <f t="shared" si="71"/>
        <v>Home/Residence</v>
      </c>
    </row>
    <row r="1131" spans="1:22">
      <c r="A1131" t="s">
        <v>1770</v>
      </c>
      <c r="B1131" t="s">
        <v>1771</v>
      </c>
      <c r="C1131" s="1">
        <v>44367</v>
      </c>
      <c r="D1131" s="4">
        <v>114.08</v>
      </c>
      <c r="E1131">
        <v>61</v>
      </c>
      <c r="F1131" t="str">
        <f t="shared" si="68"/>
        <v>60's</v>
      </c>
      <c r="G1131" t="str" cm="1">
        <f t="array" ref="G1131">_xlfn.IFS(
  F1131="10's", "Child (5–12)",
  OR(F1131="20's", F1131="30's"), "Young Adult (20–39)",
  OR(F1131="40's", F1131="50's"), "Adult (40–59)",
  OR(F1131="60's", F1131="70's", F1131="80's", F1131="90's"), "Senior (60+)",
  TRUE, "Unknown"
)</f>
        <v>Senior (60+)</v>
      </c>
      <c r="H1131" t="s">
        <v>778</v>
      </c>
      <c r="I1131" t="s">
        <v>1772</v>
      </c>
      <c r="J1131" t="str">
        <f t="shared" si="69"/>
        <v>Mixed Drug Toxicity</v>
      </c>
      <c r="K1131" t="s">
        <v>54</v>
      </c>
      <c r="L1131" t="s">
        <v>250</v>
      </c>
      <c r="M1131" t="s">
        <v>4861</v>
      </c>
      <c r="N1131" t="s">
        <v>5097</v>
      </c>
      <c r="O1131" t="str" cm="1">
        <f t="array" ref="O1131">_xlfn.IFS(
  TEXT(TRIM(N1131),"00000")="NULL", "Missing/Unknown",
  OR(TEXT(TRIM(N1131),"00000")="89101", TEXT(TRIM(N1131),"00000")="89104", TEXT(TRIM(N1131),"00000")="89106", TEXT(TRIM(N1131),"00000")="89102", TEXT(TRIM(N1131),"00000")="89107", TEXT(TRIM(N1131),"00000")="89108"), "Urban Core",
  OR(TEXT(TRIM(N1131),"00000")="89110", TEXT(TRIM(N1131),"00000")="89115", TEXT(TRIM(N1131),"00000")="89121", TEXT(TRIM(N1131),"00000")="89122", TEXT(TRIM(N1131),"00000")="89142", TEXT(TRIM(N1131),"00000")="89156"), "East Valley",
  OR(TEXT(TRIM(N1131),"00000")="89030", TEXT(TRIM(N1131),"00000")="89031", TEXT(TRIM(N1131),"00000")="89032", TEXT(TRIM(N1131),"00000")="89086", TEXT(TRIM(N1131),"00000")="89084", TEXT(TRIM(N1131),"00000")="89081"), "North LV",
  OR(TEXT(TRIM(N1131),"00000")="89109", TEXT(TRIM(N1131),"00000")="89103", TEXT(TRIM(N1131),"00000")="89119", TEXT(TRIM(N1131),"00000")="89123", TEXT(TRIM(N1131),"00000")="89169", TEXT(TRIM(N1131),"00000")="89118"), "South/Strip",
  OR(TEXT(TRIM(N1131),"00000")="89074", TEXT(TRIM(N1131),"00000")="89014", TEXT(TRIM(N1131),"00000")="89015", TEXT(TRIM(N1131),"00000")="89011", TEXT(TRIM(N1131),"00000")="89012"), "Suburban SE",
  OR(TEXT(TRIM(N1131),"00000")="89117", TEXT(TRIM(N1131),"00000")="89128", TEXT(TRIM(N1131),"00000")="89135", TEXT(TRIM(N1131),"00000")="89144", TEXT(TRIM(N1131),"00000")="89145", TEXT(TRIM(N1131),"00000")="89147"), "West Valley",
  TRUE, "Other"
)</f>
        <v>Urban Core</v>
      </c>
      <c r="P1131" t="s">
        <v>3298</v>
      </c>
      <c r="Q1131" t="str">
        <f t="shared" si="70"/>
        <v>Outdoors/Public</v>
      </c>
      <c r="R1131" t="s">
        <v>4861</v>
      </c>
      <c r="S1131" t="s">
        <v>5097</v>
      </c>
      <c r="T1131" t="str" cm="1">
        <f t="array" ref="T1131">_xlfn.IFS(
  TEXT(TRIM(S1131),"00000")="NULL", "Missing/Unknown",
  OR(TEXT(TRIM(S1131),"00000")="89101", TEXT(TRIM(S1131),"00000")="89104", TEXT(TRIM(S1131),"00000")="89106", TEXT(TRIM(S1131),"00000")="89102", TEXT(TRIM(S1131),"00000")="89107", TEXT(TRIM(S1131),"00000")="89108"), "Urban Core",
  OR(TEXT(TRIM(S1131),"00000")="89110", TEXT(TRIM(S1131),"00000")="89115", TEXT(TRIM(S1131),"00000")="89121", TEXT(TRIM(S1131),"00000")="89122", TEXT(TRIM(S1131),"00000")="89142", TEXT(TRIM(S1131),"00000")="89156"), "East Valley",
  OR(TEXT(TRIM(S1131),"00000")="89030", TEXT(TRIM(S1131),"00000")="89031", TEXT(TRIM(S1131),"00000")="89032", TEXT(TRIM(S1131),"00000")="89086", TEXT(TRIM(S1131),"00000")="89084", TEXT(TRIM(S1131),"00000")="89081"), "North LV",
  OR(TEXT(TRIM(S1131),"00000")="89109", TEXT(TRIM(S1131),"00000")="89103", TEXT(TRIM(S1131),"00000")="89119", TEXT(TRIM(S1131),"00000")="89123", TEXT(TRIM(S1131),"00000")="89169", TEXT(TRIM(S1131),"00000")="89118"), "South/Strip",
  OR(TEXT(TRIM(S1131),"00000")="89074", TEXT(TRIM(S1131),"00000")="89014", TEXT(TRIM(S1131),"00000")="89015", TEXT(TRIM(S1131),"00000")="89011", TEXT(TRIM(S1131),"00000")="89012"), "Suburban SE",
  OR(TEXT(TRIM(S1131),"00000")="89117", TEXT(TRIM(S1131),"00000")="89128", TEXT(TRIM(S1131),"00000")="89135", TEXT(TRIM(S1131),"00000")="89144", TEXT(TRIM(S1131),"00000")="89145", TEXT(TRIM(S1131),"00000")="89147"), "West Valley",
  TRUE, "Other"
)</f>
        <v>Urban Core</v>
      </c>
      <c r="U1131" t="s">
        <v>3298</v>
      </c>
      <c r="V1131" t="str">
        <f t="shared" si="71"/>
        <v>Outdoors/Public</v>
      </c>
    </row>
    <row r="1132" spans="1:22">
      <c r="A1132" t="s">
        <v>1790</v>
      </c>
      <c r="B1132" t="s">
        <v>1791</v>
      </c>
      <c r="C1132" s="1">
        <v>44367</v>
      </c>
      <c r="D1132" s="4">
        <v>114.08</v>
      </c>
      <c r="E1132">
        <v>71</v>
      </c>
      <c r="F1132" t="str">
        <f t="shared" si="68"/>
        <v>70's</v>
      </c>
      <c r="G1132" t="str" cm="1">
        <f t="array" ref="G1132">_xlfn.IFS(
  F1132="10's", "Child (5–12)",
  OR(F1132="20's", F1132="30's"), "Young Adult (20–39)",
  OR(F1132="40's", F1132="50's"), "Adult (40–59)",
  OR(F1132="60's", F1132="70's", F1132="80's", F1132="90's"), "Senior (60+)",
  TRUE, "Unknown"
)</f>
        <v>Senior (60+)</v>
      </c>
      <c r="H1132" t="s">
        <v>4310</v>
      </c>
      <c r="I1132" t="s">
        <v>54</v>
      </c>
      <c r="J1132" t="str">
        <f t="shared" si="69"/>
        <v>Environmental Heat</v>
      </c>
      <c r="K1132" t="s">
        <v>4274</v>
      </c>
      <c r="L1132" t="s">
        <v>1071</v>
      </c>
      <c r="M1132" t="s">
        <v>4492</v>
      </c>
      <c r="N1132" t="s">
        <v>5101</v>
      </c>
      <c r="O1132" t="str" cm="1">
        <f t="array" ref="O1132">_xlfn.IFS(
  TEXT(TRIM(N1132),"00000")="NULL", "Missing/Unknown",
  OR(TEXT(TRIM(N1132),"00000")="89101", TEXT(TRIM(N1132),"00000")="89104", TEXT(TRIM(N1132),"00000")="89106", TEXT(TRIM(N1132),"00000")="89102", TEXT(TRIM(N1132),"00000")="89107", TEXT(TRIM(N1132),"00000")="89108"), "Urban Core",
  OR(TEXT(TRIM(N1132),"00000")="89110", TEXT(TRIM(N1132),"00000")="89115", TEXT(TRIM(N1132),"00000")="89121", TEXT(TRIM(N1132),"00000")="89122", TEXT(TRIM(N1132),"00000")="89142", TEXT(TRIM(N1132),"00000")="89156"), "East Valley",
  OR(TEXT(TRIM(N1132),"00000")="89030", TEXT(TRIM(N1132),"00000")="89031", TEXT(TRIM(N1132),"00000")="89032", TEXT(TRIM(N1132),"00000")="89086", TEXT(TRIM(N1132),"00000")="89084", TEXT(TRIM(N1132),"00000")="89081"), "North LV",
  OR(TEXT(TRIM(N1132),"00000")="89109", TEXT(TRIM(N1132),"00000")="89103", TEXT(TRIM(N1132),"00000")="89119", TEXT(TRIM(N1132),"00000")="89123", TEXT(TRIM(N1132),"00000")="89169", TEXT(TRIM(N1132),"00000")="89118"), "South/Strip",
  OR(TEXT(TRIM(N1132),"00000")="89074", TEXT(TRIM(N1132),"00000")="89014", TEXT(TRIM(N1132),"00000")="89015", TEXT(TRIM(N1132),"00000")="89011", TEXT(TRIM(N1132),"00000")="89012"), "Suburban SE",
  OR(TEXT(TRIM(N1132),"00000")="89117", TEXT(TRIM(N1132),"00000")="89128", TEXT(TRIM(N1132),"00000")="89135", TEXT(TRIM(N1132),"00000")="89144", TEXT(TRIM(N1132),"00000")="89145", TEXT(TRIM(N1132),"00000")="89147"), "West Valley",
  TRUE, "Other"
)</f>
        <v>Urban Core</v>
      </c>
      <c r="P1132" t="s">
        <v>38</v>
      </c>
      <c r="Q1132" t="str">
        <f t="shared" si="70"/>
        <v>Home/Residence</v>
      </c>
      <c r="R1132" t="s">
        <v>4492</v>
      </c>
      <c r="S1132" t="s">
        <v>5101</v>
      </c>
      <c r="T1132" t="str" cm="1">
        <f t="array" ref="T1132">_xlfn.IFS(
  TEXT(TRIM(S1132),"00000")="NULL", "Missing/Unknown",
  OR(TEXT(TRIM(S1132),"00000")="89101", TEXT(TRIM(S1132),"00000")="89104", TEXT(TRIM(S1132),"00000")="89106", TEXT(TRIM(S1132),"00000")="89102", TEXT(TRIM(S1132),"00000")="89107", TEXT(TRIM(S1132),"00000")="89108"), "Urban Core",
  OR(TEXT(TRIM(S1132),"00000")="89110", TEXT(TRIM(S1132),"00000")="89115", TEXT(TRIM(S1132),"00000")="89121", TEXT(TRIM(S1132),"00000")="89122", TEXT(TRIM(S1132),"00000")="89142", TEXT(TRIM(S1132),"00000")="89156"), "East Valley",
  OR(TEXT(TRIM(S1132),"00000")="89030", TEXT(TRIM(S1132),"00000")="89031", TEXT(TRIM(S1132),"00000")="89032", TEXT(TRIM(S1132),"00000")="89086", TEXT(TRIM(S1132),"00000")="89084", TEXT(TRIM(S1132),"00000")="89081"), "North LV",
  OR(TEXT(TRIM(S1132),"00000")="89109", TEXT(TRIM(S1132),"00000")="89103", TEXT(TRIM(S1132),"00000")="89119", TEXT(TRIM(S1132),"00000")="89123", TEXT(TRIM(S1132),"00000")="89169", TEXT(TRIM(S1132),"00000")="89118"), "South/Strip",
  OR(TEXT(TRIM(S1132),"00000")="89074", TEXT(TRIM(S1132),"00000")="89014", TEXT(TRIM(S1132),"00000")="89015", TEXT(TRIM(S1132),"00000")="89011", TEXT(TRIM(S1132),"00000")="89012"), "Suburban SE",
  OR(TEXT(TRIM(S1132),"00000")="89117", TEXT(TRIM(S1132),"00000")="89128", TEXT(TRIM(S1132),"00000")="89135", TEXT(TRIM(S1132),"00000")="89144", TEXT(TRIM(S1132),"00000")="89145", TEXT(TRIM(S1132),"00000")="89147"), "West Valley",
  TRUE, "Other"
)</f>
        <v>Urban Core</v>
      </c>
      <c r="U1132" t="s">
        <v>38</v>
      </c>
      <c r="V1132" t="str">
        <f t="shared" si="71"/>
        <v>Home/Residence</v>
      </c>
    </row>
    <row r="1133" spans="1:22">
      <c r="A1133" t="s">
        <v>1767</v>
      </c>
      <c r="B1133" t="s">
        <v>1768</v>
      </c>
      <c r="C1133" s="1">
        <v>44367</v>
      </c>
      <c r="D1133" s="4">
        <v>114.08</v>
      </c>
      <c r="E1133">
        <v>59</v>
      </c>
      <c r="F1133" t="str">
        <f t="shared" si="68"/>
        <v>50's</v>
      </c>
      <c r="G1133" t="str" cm="1">
        <f t="array" ref="G1133">_xlfn.IFS(
  F1133="10's", "Child (5–12)",
  OR(F1133="20's", F1133="30's"), "Young Adult (20–39)",
  OR(F1133="40's", F1133="50's"), "Adult (40–59)",
  OR(F1133="60's", F1133="70's", F1133="80's", F1133="90's"), "Senior (60+)",
  TRUE, "Unknown"
)</f>
        <v>Adult (40–59)</v>
      </c>
      <c r="H1133" t="s">
        <v>778</v>
      </c>
      <c r="I1133" t="s">
        <v>54</v>
      </c>
      <c r="J1133" t="str">
        <f t="shared" si="69"/>
        <v>Environmental Heat</v>
      </c>
      <c r="K1133" t="s">
        <v>172</v>
      </c>
      <c r="L1133" t="s">
        <v>250</v>
      </c>
      <c r="M1133" t="s">
        <v>4823</v>
      </c>
      <c r="N1133" t="s">
        <v>5099</v>
      </c>
      <c r="O1133" t="str" cm="1">
        <f t="array" ref="O1133">_xlfn.IFS(
  TEXT(TRIM(N1133),"00000")="NULL", "Missing/Unknown",
  OR(TEXT(TRIM(N1133),"00000")="89101", TEXT(TRIM(N1133),"00000")="89104", TEXT(TRIM(N1133),"00000")="89106", TEXT(TRIM(N1133),"00000")="89102", TEXT(TRIM(N1133),"00000")="89107", TEXT(TRIM(N1133),"00000")="89108"), "Urban Core",
  OR(TEXT(TRIM(N1133),"00000")="89110", TEXT(TRIM(N1133),"00000")="89115", TEXT(TRIM(N1133),"00000")="89121", TEXT(TRIM(N1133),"00000")="89122", TEXT(TRIM(N1133),"00000")="89142", TEXT(TRIM(N1133),"00000")="89156"), "East Valley",
  OR(TEXT(TRIM(N1133),"00000")="89030", TEXT(TRIM(N1133),"00000")="89031", TEXT(TRIM(N1133),"00000")="89032", TEXT(TRIM(N1133),"00000")="89086", TEXT(TRIM(N1133),"00000")="89084", TEXT(TRIM(N1133),"00000")="89081"), "North LV",
  OR(TEXT(TRIM(N1133),"00000")="89109", TEXT(TRIM(N1133),"00000")="89103", TEXT(TRIM(N1133),"00000")="89119", TEXT(TRIM(N1133),"00000")="89123", TEXT(TRIM(N1133),"00000")="89169", TEXT(TRIM(N1133),"00000")="89118"), "South/Strip",
  OR(TEXT(TRIM(N1133),"00000")="89074", TEXT(TRIM(N1133),"00000")="89014", TEXT(TRIM(N1133),"00000")="89015", TEXT(TRIM(N1133),"00000")="89011", TEXT(TRIM(N1133),"00000")="89012"), "Suburban SE",
  OR(TEXT(TRIM(N1133),"00000")="89117", TEXT(TRIM(N1133),"00000")="89128", TEXT(TRIM(N1133),"00000")="89135", TEXT(TRIM(N1133),"00000")="89144", TEXT(TRIM(N1133),"00000")="89145", TEXT(TRIM(N1133),"00000")="89147"), "West Valley",
  TRUE, "Other"
)</f>
        <v>Urban Core</v>
      </c>
      <c r="P1133" t="s">
        <v>3298</v>
      </c>
      <c r="Q1133" t="str">
        <f t="shared" si="70"/>
        <v>Outdoors/Public</v>
      </c>
      <c r="R1133" t="s">
        <v>4823</v>
      </c>
      <c r="S1133" t="s">
        <v>5099</v>
      </c>
      <c r="T1133" t="str" cm="1">
        <f t="array" ref="T1133">_xlfn.IFS(
  TEXT(TRIM(S1133),"00000")="NULL", "Missing/Unknown",
  OR(TEXT(TRIM(S1133),"00000")="89101", TEXT(TRIM(S1133),"00000")="89104", TEXT(TRIM(S1133),"00000")="89106", TEXT(TRIM(S1133),"00000")="89102", TEXT(TRIM(S1133),"00000")="89107", TEXT(TRIM(S1133),"00000")="89108"), "Urban Core",
  OR(TEXT(TRIM(S1133),"00000")="89110", TEXT(TRIM(S1133),"00000")="89115", TEXT(TRIM(S1133),"00000")="89121", TEXT(TRIM(S1133),"00000")="89122", TEXT(TRIM(S1133),"00000")="89142", TEXT(TRIM(S1133),"00000")="89156"), "East Valley",
  OR(TEXT(TRIM(S1133),"00000")="89030", TEXT(TRIM(S1133),"00000")="89031", TEXT(TRIM(S1133),"00000")="89032", TEXT(TRIM(S1133),"00000")="89086", TEXT(TRIM(S1133),"00000")="89084", TEXT(TRIM(S1133),"00000")="89081"), "North LV",
  OR(TEXT(TRIM(S1133),"00000")="89109", TEXT(TRIM(S1133),"00000")="89103", TEXT(TRIM(S1133),"00000")="89119", TEXT(TRIM(S1133),"00000")="89123", TEXT(TRIM(S1133),"00000")="89169", TEXT(TRIM(S1133),"00000")="89118"), "South/Strip",
  OR(TEXT(TRIM(S1133),"00000")="89074", TEXT(TRIM(S1133),"00000")="89014", TEXT(TRIM(S1133),"00000")="89015", TEXT(TRIM(S1133),"00000")="89011", TEXT(TRIM(S1133),"00000")="89012"), "Suburban SE",
  OR(TEXT(TRIM(S1133),"00000")="89117", TEXT(TRIM(S1133),"00000")="89128", TEXT(TRIM(S1133),"00000")="89135", TEXT(TRIM(S1133),"00000")="89144", TEXT(TRIM(S1133),"00000")="89145", TEXT(TRIM(S1133),"00000")="89147"), "West Valley",
  TRUE, "Other"
)</f>
        <v>Urban Core</v>
      </c>
      <c r="U1133" t="s">
        <v>3298</v>
      </c>
      <c r="V1133" t="str">
        <f t="shared" si="71"/>
        <v>Outdoors/Public</v>
      </c>
    </row>
    <row r="1134" spans="1:22">
      <c r="A1134" t="s">
        <v>1794</v>
      </c>
      <c r="B1134" t="s">
        <v>1795</v>
      </c>
      <c r="C1134" s="1">
        <v>44367</v>
      </c>
      <c r="D1134" s="4">
        <v>114.08</v>
      </c>
      <c r="E1134">
        <v>64</v>
      </c>
      <c r="F1134" t="str">
        <f t="shared" si="68"/>
        <v>60's</v>
      </c>
      <c r="G1134" t="str" cm="1">
        <f t="array" ref="G1134">_xlfn.IFS(
  F1134="10's", "Child (5–12)",
  OR(F1134="20's", F1134="30's"), "Young Adult (20–39)",
  OR(F1134="40's", F1134="50's"), "Adult (40–59)",
  OR(F1134="60's", F1134="70's", F1134="80's", F1134="90's"), "Senior (60+)",
  TRUE, "Unknown"
)</f>
        <v>Senior (60+)</v>
      </c>
      <c r="H1134" t="s">
        <v>841</v>
      </c>
      <c r="I1134" t="s">
        <v>97</v>
      </c>
      <c r="J1134" t="str">
        <f t="shared" si="69"/>
        <v>Environmental Heat</v>
      </c>
      <c r="K1134" t="s">
        <v>1796</v>
      </c>
      <c r="L1134" t="s">
        <v>250</v>
      </c>
      <c r="M1134" t="s">
        <v>4584</v>
      </c>
      <c r="N1134" t="s">
        <v>5134</v>
      </c>
      <c r="O1134" t="str" cm="1">
        <f t="array" ref="O1134">_xlfn.IFS(
  TEXT(TRIM(N1134),"00000")="NULL", "Missing/Unknown",
  OR(TEXT(TRIM(N1134),"00000")="89101", TEXT(TRIM(N1134),"00000")="89104", TEXT(TRIM(N1134),"00000")="89106", TEXT(TRIM(N1134),"00000")="89102", TEXT(TRIM(N1134),"00000")="89107", TEXT(TRIM(N1134),"00000")="89108"), "Urban Core",
  OR(TEXT(TRIM(N1134),"00000")="89110", TEXT(TRIM(N1134),"00000")="89115", TEXT(TRIM(N1134),"00000")="89121", TEXT(TRIM(N1134),"00000")="89122", TEXT(TRIM(N1134),"00000")="89142", TEXT(TRIM(N1134),"00000")="89156"), "East Valley",
  OR(TEXT(TRIM(N1134),"00000")="89030", TEXT(TRIM(N1134),"00000")="89031", TEXT(TRIM(N1134),"00000")="89032", TEXT(TRIM(N1134),"00000")="89086", TEXT(TRIM(N1134),"00000")="89084", TEXT(TRIM(N1134),"00000")="89081"), "North LV",
  OR(TEXT(TRIM(N1134),"00000")="89109", TEXT(TRIM(N1134),"00000")="89103", TEXT(TRIM(N1134),"00000")="89119", TEXT(TRIM(N1134),"00000")="89123", TEXT(TRIM(N1134),"00000")="89169", TEXT(TRIM(N1134),"00000")="89118"), "South/Strip",
  OR(TEXT(TRIM(N1134),"00000")="89074", TEXT(TRIM(N1134),"00000")="89014", TEXT(TRIM(N1134),"00000")="89015", TEXT(TRIM(N1134),"00000")="89011", TEXT(TRIM(N1134),"00000")="89012"), "Suburban SE",
  OR(TEXT(TRIM(N1134),"00000")="89117", TEXT(TRIM(N1134),"00000")="89128", TEXT(TRIM(N1134),"00000")="89135", TEXT(TRIM(N1134),"00000")="89144", TEXT(TRIM(N1134),"00000")="89145", TEXT(TRIM(N1134),"00000")="89147"), "West Valley",
  TRUE, "Other"
)</f>
        <v>Other</v>
      </c>
      <c r="P1134" t="s">
        <v>3298</v>
      </c>
      <c r="Q1134" t="str">
        <f t="shared" si="70"/>
        <v>Outdoors/Public</v>
      </c>
      <c r="R1134" t="s">
        <v>4713</v>
      </c>
      <c r="S1134" t="s">
        <v>5125</v>
      </c>
      <c r="T1134" t="str" cm="1">
        <f t="array" ref="T1134">_xlfn.IFS(
  TEXT(TRIM(S1134),"00000")="NULL", "Missing/Unknown",
  OR(TEXT(TRIM(S1134),"00000")="89101", TEXT(TRIM(S1134),"00000")="89104", TEXT(TRIM(S1134),"00000")="89106", TEXT(TRIM(S1134),"00000")="89102", TEXT(TRIM(S1134),"00000")="89107", TEXT(TRIM(S1134),"00000")="89108"), "Urban Core",
  OR(TEXT(TRIM(S1134),"00000")="89110", TEXT(TRIM(S1134),"00000")="89115", TEXT(TRIM(S1134),"00000")="89121", TEXT(TRIM(S1134),"00000")="89122", TEXT(TRIM(S1134),"00000")="89142", TEXT(TRIM(S1134),"00000")="89156"), "East Valley",
  OR(TEXT(TRIM(S1134),"00000")="89030", TEXT(TRIM(S1134),"00000")="89031", TEXT(TRIM(S1134),"00000")="89032", TEXT(TRIM(S1134),"00000")="89086", TEXT(TRIM(S1134),"00000")="89084", TEXT(TRIM(S1134),"00000")="89081"), "North LV",
  OR(TEXT(TRIM(S1134),"00000")="89109", TEXT(TRIM(S1134),"00000")="89103", TEXT(TRIM(S1134),"00000")="89119", TEXT(TRIM(S1134),"00000")="89123", TEXT(TRIM(S1134),"00000")="89169", TEXT(TRIM(S1134),"00000")="89118"), "South/Strip",
  OR(TEXT(TRIM(S1134),"00000")="89074", TEXT(TRIM(S1134),"00000")="89014", TEXT(TRIM(S1134),"00000")="89015", TEXT(TRIM(S1134),"00000")="89011", TEXT(TRIM(S1134),"00000")="89012"), "Suburban SE",
  OR(TEXT(TRIM(S1134),"00000")="89117", TEXT(TRIM(S1134),"00000")="89128", TEXT(TRIM(S1134),"00000")="89135", TEXT(TRIM(S1134),"00000")="89144", TEXT(TRIM(S1134),"00000")="89145", TEXT(TRIM(S1134),"00000")="89147"), "West Valley",
  TRUE, "Other"
)</f>
        <v>South/Strip</v>
      </c>
      <c r="U1134" t="s">
        <v>4305</v>
      </c>
      <c r="V1134" t="str">
        <f t="shared" si="71"/>
        <v>Medical Facility</v>
      </c>
    </row>
    <row r="1135" spans="1:22">
      <c r="A1135" t="s">
        <v>1780</v>
      </c>
      <c r="B1135" t="s">
        <v>1781</v>
      </c>
      <c r="C1135" s="1">
        <v>44367</v>
      </c>
      <c r="D1135" s="4">
        <v>114.08</v>
      </c>
      <c r="E1135">
        <v>50</v>
      </c>
      <c r="F1135" t="str">
        <f t="shared" si="68"/>
        <v>50's</v>
      </c>
      <c r="G1135" t="str" cm="1">
        <f t="array" ref="G1135">_xlfn.IFS(
  F1135="10's", "Child (5–12)",
  OR(F1135="20's", F1135="30's"), "Young Adult (20–39)",
  OR(F1135="40's", F1135="50's"), "Adult (40–59)",
  OR(F1135="60's", F1135="70's", F1135="80's", F1135="90's"), "Senior (60+)",
  TRUE, "Unknown"
)</f>
        <v>Adult (40–59)</v>
      </c>
      <c r="H1135" t="s">
        <v>778</v>
      </c>
      <c r="I1135" t="s">
        <v>54</v>
      </c>
      <c r="J1135" t="str">
        <f t="shared" si="69"/>
        <v>Environmental Heat</v>
      </c>
      <c r="K1135" t="s">
        <v>503</v>
      </c>
      <c r="L1135" t="s">
        <v>2693</v>
      </c>
      <c r="M1135" t="s">
        <v>4862</v>
      </c>
      <c r="N1135" t="s">
        <v>5106</v>
      </c>
      <c r="O1135" t="str" cm="1">
        <f t="array" ref="O1135">_xlfn.IFS(
  TEXT(TRIM(N1135),"00000")="NULL", "Missing/Unknown",
  OR(TEXT(TRIM(N1135),"00000")="89101", TEXT(TRIM(N1135),"00000")="89104", TEXT(TRIM(N1135),"00000")="89106", TEXT(TRIM(N1135),"00000")="89102", TEXT(TRIM(N1135),"00000")="89107", TEXT(TRIM(N1135),"00000")="89108"), "Urban Core",
  OR(TEXT(TRIM(N1135),"00000")="89110", TEXT(TRIM(N1135),"00000")="89115", TEXT(TRIM(N1135),"00000")="89121", TEXT(TRIM(N1135),"00000")="89122", TEXT(TRIM(N1135),"00000")="89142", TEXT(TRIM(N1135),"00000")="89156"), "East Valley",
  OR(TEXT(TRIM(N1135),"00000")="89030", TEXT(TRIM(N1135),"00000")="89031", TEXT(TRIM(N1135),"00000")="89032", TEXT(TRIM(N1135),"00000")="89086", TEXT(TRIM(N1135),"00000")="89084", TEXT(TRIM(N1135),"00000")="89081"), "North LV",
  OR(TEXT(TRIM(N1135),"00000")="89109", TEXT(TRIM(N1135),"00000")="89103", TEXT(TRIM(N1135),"00000")="89119", TEXT(TRIM(N1135),"00000")="89123", TEXT(TRIM(N1135),"00000")="89169", TEXT(TRIM(N1135),"00000")="89118"), "South/Strip",
  OR(TEXT(TRIM(N1135),"00000")="89074", TEXT(TRIM(N1135),"00000")="89014", TEXT(TRIM(N1135),"00000")="89015", TEXT(TRIM(N1135),"00000")="89011", TEXT(TRIM(N1135),"00000")="89012"), "Suburban SE",
  OR(TEXT(TRIM(N1135),"00000")="89117", TEXT(TRIM(N1135),"00000")="89128", TEXT(TRIM(N1135),"00000")="89135", TEXT(TRIM(N1135),"00000")="89144", TEXT(TRIM(N1135),"00000")="89145", TEXT(TRIM(N1135),"00000")="89147"), "West Valley",
  TRUE, "Other"
)</f>
        <v>East Valley</v>
      </c>
      <c r="P1135" t="s">
        <v>3298</v>
      </c>
      <c r="Q1135" t="str">
        <f t="shared" si="70"/>
        <v>Outdoors/Public</v>
      </c>
      <c r="R1135" t="s">
        <v>4862</v>
      </c>
      <c r="S1135" t="s">
        <v>5106</v>
      </c>
      <c r="T1135" t="str" cm="1">
        <f t="array" ref="T1135">_xlfn.IFS(
  TEXT(TRIM(S1135),"00000")="NULL", "Missing/Unknown",
  OR(TEXT(TRIM(S1135),"00000")="89101", TEXT(TRIM(S1135),"00000")="89104", TEXT(TRIM(S1135),"00000")="89106", TEXT(TRIM(S1135),"00000")="89102", TEXT(TRIM(S1135),"00000")="89107", TEXT(TRIM(S1135),"00000")="89108"), "Urban Core",
  OR(TEXT(TRIM(S1135),"00000")="89110", TEXT(TRIM(S1135),"00000")="89115", TEXT(TRIM(S1135),"00000")="89121", TEXT(TRIM(S1135),"00000")="89122", TEXT(TRIM(S1135),"00000")="89142", TEXT(TRIM(S1135),"00000")="89156"), "East Valley",
  OR(TEXT(TRIM(S1135),"00000")="89030", TEXT(TRIM(S1135),"00000")="89031", TEXT(TRIM(S1135),"00000")="89032", TEXT(TRIM(S1135),"00000")="89086", TEXT(TRIM(S1135),"00000")="89084", TEXT(TRIM(S1135),"00000")="89081"), "North LV",
  OR(TEXT(TRIM(S1135),"00000")="89109", TEXT(TRIM(S1135),"00000")="89103", TEXT(TRIM(S1135),"00000")="89119", TEXT(TRIM(S1135),"00000")="89123", TEXT(TRIM(S1135),"00000")="89169", TEXT(TRIM(S1135),"00000")="89118"), "South/Strip",
  OR(TEXT(TRIM(S1135),"00000")="89074", TEXT(TRIM(S1135),"00000")="89014", TEXT(TRIM(S1135),"00000")="89015", TEXT(TRIM(S1135),"00000")="89011", TEXT(TRIM(S1135),"00000")="89012"), "Suburban SE",
  OR(TEXT(TRIM(S1135),"00000")="89117", TEXT(TRIM(S1135),"00000")="89128", TEXT(TRIM(S1135),"00000")="89135", TEXT(TRIM(S1135),"00000")="89144", TEXT(TRIM(S1135),"00000")="89145", TEXT(TRIM(S1135),"00000")="89147"), "West Valley",
  TRUE, "Other"
)</f>
        <v>East Valley</v>
      </c>
      <c r="U1135" t="s">
        <v>3298</v>
      </c>
      <c r="V1135" t="str">
        <f t="shared" si="71"/>
        <v>Outdoors/Public</v>
      </c>
    </row>
    <row r="1136" spans="1:22">
      <c r="A1136" t="s">
        <v>1764</v>
      </c>
      <c r="B1136" t="s">
        <v>1765</v>
      </c>
      <c r="C1136" s="1">
        <v>44366</v>
      </c>
      <c r="D1136" s="4">
        <v>113</v>
      </c>
      <c r="E1136">
        <v>46</v>
      </c>
      <c r="F1136" t="str">
        <f t="shared" si="68"/>
        <v>40's</v>
      </c>
      <c r="G1136" t="str" cm="1">
        <f t="array" ref="G1136">_xlfn.IFS(
  F1136="10's", "Child (5–12)",
  OR(F1136="20's", F1136="30's"), "Young Adult (20–39)",
  OR(F1136="40's", F1136="50's"), "Adult (40–59)",
  OR(F1136="60's", F1136="70's", F1136="80's", F1136="90's"), "Senior (60+)",
  TRUE, "Unknown"
)</f>
        <v>Adult (40–59)</v>
      </c>
      <c r="H1136" t="s">
        <v>778</v>
      </c>
      <c r="I1136" t="s">
        <v>54</v>
      </c>
      <c r="J1136" t="str">
        <f t="shared" si="69"/>
        <v>Environmental Heat</v>
      </c>
      <c r="K1136" t="s">
        <v>503</v>
      </c>
      <c r="L1136" t="s">
        <v>250</v>
      </c>
      <c r="M1136" t="s">
        <v>4865</v>
      </c>
      <c r="N1136" t="s">
        <v>5097</v>
      </c>
      <c r="O1136" t="str" cm="1">
        <f t="array" ref="O1136">_xlfn.IFS(
  TEXT(TRIM(N1136),"00000")="NULL", "Missing/Unknown",
  OR(TEXT(TRIM(N1136),"00000")="89101", TEXT(TRIM(N1136),"00000")="89104", TEXT(TRIM(N1136),"00000")="89106", TEXT(TRIM(N1136),"00000")="89102", TEXT(TRIM(N1136),"00000")="89107", TEXT(TRIM(N1136),"00000")="89108"), "Urban Core",
  OR(TEXT(TRIM(N1136),"00000")="89110", TEXT(TRIM(N1136),"00000")="89115", TEXT(TRIM(N1136),"00000")="89121", TEXT(TRIM(N1136),"00000")="89122", TEXT(TRIM(N1136),"00000")="89142", TEXT(TRIM(N1136),"00000")="89156"), "East Valley",
  OR(TEXT(TRIM(N1136),"00000")="89030", TEXT(TRIM(N1136),"00000")="89031", TEXT(TRIM(N1136),"00000")="89032", TEXT(TRIM(N1136),"00000")="89086", TEXT(TRIM(N1136),"00000")="89084", TEXT(TRIM(N1136),"00000")="89081"), "North LV",
  OR(TEXT(TRIM(N1136),"00000")="89109", TEXT(TRIM(N1136),"00000")="89103", TEXT(TRIM(N1136),"00000")="89119", TEXT(TRIM(N1136),"00000")="89123", TEXT(TRIM(N1136),"00000")="89169", TEXT(TRIM(N1136),"00000")="89118"), "South/Strip",
  OR(TEXT(TRIM(N1136),"00000")="89074", TEXT(TRIM(N1136),"00000")="89014", TEXT(TRIM(N1136),"00000")="89015", TEXT(TRIM(N1136),"00000")="89011", TEXT(TRIM(N1136),"00000")="89012"), "Suburban SE",
  OR(TEXT(TRIM(N1136),"00000")="89117", TEXT(TRIM(N1136),"00000")="89128", TEXT(TRIM(N1136),"00000")="89135", TEXT(TRIM(N1136),"00000")="89144", TEXT(TRIM(N1136),"00000")="89145", TEXT(TRIM(N1136),"00000")="89147"), "West Valley",
  TRUE, "Other"
)</f>
        <v>Urban Core</v>
      </c>
      <c r="P1136" t="s">
        <v>3298</v>
      </c>
      <c r="Q1136" t="str">
        <f t="shared" si="70"/>
        <v>Outdoors/Public</v>
      </c>
      <c r="R1136" t="s">
        <v>4865</v>
      </c>
      <c r="S1136" t="s">
        <v>5097</v>
      </c>
      <c r="T1136" t="str" cm="1">
        <f t="array" ref="T1136">_xlfn.IFS(
  TEXT(TRIM(S1136),"00000")="NULL", "Missing/Unknown",
  OR(TEXT(TRIM(S1136),"00000")="89101", TEXT(TRIM(S1136),"00000")="89104", TEXT(TRIM(S1136),"00000")="89106", TEXT(TRIM(S1136),"00000")="89102", TEXT(TRIM(S1136),"00000")="89107", TEXT(TRIM(S1136),"00000")="89108"), "Urban Core",
  OR(TEXT(TRIM(S1136),"00000")="89110", TEXT(TRIM(S1136),"00000")="89115", TEXT(TRIM(S1136),"00000")="89121", TEXT(TRIM(S1136),"00000")="89122", TEXT(TRIM(S1136),"00000")="89142", TEXT(TRIM(S1136),"00000")="89156"), "East Valley",
  OR(TEXT(TRIM(S1136),"00000")="89030", TEXT(TRIM(S1136),"00000")="89031", TEXT(TRIM(S1136),"00000")="89032", TEXT(TRIM(S1136),"00000")="89086", TEXT(TRIM(S1136),"00000")="89084", TEXT(TRIM(S1136),"00000")="89081"), "North LV",
  OR(TEXT(TRIM(S1136),"00000")="89109", TEXT(TRIM(S1136),"00000")="89103", TEXT(TRIM(S1136),"00000")="89119", TEXT(TRIM(S1136),"00000")="89123", TEXT(TRIM(S1136),"00000")="89169", TEXT(TRIM(S1136),"00000")="89118"), "South/Strip",
  OR(TEXT(TRIM(S1136),"00000")="89074", TEXT(TRIM(S1136),"00000")="89014", TEXT(TRIM(S1136),"00000")="89015", TEXT(TRIM(S1136),"00000")="89011", TEXT(TRIM(S1136),"00000")="89012"), "Suburban SE",
  OR(TEXT(TRIM(S1136),"00000")="89117", TEXT(TRIM(S1136),"00000")="89128", TEXT(TRIM(S1136),"00000")="89135", TEXT(TRIM(S1136),"00000")="89144", TEXT(TRIM(S1136),"00000")="89145", TEXT(TRIM(S1136),"00000")="89147"), "West Valley",
  TRUE, "Other"
)</f>
        <v>Urban Core</v>
      </c>
      <c r="U1136" t="s">
        <v>3298</v>
      </c>
      <c r="V1136" t="str">
        <f t="shared" si="71"/>
        <v>Outdoors/Public</v>
      </c>
    </row>
    <row r="1137" spans="1:22">
      <c r="A1137" t="s">
        <v>1757</v>
      </c>
      <c r="B1137" t="s">
        <v>1758</v>
      </c>
      <c r="C1137" s="1">
        <v>44366</v>
      </c>
      <c r="D1137" s="4">
        <v>113</v>
      </c>
      <c r="E1137">
        <v>38</v>
      </c>
      <c r="F1137" t="str">
        <f t="shared" si="68"/>
        <v>30's</v>
      </c>
      <c r="G1137" t="str" cm="1">
        <f t="array" ref="G1137">_xlfn.IFS(
  F1137="10's", "Child (5–12)",
  OR(F1137="20's", F1137="30's"), "Young Adult (20–39)",
  OR(F1137="40's", F1137="50's"), "Adult (40–59)",
  OR(F1137="60's", F1137="70's", F1137="80's", F1137="90's"), "Senior (60+)",
  TRUE, "Unknown"
)</f>
        <v>Young Adult (20–39)</v>
      </c>
      <c r="H1137" t="s">
        <v>841</v>
      </c>
      <c r="I1137" t="s">
        <v>54</v>
      </c>
      <c r="J1137" t="str">
        <f t="shared" si="69"/>
        <v>Environmental Heat</v>
      </c>
      <c r="K1137" t="s">
        <v>503</v>
      </c>
      <c r="L1137" t="s">
        <v>250</v>
      </c>
      <c r="M1137" t="s">
        <v>4863</v>
      </c>
      <c r="N1137" t="s">
        <v>5098</v>
      </c>
      <c r="O1137" t="str" cm="1">
        <f t="array" ref="O1137">_xlfn.IFS(
  TEXT(TRIM(N1137),"00000")="NULL", "Missing/Unknown",
  OR(TEXT(TRIM(N1137),"00000")="89101", TEXT(TRIM(N1137),"00000")="89104", TEXT(TRIM(N1137),"00000")="89106", TEXT(TRIM(N1137),"00000")="89102", TEXT(TRIM(N1137),"00000")="89107", TEXT(TRIM(N1137),"00000")="89108"), "Urban Core",
  OR(TEXT(TRIM(N1137),"00000")="89110", TEXT(TRIM(N1137),"00000")="89115", TEXT(TRIM(N1137),"00000")="89121", TEXT(TRIM(N1137),"00000")="89122", TEXT(TRIM(N1137),"00000")="89142", TEXT(TRIM(N1137),"00000")="89156"), "East Valley",
  OR(TEXT(TRIM(N1137),"00000")="89030", TEXT(TRIM(N1137),"00000")="89031", TEXT(TRIM(N1137),"00000")="89032", TEXT(TRIM(N1137),"00000")="89086", TEXT(TRIM(N1137),"00000")="89084", TEXT(TRIM(N1137),"00000")="89081"), "North LV",
  OR(TEXT(TRIM(N1137),"00000")="89109", TEXT(TRIM(N1137),"00000")="89103", TEXT(TRIM(N1137),"00000")="89119", TEXT(TRIM(N1137),"00000")="89123", TEXT(TRIM(N1137),"00000")="89169", TEXT(TRIM(N1137),"00000")="89118"), "South/Strip",
  OR(TEXT(TRIM(N1137),"00000")="89074", TEXT(TRIM(N1137),"00000")="89014", TEXT(TRIM(N1137),"00000")="89015", TEXT(TRIM(N1137),"00000")="89011", TEXT(TRIM(N1137),"00000")="89012"), "Suburban SE",
  OR(TEXT(TRIM(N1137),"00000")="89117", TEXT(TRIM(N1137),"00000")="89128", TEXT(TRIM(N1137),"00000")="89135", TEXT(TRIM(N1137),"00000")="89144", TEXT(TRIM(N1137),"00000")="89145", TEXT(TRIM(N1137),"00000")="89147"), "West Valley",
  TRUE, "Other"
)</f>
        <v>Urban Core</v>
      </c>
      <c r="P1137" t="s">
        <v>3298</v>
      </c>
      <c r="Q1137" t="str">
        <f t="shared" si="70"/>
        <v>Outdoors/Public</v>
      </c>
      <c r="R1137" t="s">
        <v>4863</v>
      </c>
      <c r="S1137" t="s">
        <v>5098</v>
      </c>
      <c r="T1137" t="str" cm="1">
        <f t="array" ref="T1137">_xlfn.IFS(
  TEXT(TRIM(S1137),"00000")="NULL", "Missing/Unknown",
  OR(TEXT(TRIM(S1137),"00000")="89101", TEXT(TRIM(S1137),"00000")="89104", TEXT(TRIM(S1137),"00000")="89106", TEXT(TRIM(S1137),"00000")="89102", TEXT(TRIM(S1137),"00000")="89107", TEXT(TRIM(S1137),"00000")="89108"), "Urban Core",
  OR(TEXT(TRIM(S1137),"00000")="89110", TEXT(TRIM(S1137),"00000")="89115", TEXT(TRIM(S1137),"00000")="89121", TEXT(TRIM(S1137),"00000")="89122", TEXT(TRIM(S1137),"00000")="89142", TEXT(TRIM(S1137),"00000")="89156"), "East Valley",
  OR(TEXT(TRIM(S1137),"00000")="89030", TEXT(TRIM(S1137),"00000")="89031", TEXT(TRIM(S1137),"00000")="89032", TEXT(TRIM(S1137),"00000")="89086", TEXT(TRIM(S1137),"00000")="89084", TEXT(TRIM(S1137),"00000")="89081"), "North LV",
  OR(TEXT(TRIM(S1137),"00000")="89109", TEXT(TRIM(S1137),"00000")="89103", TEXT(TRIM(S1137),"00000")="89119", TEXT(TRIM(S1137),"00000")="89123", TEXT(TRIM(S1137),"00000")="89169", TEXT(TRIM(S1137),"00000")="89118"), "South/Strip",
  OR(TEXT(TRIM(S1137),"00000")="89074", TEXT(TRIM(S1137),"00000")="89014", TEXT(TRIM(S1137),"00000")="89015", TEXT(TRIM(S1137),"00000")="89011", TEXT(TRIM(S1137),"00000")="89012"), "Suburban SE",
  OR(TEXT(TRIM(S1137),"00000")="89117", TEXT(TRIM(S1137),"00000")="89128", TEXT(TRIM(S1137),"00000")="89135", TEXT(TRIM(S1137),"00000")="89144", TEXT(TRIM(S1137),"00000")="89145", TEXT(TRIM(S1137),"00000")="89147"), "West Valley",
  TRUE, "Other"
)</f>
        <v>Urban Core</v>
      </c>
      <c r="U1137" t="s">
        <v>3298</v>
      </c>
      <c r="V1137" t="str">
        <f t="shared" si="71"/>
        <v>Outdoors/Public</v>
      </c>
    </row>
    <row r="1138" spans="1:22">
      <c r="A1138" t="s">
        <v>1751</v>
      </c>
      <c r="B1138" t="s">
        <v>1752</v>
      </c>
      <c r="C1138" s="1">
        <v>44366</v>
      </c>
      <c r="D1138" s="4">
        <v>113</v>
      </c>
      <c r="E1138">
        <v>81</v>
      </c>
      <c r="F1138" t="str">
        <f t="shared" si="68"/>
        <v>80's</v>
      </c>
      <c r="G1138" t="str" cm="1">
        <f t="array" ref="G1138">_xlfn.IFS(
  F1138="10's", "Child (5–12)",
  OR(F1138="20's", F1138="30's"), "Young Adult (20–39)",
  OR(F1138="40's", F1138="50's"), "Adult (40–59)",
  OR(F1138="60's", F1138="70's", F1138="80's", F1138="90's"), "Senior (60+)",
  TRUE, "Unknown"
)</f>
        <v>Senior (60+)</v>
      </c>
      <c r="H1138" t="s">
        <v>778</v>
      </c>
      <c r="I1138" t="s">
        <v>4012</v>
      </c>
      <c r="J1138" t="str">
        <f t="shared" si="69"/>
        <v>Cardiovascular Disease</v>
      </c>
      <c r="K1138" t="s">
        <v>54</v>
      </c>
      <c r="L1138" t="s">
        <v>1071</v>
      </c>
      <c r="M1138" t="s">
        <v>5046</v>
      </c>
      <c r="N1138" t="s">
        <v>5134</v>
      </c>
      <c r="O1138" t="str" cm="1">
        <f t="array" ref="O1138">_xlfn.IFS(
  TEXT(TRIM(N1138),"00000")="NULL", "Missing/Unknown",
  OR(TEXT(TRIM(N1138),"00000")="89101", TEXT(TRIM(N1138),"00000")="89104", TEXT(TRIM(N1138),"00000")="89106", TEXT(TRIM(N1138),"00000")="89102", TEXT(TRIM(N1138),"00000")="89107", TEXT(TRIM(N1138),"00000")="89108"), "Urban Core",
  OR(TEXT(TRIM(N1138),"00000")="89110", TEXT(TRIM(N1138),"00000")="89115", TEXT(TRIM(N1138),"00000")="89121", TEXT(TRIM(N1138),"00000")="89122", TEXT(TRIM(N1138),"00000")="89142", TEXT(TRIM(N1138),"00000")="89156"), "East Valley",
  OR(TEXT(TRIM(N1138),"00000")="89030", TEXT(TRIM(N1138),"00000")="89031", TEXT(TRIM(N1138),"00000")="89032", TEXT(TRIM(N1138),"00000")="89086", TEXT(TRIM(N1138),"00000")="89084", TEXT(TRIM(N1138),"00000")="89081"), "North LV",
  OR(TEXT(TRIM(N1138),"00000")="89109", TEXT(TRIM(N1138),"00000")="89103", TEXT(TRIM(N1138),"00000")="89119", TEXT(TRIM(N1138),"00000")="89123", TEXT(TRIM(N1138),"00000")="89169", TEXT(TRIM(N1138),"00000")="89118"), "South/Strip",
  OR(TEXT(TRIM(N1138),"00000")="89074", TEXT(TRIM(N1138),"00000")="89014", TEXT(TRIM(N1138),"00000")="89015", TEXT(TRIM(N1138),"00000")="89011", TEXT(TRIM(N1138),"00000")="89012"), "Suburban SE",
  OR(TEXT(TRIM(N1138),"00000")="89117", TEXT(TRIM(N1138),"00000")="89128", TEXT(TRIM(N1138),"00000")="89135", TEXT(TRIM(N1138),"00000")="89144", TEXT(TRIM(N1138),"00000")="89145", TEXT(TRIM(N1138),"00000")="89147"), "West Valley",
  TRUE, "Other"
)</f>
        <v>Other</v>
      </c>
      <c r="P1138" t="s">
        <v>38</v>
      </c>
      <c r="Q1138" t="str">
        <f t="shared" si="70"/>
        <v>Home/Residence</v>
      </c>
      <c r="R1138" t="s">
        <v>5046</v>
      </c>
      <c r="S1138" t="s">
        <v>5134</v>
      </c>
      <c r="T1138" t="str" cm="1">
        <f t="array" ref="T1138">_xlfn.IFS(
  TEXT(TRIM(S1138),"00000")="NULL", "Missing/Unknown",
  OR(TEXT(TRIM(S1138),"00000")="89101", TEXT(TRIM(S1138),"00000")="89104", TEXT(TRIM(S1138),"00000")="89106", TEXT(TRIM(S1138),"00000")="89102", TEXT(TRIM(S1138),"00000")="89107", TEXT(TRIM(S1138),"00000")="89108"), "Urban Core",
  OR(TEXT(TRIM(S1138),"00000")="89110", TEXT(TRIM(S1138),"00000")="89115", TEXT(TRIM(S1138),"00000")="89121", TEXT(TRIM(S1138),"00000")="89122", TEXT(TRIM(S1138),"00000")="89142", TEXT(TRIM(S1138),"00000")="89156"), "East Valley",
  OR(TEXT(TRIM(S1138),"00000")="89030", TEXT(TRIM(S1138),"00000")="89031", TEXT(TRIM(S1138),"00000")="89032", TEXT(TRIM(S1138),"00000")="89086", TEXT(TRIM(S1138),"00000")="89084", TEXT(TRIM(S1138),"00000")="89081"), "North LV",
  OR(TEXT(TRIM(S1138),"00000")="89109", TEXT(TRIM(S1138),"00000")="89103", TEXT(TRIM(S1138),"00000")="89119", TEXT(TRIM(S1138),"00000")="89123", TEXT(TRIM(S1138),"00000")="89169", TEXT(TRIM(S1138),"00000")="89118"), "South/Strip",
  OR(TEXT(TRIM(S1138),"00000")="89074", TEXT(TRIM(S1138),"00000")="89014", TEXT(TRIM(S1138),"00000")="89015", TEXT(TRIM(S1138),"00000")="89011", TEXT(TRIM(S1138),"00000")="89012"), "Suburban SE",
  OR(TEXT(TRIM(S1138),"00000")="89117", TEXT(TRIM(S1138),"00000")="89128", TEXT(TRIM(S1138),"00000")="89135", TEXT(TRIM(S1138),"00000")="89144", TEXT(TRIM(S1138),"00000")="89145", TEXT(TRIM(S1138),"00000")="89147"), "West Valley",
  TRUE, "Other"
)</f>
        <v>Other</v>
      </c>
      <c r="U1138" t="s">
        <v>38</v>
      </c>
      <c r="V1138" t="str">
        <f t="shared" si="71"/>
        <v>Home/Residence</v>
      </c>
    </row>
    <row r="1139" spans="1:22">
      <c r="A1139" t="s">
        <v>1754</v>
      </c>
      <c r="B1139" t="s">
        <v>1755</v>
      </c>
      <c r="C1139" s="1">
        <v>44366</v>
      </c>
      <c r="D1139" s="4">
        <v>113</v>
      </c>
      <c r="E1139">
        <v>58</v>
      </c>
      <c r="F1139" t="str">
        <f t="shared" si="68"/>
        <v>50's</v>
      </c>
      <c r="G1139" t="str" cm="1">
        <f t="array" ref="G1139">_xlfn.IFS(
  F1139="10's", "Child (5–12)",
  OR(F1139="20's", F1139="30's"), "Young Adult (20–39)",
  OR(F1139="40's", F1139="50's"), "Adult (40–59)",
  OR(F1139="60's", F1139="70's", F1139="80's", F1139="90's"), "Senior (60+)",
  TRUE, "Unknown"
)</f>
        <v>Adult (40–59)</v>
      </c>
      <c r="H1139" t="s">
        <v>841</v>
      </c>
      <c r="I1139" t="s">
        <v>97</v>
      </c>
      <c r="J1139" t="str">
        <f t="shared" si="69"/>
        <v>Environmental Heat</v>
      </c>
      <c r="K1139" t="s">
        <v>98</v>
      </c>
      <c r="L1139" t="s">
        <v>250</v>
      </c>
      <c r="M1139" t="s">
        <v>4856</v>
      </c>
      <c r="N1139" t="s">
        <v>5106</v>
      </c>
      <c r="O1139" t="str" cm="1">
        <f t="array" ref="O1139">_xlfn.IFS(
  TEXT(TRIM(N1139),"00000")="NULL", "Missing/Unknown",
  OR(TEXT(TRIM(N1139),"00000")="89101", TEXT(TRIM(N1139),"00000")="89104", TEXT(TRIM(N1139),"00000")="89106", TEXT(TRIM(N1139),"00000")="89102", TEXT(TRIM(N1139),"00000")="89107", TEXT(TRIM(N1139),"00000")="89108"), "Urban Core",
  OR(TEXT(TRIM(N1139),"00000")="89110", TEXT(TRIM(N1139),"00000")="89115", TEXT(TRIM(N1139),"00000")="89121", TEXT(TRIM(N1139),"00000")="89122", TEXT(TRIM(N1139),"00000")="89142", TEXT(TRIM(N1139),"00000")="89156"), "East Valley",
  OR(TEXT(TRIM(N1139),"00000")="89030", TEXT(TRIM(N1139),"00000")="89031", TEXT(TRIM(N1139),"00000")="89032", TEXT(TRIM(N1139),"00000")="89086", TEXT(TRIM(N1139),"00000")="89084", TEXT(TRIM(N1139),"00000")="89081"), "North LV",
  OR(TEXT(TRIM(N1139),"00000")="89109", TEXT(TRIM(N1139),"00000")="89103", TEXT(TRIM(N1139),"00000")="89119", TEXT(TRIM(N1139),"00000")="89123", TEXT(TRIM(N1139),"00000")="89169", TEXT(TRIM(N1139),"00000")="89118"), "South/Strip",
  OR(TEXT(TRIM(N1139),"00000")="89074", TEXT(TRIM(N1139),"00000")="89014", TEXT(TRIM(N1139),"00000")="89015", TEXT(TRIM(N1139),"00000")="89011", TEXT(TRIM(N1139),"00000")="89012"), "Suburban SE",
  OR(TEXT(TRIM(N1139),"00000")="89117", TEXT(TRIM(N1139),"00000")="89128", TEXT(TRIM(N1139),"00000")="89135", TEXT(TRIM(N1139),"00000")="89144", TEXT(TRIM(N1139),"00000")="89145", TEXT(TRIM(N1139),"00000")="89147"), "West Valley",
  TRUE, "Other"
)</f>
        <v>East Valley</v>
      </c>
      <c r="P1139" t="s">
        <v>3298</v>
      </c>
      <c r="Q1139" t="str">
        <f t="shared" si="70"/>
        <v>Outdoors/Public</v>
      </c>
      <c r="R1139" t="s">
        <v>4856</v>
      </c>
      <c r="S1139" t="s">
        <v>5106</v>
      </c>
      <c r="T1139" t="str" cm="1">
        <f t="array" ref="T1139">_xlfn.IFS(
  TEXT(TRIM(S1139),"00000")="NULL", "Missing/Unknown",
  OR(TEXT(TRIM(S1139),"00000")="89101", TEXT(TRIM(S1139),"00000")="89104", TEXT(TRIM(S1139),"00000")="89106", TEXT(TRIM(S1139),"00000")="89102", TEXT(TRIM(S1139),"00000")="89107", TEXT(TRIM(S1139),"00000")="89108"), "Urban Core",
  OR(TEXT(TRIM(S1139),"00000")="89110", TEXT(TRIM(S1139),"00000")="89115", TEXT(TRIM(S1139),"00000")="89121", TEXT(TRIM(S1139),"00000")="89122", TEXT(TRIM(S1139),"00000")="89142", TEXT(TRIM(S1139),"00000")="89156"), "East Valley",
  OR(TEXT(TRIM(S1139),"00000")="89030", TEXT(TRIM(S1139),"00000")="89031", TEXT(TRIM(S1139),"00000")="89032", TEXT(TRIM(S1139),"00000")="89086", TEXT(TRIM(S1139),"00000")="89084", TEXT(TRIM(S1139),"00000")="89081"), "North LV",
  OR(TEXT(TRIM(S1139),"00000")="89109", TEXT(TRIM(S1139),"00000")="89103", TEXT(TRIM(S1139),"00000")="89119", TEXT(TRIM(S1139),"00000")="89123", TEXT(TRIM(S1139),"00000")="89169", TEXT(TRIM(S1139),"00000")="89118"), "South/Strip",
  OR(TEXT(TRIM(S1139),"00000")="89074", TEXT(TRIM(S1139),"00000")="89014", TEXT(TRIM(S1139),"00000")="89015", TEXT(TRIM(S1139),"00000")="89011", TEXT(TRIM(S1139),"00000")="89012"), "Suburban SE",
  OR(TEXT(TRIM(S1139),"00000")="89117", TEXT(TRIM(S1139),"00000")="89128", TEXT(TRIM(S1139),"00000")="89135", TEXT(TRIM(S1139),"00000")="89144", TEXT(TRIM(S1139),"00000")="89145", TEXT(TRIM(S1139),"00000")="89147"), "West Valley",
  TRUE, "Other"
)</f>
        <v>East Valley</v>
      </c>
      <c r="U1139" t="s">
        <v>3298</v>
      </c>
      <c r="V1139" t="str">
        <f t="shared" si="71"/>
        <v>Outdoors/Public</v>
      </c>
    </row>
    <row r="1140" spans="1:22">
      <c r="A1140" t="s">
        <v>1760</v>
      </c>
      <c r="B1140" t="s">
        <v>1761</v>
      </c>
      <c r="C1140" s="1">
        <v>44366</v>
      </c>
      <c r="D1140" s="4">
        <v>113</v>
      </c>
      <c r="E1140">
        <v>44</v>
      </c>
      <c r="F1140" t="str">
        <f t="shared" si="68"/>
        <v>40's</v>
      </c>
      <c r="G1140" t="str" cm="1">
        <f t="array" ref="G1140">_xlfn.IFS(
  F1140="10's", "Child (5–12)",
  OR(F1140="20's", F1140="30's"), "Young Adult (20–39)",
  OR(F1140="40's", F1140="50's"), "Adult (40–59)",
  OR(F1140="60's", F1140="70's", F1140="80's", F1140="90's"), "Senior (60+)",
  TRUE, "Unknown"
)</f>
        <v>Adult (40–59)</v>
      </c>
      <c r="H1140" t="s">
        <v>841</v>
      </c>
      <c r="I1140" t="s">
        <v>4130</v>
      </c>
      <c r="J1140" t="str">
        <f t="shared" si="69"/>
        <v>Methamphetamine-related</v>
      </c>
      <c r="K1140" t="s">
        <v>54</v>
      </c>
      <c r="L1140" t="s">
        <v>250</v>
      </c>
      <c r="M1140" t="s">
        <v>4864</v>
      </c>
      <c r="N1140" t="s">
        <v>5119</v>
      </c>
      <c r="O1140" t="str" cm="1">
        <f t="array" ref="O1140">_xlfn.IFS(
  TEXT(TRIM(N1140),"00000")="NULL", "Missing/Unknown",
  OR(TEXT(TRIM(N1140),"00000")="89101", TEXT(TRIM(N1140),"00000")="89104", TEXT(TRIM(N1140),"00000")="89106", TEXT(TRIM(N1140),"00000")="89102", TEXT(TRIM(N1140),"00000")="89107", TEXT(TRIM(N1140),"00000")="89108"), "Urban Core",
  OR(TEXT(TRIM(N1140),"00000")="89110", TEXT(TRIM(N1140),"00000")="89115", TEXT(TRIM(N1140),"00000")="89121", TEXT(TRIM(N1140),"00000")="89122", TEXT(TRIM(N1140),"00000")="89142", TEXT(TRIM(N1140),"00000")="89156"), "East Valley",
  OR(TEXT(TRIM(N1140),"00000")="89030", TEXT(TRIM(N1140),"00000")="89031", TEXT(TRIM(N1140),"00000")="89032", TEXT(TRIM(N1140),"00000")="89086", TEXT(TRIM(N1140),"00000")="89084", TEXT(TRIM(N1140),"00000")="89081"), "North LV",
  OR(TEXT(TRIM(N1140),"00000")="89109", TEXT(TRIM(N1140),"00000")="89103", TEXT(TRIM(N1140),"00000")="89119", TEXT(TRIM(N1140),"00000")="89123", TEXT(TRIM(N1140),"00000")="89169", TEXT(TRIM(N1140),"00000")="89118"), "South/Strip",
  OR(TEXT(TRIM(N1140),"00000")="89074", TEXT(TRIM(N1140),"00000")="89014", TEXT(TRIM(N1140),"00000")="89015", TEXT(TRIM(N1140),"00000")="89011", TEXT(TRIM(N1140),"00000")="89012"), "Suburban SE",
  OR(TEXT(TRIM(N1140),"00000")="89117", TEXT(TRIM(N1140),"00000")="89128", TEXT(TRIM(N1140),"00000")="89135", TEXT(TRIM(N1140),"00000")="89144", TEXT(TRIM(N1140),"00000")="89145", TEXT(TRIM(N1140),"00000")="89147"), "West Valley",
  TRUE, "Other"
)</f>
        <v>Urban Core</v>
      </c>
      <c r="P1140" t="s">
        <v>3298</v>
      </c>
      <c r="Q1140" t="str">
        <f t="shared" si="70"/>
        <v>Outdoors/Public</v>
      </c>
      <c r="R1140" t="s">
        <v>4864</v>
      </c>
      <c r="S1140" t="s">
        <v>5119</v>
      </c>
      <c r="T1140" t="str" cm="1">
        <f t="array" ref="T1140">_xlfn.IFS(
  TEXT(TRIM(S1140),"00000")="NULL", "Missing/Unknown",
  OR(TEXT(TRIM(S1140),"00000")="89101", TEXT(TRIM(S1140),"00000")="89104", TEXT(TRIM(S1140),"00000")="89106", TEXT(TRIM(S1140),"00000")="89102", TEXT(TRIM(S1140),"00000")="89107", TEXT(TRIM(S1140),"00000")="89108"), "Urban Core",
  OR(TEXT(TRIM(S1140),"00000")="89110", TEXT(TRIM(S1140),"00000")="89115", TEXT(TRIM(S1140),"00000")="89121", TEXT(TRIM(S1140),"00000")="89122", TEXT(TRIM(S1140),"00000")="89142", TEXT(TRIM(S1140),"00000")="89156"), "East Valley",
  OR(TEXT(TRIM(S1140),"00000")="89030", TEXT(TRIM(S1140),"00000")="89031", TEXT(TRIM(S1140),"00000")="89032", TEXT(TRIM(S1140),"00000")="89086", TEXT(TRIM(S1140),"00000")="89084", TEXT(TRIM(S1140),"00000")="89081"), "North LV",
  OR(TEXT(TRIM(S1140),"00000")="89109", TEXT(TRIM(S1140),"00000")="89103", TEXT(TRIM(S1140),"00000")="89119", TEXT(TRIM(S1140),"00000")="89123", TEXT(TRIM(S1140),"00000")="89169", TEXT(TRIM(S1140),"00000")="89118"), "South/Strip",
  OR(TEXT(TRIM(S1140),"00000")="89074", TEXT(TRIM(S1140),"00000")="89014", TEXT(TRIM(S1140),"00000")="89015", TEXT(TRIM(S1140),"00000")="89011", TEXT(TRIM(S1140),"00000")="89012"), "Suburban SE",
  OR(TEXT(TRIM(S1140),"00000")="89117", TEXT(TRIM(S1140),"00000")="89128", TEXT(TRIM(S1140),"00000")="89135", TEXT(TRIM(S1140),"00000")="89144", TEXT(TRIM(S1140),"00000")="89145", TEXT(TRIM(S1140),"00000")="89147"), "West Valley",
  TRUE, "Other"
)</f>
        <v>Urban Core</v>
      </c>
      <c r="U1140" t="s">
        <v>3298</v>
      </c>
      <c r="V1140" t="str">
        <f t="shared" si="71"/>
        <v>Outdoors/Public</v>
      </c>
    </row>
    <row r="1141" spans="1:22">
      <c r="A1141" t="s">
        <v>1822</v>
      </c>
      <c r="B1141" t="s">
        <v>1823</v>
      </c>
      <c r="C1141" s="1">
        <v>44366</v>
      </c>
      <c r="D1141" s="4">
        <v>113</v>
      </c>
      <c r="E1141">
        <v>54</v>
      </c>
      <c r="F1141" t="str">
        <f t="shared" si="68"/>
        <v>50's</v>
      </c>
      <c r="G1141" t="str" cm="1">
        <f t="array" ref="G1141">_xlfn.IFS(
  F1141="10's", "Child (5–12)",
  OR(F1141="20's", F1141="30's"), "Young Adult (20–39)",
  OR(F1141="40's", F1141="50's"), "Adult (40–59)",
  OR(F1141="60's", F1141="70's", F1141="80's", F1141="90's"), "Senior (60+)",
  TRUE, "Unknown"
)</f>
        <v>Adult (40–59)</v>
      </c>
      <c r="H1141" t="s">
        <v>841</v>
      </c>
      <c r="I1141" t="s">
        <v>97</v>
      </c>
      <c r="J1141" t="str">
        <f t="shared" si="69"/>
        <v>Environmental Heat</v>
      </c>
      <c r="K1141" t="s">
        <v>1824</v>
      </c>
      <c r="L1141" t="s">
        <v>250</v>
      </c>
      <c r="N1141" t="s">
        <v>5095</v>
      </c>
      <c r="O1141" t="str" cm="1">
        <f t="array" ref="O1141">_xlfn.IFS(
  TEXT(TRIM(N1141),"00000")="NULL", "Missing/Unknown",
  OR(TEXT(TRIM(N1141),"00000")="89101", TEXT(TRIM(N1141),"00000")="89104", TEXT(TRIM(N1141),"00000")="89106", TEXT(TRIM(N1141),"00000")="89102", TEXT(TRIM(N1141),"00000")="89107", TEXT(TRIM(N1141),"00000")="89108"), "Urban Core",
  OR(TEXT(TRIM(N1141),"00000")="89110", TEXT(TRIM(N1141),"00000")="89115", TEXT(TRIM(N1141),"00000")="89121", TEXT(TRIM(N1141),"00000")="89122", TEXT(TRIM(N1141),"00000")="89142", TEXT(TRIM(N1141),"00000")="89156"), "East Valley",
  OR(TEXT(TRIM(N1141),"00000")="89030", TEXT(TRIM(N1141),"00000")="89031", TEXT(TRIM(N1141),"00000")="89032", TEXT(TRIM(N1141),"00000")="89086", TEXT(TRIM(N1141),"00000")="89084", TEXT(TRIM(N1141),"00000")="89081"), "North LV",
  OR(TEXT(TRIM(N1141),"00000")="89109", TEXT(TRIM(N1141),"00000")="89103", TEXT(TRIM(N1141),"00000")="89119", TEXT(TRIM(N1141),"00000")="89123", TEXT(TRIM(N1141),"00000")="89169", TEXT(TRIM(N1141),"00000")="89118"), "South/Strip",
  OR(TEXT(TRIM(N1141),"00000")="89074", TEXT(TRIM(N1141),"00000")="89014", TEXT(TRIM(N1141),"00000")="89015", TEXT(TRIM(N1141),"00000")="89011", TEXT(TRIM(N1141),"00000")="89012"), "Suburban SE",
  OR(TEXT(TRIM(N1141),"00000")="89117", TEXT(TRIM(N1141),"00000")="89128", TEXT(TRIM(N1141),"00000")="89135", TEXT(TRIM(N1141),"00000")="89144", TEXT(TRIM(N1141),"00000")="89145", TEXT(TRIM(N1141),"00000")="89147"), "West Valley",
  TRUE, "Other"
)</f>
        <v>Missing/Unknown</v>
      </c>
      <c r="P1141" t="s">
        <v>38</v>
      </c>
      <c r="Q1141" t="str">
        <f t="shared" si="70"/>
        <v>Home/Residence</v>
      </c>
      <c r="R1141" t="s">
        <v>5067</v>
      </c>
      <c r="S1141" t="s">
        <v>5103</v>
      </c>
      <c r="T1141" t="str" cm="1">
        <f t="array" ref="T1141">_xlfn.IFS(
  TEXT(TRIM(S1141),"00000")="NULL", "Missing/Unknown",
  OR(TEXT(TRIM(S1141),"00000")="89101", TEXT(TRIM(S1141),"00000")="89104", TEXT(TRIM(S1141),"00000")="89106", TEXT(TRIM(S1141),"00000")="89102", TEXT(TRIM(S1141),"00000")="89107", TEXT(TRIM(S1141),"00000")="89108"), "Urban Core",
  OR(TEXT(TRIM(S1141),"00000")="89110", TEXT(TRIM(S1141),"00000")="89115", TEXT(TRIM(S1141),"00000")="89121", TEXT(TRIM(S1141),"00000")="89122", TEXT(TRIM(S1141),"00000")="89142", TEXT(TRIM(S1141),"00000")="89156"), "East Valley",
  OR(TEXT(TRIM(S1141),"00000")="89030", TEXT(TRIM(S1141),"00000")="89031", TEXT(TRIM(S1141),"00000")="89032", TEXT(TRIM(S1141),"00000")="89086", TEXT(TRIM(S1141),"00000")="89084", TEXT(TRIM(S1141),"00000")="89081"), "North LV",
  OR(TEXT(TRIM(S1141),"00000")="89109", TEXT(TRIM(S1141),"00000")="89103", TEXT(TRIM(S1141),"00000")="89119", TEXT(TRIM(S1141),"00000")="89123", TEXT(TRIM(S1141),"00000")="89169", TEXT(TRIM(S1141),"00000")="89118"), "South/Strip",
  OR(TEXT(TRIM(S1141),"00000")="89074", TEXT(TRIM(S1141),"00000")="89014", TEXT(TRIM(S1141),"00000")="89015", TEXT(TRIM(S1141),"00000")="89011", TEXT(TRIM(S1141),"00000")="89012"), "Suburban SE",
  OR(TEXT(TRIM(S1141),"00000")="89117", TEXT(TRIM(S1141),"00000")="89128", TEXT(TRIM(S1141),"00000")="89135", TEXT(TRIM(S1141),"00000")="89144", TEXT(TRIM(S1141),"00000")="89145", TEXT(TRIM(S1141),"00000")="89147"), "West Valley",
  TRUE, "Other"
)</f>
        <v>Other</v>
      </c>
      <c r="U1141" t="s">
        <v>4301</v>
      </c>
      <c r="V1141" t="str">
        <f t="shared" si="71"/>
        <v>Medical Facility</v>
      </c>
    </row>
    <row r="1142" spans="1:22">
      <c r="A1142" t="s">
        <v>1748</v>
      </c>
      <c r="B1142" t="s">
        <v>1749</v>
      </c>
      <c r="C1142" s="1">
        <v>44365</v>
      </c>
      <c r="D1142" s="4">
        <v>114.08</v>
      </c>
      <c r="E1142">
        <v>70</v>
      </c>
      <c r="F1142" t="str">
        <f t="shared" si="68"/>
        <v>70's</v>
      </c>
      <c r="G1142" t="str" cm="1">
        <f t="array" ref="G1142">_xlfn.IFS(
  F1142="10's", "Child (5–12)",
  OR(F1142="20's", F1142="30's"), "Young Adult (20–39)",
  OR(F1142="40's", F1142="50's"), "Adult (40–59)",
  OR(F1142="60's", F1142="70's", F1142="80's", F1142="90's"), "Senior (60+)",
  TRUE, "Unknown"
)</f>
        <v>Senior (60+)</v>
      </c>
      <c r="H1142" t="s">
        <v>841</v>
      </c>
      <c r="I1142" t="s">
        <v>97</v>
      </c>
      <c r="J1142" t="str">
        <f t="shared" si="69"/>
        <v>Environmental Heat</v>
      </c>
      <c r="K1142" t="s">
        <v>98</v>
      </c>
      <c r="L1142" t="s">
        <v>1071</v>
      </c>
      <c r="M1142" t="s">
        <v>4653</v>
      </c>
      <c r="N1142" t="s">
        <v>5159</v>
      </c>
      <c r="O1142" t="str" cm="1">
        <f t="array" ref="O1142">_xlfn.IFS(
  TEXT(TRIM(N1142),"00000")="NULL", "Missing/Unknown",
  OR(TEXT(TRIM(N1142),"00000")="89101", TEXT(TRIM(N1142),"00000")="89104", TEXT(TRIM(N1142),"00000")="89106", TEXT(TRIM(N1142),"00000")="89102", TEXT(TRIM(N1142),"00000")="89107", TEXT(TRIM(N1142),"00000")="89108"), "Urban Core",
  OR(TEXT(TRIM(N1142),"00000")="89110", TEXT(TRIM(N1142),"00000")="89115", TEXT(TRIM(N1142),"00000")="89121", TEXT(TRIM(N1142),"00000")="89122", TEXT(TRIM(N1142),"00000")="89142", TEXT(TRIM(N1142),"00000")="89156"), "East Valley",
  OR(TEXT(TRIM(N1142),"00000")="89030", TEXT(TRIM(N1142),"00000")="89031", TEXT(TRIM(N1142),"00000")="89032", TEXT(TRIM(N1142),"00000")="89086", TEXT(TRIM(N1142),"00000")="89084", TEXT(TRIM(N1142),"00000")="89081"), "North LV",
  OR(TEXT(TRIM(N1142),"00000")="89109", TEXT(TRIM(N1142),"00000")="89103", TEXT(TRIM(N1142),"00000")="89119", TEXT(TRIM(N1142),"00000")="89123", TEXT(TRIM(N1142),"00000")="89169", TEXT(TRIM(N1142),"00000")="89118"), "South/Strip",
  OR(TEXT(TRIM(N1142),"00000")="89074", TEXT(TRIM(N1142),"00000")="89014", TEXT(TRIM(N1142),"00000")="89015", TEXT(TRIM(N1142),"00000")="89011", TEXT(TRIM(N1142),"00000")="89012"), "Suburban SE",
  OR(TEXT(TRIM(N1142),"00000")="89117", TEXT(TRIM(N1142),"00000")="89128", TEXT(TRIM(N1142),"00000")="89135", TEXT(TRIM(N1142),"00000")="89144", TEXT(TRIM(N1142),"00000")="89145", TEXT(TRIM(N1142),"00000")="89147"), "West Valley",
  TRUE, "Other"
)</f>
        <v>Suburban SE</v>
      </c>
      <c r="P1142" t="s">
        <v>3298</v>
      </c>
      <c r="Q1142" t="str">
        <f t="shared" si="70"/>
        <v>Outdoors/Public</v>
      </c>
      <c r="R1142" t="s">
        <v>4653</v>
      </c>
      <c r="S1142" t="s">
        <v>5159</v>
      </c>
      <c r="T1142" t="str" cm="1">
        <f t="array" ref="T1142">_xlfn.IFS(
  TEXT(TRIM(S1142),"00000")="NULL", "Missing/Unknown",
  OR(TEXT(TRIM(S1142),"00000")="89101", TEXT(TRIM(S1142),"00000")="89104", TEXT(TRIM(S1142),"00000")="89106", TEXT(TRIM(S1142),"00000")="89102", TEXT(TRIM(S1142),"00000")="89107", TEXT(TRIM(S1142),"00000")="89108"), "Urban Core",
  OR(TEXT(TRIM(S1142),"00000")="89110", TEXT(TRIM(S1142),"00000")="89115", TEXT(TRIM(S1142),"00000")="89121", TEXT(TRIM(S1142),"00000")="89122", TEXT(TRIM(S1142),"00000")="89142", TEXT(TRIM(S1142),"00000")="89156"), "East Valley",
  OR(TEXT(TRIM(S1142),"00000")="89030", TEXT(TRIM(S1142),"00000")="89031", TEXT(TRIM(S1142),"00000")="89032", TEXT(TRIM(S1142),"00000")="89086", TEXT(TRIM(S1142),"00000")="89084", TEXT(TRIM(S1142),"00000")="89081"), "North LV",
  OR(TEXT(TRIM(S1142),"00000")="89109", TEXT(TRIM(S1142),"00000")="89103", TEXT(TRIM(S1142),"00000")="89119", TEXT(TRIM(S1142),"00000")="89123", TEXT(TRIM(S1142),"00000")="89169", TEXT(TRIM(S1142),"00000")="89118"), "South/Strip",
  OR(TEXT(TRIM(S1142),"00000")="89074", TEXT(TRIM(S1142),"00000")="89014", TEXT(TRIM(S1142),"00000")="89015", TEXT(TRIM(S1142),"00000")="89011", TEXT(TRIM(S1142),"00000")="89012"), "Suburban SE",
  OR(TEXT(TRIM(S1142),"00000")="89117", TEXT(TRIM(S1142),"00000")="89128", TEXT(TRIM(S1142),"00000")="89135", TEXT(TRIM(S1142),"00000")="89144", TEXT(TRIM(S1142),"00000")="89145", TEXT(TRIM(S1142),"00000")="89147"), "West Valley",
  TRUE, "Other"
)</f>
        <v>Suburban SE</v>
      </c>
      <c r="U1142" t="s">
        <v>3298</v>
      </c>
      <c r="V1142" t="str">
        <f t="shared" si="71"/>
        <v>Outdoors/Public</v>
      </c>
    </row>
    <row r="1143" spans="1:22">
      <c r="A1143" t="s">
        <v>1741</v>
      </c>
      <c r="B1143" t="s">
        <v>1742</v>
      </c>
      <c r="C1143" s="1">
        <v>44365</v>
      </c>
      <c r="D1143" s="4">
        <v>114.08</v>
      </c>
      <c r="E1143">
        <v>46</v>
      </c>
      <c r="F1143" t="str">
        <f t="shared" si="68"/>
        <v>40's</v>
      </c>
      <c r="G1143" t="str" cm="1">
        <f t="array" ref="G1143">_xlfn.IFS(
  F1143="10's", "Child (5–12)",
  OR(F1143="20's", F1143="30's"), "Young Adult (20–39)",
  OR(F1143="40's", F1143="50's"), "Adult (40–59)",
  OR(F1143="60's", F1143="70's", F1143="80's", F1143="90's"), "Senior (60+)",
  TRUE, "Unknown"
)</f>
        <v>Adult (40–59)</v>
      </c>
      <c r="H1143" t="s">
        <v>778</v>
      </c>
      <c r="I1143" t="s">
        <v>4131</v>
      </c>
      <c r="J1143" t="str">
        <f t="shared" si="69"/>
        <v>Methamphetamine-related</v>
      </c>
      <c r="K1143" t="s">
        <v>54</v>
      </c>
      <c r="L1143" t="s">
        <v>250</v>
      </c>
      <c r="M1143" t="s">
        <v>4866</v>
      </c>
      <c r="N1143" t="s">
        <v>5108</v>
      </c>
      <c r="O1143" t="str" cm="1">
        <f t="array" ref="O1143">_xlfn.IFS(
  TEXT(TRIM(N1143),"00000")="NULL", "Missing/Unknown",
  OR(TEXT(TRIM(N1143),"00000")="89101", TEXT(TRIM(N1143),"00000")="89104", TEXT(TRIM(N1143),"00000")="89106", TEXT(TRIM(N1143),"00000")="89102", TEXT(TRIM(N1143),"00000")="89107", TEXT(TRIM(N1143),"00000")="89108"), "Urban Core",
  OR(TEXT(TRIM(N1143),"00000")="89110", TEXT(TRIM(N1143),"00000")="89115", TEXT(TRIM(N1143),"00000")="89121", TEXT(TRIM(N1143),"00000")="89122", TEXT(TRIM(N1143),"00000")="89142", TEXT(TRIM(N1143),"00000")="89156"), "East Valley",
  OR(TEXT(TRIM(N1143),"00000")="89030", TEXT(TRIM(N1143),"00000")="89031", TEXT(TRIM(N1143),"00000")="89032", TEXT(TRIM(N1143),"00000")="89086", TEXT(TRIM(N1143),"00000")="89084", TEXT(TRIM(N1143),"00000")="89081"), "North LV",
  OR(TEXT(TRIM(N1143),"00000")="89109", TEXT(TRIM(N1143),"00000")="89103", TEXT(TRIM(N1143),"00000")="89119", TEXT(TRIM(N1143),"00000")="89123", TEXT(TRIM(N1143),"00000")="89169", TEXT(TRIM(N1143),"00000")="89118"), "South/Strip",
  OR(TEXT(TRIM(N1143),"00000")="89074", TEXT(TRIM(N1143),"00000")="89014", TEXT(TRIM(N1143),"00000")="89015", TEXT(TRIM(N1143),"00000")="89011", TEXT(TRIM(N1143),"00000")="89012"), "Suburban SE",
  OR(TEXT(TRIM(N1143),"00000")="89117", TEXT(TRIM(N1143),"00000")="89128", TEXT(TRIM(N1143),"00000")="89135", TEXT(TRIM(N1143),"00000")="89144", TEXT(TRIM(N1143),"00000")="89145", TEXT(TRIM(N1143),"00000")="89147"), "West Valley",
  TRUE, "Other"
)</f>
        <v>East Valley</v>
      </c>
      <c r="P1143" t="s">
        <v>3298</v>
      </c>
      <c r="Q1143" t="str">
        <f t="shared" si="70"/>
        <v>Outdoors/Public</v>
      </c>
      <c r="R1143" t="s">
        <v>4866</v>
      </c>
      <c r="S1143" t="s">
        <v>5108</v>
      </c>
      <c r="T1143" t="str" cm="1">
        <f t="array" ref="T1143">_xlfn.IFS(
  TEXT(TRIM(S1143),"00000")="NULL", "Missing/Unknown",
  OR(TEXT(TRIM(S1143),"00000")="89101", TEXT(TRIM(S1143),"00000")="89104", TEXT(TRIM(S1143),"00000")="89106", TEXT(TRIM(S1143),"00000")="89102", TEXT(TRIM(S1143),"00000")="89107", TEXT(TRIM(S1143),"00000")="89108"), "Urban Core",
  OR(TEXT(TRIM(S1143),"00000")="89110", TEXT(TRIM(S1143),"00000")="89115", TEXT(TRIM(S1143),"00000")="89121", TEXT(TRIM(S1143),"00000")="89122", TEXT(TRIM(S1143),"00000")="89142", TEXT(TRIM(S1143),"00000")="89156"), "East Valley",
  OR(TEXT(TRIM(S1143),"00000")="89030", TEXT(TRIM(S1143),"00000")="89031", TEXT(TRIM(S1143),"00000")="89032", TEXT(TRIM(S1143),"00000")="89086", TEXT(TRIM(S1143),"00000")="89084", TEXT(TRIM(S1143),"00000")="89081"), "North LV",
  OR(TEXT(TRIM(S1143),"00000")="89109", TEXT(TRIM(S1143),"00000")="89103", TEXT(TRIM(S1143),"00000")="89119", TEXT(TRIM(S1143),"00000")="89123", TEXT(TRIM(S1143),"00000")="89169", TEXT(TRIM(S1143),"00000")="89118"), "South/Strip",
  OR(TEXT(TRIM(S1143),"00000")="89074", TEXT(TRIM(S1143),"00000")="89014", TEXT(TRIM(S1143),"00000")="89015", TEXT(TRIM(S1143),"00000")="89011", TEXT(TRIM(S1143),"00000")="89012"), "Suburban SE",
  OR(TEXT(TRIM(S1143),"00000")="89117", TEXT(TRIM(S1143),"00000")="89128", TEXT(TRIM(S1143),"00000")="89135", TEXT(TRIM(S1143),"00000")="89144", TEXT(TRIM(S1143),"00000")="89145", TEXT(TRIM(S1143),"00000")="89147"), "West Valley",
  TRUE, "Other"
)</f>
        <v>East Valley</v>
      </c>
      <c r="U1143" t="s">
        <v>3298</v>
      </c>
      <c r="V1143" t="str">
        <f t="shared" si="71"/>
        <v>Outdoors/Public</v>
      </c>
    </row>
    <row r="1144" spans="1:22">
      <c r="A1144" t="s">
        <v>1745</v>
      </c>
      <c r="B1144" t="s">
        <v>1746</v>
      </c>
      <c r="C1144" s="1">
        <v>44365</v>
      </c>
      <c r="D1144" s="4">
        <v>114.08</v>
      </c>
      <c r="E1144">
        <v>46</v>
      </c>
      <c r="F1144" t="str">
        <f t="shared" si="68"/>
        <v>40's</v>
      </c>
      <c r="G1144" t="str" cm="1">
        <f t="array" ref="G1144">_xlfn.IFS(
  F1144="10's", "Child (5–12)",
  OR(F1144="20's", F1144="30's"), "Young Adult (20–39)",
  OR(F1144="40's", F1144="50's"), "Adult (40–59)",
  OR(F1144="60's", F1144="70's", F1144="80's", F1144="90's"), "Senior (60+)",
  TRUE, "Unknown"
)</f>
        <v>Adult (40–59)</v>
      </c>
      <c r="H1144" t="s">
        <v>778</v>
      </c>
      <c r="I1144" t="s">
        <v>97</v>
      </c>
      <c r="J1144" t="str">
        <f t="shared" si="69"/>
        <v>Environmental Heat</v>
      </c>
      <c r="K1144" t="s">
        <v>1028</v>
      </c>
      <c r="L1144" t="s">
        <v>250</v>
      </c>
      <c r="M1144" t="s">
        <v>4565</v>
      </c>
      <c r="N1144" t="s">
        <v>5108</v>
      </c>
      <c r="O1144" t="str" cm="1">
        <f t="array" ref="O1144">_xlfn.IFS(
  TEXT(TRIM(N1144),"00000")="NULL", "Missing/Unknown",
  OR(TEXT(TRIM(N1144),"00000")="89101", TEXT(TRIM(N1144),"00000")="89104", TEXT(TRIM(N1144),"00000")="89106", TEXT(TRIM(N1144),"00000")="89102", TEXT(TRIM(N1144),"00000")="89107", TEXT(TRIM(N1144),"00000")="89108"), "Urban Core",
  OR(TEXT(TRIM(N1144),"00000")="89110", TEXT(TRIM(N1144),"00000")="89115", TEXT(TRIM(N1144),"00000")="89121", TEXT(TRIM(N1144),"00000")="89122", TEXT(TRIM(N1144),"00000")="89142", TEXT(TRIM(N1144),"00000")="89156"), "East Valley",
  OR(TEXT(TRIM(N1144),"00000")="89030", TEXT(TRIM(N1144),"00000")="89031", TEXT(TRIM(N1144),"00000")="89032", TEXT(TRIM(N1144),"00000")="89086", TEXT(TRIM(N1144),"00000")="89084", TEXT(TRIM(N1144),"00000")="89081"), "North LV",
  OR(TEXT(TRIM(N1144),"00000")="89109", TEXT(TRIM(N1144),"00000")="89103", TEXT(TRIM(N1144),"00000")="89119", TEXT(TRIM(N1144),"00000")="89123", TEXT(TRIM(N1144),"00000")="89169", TEXT(TRIM(N1144),"00000")="89118"), "South/Strip",
  OR(TEXT(TRIM(N1144),"00000")="89074", TEXT(TRIM(N1144),"00000")="89014", TEXT(TRIM(N1144),"00000")="89015", TEXT(TRIM(N1144),"00000")="89011", TEXT(TRIM(N1144),"00000")="89012"), "Suburban SE",
  OR(TEXT(TRIM(N1144),"00000")="89117", TEXT(TRIM(N1144),"00000")="89128", TEXT(TRIM(N1144),"00000")="89135", TEXT(TRIM(N1144),"00000")="89144", TEXT(TRIM(N1144),"00000")="89145", TEXT(TRIM(N1144),"00000")="89147"), "West Valley",
  TRUE, "Other"
)</f>
        <v>East Valley</v>
      </c>
      <c r="P1144" t="s">
        <v>3298</v>
      </c>
      <c r="Q1144" t="str">
        <f t="shared" si="70"/>
        <v>Outdoors/Public</v>
      </c>
      <c r="R1144" t="s">
        <v>4868</v>
      </c>
      <c r="S1144" t="s">
        <v>5123</v>
      </c>
      <c r="T1144" t="str" cm="1">
        <f t="array" ref="T1144">_xlfn.IFS(
  TEXT(TRIM(S1144),"00000")="NULL", "Missing/Unknown",
  OR(TEXT(TRIM(S1144),"00000")="89101", TEXT(TRIM(S1144),"00000")="89104", TEXT(TRIM(S1144),"00000")="89106", TEXT(TRIM(S1144),"00000")="89102", TEXT(TRIM(S1144),"00000")="89107", TEXT(TRIM(S1144),"00000")="89108"), "Urban Core",
  OR(TEXT(TRIM(S1144),"00000")="89110", TEXT(TRIM(S1144),"00000")="89115", TEXT(TRIM(S1144),"00000")="89121", TEXT(TRIM(S1144),"00000")="89122", TEXT(TRIM(S1144),"00000")="89142", TEXT(TRIM(S1144),"00000")="89156"), "East Valley",
  OR(TEXT(TRIM(S1144),"00000")="89030", TEXT(TRIM(S1144),"00000")="89031", TEXT(TRIM(S1144),"00000")="89032", TEXT(TRIM(S1144),"00000")="89086", TEXT(TRIM(S1144),"00000")="89084", TEXT(TRIM(S1144),"00000")="89081"), "North LV",
  OR(TEXT(TRIM(S1144),"00000")="89109", TEXT(TRIM(S1144),"00000")="89103", TEXT(TRIM(S1144),"00000")="89119", TEXT(TRIM(S1144),"00000")="89123", TEXT(TRIM(S1144),"00000")="89169", TEXT(TRIM(S1144),"00000")="89118"), "South/Strip",
  OR(TEXT(TRIM(S1144),"00000")="89074", TEXT(TRIM(S1144),"00000")="89014", TEXT(TRIM(S1144),"00000")="89015", TEXT(TRIM(S1144),"00000")="89011", TEXT(TRIM(S1144),"00000")="89012"), "Suburban SE",
  OR(TEXT(TRIM(S1144),"00000")="89117", TEXT(TRIM(S1144),"00000")="89128", TEXT(TRIM(S1144),"00000")="89135", TEXT(TRIM(S1144),"00000")="89144", TEXT(TRIM(S1144),"00000")="89145", TEXT(TRIM(S1144),"00000")="89147"), "West Valley",
  TRUE, "Other"
)</f>
        <v>South/Strip</v>
      </c>
      <c r="U1144" t="s">
        <v>4301</v>
      </c>
      <c r="V1144" t="str">
        <f t="shared" si="71"/>
        <v>Medical Facility</v>
      </c>
    </row>
    <row r="1145" spans="1:22">
      <c r="A1145" t="s">
        <v>1733</v>
      </c>
      <c r="B1145" t="s">
        <v>1734</v>
      </c>
      <c r="C1145" s="1">
        <v>44364</v>
      </c>
      <c r="D1145" s="4">
        <v>114.08</v>
      </c>
      <c r="E1145">
        <v>63</v>
      </c>
      <c r="F1145" t="str">
        <f t="shared" si="68"/>
        <v>60's</v>
      </c>
      <c r="G1145" t="str" cm="1">
        <f t="array" ref="G1145">_xlfn.IFS(
  F1145="10's", "Child (5–12)",
  OR(F1145="20's", F1145="30's"), "Young Adult (20–39)",
  OR(F1145="40's", F1145="50's"), "Adult (40–59)",
  OR(F1145="60's", F1145="70's", F1145="80's", F1145="90's"), "Senior (60+)",
  TRUE, "Unknown"
)</f>
        <v>Senior (60+)</v>
      </c>
      <c r="H1145" t="s">
        <v>778</v>
      </c>
      <c r="I1145" t="s">
        <v>97</v>
      </c>
      <c r="J1145" t="str">
        <f t="shared" si="69"/>
        <v>Environmental Heat</v>
      </c>
      <c r="K1145" t="s">
        <v>63</v>
      </c>
      <c r="L1145" t="s">
        <v>250</v>
      </c>
      <c r="N1145" t="s">
        <v>5095</v>
      </c>
      <c r="O1145" t="str" cm="1">
        <f t="array" ref="O1145">_xlfn.IFS(
  TEXT(TRIM(N1145),"00000")="NULL", "Missing/Unknown",
  OR(TEXT(TRIM(N1145),"00000")="89101", TEXT(TRIM(N1145),"00000")="89104", TEXT(TRIM(N1145),"00000")="89106", TEXT(TRIM(N1145),"00000")="89102", TEXT(TRIM(N1145),"00000")="89107", TEXT(TRIM(N1145),"00000")="89108"), "Urban Core",
  OR(TEXT(TRIM(N1145),"00000")="89110", TEXT(TRIM(N1145),"00000")="89115", TEXT(TRIM(N1145),"00000")="89121", TEXT(TRIM(N1145),"00000")="89122", TEXT(TRIM(N1145),"00000")="89142", TEXT(TRIM(N1145),"00000")="89156"), "East Valley",
  OR(TEXT(TRIM(N1145),"00000")="89030", TEXT(TRIM(N1145),"00000")="89031", TEXT(TRIM(N1145),"00000")="89032", TEXT(TRIM(N1145),"00000")="89086", TEXT(TRIM(N1145),"00000")="89084", TEXT(TRIM(N1145),"00000")="89081"), "North LV",
  OR(TEXT(TRIM(N1145),"00000")="89109", TEXT(TRIM(N1145),"00000")="89103", TEXT(TRIM(N1145),"00000")="89119", TEXT(TRIM(N1145),"00000")="89123", TEXT(TRIM(N1145),"00000")="89169", TEXT(TRIM(N1145),"00000")="89118"), "South/Strip",
  OR(TEXT(TRIM(N1145),"00000")="89074", TEXT(TRIM(N1145),"00000")="89014", TEXT(TRIM(N1145),"00000")="89015", TEXT(TRIM(N1145),"00000")="89011", TEXT(TRIM(N1145),"00000")="89012"), "Suburban SE",
  OR(TEXT(TRIM(N1145),"00000")="89117", TEXT(TRIM(N1145),"00000")="89128", TEXT(TRIM(N1145),"00000")="89135", TEXT(TRIM(N1145),"00000")="89144", TEXT(TRIM(N1145),"00000")="89145", TEXT(TRIM(N1145),"00000")="89147"), "West Valley",
  TRUE, "Other"
)</f>
        <v>Missing/Unknown</v>
      </c>
      <c r="P1145" t="s">
        <v>3298</v>
      </c>
      <c r="Q1145" t="str">
        <f t="shared" si="70"/>
        <v>Outdoors/Public</v>
      </c>
      <c r="R1145" t="s">
        <v>4576</v>
      </c>
      <c r="S1145" t="s">
        <v>5118</v>
      </c>
      <c r="T1145" t="str" cm="1">
        <f t="array" ref="T1145">_xlfn.IFS(
  TEXT(TRIM(S1145),"00000")="NULL", "Missing/Unknown",
  OR(TEXT(TRIM(S1145),"00000")="89101", TEXT(TRIM(S1145),"00000")="89104", TEXT(TRIM(S1145),"00000")="89106", TEXT(TRIM(S1145),"00000")="89102", TEXT(TRIM(S1145),"00000")="89107", TEXT(TRIM(S1145),"00000")="89108"), "Urban Core",
  OR(TEXT(TRIM(S1145),"00000")="89110", TEXT(TRIM(S1145),"00000")="89115", TEXT(TRIM(S1145),"00000")="89121", TEXT(TRIM(S1145),"00000")="89122", TEXT(TRIM(S1145),"00000")="89142", TEXT(TRIM(S1145),"00000")="89156"), "East Valley",
  OR(TEXT(TRIM(S1145),"00000")="89030", TEXT(TRIM(S1145),"00000")="89031", TEXT(TRIM(S1145),"00000")="89032", TEXT(TRIM(S1145),"00000")="89086", TEXT(TRIM(S1145),"00000")="89084", TEXT(TRIM(S1145),"00000")="89081"), "North LV",
  OR(TEXT(TRIM(S1145),"00000")="89109", TEXT(TRIM(S1145),"00000")="89103", TEXT(TRIM(S1145),"00000")="89119", TEXT(TRIM(S1145),"00000")="89123", TEXT(TRIM(S1145),"00000")="89169", TEXT(TRIM(S1145),"00000")="89118"), "South/Strip",
  OR(TEXT(TRIM(S1145),"00000")="89074", TEXT(TRIM(S1145),"00000")="89014", TEXT(TRIM(S1145),"00000")="89015", TEXT(TRIM(S1145),"00000")="89011", TEXT(TRIM(S1145),"00000")="89012"), "Suburban SE",
  OR(TEXT(TRIM(S1145),"00000")="89117", TEXT(TRIM(S1145),"00000")="89128", TEXT(TRIM(S1145),"00000")="89135", TEXT(TRIM(S1145),"00000")="89144", TEXT(TRIM(S1145),"00000")="89145", TEXT(TRIM(S1145),"00000")="89147"), "West Valley",
  TRUE, "Other"
)</f>
        <v>South/Strip</v>
      </c>
      <c r="U1145" t="s">
        <v>4301</v>
      </c>
      <c r="V1145" t="str">
        <f t="shared" si="71"/>
        <v>Medical Facility</v>
      </c>
    </row>
    <row r="1146" spans="1:22">
      <c r="A1146" t="s">
        <v>1738</v>
      </c>
      <c r="B1146" t="s">
        <v>1739</v>
      </c>
      <c r="C1146" s="1">
        <v>44364</v>
      </c>
      <c r="D1146" s="4">
        <v>114.08</v>
      </c>
      <c r="E1146">
        <v>50</v>
      </c>
      <c r="F1146" t="str">
        <f t="shared" si="68"/>
        <v>50's</v>
      </c>
      <c r="G1146" t="str" cm="1">
        <f t="array" ref="G1146">_xlfn.IFS(
  F1146="10's", "Child (5–12)",
  OR(F1146="20's", F1146="30's"), "Young Adult (20–39)",
  OR(F1146="40's", F1146="50's"), "Adult (40–59)",
  OR(F1146="60's", F1146="70's", F1146="80's", F1146="90's"), "Senior (60+)",
  TRUE, "Unknown"
)</f>
        <v>Adult (40–59)</v>
      </c>
      <c r="H1146" t="s">
        <v>4310</v>
      </c>
      <c r="I1146" t="s">
        <v>97</v>
      </c>
      <c r="J1146" t="str">
        <f t="shared" si="69"/>
        <v>Environmental Heat</v>
      </c>
      <c r="K1146" t="s">
        <v>98</v>
      </c>
      <c r="L1146" t="s">
        <v>250</v>
      </c>
      <c r="M1146" t="s">
        <v>4563</v>
      </c>
      <c r="N1146" t="s">
        <v>5096</v>
      </c>
      <c r="O1146" t="str" cm="1">
        <f t="array" ref="O1146">_xlfn.IFS(
  TEXT(TRIM(N1146),"00000")="NULL", "Missing/Unknown",
  OR(TEXT(TRIM(N1146),"00000")="89101", TEXT(TRIM(N1146),"00000")="89104", TEXT(TRIM(N1146),"00000")="89106", TEXT(TRIM(N1146),"00000")="89102", TEXT(TRIM(N1146),"00000")="89107", TEXT(TRIM(N1146),"00000")="89108"), "Urban Core",
  OR(TEXT(TRIM(N1146),"00000")="89110", TEXT(TRIM(N1146),"00000")="89115", TEXT(TRIM(N1146),"00000")="89121", TEXT(TRIM(N1146),"00000")="89122", TEXT(TRIM(N1146),"00000")="89142", TEXT(TRIM(N1146),"00000")="89156"), "East Valley",
  OR(TEXT(TRIM(N1146),"00000")="89030", TEXT(TRIM(N1146),"00000")="89031", TEXT(TRIM(N1146),"00000")="89032", TEXT(TRIM(N1146),"00000")="89086", TEXT(TRIM(N1146),"00000")="89084", TEXT(TRIM(N1146),"00000")="89081"), "North LV",
  OR(TEXT(TRIM(N1146),"00000")="89109", TEXT(TRIM(N1146),"00000")="89103", TEXT(TRIM(N1146),"00000")="89119", TEXT(TRIM(N1146),"00000")="89123", TEXT(TRIM(N1146),"00000")="89169", TEXT(TRIM(N1146),"00000")="89118"), "South/Strip",
  OR(TEXT(TRIM(N1146),"00000")="89074", TEXT(TRIM(N1146),"00000")="89014", TEXT(TRIM(N1146),"00000")="89015", TEXT(TRIM(N1146),"00000")="89011", TEXT(TRIM(N1146),"00000")="89012"), "Suburban SE",
  OR(TEXT(TRIM(N1146),"00000")="89117", TEXT(TRIM(N1146),"00000")="89128", TEXT(TRIM(N1146),"00000")="89135", TEXT(TRIM(N1146),"00000")="89144", TEXT(TRIM(N1146),"00000")="89145", TEXT(TRIM(N1146),"00000")="89147"), "West Valley",
  TRUE, "Other"
)</f>
        <v>South/Strip</v>
      </c>
      <c r="P1146" t="s">
        <v>3298</v>
      </c>
      <c r="Q1146" t="str">
        <f t="shared" si="70"/>
        <v>Outdoors/Public</v>
      </c>
      <c r="R1146" t="s">
        <v>4713</v>
      </c>
      <c r="S1146" t="s">
        <v>5125</v>
      </c>
      <c r="T1146" t="str" cm="1">
        <f t="array" ref="T1146">_xlfn.IFS(
  TEXT(TRIM(S1146),"00000")="NULL", "Missing/Unknown",
  OR(TEXT(TRIM(S1146),"00000")="89101", TEXT(TRIM(S1146),"00000")="89104", TEXT(TRIM(S1146),"00000")="89106", TEXT(TRIM(S1146),"00000")="89102", TEXT(TRIM(S1146),"00000")="89107", TEXT(TRIM(S1146),"00000")="89108"), "Urban Core",
  OR(TEXT(TRIM(S1146),"00000")="89110", TEXT(TRIM(S1146),"00000")="89115", TEXT(TRIM(S1146),"00000")="89121", TEXT(TRIM(S1146),"00000")="89122", TEXT(TRIM(S1146),"00000")="89142", TEXT(TRIM(S1146),"00000")="89156"), "East Valley",
  OR(TEXT(TRIM(S1146),"00000")="89030", TEXT(TRIM(S1146),"00000")="89031", TEXT(TRIM(S1146),"00000")="89032", TEXT(TRIM(S1146),"00000")="89086", TEXT(TRIM(S1146),"00000")="89084", TEXT(TRIM(S1146),"00000")="89081"), "North LV",
  OR(TEXT(TRIM(S1146),"00000")="89109", TEXT(TRIM(S1146),"00000")="89103", TEXT(TRIM(S1146),"00000")="89119", TEXT(TRIM(S1146),"00000")="89123", TEXT(TRIM(S1146),"00000")="89169", TEXT(TRIM(S1146),"00000")="89118"), "South/Strip",
  OR(TEXT(TRIM(S1146),"00000")="89074", TEXT(TRIM(S1146),"00000")="89014", TEXT(TRIM(S1146),"00000")="89015", TEXT(TRIM(S1146),"00000")="89011", TEXT(TRIM(S1146),"00000")="89012"), "Suburban SE",
  OR(TEXT(TRIM(S1146),"00000")="89117", TEXT(TRIM(S1146),"00000")="89128", TEXT(TRIM(S1146),"00000")="89135", TEXT(TRIM(S1146),"00000")="89144", TEXT(TRIM(S1146),"00000")="89145", TEXT(TRIM(S1146),"00000")="89147"), "West Valley",
  TRUE, "Other"
)</f>
        <v>South/Strip</v>
      </c>
      <c r="U1146" t="s">
        <v>4301</v>
      </c>
      <c r="V1146" t="str">
        <f t="shared" si="71"/>
        <v>Medical Facility</v>
      </c>
    </row>
    <row r="1147" spans="1:22">
      <c r="A1147" t="s">
        <v>1735</v>
      </c>
      <c r="B1147" t="s">
        <v>1736</v>
      </c>
      <c r="C1147" s="1">
        <v>44364</v>
      </c>
      <c r="D1147" s="4">
        <v>114.08</v>
      </c>
      <c r="E1147">
        <v>68</v>
      </c>
      <c r="F1147" t="str">
        <f t="shared" si="68"/>
        <v>60's</v>
      </c>
      <c r="G1147" t="str" cm="1">
        <f t="array" ref="G1147">_xlfn.IFS(
  F1147="10's", "Child (5–12)",
  OR(F1147="20's", F1147="30's"), "Young Adult (20–39)",
  OR(F1147="40's", F1147="50's"), "Adult (40–59)",
  OR(F1147="60's", F1147="70's", F1147="80's", F1147="90's"), "Senior (60+)",
  TRUE, "Unknown"
)</f>
        <v>Senior (60+)</v>
      </c>
      <c r="H1147" t="s">
        <v>778</v>
      </c>
      <c r="I1147" t="s">
        <v>54</v>
      </c>
      <c r="J1147" t="str">
        <f t="shared" si="69"/>
        <v>Environmental Heat</v>
      </c>
      <c r="K1147" t="s">
        <v>1737</v>
      </c>
      <c r="L1147" t="s">
        <v>250</v>
      </c>
      <c r="N1147" t="s">
        <v>5095</v>
      </c>
      <c r="O1147" t="str" cm="1">
        <f t="array" ref="O1147">_xlfn.IFS(
  TEXT(TRIM(N1147),"00000")="NULL", "Missing/Unknown",
  OR(TEXT(TRIM(N1147),"00000")="89101", TEXT(TRIM(N1147),"00000")="89104", TEXT(TRIM(N1147),"00000")="89106", TEXT(TRIM(N1147),"00000")="89102", TEXT(TRIM(N1147),"00000")="89107", TEXT(TRIM(N1147),"00000")="89108"), "Urban Core",
  OR(TEXT(TRIM(N1147),"00000")="89110", TEXT(TRIM(N1147),"00000")="89115", TEXT(TRIM(N1147),"00000")="89121", TEXT(TRIM(N1147),"00000")="89122", TEXT(TRIM(N1147),"00000")="89142", TEXT(TRIM(N1147),"00000")="89156"), "East Valley",
  OR(TEXT(TRIM(N1147),"00000")="89030", TEXT(TRIM(N1147),"00000")="89031", TEXT(TRIM(N1147),"00000")="89032", TEXT(TRIM(N1147),"00000")="89086", TEXT(TRIM(N1147),"00000")="89084", TEXT(TRIM(N1147),"00000")="89081"), "North LV",
  OR(TEXT(TRIM(N1147),"00000")="89109", TEXT(TRIM(N1147),"00000")="89103", TEXT(TRIM(N1147),"00000")="89119", TEXT(TRIM(N1147),"00000")="89123", TEXT(TRIM(N1147),"00000")="89169", TEXT(TRIM(N1147),"00000")="89118"), "South/Strip",
  OR(TEXT(TRIM(N1147),"00000")="89074", TEXT(TRIM(N1147),"00000")="89014", TEXT(TRIM(N1147),"00000")="89015", TEXT(TRIM(N1147),"00000")="89011", TEXT(TRIM(N1147),"00000")="89012"), "Suburban SE",
  OR(TEXT(TRIM(N1147),"00000")="89117", TEXT(TRIM(N1147),"00000")="89128", TEXT(TRIM(N1147),"00000")="89135", TEXT(TRIM(N1147),"00000")="89144", TEXT(TRIM(N1147),"00000")="89145", TEXT(TRIM(N1147),"00000")="89147"), "West Valley",
  TRUE, "Other"
)</f>
        <v>Missing/Unknown</v>
      </c>
      <c r="P1147" t="s">
        <v>3298</v>
      </c>
      <c r="Q1147" t="str">
        <f t="shared" si="70"/>
        <v>Outdoors/Public</v>
      </c>
      <c r="R1147" t="s">
        <v>5054</v>
      </c>
      <c r="S1147" t="s">
        <v>5097</v>
      </c>
      <c r="T1147" t="str" cm="1">
        <f t="array" ref="T1147">_xlfn.IFS(
  TEXT(TRIM(S1147),"00000")="NULL", "Missing/Unknown",
  OR(TEXT(TRIM(S1147),"00000")="89101", TEXT(TRIM(S1147),"00000")="89104", TEXT(TRIM(S1147),"00000")="89106", TEXT(TRIM(S1147),"00000")="89102", TEXT(TRIM(S1147),"00000")="89107", TEXT(TRIM(S1147),"00000")="89108"), "Urban Core",
  OR(TEXT(TRIM(S1147),"00000")="89110", TEXT(TRIM(S1147),"00000")="89115", TEXT(TRIM(S1147),"00000")="89121", TEXT(TRIM(S1147),"00000")="89122", TEXT(TRIM(S1147),"00000")="89142", TEXT(TRIM(S1147),"00000")="89156"), "East Valley",
  OR(TEXT(TRIM(S1147),"00000")="89030", TEXT(TRIM(S1147),"00000")="89031", TEXT(TRIM(S1147),"00000")="89032", TEXT(TRIM(S1147),"00000")="89086", TEXT(TRIM(S1147),"00000")="89084", TEXT(TRIM(S1147),"00000")="89081"), "North LV",
  OR(TEXT(TRIM(S1147),"00000")="89109", TEXT(TRIM(S1147),"00000")="89103", TEXT(TRIM(S1147),"00000")="89119", TEXT(TRIM(S1147),"00000")="89123", TEXT(TRIM(S1147),"00000")="89169", TEXT(TRIM(S1147),"00000")="89118"), "South/Strip",
  OR(TEXT(TRIM(S1147),"00000")="89074", TEXT(TRIM(S1147),"00000")="89014", TEXT(TRIM(S1147),"00000")="89015", TEXT(TRIM(S1147),"00000")="89011", TEXT(TRIM(S1147),"00000")="89012"), "Suburban SE",
  OR(TEXT(TRIM(S1147),"00000")="89117", TEXT(TRIM(S1147),"00000")="89128", TEXT(TRIM(S1147),"00000")="89135", TEXT(TRIM(S1147),"00000")="89144", TEXT(TRIM(S1147),"00000")="89145", TEXT(TRIM(S1147),"00000")="89147"), "West Valley",
  TRUE, "Other"
)</f>
        <v>Urban Core</v>
      </c>
      <c r="U1147" t="s">
        <v>4301</v>
      </c>
      <c r="V1147" t="str">
        <f t="shared" si="71"/>
        <v>Medical Facility</v>
      </c>
    </row>
    <row r="1148" spans="1:22">
      <c r="A1148" t="s">
        <v>1728</v>
      </c>
      <c r="B1148" t="s">
        <v>1729</v>
      </c>
      <c r="C1148" s="1">
        <v>44363</v>
      </c>
      <c r="D1148" s="4">
        <v>116.06</v>
      </c>
      <c r="E1148">
        <v>65</v>
      </c>
      <c r="F1148" t="str">
        <f t="shared" si="68"/>
        <v>60's</v>
      </c>
      <c r="G1148" t="str" cm="1">
        <f t="array" ref="G1148">_xlfn.IFS(
  F1148="10's", "Child (5–12)",
  OR(F1148="20's", F1148="30's"), "Young Adult (20–39)",
  OR(F1148="40's", F1148="50's"), "Adult (40–59)",
  OR(F1148="60's", F1148="70's", F1148="80's", F1148="90's"), "Senior (60+)",
  TRUE, "Unknown"
)</f>
        <v>Senior (60+)</v>
      </c>
      <c r="H1148" t="s">
        <v>778</v>
      </c>
      <c r="I1148" t="s">
        <v>1730</v>
      </c>
      <c r="J1148" t="str">
        <f t="shared" si="69"/>
        <v>Environmental Heat</v>
      </c>
      <c r="K1148" t="s">
        <v>4260</v>
      </c>
      <c r="L1148" t="s">
        <v>250</v>
      </c>
      <c r="M1148" t="s">
        <v>4341</v>
      </c>
      <c r="N1148" t="s">
        <v>5100</v>
      </c>
      <c r="O1148" t="str" cm="1">
        <f t="array" ref="O1148">_xlfn.IFS(
  TEXT(TRIM(N1148),"00000")="NULL", "Missing/Unknown",
  OR(TEXT(TRIM(N1148),"00000")="89101", TEXT(TRIM(N1148),"00000")="89104", TEXT(TRIM(N1148),"00000")="89106", TEXT(TRIM(N1148),"00000")="89102", TEXT(TRIM(N1148),"00000")="89107", TEXT(TRIM(N1148),"00000")="89108"), "Urban Core",
  OR(TEXT(TRIM(N1148),"00000")="89110", TEXT(TRIM(N1148),"00000")="89115", TEXT(TRIM(N1148),"00000")="89121", TEXT(TRIM(N1148),"00000")="89122", TEXT(TRIM(N1148),"00000")="89142", TEXT(TRIM(N1148),"00000")="89156"), "East Valley",
  OR(TEXT(TRIM(N1148),"00000")="89030", TEXT(TRIM(N1148),"00000")="89031", TEXT(TRIM(N1148),"00000")="89032", TEXT(TRIM(N1148),"00000")="89086", TEXT(TRIM(N1148),"00000")="89084", TEXT(TRIM(N1148),"00000")="89081"), "North LV",
  OR(TEXT(TRIM(N1148),"00000")="89109", TEXT(TRIM(N1148),"00000")="89103", TEXT(TRIM(N1148),"00000")="89119", TEXT(TRIM(N1148),"00000")="89123", TEXT(TRIM(N1148),"00000")="89169", TEXT(TRIM(N1148),"00000")="89118"), "South/Strip",
  OR(TEXT(TRIM(N1148),"00000")="89074", TEXT(TRIM(N1148),"00000")="89014", TEXT(TRIM(N1148),"00000")="89015", TEXT(TRIM(N1148),"00000")="89011", TEXT(TRIM(N1148),"00000")="89012"), "Suburban SE",
  OR(TEXT(TRIM(N1148),"00000")="89117", TEXT(TRIM(N1148),"00000")="89128", TEXT(TRIM(N1148),"00000")="89135", TEXT(TRIM(N1148),"00000")="89144", TEXT(TRIM(N1148),"00000")="89145", TEXT(TRIM(N1148),"00000")="89147"), "West Valley",
  TRUE, "Other"
)</f>
        <v>North LV</v>
      </c>
      <c r="P1148" t="s">
        <v>4301</v>
      </c>
      <c r="Q1148" t="str">
        <f t="shared" si="70"/>
        <v>Medical Facility</v>
      </c>
      <c r="R1148" t="s">
        <v>4341</v>
      </c>
      <c r="S1148" t="s">
        <v>5100</v>
      </c>
      <c r="T1148" t="str" cm="1">
        <f t="array" ref="T1148">_xlfn.IFS(
  TEXT(TRIM(S1148),"00000")="NULL", "Missing/Unknown",
  OR(TEXT(TRIM(S1148),"00000")="89101", TEXT(TRIM(S1148),"00000")="89104", TEXT(TRIM(S1148),"00000")="89106", TEXT(TRIM(S1148),"00000")="89102", TEXT(TRIM(S1148),"00000")="89107", TEXT(TRIM(S1148),"00000")="89108"), "Urban Core",
  OR(TEXT(TRIM(S1148),"00000")="89110", TEXT(TRIM(S1148),"00000")="89115", TEXT(TRIM(S1148),"00000")="89121", TEXT(TRIM(S1148),"00000")="89122", TEXT(TRIM(S1148),"00000")="89142", TEXT(TRIM(S1148),"00000")="89156"), "East Valley",
  OR(TEXT(TRIM(S1148),"00000")="89030", TEXT(TRIM(S1148),"00000")="89031", TEXT(TRIM(S1148),"00000")="89032", TEXT(TRIM(S1148),"00000")="89086", TEXT(TRIM(S1148),"00000")="89084", TEXT(TRIM(S1148),"00000")="89081"), "North LV",
  OR(TEXT(TRIM(S1148),"00000")="89109", TEXT(TRIM(S1148),"00000")="89103", TEXT(TRIM(S1148),"00000")="89119", TEXT(TRIM(S1148),"00000")="89123", TEXT(TRIM(S1148),"00000")="89169", TEXT(TRIM(S1148),"00000")="89118"), "South/Strip",
  OR(TEXT(TRIM(S1148),"00000")="89074", TEXT(TRIM(S1148),"00000")="89014", TEXT(TRIM(S1148),"00000")="89015", TEXT(TRIM(S1148),"00000")="89011", TEXT(TRIM(S1148),"00000")="89012"), "Suburban SE",
  OR(TEXT(TRIM(S1148),"00000")="89117", TEXT(TRIM(S1148),"00000")="89128", TEXT(TRIM(S1148),"00000")="89135", TEXT(TRIM(S1148),"00000")="89144", TEXT(TRIM(S1148),"00000")="89145", TEXT(TRIM(S1148),"00000")="89147"), "West Valley",
  TRUE, "Other"
)</f>
        <v>North LV</v>
      </c>
      <c r="U1148" t="s">
        <v>4301</v>
      </c>
      <c r="V1148" t="str">
        <f t="shared" si="71"/>
        <v>Medical Facility</v>
      </c>
    </row>
    <row r="1149" spans="1:22">
      <c r="A1149" t="s">
        <v>1725</v>
      </c>
      <c r="B1149" t="s">
        <v>1726</v>
      </c>
      <c r="C1149" s="1">
        <v>44363</v>
      </c>
      <c r="D1149" s="4">
        <v>116.06</v>
      </c>
      <c r="E1149">
        <v>79</v>
      </c>
      <c r="F1149" t="str">
        <f t="shared" si="68"/>
        <v>70's</v>
      </c>
      <c r="G1149" t="str" cm="1">
        <f t="array" ref="G1149">_xlfn.IFS(
  F1149="10's", "Child (5–12)",
  OR(F1149="20's", F1149="30's"), "Young Adult (20–39)",
  OR(F1149="40's", F1149="50's"), "Adult (40–59)",
  OR(F1149="60's", F1149="70's", F1149="80's", F1149="90's"), "Senior (60+)",
  TRUE, "Unknown"
)</f>
        <v>Senior (60+)</v>
      </c>
      <c r="H1149" t="s">
        <v>841</v>
      </c>
      <c r="I1149" t="s">
        <v>63</v>
      </c>
      <c r="J1149" t="str">
        <f t="shared" si="69"/>
        <v>Cardiovascular Disease</v>
      </c>
      <c r="K1149" t="s">
        <v>1020</v>
      </c>
      <c r="L1149" t="s">
        <v>250</v>
      </c>
      <c r="M1149" t="s">
        <v>4868</v>
      </c>
      <c r="N1149" t="s">
        <v>5123</v>
      </c>
      <c r="O1149" t="str" cm="1">
        <f t="array" ref="O1149">_xlfn.IFS(
  TEXT(TRIM(N1149),"00000")="NULL", "Missing/Unknown",
  OR(TEXT(TRIM(N1149),"00000")="89101", TEXT(TRIM(N1149),"00000")="89104", TEXT(TRIM(N1149),"00000")="89106", TEXT(TRIM(N1149),"00000")="89102", TEXT(TRIM(N1149),"00000")="89107", TEXT(TRIM(N1149),"00000")="89108"), "Urban Core",
  OR(TEXT(TRIM(N1149),"00000")="89110", TEXT(TRIM(N1149),"00000")="89115", TEXT(TRIM(N1149),"00000")="89121", TEXT(TRIM(N1149),"00000")="89122", TEXT(TRIM(N1149),"00000")="89142", TEXT(TRIM(N1149),"00000")="89156"), "East Valley",
  OR(TEXT(TRIM(N1149),"00000")="89030", TEXT(TRIM(N1149),"00000")="89031", TEXT(TRIM(N1149),"00000")="89032", TEXT(TRIM(N1149),"00000")="89086", TEXT(TRIM(N1149),"00000")="89084", TEXT(TRIM(N1149),"00000")="89081"), "North LV",
  OR(TEXT(TRIM(N1149),"00000")="89109", TEXT(TRIM(N1149),"00000")="89103", TEXT(TRIM(N1149),"00000")="89119", TEXT(TRIM(N1149),"00000")="89123", TEXT(TRIM(N1149),"00000")="89169", TEXT(TRIM(N1149),"00000")="89118"), "South/Strip",
  OR(TEXT(TRIM(N1149),"00000")="89074", TEXT(TRIM(N1149),"00000")="89014", TEXT(TRIM(N1149),"00000")="89015", TEXT(TRIM(N1149),"00000")="89011", TEXT(TRIM(N1149),"00000")="89012"), "Suburban SE",
  OR(TEXT(TRIM(N1149),"00000")="89117", TEXT(TRIM(N1149),"00000")="89128", TEXT(TRIM(N1149),"00000")="89135", TEXT(TRIM(N1149),"00000")="89144", TEXT(TRIM(N1149),"00000")="89145", TEXT(TRIM(N1149),"00000")="89147"), "West Valley",
  TRUE, "Other"
)</f>
        <v>South/Strip</v>
      </c>
      <c r="P1149" t="s">
        <v>3298</v>
      </c>
      <c r="Q1149" t="str">
        <f t="shared" si="70"/>
        <v>Outdoors/Public</v>
      </c>
      <c r="R1149" t="s">
        <v>4868</v>
      </c>
      <c r="S1149" t="s">
        <v>5123</v>
      </c>
      <c r="T1149" t="str" cm="1">
        <f t="array" ref="T1149">_xlfn.IFS(
  TEXT(TRIM(S1149),"00000")="NULL", "Missing/Unknown",
  OR(TEXT(TRIM(S1149),"00000")="89101", TEXT(TRIM(S1149),"00000")="89104", TEXT(TRIM(S1149),"00000")="89106", TEXT(TRIM(S1149),"00000")="89102", TEXT(TRIM(S1149),"00000")="89107", TEXT(TRIM(S1149),"00000")="89108"), "Urban Core",
  OR(TEXT(TRIM(S1149),"00000")="89110", TEXT(TRIM(S1149),"00000")="89115", TEXT(TRIM(S1149),"00000")="89121", TEXT(TRIM(S1149),"00000")="89122", TEXT(TRIM(S1149),"00000")="89142", TEXT(TRIM(S1149),"00000")="89156"), "East Valley",
  OR(TEXT(TRIM(S1149),"00000")="89030", TEXT(TRIM(S1149),"00000")="89031", TEXT(TRIM(S1149),"00000")="89032", TEXT(TRIM(S1149),"00000")="89086", TEXT(TRIM(S1149),"00000")="89084", TEXT(TRIM(S1149),"00000")="89081"), "North LV",
  OR(TEXT(TRIM(S1149),"00000")="89109", TEXT(TRIM(S1149),"00000")="89103", TEXT(TRIM(S1149),"00000")="89119", TEXT(TRIM(S1149),"00000")="89123", TEXT(TRIM(S1149),"00000")="89169", TEXT(TRIM(S1149),"00000")="89118"), "South/Strip",
  OR(TEXT(TRIM(S1149),"00000")="89074", TEXT(TRIM(S1149),"00000")="89014", TEXT(TRIM(S1149),"00000")="89015", TEXT(TRIM(S1149),"00000")="89011", TEXT(TRIM(S1149),"00000")="89012"), "Suburban SE",
  OR(TEXT(TRIM(S1149),"00000")="89117", TEXT(TRIM(S1149),"00000")="89128", TEXT(TRIM(S1149),"00000")="89135", TEXT(TRIM(S1149),"00000")="89144", TEXT(TRIM(S1149),"00000")="89145", TEXT(TRIM(S1149),"00000")="89147"), "West Valley",
  TRUE, "Other"
)</f>
        <v>South/Strip</v>
      </c>
      <c r="U1149" t="s">
        <v>3298</v>
      </c>
      <c r="V1149" t="str">
        <f t="shared" si="71"/>
        <v>Outdoors/Public</v>
      </c>
    </row>
    <row r="1150" spans="1:22">
      <c r="A1150" t="s">
        <v>1731</v>
      </c>
      <c r="B1150" t="s">
        <v>1732</v>
      </c>
      <c r="C1150" s="1">
        <v>44363</v>
      </c>
      <c r="D1150" s="4">
        <v>116.06</v>
      </c>
      <c r="E1150">
        <v>75</v>
      </c>
      <c r="F1150" t="str">
        <f t="shared" si="68"/>
        <v>70's</v>
      </c>
      <c r="G1150" t="str" cm="1">
        <f t="array" ref="G1150">_xlfn.IFS(
  F1150="10's", "Child (5–12)",
  OR(F1150="20's", F1150="30's"), "Young Adult (20–39)",
  OR(F1150="40's", F1150="50's"), "Adult (40–59)",
  OR(F1150="60's", F1150="70's", F1150="80's", F1150="90's"), "Senior (60+)",
  TRUE, "Unknown"
)</f>
        <v>Senior (60+)</v>
      </c>
      <c r="H1150" t="s">
        <v>841</v>
      </c>
      <c r="I1150" t="s">
        <v>68</v>
      </c>
      <c r="J1150" t="str">
        <f t="shared" si="69"/>
        <v>Cardiovascular Disease</v>
      </c>
      <c r="K1150" t="s">
        <v>54</v>
      </c>
      <c r="L1150" t="s">
        <v>250</v>
      </c>
      <c r="N1150" t="s">
        <v>5095</v>
      </c>
      <c r="O1150" t="str" cm="1">
        <f t="array" ref="O1150">_xlfn.IFS(
  TEXT(TRIM(N1150),"00000")="NULL", "Missing/Unknown",
  OR(TEXT(TRIM(N1150),"00000")="89101", TEXT(TRIM(N1150),"00000")="89104", TEXT(TRIM(N1150),"00000")="89106", TEXT(TRIM(N1150),"00000")="89102", TEXT(TRIM(N1150),"00000")="89107", TEXT(TRIM(N1150),"00000")="89108"), "Urban Core",
  OR(TEXT(TRIM(N1150),"00000")="89110", TEXT(TRIM(N1150),"00000")="89115", TEXT(TRIM(N1150),"00000")="89121", TEXT(TRIM(N1150),"00000")="89122", TEXT(TRIM(N1150),"00000")="89142", TEXT(TRIM(N1150),"00000")="89156"), "East Valley",
  OR(TEXT(TRIM(N1150),"00000")="89030", TEXT(TRIM(N1150),"00000")="89031", TEXT(TRIM(N1150),"00000")="89032", TEXT(TRIM(N1150),"00000")="89086", TEXT(TRIM(N1150),"00000")="89084", TEXT(TRIM(N1150),"00000")="89081"), "North LV",
  OR(TEXT(TRIM(N1150),"00000")="89109", TEXT(TRIM(N1150),"00000")="89103", TEXT(TRIM(N1150),"00000")="89119", TEXT(TRIM(N1150),"00000")="89123", TEXT(TRIM(N1150),"00000")="89169", TEXT(TRIM(N1150),"00000")="89118"), "South/Strip",
  OR(TEXT(TRIM(N1150),"00000")="89074", TEXT(TRIM(N1150),"00000")="89014", TEXT(TRIM(N1150),"00000")="89015", TEXT(TRIM(N1150),"00000")="89011", TEXT(TRIM(N1150),"00000")="89012"), "Suburban SE",
  OR(TEXT(TRIM(N1150),"00000")="89117", TEXT(TRIM(N1150),"00000")="89128", TEXT(TRIM(N1150),"00000")="89135", TEXT(TRIM(N1150),"00000")="89144", TEXT(TRIM(N1150),"00000")="89145", TEXT(TRIM(N1150),"00000")="89147"), "West Valley",
  TRUE, "Other"
)</f>
        <v>Missing/Unknown</v>
      </c>
      <c r="P1150" t="s">
        <v>3298</v>
      </c>
      <c r="Q1150" t="str">
        <f t="shared" si="70"/>
        <v>Outdoors/Public</v>
      </c>
      <c r="S1150" t="s">
        <v>5095</v>
      </c>
      <c r="T1150" t="str" cm="1">
        <f t="array" ref="T1150">_xlfn.IFS(
  TEXT(TRIM(S1150),"00000")="NULL", "Missing/Unknown",
  OR(TEXT(TRIM(S1150),"00000")="89101", TEXT(TRIM(S1150),"00000")="89104", TEXT(TRIM(S1150),"00000")="89106", TEXT(TRIM(S1150),"00000")="89102", TEXT(TRIM(S1150),"00000")="89107", TEXT(TRIM(S1150),"00000")="89108"), "Urban Core",
  OR(TEXT(TRIM(S1150),"00000")="89110", TEXT(TRIM(S1150),"00000")="89115", TEXT(TRIM(S1150),"00000")="89121", TEXT(TRIM(S1150),"00000")="89122", TEXT(TRIM(S1150),"00000")="89142", TEXT(TRIM(S1150),"00000")="89156"), "East Valley",
  OR(TEXT(TRIM(S1150),"00000")="89030", TEXT(TRIM(S1150),"00000")="89031", TEXT(TRIM(S1150),"00000")="89032", TEXT(TRIM(S1150),"00000")="89086", TEXT(TRIM(S1150),"00000")="89084", TEXT(TRIM(S1150),"00000")="89081"), "North LV",
  OR(TEXT(TRIM(S1150),"00000")="89109", TEXT(TRIM(S1150),"00000")="89103", TEXT(TRIM(S1150),"00000")="89119", TEXT(TRIM(S1150),"00000")="89123", TEXT(TRIM(S1150),"00000")="89169", TEXT(TRIM(S1150),"00000")="89118"), "South/Strip",
  OR(TEXT(TRIM(S1150),"00000")="89074", TEXT(TRIM(S1150),"00000")="89014", TEXT(TRIM(S1150),"00000")="89015", TEXT(TRIM(S1150),"00000")="89011", TEXT(TRIM(S1150),"00000")="89012"), "Suburban SE",
  OR(TEXT(TRIM(S1150),"00000")="89117", TEXT(TRIM(S1150),"00000")="89128", TEXT(TRIM(S1150),"00000")="89135", TEXT(TRIM(S1150),"00000")="89144", TEXT(TRIM(S1150),"00000")="89145", TEXT(TRIM(S1150),"00000")="89147"), "West Valley",
  TRUE, "Other"
)</f>
        <v>Missing/Unknown</v>
      </c>
      <c r="U1150" t="s">
        <v>3298</v>
      </c>
      <c r="V1150" t="str">
        <f t="shared" si="71"/>
        <v>Outdoors/Public</v>
      </c>
    </row>
    <row r="1151" spans="1:22">
      <c r="A1151" t="s">
        <v>1721</v>
      </c>
      <c r="B1151" t="s">
        <v>1722</v>
      </c>
      <c r="C1151" s="1">
        <v>44362</v>
      </c>
      <c r="D1151" s="4">
        <v>113</v>
      </c>
      <c r="E1151">
        <v>75</v>
      </c>
      <c r="F1151" t="str">
        <f t="shared" si="68"/>
        <v>70's</v>
      </c>
      <c r="G1151" t="str" cm="1">
        <f t="array" ref="G1151">_xlfn.IFS(
  F1151="10's", "Child (5–12)",
  OR(F1151="20's", F1151="30's"), "Young Adult (20–39)",
  OR(F1151="40's", F1151="50's"), "Adult (40–59)",
  OR(F1151="60's", F1151="70's", F1151="80's", F1151="90's"), "Senior (60+)",
  TRUE, "Unknown"
)</f>
        <v>Senior (60+)</v>
      </c>
      <c r="H1151" t="s">
        <v>841</v>
      </c>
      <c r="I1151" t="s">
        <v>54</v>
      </c>
      <c r="J1151" t="str">
        <f t="shared" si="69"/>
        <v>Environmental Heat</v>
      </c>
      <c r="K1151" t="s">
        <v>1723</v>
      </c>
      <c r="L1151" t="s">
        <v>1071</v>
      </c>
      <c r="M1151" t="s">
        <v>4494</v>
      </c>
      <c r="N1151" t="s">
        <v>5123</v>
      </c>
      <c r="O1151" t="str" cm="1">
        <f t="array" ref="O1151">_xlfn.IFS(
  TEXT(TRIM(N1151),"00000")="NULL", "Missing/Unknown",
  OR(TEXT(TRIM(N1151),"00000")="89101", TEXT(TRIM(N1151),"00000")="89104", TEXT(TRIM(N1151),"00000")="89106", TEXT(TRIM(N1151),"00000")="89102", TEXT(TRIM(N1151),"00000")="89107", TEXT(TRIM(N1151),"00000")="89108"), "Urban Core",
  OR(TEXT(TRIM(N1151),"00000")="89110", TEXT(TRIM(N1151),"00000")="89115", TEXT(TRIM(N1151),"00000")="89121", TEXT(TRIM(N1151),"00000")="89122", TEXT(TRIM(N1151),"00000")="89142", TEXT(TRIM(N1151),"00000")="89156"), "East Valley",
  OR(TEXT(TRIM(N1151),"00000")="89030", TEXT(TRIM(N1151),"00000")="89031", TEXT(TRIM(N1151),"00000")="89032", TEXT(TRIM(N1151),"00000")="89086", TEXT(TRIM(N1151),"00000")="89084", TEXT(TRIM(N1151),"00000")="89081"), "North LV",
  OR(TEXT(TRIM(N1151),"00000")="89109", TEXT(TRIM(N1151),"00000")="89103", TEXT(TRIM(N1151),"00000")="89119", TEXT(TRIM(N1151),"00000")="89123", TEXT(TRIM(N1151),"00000")="89169", TEXT(TRIM(N1151),"00000")="89118"), "South/Strip",
  OR(TEXT(TRIM(N1151),"00000")="89074", TEXT(TRIM(N1151),"00000")="89014", TEXT(TRIM(N1151),"00000")="89015", TEXT(TRIM(N1151),"00000")="89011", TEXT(TRIM(N1151),"00000")="89012"), "Suburban SE",
  OR(TEXT(TRIM(N1151),"00000")="89117", TEXT(TRIM(N1151),"00000")="89128", TEXT(TRIM(N1151),"00000")="89135", TEXT(TRIM(N1151),"00000")="89144", TEXT(TRIM(N1151),"00000")="89145", TEXT(TRIM(N1151),"00000")="89147"), "West Valley",
  TRUE, "Other"
)</f>
        <v>South/Strip</v>
      </c>
      <c r="P1151" t="s">
        <v>38</v>
      </c>
      <c r="Q1151" t="str">
        <f t="shared" si="70"/>
        <v>Home/Residence</v>
      </c>
      <c r="R1151" t="s">
        <v>4494</v>
      </c>
      <c r="S1151" t="s">
        <v>5123</v>
      </c>
      <c r="T1151" t="str" cm="1">
        <f t="array" ref="T1151">_xlfn.IFS(
  TEXT(TRIM(S1151),"00000")="NULL", "Missing/Unknown",
  OR(TEXT(TRIM(S1151),"00000")="89101", TEXT(TRIM(S1151),"00000")="89104", TEXT(TRIM(S1151),"00000")="89106", TEXT(TRIM(S1151),"00000")="89102", TEXT(TRIM(S1151),"00000")="89107", TEXT(TRIM(S1151),"00000")="89108"), "Urban Core",
  OR(TEXT(TRIM(S1151),"00000")="89110", TEXT(TRIM(S1151),"00000")="89115", TEXT(TRIM(S1151),"00000")="89121", TEXT(TRIM(S1151),"00000")="89122", TEXT(TRIM(S1151),"00000")="89142", TEXT(TRIM(S1151),"00000")="89156"), "East Valley",
  OR(TEXT(TRIM(S1151),"00000")="89030", TEXT(TRIM(S1151),"00000")="89031", TEXT(TRIM(S1151),"00000")="89032", TEXT(TRIM(S1151),"00000")="89086", TEXT(TRIM(S1151),"00000")="89084", TEXT(TRIM(S1151),"00000")="89081"), "North LV",
  OR(TEXT(TRIM(S1151),"00000")="89109", TEXT(TRIM(S1151),"00000")="89103", TEXT(TRIM(S1151),"00000")="89119", TEXT(TRIM(S1151),"00000")="89123", TEXT(TRIM(S1151),"00000")="89169", TEXT(TRIM(S1151),"00000")="89118"), "South/Strip",
  OR(TEXT(TRIM(S1151),"00000")="89074", TEXT(TRIM(S1151),"00000")="89014", TEXT(TRIM(S1151),"00000")="89015", TEXT(TRIM(S1151),"00000")="89011", TEXT(TRIM(S1151),"00000")="89012"), "Suburban SE",
  OR(TEXT(TRIM(S1151),"00000")="89117", TEXT(TRIM(S1151),"00000")="89128", TEXT(TRIM(S1151),"00000")="89135", TEXT(TRIM(S1151),"00000")="89144", TEXT(TRIM(S1151),"00000")="89145", TEXT(TRIM(S1151),"00000")="89147"), "West Valley",
  TRUE, "Other"
)</f>
        <v>South/Strip</v>
      </c>
      <c r="U1151" t="s">
        <v>38</v>
      </c>
      <c r="V1151" t="str">
        <f t="shared" si="71"/>
        <v>Home/Residence</v>
      </c>
    </row>
    <row r="1152" spans="1:22">
      <c r="A1152" t="s">
        <v>1713</v>
      </c>
      <c r="B1152" t="s">
        <v>1714</v>
      </c>
      <c r="C1152" s="1">
        <v>44362</v>
      </c>
      <c r="D1152" s="4">
        <v>113</v>
      </c>
      <c r="E1152">
        <v>51</v>
      </c>
      <c r="F1152" t="str">
        <f t="shared" si="68"/>
        <v>50's</v>
      </c>
      <c r="G1152" t="str" cm="1">
        <f t="array" ref="G1152">_xlfn.IFS(
  F1152="10's", "Child (5–12)",
  OR(F1152="20's", F1152="30's"), "Young Adult (20–39)",
  OR(F1152="40's", F1152="50's"), "Adult (40–59)",
  OR(F1152="60's", F1152="70's", F1152="80's", F1152="90's"), "Senior (60+)",
  TRUE, "Unknown"
)</f>
        <v>Adult (40–59)</v>
      </c>
      <c r="H1152" t="s">
        <v>27</v>
      </c>
      <c r="I1152" t="s">
        <v>54</v>
      </c>
      <c r="J1152" t="str">
        <f t="shared" si="69"/>
        <v>Environmental Heat</v>
      </c>
      <c r="K1152" t="s">
        <v>1715</v>
      </c>
      <c r="L1152" t="s">
        <v>1071</v>
      </c>
      <c r="M1152" t="s">
        <v>4991</v>
      </c>
      <c r="N1152" t="s">
        <v>5118</v>
      </c>
      <c r="O1152" t="str" cm="1">
        <f t="array" ref="O1152">_xlfn.IFS(
  TEXT(TRIM(N1152),"00000")="NULL", "Missing/Unknown",
  OR(TEXT(TRIM(N1152),"00000")="89101", TEXT(TRIM(N1152),"00000")="89104", TEXT(TRIM(N1152),"00000")="89106", TEXT(TRIM(N1152),"00000")="89102", TEXT(TRIM(N1152),"00000")="89107", TEXT(TRIM(N1152),"00000")="89108"), "Urban Core",
  OR(TEXT(TRIM(N1152),"00000")="89110", TEXT(TRIM(N1152),"00000")="89115", TEXT(TRIM(N1152),"00000")="89121", TEXT(TRIM(N1152),"00000")="89122", TEXT(TRIM(N1152),"00000")="89142", TEXT(TRIM(N1152),"00000")="89156"), "East Valley",
  OR(TEXT(TRIM(N1152),"00000")="89030", TEXT(TRIM(N1152),"00000")="89031", TEXT(TRIM(N1152),"00000")="89032", TEXT(TRIM(N1152),"00000")="89086", TEXT(TRIM(N1152),"00000")="89084", TEXT(TRIM(N1152),"00000")="89081"), "North LV",
  OR(TEXT(TRIM(N1152),"00000")="89109", TEXT(TRIM(N1152),"00000")="89103", TEXT(TRIM(N1152),"00000")="89119", TEXT(TRIM(N1152),"00000")="89123", TEXT(TRIM(N1152),"00000")="89169", TEXT(TRIM(N1152),"00000")="89118"), "South/Strip",
  OR(TEXT(TRIM(N1152),"00000")="89074", TEXT(TRIM(N1152),"00000")="89014", TEXT(TRIM(N1152),"00000")="89015", TEXT(TRIM(N1152),"00000")="89011", TEXT(TRIM(N1152),"00000")="89012"), "Suburban SE",
  OR(TEXT(TRIM(N1152),"00000")="89117", TEXT(TRIM(N1152),"00000")="89128", TEXT(TRIM(N1152),"00000")="89135", TEXT(TRIM(N1152),"00000")="89144", TEXT(TRIM(N1152),"00000")="89145", TEXT(TRIM(N1152),"00000")="89147"), "West Valley",
  TRUE, "Other"
)</f>
        <v>South/Strip</v>
      </c>
      <c r="P1152" t="s">
        <v>65</v>
      </c>
      <c r="Q1152" t="str">
        <f t="shared" si="70"/>
        <v>Vehicle-related</v>
      </c>
      <c r="R1152" t="s">
        <v>4991</v>
      </c>
      <c r="S1152" t="s">
        <v>5118</v>
      </c>
      <c r="T1152" t="str" cm="1">
        <f t="array" ref="T1152">_xlfn.IFS(
  TEXT(TRIM(S1152),"00000")="NULL", "Missing/Unknown",
  OR(TEXT(TRIM(S1152),"00000")="89101", TEXT(TRIM(S1152),"00000")="89104", TEXT(TRIM(S1152),"00000")="89106", TEXT(TRIM(S1152),"00000")="89102", TEXT(TRIM(S1152),"00000")="89107", TEXT(TRIM(S1152),"00000")="89108"), "Urban Core",
  OR(TEXT(TRIM(S1152),"00000")="89110", TEXT(TRIM(S1152),"00000")="89115", TEXT(TRIM(S1152),"00000")="89121", TEXT(TRIM(S1152),"00000")="89122", TEXT(TRIM(S1152),"00000")="89142", TEXT(TRIM(S1152),"00000")="89156"), "East Valley",
  OR(TEXT(TRIM(S1152),"00000")="89030", TEXT(TRIM(S1152),"00000")="89031", TEXT(TRIM(S1152),"00000")="89032", TEXT(TRIM(S1152),"00000")="89086", TEXT(TRIM(S1152),"00000")="89084", TEXT(TRIM(S1152),"00000")="89081"), "North LV",
  OR(TEXT(TRIM(S1152),"00000")="89109", TEXT(TRIM(S1152),"00000")="89103", TEXT(TRIM(S1152),"00000")="89119", TEXT(TRIM(S1152),"00000")="89123", TEXT(TRIM(S1152),"00000")="89169", TEXT(TRIM(S1152),"00000")="89118"), "South/Strip",
  OR(TEXT(TRIM(S1152),"00000")="89074", TEXT(TRIM(S1152),"00000")="89014", TEXT(TRIM(S1152),"00000")="89015", TEXT(TRIM(S1152),"00000")="89011", TEXT(TRIM(S1152),"00000")="89012"), "Suburban SE",
  OR(TEXT(TRIM(S1152),"00000")="89117", TEXT(TRIM(S1152),"00000")="89128", TEXT(TRIM(S1152),"00000")="89135", TEXT(TRIM(S1152),"00000")="89144", TEXT(TRIM(S1152),"00000")="89145", TEXT(TRIM(S1152),"00000")="89147"), "West Valley",
  TRUE, "Other"
)</f>
        <v>South/Strip</v>
      </c>
      <c r="U1152" t="s">
        <v>65</v>
      </c>
      <c r="V1152" t="str">
        <f t="shared" si="71"/>
        <v>Vehicle-related</v>
      </c>
    </row>
    <row r="1153" spans="1:22">
      <c r="A1153" t="s">
        <v>1717</v>
      </c>
      <c r="B1153" t="s">
        <v>1718</v>
      </c>
      <c r="C1153" s="1">
        <v>44362</v>
      </c>
      <c r="D1153" s="4">
        <v>113</v>
      </c>
      <c r="E1153">
        <v>34</v>
      </c>
      <c r="F1153" t="str">
        <f t="shared" si="68"/>
        <v>30's</v>
      </c>
      <c r="G1153" t="str" cm="1">
        <f t="array" ref="G1153">_xlfn.IFS(
  F1153="10's", "Child (5–12)",
  OR(F1153="20's", F1153="30's"), "Young Adult (20–39)",
  OR(F1153="40's", F1153="50's"), "Adult (40–59)",
  OR(F1153="60's", F1153="70's", F1153="80's", F1153="90's"), "Senior (60+)",
  TRUE, "Unknown"
)</f>
        <v>Young Adult (20–39)</v>
      </c>
      <c r="H1153" t="s">
        <v>298</v>
      </c>
      <c r="I1153" t="s">
        <v>4132</v>
      </c>
      <c r="J1153" t="str">
        <f t="shared" si="69"/>
        <v>Ethanol-related</v>
      </c>
      <c r="K1153" t="s">
        <v>54</v>
      </c>
      <c r="L1153" t="s">
        <v>1071</v>
      </c>
      <c r="M1153" t="s">
        <v>4493</v>
      </c>
      <c r="N1153" t="s">
        <v>5113</v>
      </c>
      <c r="O1153" t="str" cm="1">
        <f t="array" ref="O1153">_xlfn.IFS(
  TEXT(TRIM(N1153),"00000")="NULL", "Missing/Unknown",
  OR(TEXT(TRIM(N1153),"00000")="89101", TEXT(TRIM(N1153),"00000")="89104", TEXT(TRIM(N1153),"00000")="89106", TEXT(TRIM(N1153),"00000")="89102", TEXT(TRIM(N1153),"00000")="89107", TEXT(TRIM(N1153),"00000")="89108"), "Urban Core",
  OR(TEXT(TRIM(N1153),"00000")="89110", TEXT(TRIM(N1153),"00000")="89115", TEXT(TRIM(N1153),"00000")="89121", TEXT(TRIM(N1153),"00000")="89122", TEXT(TRIM(N1153),"00000")="89142", TEXT(TRIM(N1153),"00000")="89156"), "East Valley",
  OR(TEXT(TRIM(N1153),"00000")="89030", TEXT(TRIM(N1153),"00000")="89031", TEXT(TRIM(N1153),"00000")="89032", TEXT(TRIM(N1153),"00000")="89086", TEXT(TRIM(N1153),"00000")="89084", TEXT(TRIM(N1153),"00000")="89081"), "North LV",
  OR(TEXT(TRIM(N1153),"00000")="89109", TEXT(TRIM(N1153),"00000")="89103", TEXT(TRIM(N1153),"00000")="89119", TEXT(TRIM(N1153),"00000")="89123", TEXT(TRIM(N1153),"00000")="89169", TEXT(TRIM(N1153),"00000")="89118"), "South/Strip",
  OR(TEXT(TRIM(N1153),"00000")="89074", TEXT(TRIM(N1153),"00000")="89014", TEXT(TRIM(N1153),"00000")="89015", TEXT(TRIM(N1153),"00000")="89011", TEXT(TRIM(N1153),"00000")="89012"), "Suburban SE",
  OR(TEXT(TRIM(N1153),"00000")="89117", TEXT(TRIM(N1153),"00000")="89128", TEXT(TRIM(N1153),"00000")="89135", TEXT(TRIM(N1153),"00000")="89144", TEXT(TRIM(N1153),"00000")="89145", TEXT(TRIM(N1153),"00000")="89147"), "West Valley",
  TRUE, "Other"
)</f>
        <v>Suburban SE</v>
      </c>
      <c r="P1153" t="s">
        <v>38</v>
      </c>
      <c r="Q1153" t="str">
        <f t="shared" si="70"/>
        <v>Home/Residence</v>
      </c>
      <c r="R1153" t="s">
        <v>4493</v>
      </c>
      <c r="S1153" t="s">
        <v>5113</v>
      </c>
      <c r="T1153" t="str" cm="1">
        <f t="array" ref="T1153">_xlfn.IFS(
  TEXT(TRIM(S1153),"00000")="NULL", "Missing/Unknown",
  OR(TEXT(TRIM(S1153),"00000")="89101", TEXT(TRIM(S1153),"00000")="89104", TEXT(TRIM(S1153),"00000")="89106", TEXT(TRIM(S1153),"00000")="89102", TEXT(TRIM(S1153),"00000")="89107", TEXT(TRIM(S1153),"00000")="89108"), "Urban Core",
  OR(TEXT(TRIM(S1153),"00000")="89110", TEXT(TRIM(S1153),"00000")="89115", TEXT(TRIM(S1153),"00000")="89121", TEXT(TRIM(S1153),"00000")="89122", TEXT(TRIM(S1153),"00000")="89142", TEXT(TRIM(S1153),"00000")="89156"), "East Valley",
  OR(TEXT(TRIM(S1153),"00000")="89030", TEXT(TRIM(S1153),"00000")="89031", TEXT(TRIM(S1153),"00000")="89032", TEXT(TRIM(S1153),"00000")="89086", TEXT(TRIM(S1153),"00000")="89084", TEXT(TRIM(S1153),"00000")="89081"), "North LV",
  OR(TEXT(TRIM(S1153),"00000")="89109", TEXT(TRIM(S1153),"00000")="89103", TEXT(TRIM(S1153),"00000")="89119", TEXT(TRIM(S1153),"00000")="89123", TEXT(TRIM(S1153),"00000")="89169", TEXT(TRIM(S1153),"00000")="89118"), "South/Strip",
  OR(TEXT(TRIM(S1153),"00000")="89074", TEXT(TRIM(S1153),"00000")="89014", TEXT(TRIM(S1153),"00000")="89015", TEXT(TRIM(S1153),"00000")="89011", TEXT(TRIM(S1153),"00000")="89012"), "Suburban SE",
  OR(TEXT(TRIM(S1153),"00000")="89117", TEXT(TRIM(S1153),"00000")="89128", TEXT(TRIM(S1153),"00000")="89135", TEXT(TRIM(S1153),"00000")="89144", TEXT(TRIM(S1153),"00000")="89145", TEXT(TRIM(S1153),"00000")="89147"), "West Valley",
  TRUE, "Other"
)</f>
        <v>Suburban SE</v>
      </c>
      <c r="U1153" t="s">
        <v>38</v>
      </c>
      <c r="V1153" t="str">
        <f t="shared" si="71"/>
        <v>Home/Residence</v>
      </c>
    </row>
    <row r="1154" spans="1:22">
      <c r="A1154" t="s">
        <v>1708</v>
      </c>
      <c r="B1154" t="s">
        <v>1709</v>
      </c>
      <c r="C1154" s="1">
        <v>44359</v>
      </c>
      <c r="D1154" s="4">
        <v>102.92</v>
      </c>
      <c r="E1154">
        <v>76</v>
      </c>
      <c r="F1154" t="str">
        <f t="shared" ref="F1154:F1166" si="72">_xlfn.CONCAT(INT(E1154/10)*10, "'s")</f>
        <v>70's</v>
      </c>
      <c r="G1154" t="str" cm="1">
        <f t="array" ref="G1154">_xlfn.IFS(
  F1154="10's", "Child (5–12)",
  OR(F1154="20's", F1154="30's"), "Young Adult (20–39)",
  OR(F1154="40's", F1154="50's"), "Adult (40–59)",
  OR(F1154="60's", F1154="70's", F1154="80's", F1154="90's"), "Senior (60+)",
  TRUE, "Unknown"
)</f>
        <v>Senior (60+)</v>
      </c>
      <c r="H1154" t="s">
        <v>841</v>
      </c>
      <c r="I1154" t="s">
        <v>4133</v>
      </c>
      <c r="J1154" t="str">
        <f t="shared" ref="J1154:J1166" si="73">IF(ISNUMBER(SEARCH("heat", I1154)) + ISNUMBER(SEARCH("hyperthermia", I1154)) + ISNUMBER(SEARCH("heat stroke", I1154)) + ISNUMBER(SEARCH("environmental", I1154)), "Environmental Heat",
IF(ISNUMBER(SEARCH("meth", I1154)), "Methamphetamine-related",
IF(ISNUMBER(SEARCH("fentanyl", I1154)), "Fentanyl-related",
IF(ISNUMBER(SEARCH("cardio", I1154)) + ISNUMBER(SEARCH("heart", I1154)) + ISNUMBER(SEARCH("atherosclerotic", I1154)) + ISNUMBER(SEARCH("hypertensive", I1154)) + ISNUMBER(SEARCH("myocardial", I1154)) + ISNUMBER(SEARCH("infarction", I1154)), "Cardiovascular Disease",
IF(ISNUMBER(SEARCH("ethanol", I1154)) + ISNUMBER(SEARCH("alcohol", I1154)), "Ethanol-related",
IF(ISNUMBER(SEARCH("dehydration", I1154)) + ISNUMBER(SEARCH("hypernatrem", I1154)) + ISNUMBER(SEARCH("hyponatrem", I1154)), "Dehydration / Electrolyte",
IF(ISNUMBER(SEARCH("intoxication", I1154)) + ISNUMBER(SEARCH("toxicity", I1154)) + ISNUMBER(SEARCH("overdose", I1154)), "Mixed Drug Toxicity",
"Other / Unknown")))))))</f>
        <v>Environmental Heat</v>
      </c>
      <c r="K1154" t="s">
        <v>4084</v>
      </c>
      <c r="L1154" t="s">
        <v>1071</v>
      </c>
      <c r="M1154" t="s">
        <v>4500</v>
      </c>
      <c r="N1154" t="s">
        <v>5116</v>
      </c>
      <c r="O1154" t="str" cm="1">
        <f t="array" ref="O1154">_xlfn.IFS(
  TEXT(TRIM(N1154),"00000")="NULL", "Missing/Unknown",
  OR(TEXT(TRIM(N1154),"00000")="89101", TEXT(TRIM(N1154),"00000")="89104", TEXT(TRIM(N1154),"00000")="89106", TEXT(TRIM(N1154),"00000")="89102", TEXT(TRIM(N1154),"00000")="89107", TEXT(TRIM(N1154),"00000")="89108"), "Urban Core",
  OR(TEXT(TRIM(N1154),"00000")="89110", TEXT(TRIM(N1154),"00000")="89115", TEXT(TRIM(N1154),"00000")="89121", TEXT(TRIM(N1154),"00000")="89122", TEXT(TRIM(N1154),"00000")="89142", TEXT(TRIM(N1154),"00000")="89156"), "East Valley",
  OR(TEXT(TRIM(N1154),"00000")="89030", TEXT(TRIM(N1154),"00000")="89031", TEXT(TRIM(N1154),"00000")="89032", TEXT(TRIM(N1154),"00000")="89086", TEXT(TRIM(N1154),"00000")="89084", TEXT(TRIM(N1154),"00000")="89081"), "North LV",
  OR(TEXT(TRIM(N1154),"00000")="89109", TEXT(TRIM(N1154),"00000")="89103", TEXT(TRIM(N1154),"00000")="89119", TEXT(TRIM(N1154),"00000")="89123", TEXT(TRIM(N1154),"00000")="89169", TEXT(TRIM(N1154),"00000")="89118"), "South/Strip",
  OR(TEXT(TRIM(N1154),"00000")="89074", TEXT(TRIM(N1154),"00000")="89014", TEXT(TRIM(N1154),"00000")="89015", TEXT(TRIM(N1154),"00000")="89011", TEXT(TRIM(N1154),"00000")="89012"), "Suburban SE",
  OR(TEXT(TRIM(N1154),"00000")="89117", TEXT(TRIM(N1154),"00000")="89128", TEXT(TRIM(N1154),"00000")="89135", TEXT(TRIM(N1154),"00000")="89144", TEXT(TRIM(N1154),"00000")="89145", TEXT(TRIM(N1154),"00000")="89147"), "West Valley",
  TRUE, "Other"
)</f>
        <v>West Valley</v>
      </c>
      <c r="P1154" t="s">
        <v>4301</v>
      </c>
      <c r="Q1154" t="str">
        <f t="shared" ref="Q1154:Q1166" si="74">IF(OR(ISNUMBER(SEARCH("outdoor", P1154)), ISNUMBER(SEARCH("park", P1154)), ISNUMBER(SEARCH("road", P1154)), ISNUMBER(SEARCH("sidewalk", P1154)), ISNUMBER(SEARCH("desert", P1154)), ISNUMBER(SEARCH("tunnel", P1154)), ISNUMBER(SEARCH("lot", P1154)), ISNUMBER(SEARCH("lake", P1154)), ISNUMBER(SEARCH("bus", P1154)), ISNUMBER(SEARCH("shed", P1154)), ISNUMBER(SEARCH("amusement", P1154))), "Outdoors/Public",
IF(OR(ISNUMBER(SEARCH("home", P1154)), ISNUMBER(SEARCH("residence", P1154)), ISNUMBER(SEARCH("rv", P1154)), ISNUMBER(SEARCH("tent", P1154)), ISNUMBER(SEARCH("bedroom", P1154)), ISNUMBER(SEARCH("garage", P1154)), ISNUMBER(SEARCH("trailer", P1154)), ISNUMBER(SEARCH("backyard", P1154))), "Home/Residence",
IF(OR(ISNUMBER(SEARCH("vehicle", P1154)), ISNUMBER(SEARCH("car", P1154)), ISNUMBER(SEARCH("wash", P1154))), "Vehicle-related",
IF(OR(ISNUMBER(SEARCH("business", P1154)), ISNUMBER(SEARCH("school", P1154)), ISNUMBER(SEARCH("hotel", P1154)), ISNUMBER(SEARCH("construction", P1154)), ISNUMBER(SEARCH("furniture", P1154)), ISNUMBER(SEARCH("public", P1154))), "Business/Commercial",
IF(OR(ISNUMBER(SEARCH("hospital", P1154)), ISNUMBER(SEARCH("assisted", P1154)), ISNUMBER(SEARCH("residential care", P1154))), "Medical Facility",
IF(OR(ISNUMBER(SEARCH("shelter", P1154)), ISNUMBER(SEARCH("jail", P1154))), "Shelter/Temporary Housing",
"Other / Unknown"))))))</f>
        <v>Medical Facility</v>
      </c>
      <c r="R1154" t="s">
        <v>5057</v>
      </c>
      <c r="S1154" t="s">
        <v>5116</v>
      </c>
      <c r="T1154" t="str" cm="1">
        <f t="array" ref="T1154">_xlfn.IFS(
  TEXT(TRIM(S1154),"00000")="NULL", "Missing/Unknown",
  OR(TEXT(TRIM(S1154),"00000")="89101", TEXT(TRIM(S1154),"00000")="89104", TEXT(TRIM(S1154),"00000")="89106", TEXT(TRIM(S1154),"00000")="89102", TEXT(TRIM(S1154),"00000")="89107", TEXT(TRIM(S1154),"00000")="89108"), "Urban Core",
  OR(TEXT(TRIM(S1154),"00000")="89110", TEXT(TRIM(S1154),"00000")="89115", TEXT(TRIM(S1154),"00000")="89121", TEXT(TRIM(S1154),"00000")="89122", TEXT(TRIM(S1154),"00000")="89142", TEXT(TRIM(S1154),"00000")="89156"), "East Valley",
  OR(TEXT(TRIM(S1154),"00000")="89030", TEXT(TRIM(S1154),"00000")="89031", TEXT(TRIM(S1154),"00000")="89032", TEXT(TRIM(S1154),"00000")="89086", TEXT(TRIM(S1154),"00000")="89084", TEXT(TRIM(S1154),"00000")="89081"), "North LV",
  OR(TEXT(TRIM(S1154),"00000")="89109", TEXT(TRIM(S1154),"00000")="89103", TEXT(TRIM(S1154),"00000")="89119", TEXT(TRIM(S1154),"00000")="89123", TEXT(TRIM(S1154),"00000")="89169", TEXT(TRIM(S1154),"00000")="89118"), "South/Strip",
  OR(TEXT(TRIM(S1154),"00000")="89074", TEXT(TRIM(S1154),"00000")="89014", TEXT(TRIM(S1154),"00000")="89015", TEXT(TRIM(S1154),"00000")="89011", TEXT(TRIM(S1154),"00000")="89012"), "Suburban SE",
  OR(TEXT(TRIM(S1154),"00000")="89117", TEXT(TRIM(S1154),"00000")="89128", TEXT(TRIM(S1154),"00000")="89135", TEXT(TRIM(S1154),"00000")="89144", TEXT(TRIM(S1154),"00000")="89145", TEXT(TRIM(S1154),"00000")="89147"), "West Valley",
  TRUE, "Other"
)</f>
        <v>West Valley</v>
      </c>
      <c r="U1154" t="s">
        <v>109</v>
      </c>
      <c r="V1154" t="str">
        <f t="shared" ref="V1154:V1166" si="75">IF(OR(ISNUMBER(SEARCH("outdoor", U1154)), ISNUMBER(SEARCH("park", U1154)), ISNUMBER(SEARCH("road", U1154)), ISNUMBER(SEARCH("sidewalk", U1154)), ISNUMBER(SEARCH("desert", U1154)), ISNUMBER(SEARCH("tunnel", U1154)), ISNUMBER(SEARCH("lot", U1154)), ISNUMBER(SEARCH("lake", U1154)), ISNUMBER(SEARCH("bus", U1154)), ISNUMBER(SEARCH("shed", U1154)), ISNUMBER(SEARCH("amusement", U1154))), "Outdoors/Public",
IF(OR(ISNUMBER(SEARCH("home", U1154)), ISNUMBER(SEARCH("residence", U1154)), ISNUMBER(SEARCH("rv", U1154)), ISNUMBER(SEARCH("tent", U1154)), ISNUMBER(SEARCH("bedroom", U1154)), ISNUMBER(SEARCH("garage", U1154)), ISNUMBER(SEARCH("trailer", U1154)), ISNUMBER(SEARCH("backyard", U1154))), "Home/Residence",
IF(OR(ISNUMBER(SEARCH("vehicle", U1154)), ISNUMBER(SEARCH("wash", U1154))), "Vehicle-related",
IF(OR(ISNUMBER(SEARCH("business", U1154)), ISNUMBER(SEARCH("school", U1154)), ISNUMBER(SEARCH("hotel", U1154)), ISNUMBER(SEARCH("construction", U1154)), ISNUMBER(SEARCH("furniture", U1154)), ISNUMBER(SEARCH("public", U1154))), "Business/Commercial",
IF(OR(ISNUMBER(SEARCH("hospital", U1154)), ISNUMBER(SEARCH("assisted", U1154)), ISNUMBER(SEARCH("residential care", U1154)), ISNUMBER(SEARCH("emergency room", U1154)), ISNUMBER(SEARCH("emergency", U1154)), ISNUMBER(SEARCH("intensive care unit", U1154)), ISNUMBER(SEARCH("icu", U1154))), "Medical Facility",
IF(OR(ISNUMBER(SEARCH("shelter", U1154)), ISNUMBER(SEARCH("jail", U1154))), "Shelter/Temporary Housing",
"Other / Unknown"))))))</f>
        <v>Other / Unknown</v>
      </c>
    </row>
    <row r="1155" spans="1:22">
      <c r="A1155" t="s">
        <v>1705</v>
      </c>
      <c r="B1155" t="s">
        <v>1706</v>
      </c>
      <c r="C1155" s="1">
        <v>44356</v>
      </c>
      <c r="D1155" s="4">
        <v>95</v>
      </c>
      <c r="E1155">
        <v>66</v>
      </c>
      <c r="F1155" t="str">
        <f t="shared" si="72"/>
        <v>60's</v>
      </c>
      <c r="G1155" t="str" cm="1">
        <f t="array" ref="G1155">_xlfn.IFS(
  F1155="10's", "Child (5–12)",
  OR(F1155="20's", F1155="30's"), "Young Adult (20–39)",
  OR(F1155="40's", F1155="50's"), "Adult (40–59)",
  OR(F1155="60's", F1155="70's", F1155="80's", F1155="90's"), "Senior (60+)",
  TRUE, "Unknown"
)</f>
        <v>Senior (60+)</v>
      </c>
      <c r="H1155" t="s">
        <v>778</v>
      </c>
      <c r="I1155" t="s">
        <v>54</v>
      </c>
      <c r="J1155" t="str">
        <f t="shared" si="73"/>
        <v>Environmental Heat</v>
      </c>
      <c r="K1155" t="s">
        <v>98</v>
      </c>
      <c r="L1155" t="s">
        <v>250</v>
      </c>
      <c r="M1155" t="s">
        <v>4621</v>
      </c>
      <c r="N1155" t="s">
        <v>5108</v>
      </c>
      <c r="O1155" t="str" cm="1">
        <f t="array" ref="O1155">_xlfn.IFS(
  TEXT(TRIM(N1155),"00000")="NULL", "Missing/Unknown",
  OR(TEXT(TRIM(N1155),"00000")="89101", TEXT(TRIM(N1155),"00000")="89104", TEXT(TRIM(N1155),"00000")="89106", TEXT(TRIM(N1155),"00000")="89102", TEXT(TRIM(N1155),"00000")="89107", TEXT(TRIM(N1155),"00000")="89108"), "Urban Core",
  OR(TEXT(TRIM(N1155),"00000")="89110", TEXT(TRIM(N1155),"00000")="89115", TEXT(TRIM(N1155),"00000")="89121", TEXT(TRIM(N1155),"00000")="89122", TEXT(TRIM(N1155),"00000")="89142", TEXT(TRIM(N1155),"00000")="89156"), "East Valley",
  OR(TEXT(TRIM(N1155),"00000")="89030", TEXT(TRIM(N1155),"00000")="89031", TEXT(TRIM(N1155),"00000")="89032", TEXT(TRIM(N1155),"00000")="89086", TEXT(TRIM(N1155),"00000")="89084", TEXT(TRIM(N1155),"00000")="89081"), "North LV",
  OR(TEXT(TRIM(N1155),"00000")="89109", TEXT(TRIM(N1155),"00000")="89103", TEXT(TRIM(N1155),"00000")="89119", TEXT(TRIM(N1155),"00000")="89123", TEXT(TRIM(N1155),"00000")="89169", TEXT(TRIM(N1155),"00000")="89118"), "South/Strip",
  OR(TEXT(TRIM(N1155),"00000")="89074", TEXT(TRIM(N1155),"00000")="89014", TEXT(TRIM(N1155),"00000")="89015", TEXT(TRIM(N1155),"00000")="89011", TEXT(TRIM(N1155),"00000")="89012"), "Suburban SE",
  OR(TEXT(TRIM(N1155),"00000")="89117", TEXT(TRIM(N1155),"00000")="89128", TEXT(TRIM(N1155),"00000")="89135", TEXT(TRIM(N1155),"00000")="89144", TEXT(TRIM(N1155),"00000")="89145", TEXT(TRIM(N1155),"00000")="89147"), "West Valley",
  TRUE, "Other"
)</f>
        <v>East Valley</v>
      </c>
      <c r="P1155" t="s">
        <v>271</v>
      </c>
      <c r="Q1155" t="str">
        <f t="shared" si="74"/>
        <v>Home/Residence</v>
      </c>
      <c r="R1155" t="s">
        <v>4621</v>
      </c>
      <c r="S1155" t="s">
        <v>5108</v>
      </c>
      <c r="T1155" t="str" cm="1">
        <f t="array" ref="T1155">_xlfn.IFS(
  TEXT(TRIM(S1155),"00000")="NULL", "Missing/Unknown",
  OR(TEXT(TRIM(S1155),"00000")="89101", TEXT(TRIM(S1155),"00000")="89104", TEXT(TRIM(S1155),"00000")="89106", TEXT(TRIM(S1155),"00000")="89102", TEXT(TRIM(S1155),"00000")="89107", TEXT(TRIM(S1155),"00000")="89108"), "Urban Core",
  OR(TEXT(TRIM(S1155),"00000")="89110", TEXT(TRIM(S1155),"00000")="89115", TEXT(TRIM(S1155),"00000")="89121", TEXT(TRIM(S1155),"00000")="89122", TEXT(TRIM(S1155),"00000")="89142", TEXT(TRIM(S1155),"00000")="89156"), "East Valley",
  OR(TEXT(TRIM(S1155),"00000")="89030", TEXT(TRIM(S1155),"00000")="89031", TEXT(TRIM(S1155),"00000")="89032", TEXT(TRIM(S1155),"00000")="89086", TEXT(TRIM(S1155),"00000")="89084", TEXT(TRIM(S1155),"00000")="89081"), "North LV",
  OR(TEXT(TRIM(S1155),"00000")="89109", TEXT(TRIM(S1155),"00000")="89103", TEXT(TRIM(S1155),"00000")="89119", TEXT(TRIM(S1155),"00000")="89123", TEXT(TRIM(S1155),"00000")="89169", TEXT(TRIM(S1155),"00000")="89118"), "South/Strip",
  OR(TEXT(TRIM(S1155),"00000")="89074", TEXT(TRIM(S1155),"00000")="89014", TEXT(TRIM(S1155),"00000")="89015", TEXT(TRIM(S1155),"00000")="89011", TEXT(TRIM(S1155),"00000")="89012"), "Suburban SE",
  OR(TEXT(TRIM(S1155),"00000")="89117", TEXT(TRIM(S1155),"00000")="89128", TEXT(TRIM(S1155),"00000")="89135", TEXT(TRIM(S1155),"00000")="89144", TEXT(TRIM(S1155),"00000")="89145", TEXT(TRIM(S1155),"00000")="89147"), "West Valley",
  TRUE, "Other"
)</f>
        <v>East Valley</v>
      </c>
      <c r="U1155" t="s">
        <v>271</v>
      </c>
      <c r="V1155" t="str">
        <f t="shared" si="75"/>
        <v>Home/Residence</v>
      </c>
    </row>
    <row r="1156" spans="1:22">
      <c r="A1156" t="s">
        <v>1702</v>
      </c>
      <c r="B1156" t="s">
        <v>1703</v>
      </c>
      <c r="C1156" s="1">
        <v>44354</v>
      </c>
      <c r="D1156" s="4">
        <v>98.06</v>
      </c>
      <c r="E1156">
        <v>50</v>
      </c>
      <c r="F1156" t="str">
        <f t="shared" si="72"/>
        <v>50's</v>
      </c>
      <c r="G1156" t="str" cm="1">
        <f t="array" ref="G1156">_xlfn.IFS(
  F1156="10's", "Child (5–12)",
  OR(F1156="20's", F1156="30's"), "Young Adult (20–39)",
  OR(F1156="40's", F1156="50's"), "Adult (40–59)",
  OR(F1156="60's", F1156="70's", F1156="80's", F1156="90's"), "Senior (60+)",
  TRUE, "Unknown"
)</f>
        <v>Adult (40–59)</v>
      </c>
      <c r="H1156" t="s">
        <v>27</v>
      </c>
      <c r="I1156" t="s">
        <v>4134</v>
      </c>
      <c r="J1156" t="str">
        <f t="shared" si="73"/>
        <v>Methamphetamine-related</v>
      </c>
      <c r="K1156" t="s">
        <v>97</v>
      </c>
      <c r="L1156" t="s">
        <v>250</v>
      </c>
      <c r="N1156" t="s">
        <v>5095</v>
      </c>
      <c r="O1156" t="str" cm="1">
        <f t="array" ref="O1156">_xlfn.IFS(
  TEXT(TRIM(N1156),"00000")="NULL", "Missing/Unknown",
  OR(TEXT(TRIM(N1156),"00000")="89101", TEXT(TRIM(N1156),"00000")="89104", TEXT(TRIM(N1156),"00000")="89106", TEXT(TRIM(N1156),"00000")="89102", TEXT(TRIM(N1156),"00000")="89107", TEXT(TRIM(N1156),"00000")="89108"), "Urban Core",
  OR(TEXT(TRIM(N1156),"00000")="89110", TEXT(TRIM(N1156),"00000")="89115", TEXT(TRIM(N1156),"00000")="89121", TEXT(TRIM(N1156),"00000")="89122", TEXT(TRIM(N1156),"00000")="89142", TEXT(TRIM(N1156),"00000")="89156"), "East Valley",
  OR(TEXT(TRIM(N1156),"00000")="89030", TEXT(TRIM(N1156),"00000")="89031", TEXT(TRIM(N1156),"00000")="89032", TEXT(TRIM(N1156),"00000")="89086", TEXT(TRIM(N1156),"00000")="89084", TEXT(TRIM(N1156),"00000")="89081"), "North LV",
  OR(TEXT(TRIM(N1156),"00000")="89109", TEXT(TRIM(N1156),"00000")="89103", TEXT(TRIM(N1156),"00000")="89119", TEXT(TRIM(N1156),"00000")="89123", TEXT(TRIM(N1156),"00000")="89169", TEXT(TRIM(N1156),"00000")="89118"), "South/Strip",
  OR(TEXT(TRIM(N1156),"00000")="89074", TEXT(TRIM(N1156),"00000")="89014", TEXT(TRIM(N1156),"00000")="89015", TEXT(TRIM(N1156),"00000")="89011", TEXT(TRIM(N1156),"00000")="89012"), "Suburban SE",
  OR(TEXT(TRIM(N1156),"00000")="89117", TEXT(TRIM(N1156),"00000")="89128", TEXT(TRIM(N1156),"00000")="89135", TEXT(TRIM(N1156),"00000")="89144", TEXT(TRIM(N1156),"00000")="89145", TEXT(TRIM(N1156),"00000")="89147"), "West Valley",
  TRUE, "Other"
)</f>
        <v>Missing/Unknown</v>
      </c>
      <c r="P1156" t="s">
        <v>3298</v>
      </c>
      <c r="Q1156" t="str">
        <f t="shared" si="74"/>
        <v>Outdoors/Public</v>
      </c>
      <c r="R1156" t="s">
        <v>4713</v>
      </c>
      <c r="S1156" t="s">
        <v>5125</v>
      </c>
      <c r="T1156" t="str" cm="1">
        <f t="array" ref="T1156">_xlfn.IFS(
  TEXT(TRIM(S1156),"00000")="NULL", "Missing/Unknown",
  OR(TEXT(TRIM(S1156),"00000")="89101", TEXT(TRIM(S1156),"00000")="89104", TEXT(TRIM(S1156),"00000")="89106", TEXT(TRIM(S1156),"00000")="89102", TEXT(TRIM(S1156),"00000")="89107", TEXT(TRIM(S1156),"00000")="89108"), "Urban Core",
  OR(TEXT(TRIM(S1156),"00000")="89110", TEXT(TRIM(S1156),"00000")="89115", TEXT(TRIM(S1156),"00000")="89121", TEXT(TRIM(S1156),"00000")="89122", TEXT(TRIM(S1156),"00000")="89142", TEXT(TRIM(S1156),"00000")="89156"), "East Valley",
  OR(TEXT(TRIM(S1156),"00000")="89030", TEXT(TRIM(S1156),"00000")="89031", TEXT(TRIM(S1156),"00000")="89032", TEXT(TRIM(S1156),"00000")="89086", TEXT(TRIM(S1156),"00000")="89084", TEXT(TRIM(S1156),"00000")="89081"), "North LV",
  OR(TEXT(TRIM(S1156),"00000")="89109", TEXT(TRIM(S1156),"00000")="89103", TEXT(TRIM(S1156),"00000")="89119", TEXT(TRIM(S1156),"00000")="89123", TEXT(TRIM(S1156),"00000")="89169", TEXT(TRIM(S1156),"00000")="89118"), "South/Strip",
  OR(TEXT(TRIM(S1156),"00000")="89074", TEXT(TRIM(S1156),"00000")="89014", TEXT(TRIM(S1156),"00000")="89015", TEXT(TRIM(S1156),"00000")="89011", TEXT(TRIM(S1156),"00000")="89012"), "Suburban SE",
  OR(TEXT(TRIM(S1156),"00000")="89117", TEXT(TRIM(S1156),"00000")="89128", TEXT(TRIM(S1156),"00000")="89135", TEXT(TRIM(S1156),"00000")="89144", TEXT(TRIM(S1156),"00000")="89145", TEXT(TRIM(S1156),"00000")="89147"), "West Valley",
  TRUE, "Other"
)</f>
        <v>South/Strip</v>
      </c>
      <c r="U1156" t="s">
        <v>4301</v>
      </c>
      <c r="V1156" t="str">
        <f t="shared" si="75"/>
        <v>Medical Facility</v>
      </c>
    </row>
    <row r="1157" spans="1:22">
      <c r="A1157" t="s">
        <v>1687</v>
      </c>
      <c r="B1157" t="s">
        <v>1688</v>
      </c>
      <c r="C1157" s="1">
        <v>44353</v>
      </c>
      <c r="D1157" s="4">
        <v>104</v>
      </c>
      <c r="E1157">
        <v>55</v>
      </c>
      <c r="F1157" t="str">
        <f t="shared" si="72"/>
        <v>50's</v>
      </c>
      <c r="G1157" t="str" cm="1">
        <f t="array" ref="G1157">_xlfn.IFS(
  F1157="10's", "Child (5–12)",
  OR(F1157="20's", F1157="30's"), "Young Adult (20–39)",
  OR(F1157="40's", F1157="50's"), "Adult (40–59)",
  OR(F1157="60's", F1157="70's", F1157="80's", F1157="90's"), "Senior (60+)",
  TRUE, "Unknown"
)</f>
        <v>Adult (40–59)</v>
      </c>
      <c r="H1157" t="s">
        <v>778</v>
      </c>
      <c r="I1157" t="s">
        <v>35</v>
      </c>
      <c r="J1157" t="str">
        <f t="shared" si="73"/>
        <v>Environmental Heat</v>
      </c>
      <c r="K1157" t="s">
        <v>1254</v>
      </c>
      <c r="L1157" t="s">
        <v>250</v>
      </c>
      <c r="M1157" t="s">
        <v>4519</v>
      </c>
      <c r="N1157" t="s">
        <v>5098</v>
      </c>
      <c r="O1157" t="str" cm="1">
        <f t="array" ref="O1157">_xlfn.IFS(
  TEXT(TRIM(N1157),"00000")="NULL", "Missing/Unknown",
  OR(TEXT(TRIM(N1157),"00000")="89101", TEXT(TRIM(N1157),"00000")="89104", TEXT(TRIM(N1157),"00000")="89106", TEXT(TRIM(N1157),"00000")="89102", TEXT(TRIM(N1157),"00000")="89107", TEXT(TRIM(N1157),"00000")="89108"), "Urban Core",
  OR(TEXT(TRIM(N1157),"00000")="89110", TEXT(TRIM(N1157),"00000")="89115", TEXT(TRIM(N1157),"00000")="89121", TEXT(TRIM(N1157),"00000")="89122", TEXT(TRIM(N1157),"00000")="89142", TEXT(TRIM(N1157),"00000")="89156"), "East Valley",
  OR(TEXT(TRIM(N1157),"00000")="89030", TEXT(TRIM(N1157),"00000")="89031", TEXT(TRIM(N1157),"00000")="89032", TEXT(TRIM(N1157),"00000")="89086", TEXT(TRIM(N1157),"00000")="89084", TEXT(TRIM(N1157),"00000")="89081"), "North LV",
  OR(TEXT(TRIM(N1157),"00000")="89109", TEXT(TRIM(N1157),"00000")="89103", TEXT(TRIM(N1157),"00000")="89119", TEXT(TRIM(N1157),"00000")="89123", TEXT(TRIM(N1157),"00000")="89169", TEXT(TRIM(N1157),"00000")="89118"), "South/Strip",
  OR(TEXT(TRIM(N1157),"00000")="89074", TEXT(TRIM(N1157),"00000")="89014", TEXT(TRIM(N1157),"00000")="89015", TEXT(TRIM(N1157),"00000")="89011", TEXT(TRIM(N1157),"00000")="89012"), "Suburban SE",
  OR(TEXT(TRIM(N1157),"00000")="89117", TEXT(TRIM(N1157),"00000")="89128", TEXT(TRIM(N1157),"00000")="89135", TEXT(TRIM(N1157),"00000")="89144", TEXT(TRIM(N1157),"00000")="89145", TEXT(TRIM(N1157),"00000")="89147"), "West Valley",
  TRUE, "Other"
)</f>
        <v>Urban Core</v>
      </c>
      <c r="P1157" t="s">
        <v>132</v>
      </c>
      <c r="Q1157" t="str">
        <f t="shared" si="74"/>
        <v>Outdoors/Public</v>
      </c>
      <c r="R1157" t="s">
        <v>4713</v>
      </c>
      <c r="S1157" t="s">
        <v>5125</v>
      </c>
      <c r="T1157" t="str" cm="1">
        <f t="array" ref="T1157">_xlfn.IFS(
  TEXT(TRIM(S1157),"00000")="NULL", "Missing/Unknown",
  OR(TEXT(TRIM(S1157),"00000")="89101", TEXT(TRIM(S1157),"00000")="89104", TEXT(TRIM(S1157),"00000")="89106", TEXT(TRIM(S1157),"00000")="89102", TEXT(TRIM(S1157),"00000")="89107", TEXT(TRIM(S1157),"00000")="89108"), "Urban Core",
  OR(TEXT(TRIM(S1157),"00000")="89110", TEXT(TRIM(S1157),"00000")="89115", TEXT(TRIM(S1157),"00000")="89121", TEXT(TRIM(S1157),"00000")="89122", TEXT(TRIM(S1157),"00000")="89142", TEXT(TRIM(S1157),"00000")="89156"), "East Valley",
  OR(TEXT(TRIM(S1157),"00000")="89030", TEXT(TRIM(S1157),"00000")="89031", TEXT(TRIM(S1157),"00000")="89032", TEXT(TRIM(S1157),"00000")="89086", TEXT(TRIM(S1157),"00000")="89084", TEXT(TRIM(S1157),"00000")="89081"), "North LV",
  OR(TEXT(TRIM(S1157),"00000")="89109", TEXT(TRIM(S1157),"00000")="89103", TEXT(TRIM(S1157),"00000")="89119", TEXT(TRIM(S1157),"00000")="89123", TEXT(TRIM(S1157),"00000")="89169", TEXT(TRIM(S1157),"00000")="89118"), "South/Strip",
  OR(TEXT(TRIM(S1157),"00000")="89074", TEXT(TRIM(S1157),"00000")="89014", TEXT(TRIM(S1157),"00000")="89015", TEXT(TRIM(S1157),"00000")="89011", TEXT(TRIM(S1157),"00000")="89012"), "Suburban SE",
  OR(TEXT(TRIM(S1157),"00000")="89117", TEXT(TRIM(S1157),"00000")="89128", TEXT(TRIM(S1157),"00000")="89135", TEXT(TRIM(S1157),"00000")="89144", TEXT(TRIM(S1157),"00000")="89145", TEXT(TRIM(S1157),"00000")="89147"), "West Valley",
  TRUE, "Other"
)</f>
        <v>South/Strip</v>
      </c>
      <c r="U1157" t="s">
        <v>4301</v>
      </c>
      <c r="V1157" t="str">
        <f t="shared" si="75"/>
        <v>Medical Facility</v>
      </c>
    </row>
    <row r="1158" spans="1:22">
      <c r="A1158" t="s">
        <v>1690</v>
      </c>
      <c r="B1158" t="s">
        <v>1691</v>
      </c>
      <c r="C1158" s="1">
        <v>44353</v>
      </c>
      <c r="D1158" s="4">
        <v>104</v>
      </c>
      <c r="E1158">
        <v>61</v>
      </c>
      <c r="F1158" t="str">
        <f t="shared" si="72"/>
        <v>60's</v>
      </c>
      <c r="G1158" t="str" cm="1">
        <f t="array" ref="G1158">_xlfn.IFS(
  F1158="10's", "Child (5–12)",
  OR(F1158="20's", F1158="30's"), "Young Adult (20–39)",
  OR(F1158="40's", F1158="50's"), "Adult (40–59)",
  OR(F1158="60's", F1158="70's", F1158="80's", F1158="90's"), "Senior (60+)",
  TRUE, "Unknown"
)</f>
        <v>Senior (60+)</v>
      </c>
      <c r="H1158" t="s">
        <v>841</v>
      </c>
      <c r="I1158" t="s">
        <v>63</v>
      </c>
      <c r="J1158" t="str">
        <f t="shared" si="73"/>
        <v>Cardiovascular Disease</v>
      </c>
      <c r="K1158" t="s">
        <v>4291</v>
      </c>
      <c r="L1158" t="s">
        <v>1071</v>
      </c>
      <c r="M1158" t="s">
        <v>4495</v>
      </c>
      <c r="N1158" t="s">
        <v>5147</v>
      </c>
      <c r="O1158" t="str" cm="1">
        <f t="array" ref="O1158">_xlfn.IFS(
  TEXT(TRIM(N1158),"00000")="NULL", "Missing/Unknown",
  OR(TEXT(TRIM(N1158),"00000")="89101", TEXT(TRIM(N1158),"00000")="89104", TEXT(TRIM(N1158),"00000")="89106", TEXT(TRIM(N1158),"00000")="89102", TEXT(TRIM(N1158),"00000")="89107", TEXT(TRIM(N1158),"00000")="89108"), "Urban Core",
  OR(TEXT(TRIM(N1158),"00000")="89110", TEXT(TRIM(N1158),"00000")="89115", TEXT(TRIM(N1158),"00000")="89121", TEXT(TRIM(N1158),"00000")="89122", TEXT(TRIM(N1158),"00000")="89142", TEXT(TRIM(N1158),"00000")="89156"), "East Valley",
  OR(TEXT(TRIM(N1158),"00000")="89030", TEXT(TRIM(N1158),"00000")="89031", TEXT(TRIM(N1158),"00000")="89032", TEXT(TRIM(N1158),"00000")="89086", TEXT(TRIM(N1158),"00000")="89084", TEXT(TRIM(N1158),"00000")="89081"), "North LV",
  OR(TEXT(TRIM(N1158),"00000")="89109", TEXT(TRIM(N1158),"00000")="89103", TEXT(TRIM(N1158),"00000")="89119", TEXT(TRIM(N1158),"00000")="89123", TEXT(TRIM(N1158),"00000")="89169", TEXT(TRIM(N1158),"00000")="89118"), "South/Strip",
  OR(TEXT(TRIM(N1158),"00000")="89074", TEXT(TRIM(N1158),"00000")="89014", TEXT(TRIM(N1158),"00000")="89015", TEXT(TRIM(N1158),"00000")="89011", TEXT(TRIM(N1158),"00000")="89012"), "Suburban SE",
  OR(TEXT(TRIM(N1158),"00000")="89117", TEXT(TRIM(N1158),"00000")="89128", TEXT(TRIM(N1158),"00000")="89135", TEXT(TRIM(N1158),"00000")="89144", TEXT(TRIM(N1158),"00000")="89145", TEXT(TRIM(N1158),"00000")="89147"), "West Valley",
  TRUE, "Other"
)</f>
        <v>Other</v>
      </c>
      <c r="P1158" t="s">
        <v>38</v>
      </c>
      <c r="Q1158" t="str">
        <f t="shared" si="74"/>
        <v>Home/Residence</v>
      </c>
      <c r="R1158" t="s">
        <v>4495</v>
      </c>
      <c r="S1158" t="s">
        <v>5147</v>
      </c>
      <c r="T1158" t="str" cm="1">
        <f t="array" ref="T1158">_xlfn.IFS(
  TEXT(TRIM(S1158),"00000")="NULL", "Missing/Unknown",
  OR(TEXT(TRIM(S1158),"00000")="89101", TEXT(TRIM(S1158),"00000")="89104", TEXT(TRIM(S1158),"00000")="89106", TEXT(TRIM(S1158),"00000")="89102", TEXT(TRIM(S1158),"00000")="89107", TEXT(TRIM(S1158),"00000")="89108"), "Urban Core",
  OR(TEXT(TRIM(S1158),"00000")="89110", TEXT(TRIM(S1158),"00000")="89115", TEXT(TRIM(S1158),"00000")="89121", TEXT(TRIM(S1158),"00000")="89122", TEXT(TRIM(S1158),"00000")="89142", TEXT(TRIM(S1158),"00000")="89156"), "East Valley",
  OR(TEXT(TRIM(S1158),"00000")="89030", TEXT(TRIM(S1158),"00000")="89031", TEXT(TRIM(S1158),"00000")="89032", TEXT(TRIM(S1158),"00000")="89086", TEXT(TRIM(S1158),"00000")="89084", TEXT(TRIM(S1158),"00000")="89081"), "North LV",
  OR(TEXT(TRIM(S1158),"00000")="89109", TEXT(TRIM(S1158),"00000")="89103", TEXT(TRIM(S1158),"00000")="89119", TEXT(TRIM(S1158),"00000")="89123", TEXT(TRIM(S1158),"00000")="89169", TEXT(TRIM(S1158),"00000")="89118"), "South/Strip",
  OR(TEXT(TRIM(S1158),"00000")="89074", TEXT(TRIM(S1158),"00000")="89014", TEXT(TRIM(S1158),"00000")="89015", TEXT(TRIM(S1158),"00000")="89011", TEXT(TRIM(S1158),"00000")="89012"), "Suburban SE",
  OR(TEXT(TRIM(S1158),"00000")="89117", TEXT(TRIM(S1158),"00000")="89128", TEXT(TRIM(S1158),"00000")="89135", TEXT(TRIM(S1158),"00000")="89144", TEXT(TRIM(S1158),"00000")="89145", TEXT(TRIM(S1158),"00000")="89147"), "West Valley",
  TRUE, "Other"
)</f>
        <v>Other</v>
      </c>
      <c r="U1158" t="s">
        <v>38</v>
      </c>
      <c r="V1158" t="str">
        <f t="shared" si="75"/>
        <v>Home/Residence</v>
      </c>
    </row>
    <row r="1159" spans="1:22">
      <c r="A1159" t="s">
        <v>1698</v>
      </c>
      <c r="B1159" t="s">
        <v>1699</v>
      </c>
      <c r="C1159" s="1">
        <v>44353</v>
      </c>
      <c r="D1159" s="4">
        <v>104</v>
      </c>
      <c r="E1159">
        <v>62</v>
      </c>
      <c r="F1159" t="str">
        <f t="shared" si="72"/>
        <v>60's</v>
      </c>
      <c r="G1159" t="str" cm="1">
        <f t="array" ref="G1159">_xlfn.IFS(
  F1159="10's", "Child (5–12)",
  OR(F1159="20's", F1159="30's"), "Young Adult (20–39)",
  OR(F1159="40's", F1159="50's"), "Adult (40–59)",
  OR(F1159="60's", F1159="70's", F1159="80's", F1159="90's"), "Senior (60+)",
  TRUE, "Unknown"
)</f>
        <v>Senior (60+)</v>
      </c>
      <c r="H1159" t="s">
        <v>27</v>
      </c>
      <c r="I1159" t="s">
        <v>63</v>
      </c>
      <c r="J1159" t="str">
        <f t="shared" si="73"/>
        <v>Cardiovascular Disease</v>
      </c>
      <c r="K1159" t="s">
        <v>4151</v>
      </c>
      <c r="L1159" t="s">
        <v>1071</v>
      </c>
      <c r="M1159" t="s">
        <v>4497</v>
      </c>
      <c r="N1159" t="s">
        <v>5106</v>
      </c>
      <c r="O1159" t="str" cm="1">
        <f t="array" ref="O1159">_xlfn.IFS(
  TEXT(TRIM(N1159),"00000")="NULL", "Missing/Unknown",
  OR(TEXT(TRIM(N1159),"00000")="89101", TEXT(TRIM(N1159),"00000")="89104", TEXT(TRIM(N1159),"00000")="89106", TEXT(TRIM(N1159),"00000")="89102", TEXT(TRIM(N1159),"00000")="89107", TEXT(TRIM(N1159),"00000")="89108"), "Urban Core",
  OR(TEXT(TRIM(N1159),"00000")="89110", TEXT(TRIM(N1159),"00000")="89115", TEXT(TRIM(N1159),"00000")="89121", TEXT(TRIM(N1159),"00000")="89122", TEXT(TRIM(N1159),"00000")="89142", TEXT(TRIM(N1159),"00000")="89156"), "East Valley",
  OR(TEXT(TRIM(N1159),"00000")="89030", TEXT(TRIM(N1159),"00000")="89031", TEXT(TRIM(N1159),"00000")="89032", TEXT(TRIM(N1159),"00000")="89086", TEXT(TRIM(N1159),"00000")="89084", TEXT(TRIM(N1159),"00000")="89081"), "North LV",
  OR(TEXT(TRIM(N1159),"00000")="89109", TEXT(TRIM(N1159),"00000")="89103", TEXT(TRIM(N1159),"00000")="89119", TEXT(TRIM(N1159),"00000")="89123", TEXT(TRIM(N1159),"00000")="89169", TEXT(TRIM(N1159),"00000")="89118"), "South/Strip",
  OR(TEXT(TRIM(N1159),"00000")="89074", TEXT(TRIM(N1159),"00000")="89014", TEXT(TRIM(N1159),"00000")="89015", TEXT(TRIM(N1159),"00000")="89011", TEXT(TRIM(N1159),"00000")="89012"), "Suburban SE",
  OR(TEXT(TRIM(N1159),"00000")="89117", TEXT(TRIM(N1159),"00000")="89128", TEXT(TRIM(N1159),"00000")="89135", TEXT(TRIM(N1159),"00000")="89144", TEXT(TRIM(N1159),"00000")="89145", TEXT(TRIM(N1159),"00000")="89147"), "West Valley",
  TRUE, "Other"
)</f>
        <v>East Valley</v>
      </c>
      <c r="P1159" t="s">
        <v>38</v>
      </c>
      <c r="Q1159" t="str">
        <f t="shared" si="74"/>
        <v>Home/Residence</v>
      </c>
      <c r="R1159" t="s">
        <v>4497</v>
      </c>
      <c r="S1159" t="s">
        <v>5106</v>
      </c>
      <c r="T1159" t="str" cm="1">
        <f t="array" ref="T1159">_xlfn.IFS(
  TEXT(TRIM(S1159),"00000")="NULL", "Missing/Unknown",
  OR(TEXT(TRIM(S1159),"00000")="89101", TEXT(TRIM(S1159),"00000")="89104", TEXT(TRIM(S1159),"00000")="89106", TEXT(TRIM(S1159),"00000")="89102", TEXT(TRIM(S1159),"00000")="89107", TEXT(TRIM(S1159),"00000")="89108"), "Urban Core",
  OR(TEXT(TRIM(S1159),"00000")="89110", TEXT(TRIM(S1159),"00000")="89115", TEXT(TRIM(S1159),"00000")="89121", TEXT(TRIM(S1159),"00000")="89122", TEXT(TRIM(S1159),"00000")="89142", TEXT(TRIM(S1159),"00000")="89156"), "East Valley",
  OR(TEXT(TRIM(S1159),"00000")="89030", TEXT(TRIM(S1159),"00000")="89031", TEXT(TRIM(S1159),"00000")="89032", TEXT(TRIM(S1159),"00000")="89086", TEXT(TRIM(S1159),"00000")="89084", TEXT(TRIM(S1159),"00000")="89081"), "North LV",
  OR(TEXT(TRIM(S1159),"00000")="89109", TEXT(TRIM(S1159),"00000")="89103", TEXT(TRIM(S1159),"00000")="89119", TEXT(TRIM(S1159),"00000")="89123", TEXT(TRIM(S1159),"00000")="89169", TEXT(TRIM(S1159),"00000")="89118"), "South/Strip",
  OR(TEXT(TRIM(S1159),"00000")="89074", TEXT(TRIM(S1159),"00000")="89014", TEXT(TRIM(S1159),"00000")="89015", TEXT(TRIM(S1159),"00000")="89011", TEXT(TRIM(S1159),"00000")="89012"), "Suburban SE",
  OR(TEXT(TRIM(S1159),"00000")="89117", TEXT(TRIM(S1159),"00000")="89128", TEXT(TRIM(S1159),"00000")="89135", TEXT(TRIM(S1159),"00000")="89144", TEXT(TRIM(S1159),"00000")="89145", TEXT(TRIM(S1159),"00000")="89147"), "West Valley",
  TRUE, "Other"
)</f>
        <v>East Valley</v>
      </c>
      <c r="U1159" t="s">
        <v>38</v>
      </c>
      <c r="V1159" t="str">
        <f t="shared" si="75"/>
        <v>Home/Residence</v>
      </c>
    </row>
    <row r="1160" spans="1:22">
      <c r="A1160" t="s">
        <v>1694</v>
      </c>
      <c r="B1160" t="s">
        <v>1695</v>
      </c>
      <c r="C1160" s="1">
        <v>44353</v>
      </c>
      <c r="D1160" s="4">
        <v>104</v>
      </c>
      <c r="E1160">
        <v>87</v>
      </c>
      <c r="F1160" t="str">
        <f t="shared" si="72"/>
        <v>80's</v>
      </c>
      <c r="G1160" t="str" cm="1">
        <f t="array" ref="G1160">_xlfn.IFS(
  F1160="10's", "Child (5–12)",
  OR(F1160="20's", F1160="30's"), "Young Adult (20–39)",
  OR(F1160="40's", F1160="50's"), "Adult (40–59)",
  OR(F1160="60's", F1160="70's", F1160="80's", F1160="90's"), "Senior (60+)",
  TRUE, "Unknown"
)</f>
        <v>Senior (60+)</v>
      </c>
      <c r="H1160" t="s">
        <v>841</v>
      </c>
      <c r="I1160" t="s">
        <v>4012</v>
      </c>
      <c r="J1160" t="str">
        <f t="shared" si="73"/>
        <v>Cardiovascular Disease</v>
      </c>
      <c r="K1160" t="s">
        <v>1696</v>
      </c>
      <c r="L1160" t="s">
        <v>1071</v>
      </c>
      <c r="M1160" t="s">
        <v>4496</v>
      </c>
      <c r="N1160" t="s">
        <v>5107</v>
      </c>
      <c r="O1160" t="str" cm="1">
        <f t="array" ref="O1160">_xlfn.IFS(
  TEXT(TRIM(N1160),"00000")="NULL", "Missing/Unknown",
  OR(TEXT(TRIM(N1160),"00000")="89101", TEXT(TRIM(N1160),"00000")="89104", TEXT(TRIM(N1160),"00000")="89106", TEXT(TRIM(N1160),"00000")="89102", TEXT(TRIM(N1160),"00000")="89107", TEXT(TRIM(N1160),"00000")="89108"), "Urban Core",
  OR(TEXT(TRIM(N1160),"00000")="89110", TEXT(TRIM(N1160),"00000")="89115", TEXT(TRIM(N1160),"00000")="89121", TEXT(TRIM(N1160),"00000")="89122", TEXT(TRIM(N1160),"00000")="89142", TEXT(TRIM(N1160),"00000")="89156"), "East Valley",
  OR(TEXT(TRIM(N1160),"00000")="89030", TEXT(TRIM(N1160),"00000")="89031", TEXT(TRIM(N1160),"00000")="89032", TEXT(TRIM(N1160),"00000")="89086", TEXT(TRIM(N1160),"00000")="89084", TEXT(TRIM(N1160),"00000")="89081"), "North LV",
  OR(TEXT(TRIM(N1160),"00000")="89109", TEXT(TRIM(N1160),"00000")="89103", TEXT(TRIM(N1160),"00000")="89119", TEXT(TRIM(N1160),"00000")="89123", TEXT(TRIM(N1160),"00000")="89169", TEXT(TRIM(N1160),"00000")="89118"), "South/Strip",
  OR(TEXT(TRIM(N1160),"00000")="89074", TEXT(TRIM(N1160),"00000")="89014", TEXT(TRIM(N1160),"00000")="89015", TEXT(TRIM(N1160),"00000")="89011", TEXT(TRIM(N1160),"00000")="89012"), "Suburban SE",
  OR(TEXT(TRIM(N1160),"00000")="89117", TEXT(TRIM(N1160),"00000")="89128", TEXT(TRIM(N1160),"00000")="89135", TEXT(TRIM(N1160),"00000")="89144", TEXT(TRIM(N1160),"00000")="89145", TEXT(TRIM(N1160),"00000")="89147"), "West Valley",
  TRUE, "Other"
)</f>
        <v>South/Strip</v>
      </c>
      <c r="P1160" t="s">
        <v>38</v>
      </c>
      <c r="Q1160" t="str">
        <f t="shared" si="74"/>
        <v>Home/Residence</v>
      </c>
      <c r="R1160" t="s">
        <v>4496</v>
      </c>
      <c r="S1160" t="s">
        <v>5107</v>
      </c>
      <c r="T1160" t="str" cm="1">
        <f t="array" ref="T1160">_xlfn.IFS(
  TEXT(TRIM(S1160),"00000")="NULL", "Missing/Unknown",
  OR(TEXT(TRIM(S1160),"00000")="89101", TEXT(TRIM(S1160),"00000")="89104", TEXT(TRIM(S1160),"00000")="89106", TEXT(TRIM(S1160),"00000")="89102", TEXT(TRIM(S1160),"00000")="89107", TEXT(TRIM(S1160),"00000")="89108"), "Urban Core",
  OR(TEXT(TRIM(S1160),"00000")="89110", TEXT(TRIM(S1160),"00000")="89115", TEXT(TRIM(S1160),"00000")="89121", TEXT(TRIM(S1160),"00000")="89122", TEXT(TRIM(S1160),"00000")="89142", TEXT(TRIM(S1160),"00000")="89156"), "East Valley",
  OR(TEXT(TRIM(S1160),"00000")="89030", TEXT(TRIM(S1160),"00000")="89031", TEXT(TRIM(S1160),"00000")="89032", TEXT(TRIM(S1160),"00000")="89086", TEXT(TRIM(S1160),"00000")="89084", TEXT(TRIM(S1160),"00000")="89081"), "North LV",
  OR(TEXT(TRIM(S1160),"00000")="89109", TEXT(TRIM(S1160),"00000")="89103", TEXT(TRIM(S1160),"00000")="89119", TEXT(TRIM(S1160),"00000")="89123", TEXT(TRIM(S1160),"00000")="89169", TEXT(TRIM(S1160),"00000")="89118"), "South/Strip",
  OR(TEXT(TRIM(S1160),"00000")="89074", TEXT(TRIM(S1160),"00000")="89014", TEXT(TRIM(S1160),"00000")="89015", TEXT(TRIM(S1160),"00000")="89011", TEXT(TRIM(S1160),"00000")="89012"), "Suburban SE",
  OR(TEXT(TRIM(S1160),"00000")="89117", TEXT(TRIM(S1160),"00000")="89128", TEXT(TRIM(S1160),"00000")="89135", TEXT(TRIM(S1160),"00000")="89144", TEXT(TRIM(S1160),"00000")="89145", TEXT(TRIM(S1160),"00000")="89147"), "West Valley",
  TRUE, "Other"
)</f>
        <v>South/Strip</v>
      </c>
      <c r="U1160" t="s">
        <v>38</v>
      </c>
      <c r="V1160" t="str">
        <f t="shared" si="75"/>
        <v>Home/Residence</v>
      </c>
    </row>
    <row r="1161" spans="1:22">
      <c r="A1161" t="s">
        <v>1684</v>
      </c>
      <c r="B1161" t="s">
        <v>1685</v>
      </c>
      <c r="C1161" s="1">
        <v>44352</v>
      </c>
      <c r="D1161" s="4">
        <v>107.96</v>
      </c>
      <c r="E1161">
        <v>74</v>
      </c>
      <c r="F1161" t="str">
        <f t="shared" si="72"/>
        <v>70's</v>
      </c>
      <c r="G1161" t="str" cm="1">
        <f t="array" ref="G1161">_xlfn.IFS(
  F1161="10's", "Child (5–12)",
  OR(F1161="20's", F1161="30's"), "Young Adult (20–39)",
  OR(F1161="40's", F1161="50's"), "Adult (40–59)",
  OR(F1161="60's", F1161="70's", F1161="80's", F1161="90's"), "Senior (60+)",
  TRUE, "Unknown"
)</f>
        <v>Senior (60+)</v>
      </c>
      <c r="H1161" t="s">
        <v>841</v>
      </c>
      <c r="I1161" t="s">
        <v>28</v>
      </c>
      <c r="J1161" t="str">
        <f t="shared" si="73"/>
        <v>Cardiovascular Disease</v>
      </c>
      <c r="K1161" t="s">
        <v>54</v>
      </c>
      <c r="L1161" t="s">
        <v>1071</v>
      </c>
      <c r="M1161" t="s">
        <v>4415</v>
      </c>
      <c r="N1161" t="s">
        <v>5155</v>
      </c>
      <c r="O1161" t="str" cm="1">
        <f t="array" ref="O1161">_xlfn.IFS(
  TEXT(TRIM(N1161),"00000")="NULL", "Missing/Unknown",
  OR(TEXT(TRIM(N1161),"00000")="89101", TEXT(TRIM(N1161),"00000")="89104", TEXT(TRIM(N1161),"00000")="89106", TEXT(TRIM(N1161),"00000")="89102", TEXT(TRIM(N1161),"00000")="89107", TEXT(TRIM(N1161),"00000")="89108"), "Urban Core",
  OR(TEXT(TRIM(N1161),"00000")="89110", TEXT(TRIM(N1161),"00000")="89115", TEXT(TRIM(N1161),"00000")="89121", TEXT(TRIM(N1161),"00000")="89122", TEXT(TRIM(N1161),"00000")="89142", TEXT(TRIM(N1161),"00000")="89156"), "East Valley",
  OR(TEXT(TRIM(N1161),"00000")="89030", TEXT(TRIM(N1161),"00000")="89031", TEXT(TRIM(N1161),"00000")="89032", TEXT(TRIM(N1161),"00000")="89086", TEXT(TRIM(N1161),"00000")="89084", TEXT(TRIM(N1161),"00000")="89081"), "North LV",
  OR(TEXT(TRIM(N1161),"00000")="89109", TEXT(TRIM(N1161),"00000")="89103", TEXT(TRIM(N1161),"00000")="89119", TEXT(TRIM(N1161),"00000")="89123", TEXT(TRIM(N1161),"00000")="89169", TEXT(TRIM(N1161),"00000")="89118"), "South/Strip",
  OR(TEXT(TRIM(N1161),"00000")="89074", TEXT(TRIM(N1161),"00000")="89014", TEXT(TRIM(N1161),"00000")="89015", TEXT(TRIM(N1161),"00000")="89011", TEXT(TRIM(N1161),"00000")="89012"), "Suburban SE",
  OR(TEXT(TRIM(N1161),"00000")="89117", TEXT(TRIM(N1161),"00000")="89128", TEXT(TRIM(N1161),"00000")="89135", TEXT(TRIM(N1161),"00000")="89144", TEXT(TRIM(N1161),"00000")="89145", TEXT(TRIM(N1161),"00000")="89147"), "West Valley",
  TRUE, "Other"
)</f>
        <v>Other</v>
      </c>
      <c r="P1161" t="s">
        <v>38</v>
      </c>
      <c r="Q1161" t="str">
        <f t="shared" si="74"/>
        <v>Home/Residence</v>
      </c>
      <c r="R1161" t="s">
        <v>4415</v>
      </c>
      <c r="S1161" t="s">
        <v>5155</v>
      </c>
      <c r="T1161" t="str" cm="1">
        <f t="array" ref="T1161">_xlfn.IFS(
  TEXT(TRIM(S1161),"00000")="NULL", "Missing/Unknown",
  OR(TEXT(TRIM(S1161),"00000")="89101", TEXT(TRIM(S1161),"00000")="89104", TEXT(TRIM(S1161),"00000")="89106", TEXT(TRIM(S1161),"00000")="89102", TEXT(TRIM(S1161),"00000")="89107", TEXT(TRIM(S1161),"00000")="89108"), "Urban Core",
  OR(TEXT(TRIM(S1161),"00000")="89110", TEXT(TRIM(S1161),"00000")="89115", TEXT(TRIM(S1161),"00000")="89121", TEXT(TRIM(S1161),"00000")="89122", TEXT(TRIM(S1161),"00000")="89142", TEXT(TRIM(S1161),"00000")="89156"), "East Valley",
  OR(TEXT(TRIM(S1161),"00000")="89030", TEXT(TRIM(S1161),"00000")="89031", TEXT(TRIM(S1161),"00000")="89032", TEXT(TRIM(S1161),"00000")="89086", TEXT(TRIM(S1161),"00000")="89084", TEXT(TRIM(S1161),"00000")="89081"), "North LV",
  OR(TEXT(TRIM(S1161),"00000")="89109", TEXT(TRIM(S1161),"00000")="89103", TEXT(TRIM(S1161),"00000")="89119", TEXT(TRIM(S1161),"00000")="89123", TEXT(TRIM(S1161),"00000")="89169", TEXT(TRIM(S1161),"00000")="89118"), "South/Strip",
  OR(TEXT(TRIM(S1161),"00000")="89074", TEXT(TRIM(S1161),"00000")="89014", TEXT(TRIM(S1161),"00000")="89015", TEXT(TRIM(S1161),"00000")="89011", TEXT(TRIM(S1161),"00000")="89012"), "Suburban SE",
  OR(TEXT(TRIM(S1161),"00000")="89117", TEXT(TRIM(S1161),"00000")="89128", TEXT(TRIM(S1161),"00000")="89135", TEXT(TRIM(S1161),"00000")="89144", TEXT(TRIM(S1161),"00000")="89145", TEXT(TRIM(S1161),"00000")="89147"), "West Valley",
  TRUE, "Other"
)</f>
        <v>Other</v>
      </c>
      <c r="U1161" t="s">
        <v>38</v>
      </c>
      <c r="V1161" t="str">
        <f t="shared" si="75"/>
        <v>Home/Residence</v>
      </c>
    </row>
    <row r="1162" spans="1:22">
      <c r="A1162" t="s">
        <v>1681</v>
      </c>
      <c r="B1162" t="s">
        <v>1682</v>
      </c>
      <c r="C1162" s="1">
        <v>44350</v>
      </c>
      <c r="D1162" s="4">
        <v>107.96</v>
      </c>
      <c r="E1162">
        <v>57</v>
      </c>
      <c r="F1162" t="str">
        <f t="shared" si="72"/>
        <v>50's</v>
      </c>
      <c r="G1162" t="str" cm="1">
        <f t="array" ref="G1162">_xlfn.IFS(
  F1162="10's", "Child (5–12)",
  OR(F1162="20's", F1162="30's"), "Young Adult (20–39)",
  OR(F1162="40's", F1162="50's"), "Adult (40–59)",
  OR(F1162="60's", F1162="70's", F1162="80's", F1162="90's"), "Senior (60+)",
  TRUE, "Unknown"
)</f>
        <v>Adult (40–59)</v>
      </c>
      <c r="H1162" t="s">
        <v>841</v>
      </c>
      <c r="I1162" t="s">
        <v>461</v>
      </c>
      <c r="J1162" t="str">
        <f t="shared" si="73"/>
        <v>Dehydration / Electrolyte</v>
      </c>
      <c r="K1162" t="s">
        <v>199</v>
      </c>
      <c r="L1162" t="s">
        <v>250</v>
      </c>
      <c r="M1162" t="s">
        <v>4869</v>
      </c>
      <c r="N1162" t="s">
        <v>5123</v>
      </c>
      <c r="O1162" t="str" cm="1">
        <f t="array" ref="O1162">_xlfn.IFS(
  TEXT(TRIM(N1162),"00000")="NULL", "Missing/Unknown",
  OR(TEXT(TRIM(N1162),"00000")="89101", TEXT(TRIM(N1162),"00000")="89104", TEXT(TRIM(N1162),"00000")="89106", TEXT(TRIM(N1162),"00000")="89102", TEXT(TRIM(N1162),"00000")="89107", TEXT(TRIM(N1162),"00000")="89108"), "Urban Core",
  OR(TEXT(TRIM(N1162),"00000")="89110", TEXT(TRIM(N1162),"00000")="89115", TEXT(TRIM(N1162),"00000")="89121", TEXT(TRIM(N1162),"00000")="89122", TEXT(TRIM(N1162),"00000")="89142", TEXT(TRIM(N1162),"00000")="89156"), "East Valley",
  OR(TEXT(TRIM(N1162),"00000")="89030", TEXT(TRIM(N1162),"00000")="89031", TEXT(TRIM(N1162),"00000")="89032", TEXT(TRIM(N1162),"00000")="89086", TEXT(TRIM(N1162),"00000")="89084", TEXT(TRIM(N1162),"00000")="89081"), "North LV",
  OR(TEXT(TRIM(N1162),"00000")="89109", TEXT(TRIM(N1162),"00000")="89103", TEXT(TRIM(N1162),"00000")="89119", TEXT(TRIM(N1162),"00000")="89123", TEXT(TRIM(N1162),"00000")="89169", TEXT(TRIM(N1162),"00000")="89118"), "South/Strip",
  OR(TEXT(TRIM(N1162),"00000")="89074", TEXT(TRIM(N1162),"00000")="89014", TEXT(TRIM(N1162),"00000")="89015", TEXT(TRIM(N1162),"00000")="89011", TEXT(TRIM(N1162),"00000")="89012"), "Suburban SE",
  OR(TEXT(TRIM(N1162),"00000")="89117", TEXT(TRIM(N1162),"00000")="89128", TEXT(TRIM(N1162),"00000")="89135", TEXT(TRIM(N1162),"00000")="89144", TEXT(TRIM(N1162),"00000")="89145", TEXT(TRIM(N1162),"00000")="89147"), "West Valley",
  TRUE, "Other"
)</f>
        <v>South/Strip</v>
      </c>
      <c r="P1162" t="s">
        <v>3298</v>
      </c>
      <c r="Q1162" t="str">
        <f t="shared" si="74"/>
        <v>Outdoors/Public</v>
      </c>
      <c r="R1162" t="s">
        <v>4869</v>
      </c>
      <c r="S1162" t="s">
        <v>5123</v>
      </c>
      <c r="T1162" t="str" cm="1">
        <f t="array" ref="T1162">_xlfn.IFS(
  TEXT(TRIM(S1162),"00000")="NULL", "Missing/Unknown",
  OR(TEXT(TRIM(S1162),"00000")="89101", TEXT(TRIM(S1162),"00000")="89104", TEXT(TRIM(S1162),"00000")="89106", TEXT(TRIM(S1162),"00000")="89102", TEXT(TRIM(S1162),"00000")="89107", TEXT(TRIM(S1162),"00000")="89108"), "Urban Core",
  OR(TEXT(TRIM(S1162),"00000")="89110", TEXT(TRIM(S1162),"00000")="89115", TEXT(TRIM(S1162),"00000")="89121", TEXT(TRIM(S1162),"00000")="89122", TEXT(TRIM(S1162),"00000")="89142", TEXT(TRIM(S1162),"00000")="89156"), "East Valley",
  OR(TEXT(TRIM(S1162),"00000")="89030", TEXT(TRIM(S1162),"00000")="89031", TEXT(TRIM(S1162),"00000")="89032", TEXT(TRIM(S1162),"00000")="89086", TEXT(TRIM(S1162),"00000")="89084", TEXT(TRIM(S1162),"00000")="89081"), "North LV",
  OR(TEXT(TRIM(S1162),"00000")="89109", TEXT(TRIM(S1162),"00000")="89103", TEXT(TRIM(S1162),"00000")="89119", TEXT(TRIM(S1162),"00000")="89123", TEXT(TRIM(S1162),"00000")="89169", TEXT(TRIM(S1162),"00000")="89118"), "South/Strip",
  OR(TEXT(TRIM(S1162),"00000")="89074", TEXT(TRIM(S1162),"00000")="89014", TEXT(TRIM(S1162),"00000")="89015", TEXT(TRIM(S1162),"00000")="89011", TEXT(TRIM(S1162),"00000")="89012"), "Suburban SE",
  OR(TEXT(TRIM(S1162),"00000")="89117", TEXT(TRIM(S1162),"00000")="89128", TEXT(TRIM(S1162),"00000")="89135", TEXT(TRIM(S1162),"00000")="89144", TEXT(TRIM(S1162),"00000")="89145", TEXT(TRIM(S1162),"00000")="89147"), "West Valley",
  TRUE, "Other"
)</f>
        <v>South/Strip</v>
      </c>
      <c r="U1162" t="s">
        <v>3298</v>
      </c>
      <c r="V1162" t="str">
        <f t="shared" si="75"/>
        <v>Outdoors/Public</v>
      </c>
    </row>
    <row r="1163" spans="1:22">
      <c r="A1163" t="s">
        <v>1677</v>
      </c>
      <c r="B1163" t="s">
        <v>1678</v>
      </c>
      <c r="C1163" s="1">
        <v>44343</v>
      </c>
      <c r="D1163" s="4">
        <v>96.080000000000013</v>
      </c>
      <c r="E1163">
        <v>39</v>
      </c>
      <c r="F1163" t="str">
        <f t="shared" si="72"/>
        <v>30's</v>
      </c>
      <c r="G1163" t="str" cm="1">
        <f t="array" ref="G1163">_xlfn.IFS(
  F1163="10's", "Child (5–12)",
  OR(F1163="20's", F1163="30's"), "Young Adult (20–39)",
  OR(F1163="40's", F1163="50's"), "Adult (40–59)",
  OR(F1163="60's", F1163="70's", F1163="80's", F1163="90's"), "Senior (60+)",
  TRUE, "Unknown"
)</f>
        <v>Young Adult (20–39)</v>
      </c>
      <c r="H1163" t="s">
        <v>27</v>
      </c>
      <c r="I1163" t="s">
        <v>4135</v>
      </c>
      <c r="J1163" t="str">
        <f t="shared" si="73"/>
        <v>Other / Unknown</v>
      </c>
      <c r="K1163" t="s">
        <v>4292</v>
      </c>
      <c r="L1163" t="s">
        <v>250</v>
      </c>
      <c r="N1163" t="s">
        <v>5095</v>
      </c>
      <c r="O1163" t="str" cm="1">
        <f t="array" ref="O1163">_xlfn.IFS(
  TEXT(TRIM(N1163),"00000")="NULL", "Missing/Unknown",
  OR(TEXT(TRIM(N1163),"00000")="89101", TEXT(TRIM(N1163),"00000")="89104", TEXT(TRIM(N1163),"00000")="89106", TEXT(TRIM(N1163),"00000")="89102", TEXT(TRIM(N1163),"00000")="89107", TEXT(TRIM(N1163),"00000")="89108"), "Urban Core",
  OR(TEXT(TRIM(N1163),"00000")="89110", TEXT(TRIM(N1163),"00000")="89115", TEXT(TRIM(N1163),"00000")="89121", TEXT(TRIM(N1163),"00000")="89122", TEXT(TRIM(N1163),"00000")="89142", TEXT(TRIM(N1163),"00000")="89156"), "East Valley",
  OR(TEXT(TRIM(N1163),"00000")="89030", TEXT(TRIM(N1163),"00000")="89031", TEXT(TRIM(N1163),"00000")="89032", TEXT(TRIM(N1163),"00000")="89086", TEXT(TRIM(N1163),"00000")="89084", TEXT(TRIM(N1163),"00000")="89081"), "North LV",
  OR(TEXT(TRIM(N1163),"00000")="89109", TEXT(TRIM(N1163),"00000")="89103", TEXT(TRIM(N1163),"00000")="89119", TEXT(TRIM(N1163),"00000")="89123", TEXT(TRIM(N1163),"00000")="89169", TEXT(TRIM(N1163),"00000")="89118"), "South/Strip",
  OR(TEXT(TRIM(N1163),"00000")="89074", TEXT(TRIM(N1163),"00000")="89014", TEXT(TRIM(N1163),"00000")="89015", TEXT(TRIM(N1163),"00000")="89011", TEXT(TRIM(N1163),"00000")="89012"), "Suburban SE",
  OR(TEXT(TRIM(N1163),"00000")="89117", TEXT(TRIM(N1163),"00000")="89128", TEXT(TRIM(N1163),"00000")="89135", TEXT(TRIM(N1163),"00000")="89144", TEXT(TRIM(N1163),"00000")="89145", TEXT(TRIM(N1163),"00000")="89147"), "West Valley",
  TRUE, "Other"
)</f>
        <v>Missing/Unknown</v>
      </c>
      <c r="P1163" t="s">
        <v>3298</v>
      </c>
      <c r="Q1163" t="str">
        <f t="shared" si="74"/>
        <v>Outdoors/Public</v>
      </c>
      <c r="R1163" t="s">
        <v>4341</v>
      </c>
      <c r="S1163" t="s">
        <v>5100</v>
      </c>
      <c r="T1163" t="str" cm="1">
        <f t="array" ref="T1163">_xlfn.IFS(
  TEXT(TRIM(S1163),"00000")="NULL", "Missing/Unknown",
  OR(TEXT(TRIM(S1163),"00000")="89101", TEXT(TRIM(S1163),"00000")="89104", TEXT(TRIM(S1163),"00000")="89106", TEXT(TRIM(S1163),"00000")="89102", TEXT(TRIM(S1163),"00000")="89107", TEXT(TRIM(S1163),"00000")="89108"), "Urban Core",
  OR(TEXT(TRIM(S1163),"00000")="89110", TEXT(TRIM(S1163),"00000")="89115", TEXT(TRIM(S1163),"00000")="89121", TEXT(TRIM(S1163),"00000")="89122", TEXT(TRIM(S1163),"00000")="89142", TEXT(TRIM(S1163),"00000")="89156"), "East Valley",
  OR(TEXT(TRIM(S1163),"00000")="89030", TEXT(TRIM(S1163),"00000")="89031", TEXT(TRIM(S1163),"00000")="89032", TEXT(TRIM(S1163),"00000")="89086", TEXT(TRIM(S1163),"00000")="89084", TEXT(TRIM(S1163),"00000")="89081"), "North LV",
  OR(TEXT(TRIM(S1163),"00000")="89109", TEXT(TRIM(S1163),"00000")="89103", TEXT(TRIM(S1163),"00000")="89119", TEXT(TRIM(S1163),"00000")="89123", TEXT(TRIM(S1163),"00000")="89169", TEXT(TRIM(S1163),"00000")="89118"), "South/Strip",
  OR(TEXT(TRIM(S1163),"00000")="89074", TEXT(TRIM(S1163),"00000")="89014", TEXT(TRIM(S1163),"00000")="89015", TEXT(TRIM(S1163),"00000")="89011", TEXT(TRIM(S1163),"00000")="89012"), "Suburban SE",
  OR(TEXT(TRIM(S1163),"00000")="89117", TEXT(TRIM(S1163),"00000")="89128", TEXT(TRIM(S1163),"00000")="89135", TEXT(TRIM(S1163),"00000")="89144", TEXT(TRIM(S1163),"00000")="89145", TEXT(TRIM(S1163),"00000")="89147"), "West Valley",
  TRUE, "Other"
)</f>
        <v>North LV</v>
      </c>
      <c r="U1163" t="s">
        <v>4305</v>
      </c>
      <c r="V1163" t="str">
        <f t="shared" si="75"/>
        <v>Medical Facility</v>
      </c>
    </row>
    <row r="1164" spans="1:22">
      <c r="A1164" t="s">
        <v>1674</v>
      </c>
      <c r="B1164" t="s">
        <v>1675</v>
      </c>
      <c r="C1164" s="1">
        <v>44331</v>
      </c>
      <c r="D1164" s="4">
        <v>93.919999999999987</v>
      </c>
      <c r="E1164">
        <v>42</v>
      </c>
      <c r="F1164" t="str">
        <f t="shared" si="72"/>
        <v>40's</v>
      </c>
      <c r="G1164" t="str" cm="1">
        <f t="array" ref="G1164">_xlfn.IFS(
  F1164="10's", "Child (5–12)",
  OR(F1164="20's", F1164="30's"), "Young Adult (20–39)",
  OR(F1164="40's", F1164="50's"), "Adult (40–59)",
  OR(F1164="60's", F1164="70's", F1164="80's", F1164="90's"), "Senior (60+)",
  TRUE, "Unknown"
)</f>
        <v>Adult (40–59)</v>
      </c>
      <c r="H1164" t="s">
        <v>778</v>
      </c>
      <c r="I1164" t="s">
        <v>461</v>
      </c>
      <c r="J1164" t="str">
        <f t="shared" si="73"/>
        <v>Dehydration / Electrolyte</v>
      </c>
      <c r="K1164" t="s">
        <v>1676</v>
      </c>
      <c r="L1164" t="s">
        <v>250</v>
      </c>
      <c r="N1164" t="s">
        <v>5095</v>
      </c>
      <c r="O1164" t="str" cm="1">
        <f t="array" ref="O1164">_xlfn.IFS(
  TEXT(TRIM(N1164),"00000")="NULL", "Missing/Unknown",
  OR(TEXT(TRIM(N1164),"00000")="89101", TEXT(TRIM(N1164),"00000")="89104", TEXT(TRIM(N1164),"00000")="89106", TEXT(TRIM(N1164),"00000")="89102", TEXT(TRIM(N1164),"00000")="89107", TEXT(TRIM(N1164),"00000")="89108"), "Urban Core",
  OR(TEXT(TRIM(N1164),"00000")="89110", TEXT(TRIM(N1164),"00000")="89115", TEXT(TRIM(N1164),"00000")="89121", TEXT(TRIM(N1164),"00000")="89122", TEXT(TRIM(N1164),"00000")="89142", TEXT(TRIM(N1164),"00000")="89156"), "East Valley",
  OR(TEXT(TRIM(N1164),"00000")="89030", TEXT(TRIM(N1164),"00000")="89031", TEXT(TRIM(N1164),"00000")="89032", TEXT(TRIM(N1164),"00000")="89086", TEXT(TRIM(N1164),"00000")="89084", TEXT(TRIM(N1164),"00000")="89081"), "North LV",
  OR(TEXT(TRIM(N1164),"00000")="89109", TEXT(TRIM(N1164),"00000")="89103", TEXT(TRIM(N1164),"00000")="89119", TEXT(TRIM(N1164),"00000")="89123", TEXT(TRIM(N1164),"00000")="89169", TEXT(TRIM(N1164),"00000")="89118"), "South/Strip",
  OR(TEXT(TRIM(N1164),"00000")="89074", TEXT(TRIM(N1164),"00000")="89014", TEXT(TRIM(N1164),"00000")="89015", TEXT(TRIM(N1164),"00000")="89011", TEXT(TRIM(N1164),"00000")="89012"), "Suburban SE",
  OR(TEXT(TRIM(N1164),"00000")="89117", TEXT(TRIM(N1164),"00000")="89128", TEXT(TRIM(N1164),"00000")="89135", TEXT(TRIM(N1164),"00000")="89144", TEXT(TRIM(N1164),"00000")="89145", TEXT(TRIM(N1164),"00000")="89147"), "West Valley",
  TRUE, "Other"
)</f>
        <v>Missing/Unknown</v>
      </c>
      <c r="P1164" t="s">
        <v>3298</v>
      </c>
      <c r="Q1164" t="str">
        <f t="shared" si="74"/>
        <v>Outdoors/Public</v>
      </c>
      <c r="S1164" t="s">
        <v>5095</v>
      </c>
      <c r="T1164" t="str" cm="1">
        <f t="array" ref="T1164">_xlfn.IFS(
  TEXT(TRIM(S1164),"00000")="NULL", "Missing/Unknown",
  OR(TEXT(TRIM(S1164),"00000")="89101", TEXT(TRIM(S1164),"00000")="89104", TEXT(TRIM(S1164),"00000")="89106", TEXT(TRIM(S1164),"00000")="89102", TEXT(TRIM(S1164),"00000")="89107", TEXT(TRIM(S1164),"00000")="89108"), "Urban Core",
  OR(TEXT(TRIM(S1164),"00000")="89110", TEXT(TRIM(S1164),"00000")="89115", TEXT(TRIM(S1164),"00000")="89121", TEXT(TRIM(S1164),"00000")="89122", TEXT(TRIM(S1164),"00000")="89142", TEXT(TRIM(S1164),"00000")="89156"), "East Valley",
  OR(TEXT(TRIM(S1164),"00000")="89030", TEXT(TRIM(S1164),"00000")="89031", TEXT(TRIM(S1164),"00000")="89032", TEXT(TRIM(S1164),"00000")="89086", TEXT(TRIM(S1164),"00000")="89084", TEXT(TRIM(S1164),"00000")="89081"), "North LV",
  OR(TEXT(TRIM(S1164),"00000")="89109", TEXT(TRIM(S1164),"00000")="89103", TEXT(TRIM(S1164),"00000")="89119", TEXT(TRIM(S1164),"00000")="89123", TEXT(TRIM(S1164),"00000")="89169", TEXT(TRIM(S1164),"00000")="89118"), "South/Strip",
  OR(TEXT(TRIM(S1164),"00000")="89074", TEXT(TRIM(S1164),"00000")="89014", TEXT(TRIM(S1164),"00000")="89015", TEXT(TRIM(S1164),"00000")="89011", TEXT(TRIM(S1164),"00000")="89012"), "Suburban SE",
  OR(TEXT(TRIM(S1164),"00000")="89117", TEXT(TRIM(S1164),"00000")="89128", TEXT(TRIM(S1164),"00000")="89135", TEXT(TRIM(S1164),"00000")="89144", TEXT(TRIM(S1164),"00000")="89145", TEXT(TRIM(S1164),"00000")="89147"), "West Valley",
  TRUE, "Other"
)</f>
        <v>Missing/Unknown</v>
      </c>
      <c r="U1164" t="s">
        <v>3298</v>
      </c>
      <c r="V1164" t="str">
        <f t="shared" si="75"/>
        <v>Outdoors/Public</v>
      </c>
    </row>
    <row r="1165" spans="1:22">
      <c r="A1165" t="s">
        <v>1670</v>
      </c>
      <c r="B1165" t="s">
        <v>1671</v>
      </c>
      <c r="C1165" s="1">
        <v>44322</v>
      </c>
      <c r="D1165" s="4">
        <v>98.06</v>
      </c>
      <c r="E1165">
        <v>57</v>
      </c>
      <c r="F1165" t="str">
        <f t="shared" si="72"/>
        <v>50's</v>
      </c>
      <c r="G1165" t="str" cm="1">
        <f t="array" ref="G1165">_xlfn.IFS(
  F1165="10's", "Child (5–12)",
  OR(F1165="20's", F1165="30's"), "Young Adult (20–39)",
  OR(F1165="40's", F1165="50's"), "Adult (40–59)",
  OR(F1165="60's", F1165="70's", F1165="80's", F1165="90's"), "Senior (60+)",
  TRUE, "Unknown"
)</f>
        <v>Adult (40–59)</v>
      </c>
      <c r="H1165" t="s">
        <v>778</v>
      </c>
      <c r="I1165" t="s">
        <v>1672</v>
      </c>
      <c r="J1165" t="str">
        <f t="shared" si="73"/>
        <v>Dehydration / Electrolyte</v>
      </c>
      <c r="K1165" t="s">
        <v>4293</v>
      </c>
      <c r="L1165" t="s">
        <v>250</v>
      </c>
      <c r="N1165" t="s">
        <v>5095</v>
      </c>
      <c r="O1165" t="str" cm="1">
        <f t="array" ref="O1165">_xlfn.IFS(
  TEXT(TRIM(N1165),"00000")="NULL", "Missing/Unknown",
  OR(TEXT(TRIM(N1165),"00000")="89101", TEXT(TRIM(N1165),"00000")="89104", TEXT(TRIM(N1165),"00000")="89106", TEXT(TRIM(N1165),"00000")="89102", TEXT(TRIM(N1165),"00000")="89107", TEXT(TRIM(N1165),"00000")="89108"), "Urban Core",
  OR(TEXT(TRIM(N1165),"00000")="89110", TEXT(TRIM(N1165),"00000")="89115", TEXT(TRIM(N1165),"00000")="89121", TEXT(TRIM(N1165),"00000")="89122", TEXT(TRIM(N1165),"00000")="89142", TEXT(TRIM(N1165),"00000")="89156"), "East Valley",
  OR(TEXT(TRIM(N1165),"00000")="89030", TEXT(TRIM(N1165),"00000")="89031", TEXT(TRIM(N1165),"00000")="89032", TEXT(TRIM(N1165),"00000")="89086", TEXT(TRIM(N1165),"00000")="89084", TEXT(TRIM(N1165),"00000")="89081"), "North LV",
  OR(TEXT(TRIM(N1165),"00000")="89109", TEXT(TRIM(N1165),"00000")="89103", TEXT(TRIM(N1165),"00000")="89119", TEXT(TRIM(N1165),"00000")="89123", TEXT(TRIM(N1165),"00000")="89169", TEXT(TRIM(N1165),"00000")="89118"), "South/Strip",
  OR(TEXT(TRIM(N1165),"00000")="89074", TEXT(TRIM(N1165),"00000")="89014", TEXT(TRIM(N1165),"00000")="89015", TEXT(TRIM(N1165),"00000")="89011", TEXT(TRIM(N1165),"00000")="89012"), "Suburban SE",
  OR(TEXT(TRIM(N1165),"00000")="89117", TEXT(TRIM(N1165),"00000")="89128", TEXT(TRIM(N1165),"00000")="89135", TEXT(TRIM(N1165),"00000")="89144", TEXT(TRIM(N1165),"00000")="89145", TEXT(TRIM(N1165),"00000")="89147"), "West Valley",
  TRUE, "Other"
)</f>
        <v>Missing/Unknown</v>
      </c>
      <c r="P1165" t="s">
        <v>208</v>
      </c>
      <c r="Q1165" t="str">
        <f t="shared" si="74"/>
        <v>Outdoors/Public</v>
      </c>
      <c r="R1165" t="s">
        <v>5055</v>
      </c>
      <c r="S1165" t="s">
        <v>5119</v>
      </c>
      <c r="T1165" t="str" cm="1">
        <f t="array" ref="T1165">_xlfn.IFS(
  TEXT(TRIM(S1165),"00000")="NULL", "Missing/Unknown",
  OR(TEXT(TRIM(S1165),"00000")="89101", TEXT(TRIM(S1165),"00000")="89104", TEXT(TRIM(S1165),"00000")="89106", TEXT(TRIM(S1165),"00000")="89102", TEXT(TRIM(S1165),"00000")="89107", TEXT(TRIM(S1165),"00000")="89108"), "Urban Core",
  OR(TEXT(TRIM(S1165),"00000")="89110", TEXT(TRIM(S1165),"00000")="89115", TEXT(TRIM(S1165),"00000")="89121", TEXT(TRIM(S1165),"00000")="89122", TEXT(TRIM(S1165),"00000")="89142", TEXT(TRIM(S1165),"00000")="89156"), "East Valley",
  OR(TEXT(TRIM(S1165),"00000")="89030", TEXT(TRIM(S1165),"00000")="89031", TEXT(TRIM(S1165),"00000")="89032", TEXT(TRIM(S1165),"00000")="89086", TEXT(TRIM(S1165),"00000")="89084", TEXT(TRIM(S1165),"00000")="89081"), "North LV",
  OR(TEXT(TRIM(S1165),"00000")="89109", TEXT(TRIM(S1165),"00000")="89103", TEXT(TRIM(S1165),"00000")="89119", TEXT(TRIM(S1165),"00000")="89123", TEXT(TRIM(S1165),"00000")="89169", TEXT(TRIM(S1165),"00000")="89118"), "South/Strip",
  OR(TEXT(TRIM(S1165),"00000")="89074", TEXT(TRIM(S1165),"00000")="89014", TEXT(TRIM(S1165),"00000")="89015", TEXT(TRIM(S1165),"00000")="89011", TEXT(TRIM(S1165),"00000")="89012"), "Suburban SE",
  OR(TEXT(TRIM(S1165),"00000")="89117", TEXT(TRIM(S1165),"00000")="89128", TEXT(TRIM(S1165),"00000")="89135", TEXT(TRIM(S1165),"00000")="89144", TEXT(TRIM(S1165),"00000")="89145", TEXT(TRIM(S1165),"00000")="89147"), "West Valley",
  TRUE, "Other"
)</f>
        <v>Urban Core</v>
      </c>
      <c r="U1165" t="s">
        <v>4301</v>
      </c>
      <c r="V1165" t="str">
        <f t="shared" si="75"/>
        <v>Medical Facility</v>
      </c>
    </row>
    <row r="1166" spans="1:22">
      <c r="A1166" t="s">
        <v>1667</v>
      </c>
      <c r="B1166" t="s">
        <v>1668</v>
      </c>
      <c r="C1166" s="1">
        <v>44305</v>
      </c>
      <c r="D1166" s="4">
        <v>87.98</v>
      </c>
      <c r="E1166">
        <v>40</v>
      </c>
      <c r="F1166" t="str">
        <f t="shared" si="72"/>
        <v>40's</v>
      </c>
      <c r="G1166" t="str" cm="1">
        <f t="array" ref="G1166">_xlfn.IFS(
  F1166="10's", "Child (5–12)",
  OR(F1166="20's", F1166="30's"), "Young Adult (20–39)",
  OR(F1166="40's", F1166="50's"), "Adult (40–59)",
  OR(F1166="60's", F1166="70's", F1166="80's", F1166="90's"), "Senior (60+)",
  TRUE, "Unknown"
)</f>
        <v>Adult (40–59)</v>
      </c>
      <c r="H1166" t="s">
        <v>841</v>
      </c>
      <c r="I1166" t="s">
        <v>54</v>
      </c>
      <c r="J1166" t="str">
        <f t="shared" si="73"/>
        <v>Environmental Heat</v>
      </c>
      <c r="K1166" t="s">
        <v>172</v>
      </c>
      <c r="L1166" t="s">
        <v>1071</v>
      </c>
      <c r="M1166" t="s">
        <v>4455</v>
      </c>
      <c r="N1166" t="s">
        <v>5123</v>
      </c>
      <c r="O1166" t="str" cm="1">
        <f t="array" ref="O1166">_xlfn.IFS(
  TEXT(TRIM(N1166),"00000")="NULL", "Missing/Unknown",
  OR(TEXT(TRIM(N1166),"00000")="89101", TEXT(TRIM(N1166),"00000")="89104", TEXT(TRIM(N1166),"00000")="89106", TEXT(TRIM(N1166),"00000")="89102", TEXT(TRIM(N1166),"00000")="89107", TEXT(TRIM(N1166),"00000")="89108"), "Urban Core",
  OR(TEXT(TRIM(N1166),"00000")="89110", TEXT(TRIM(N1166),"00000")="89115", TEXT(TRIM(N1166),"00000")="89121", TEXT(TRIM(N1166),"00000")="89122", TEXT(TRIM(N1166),"00000")="89142", TEXT(TRIM(N1166),"00000")="89156"), "East Valley",
  OR(TEXT(TRIM(N1166),"00000")="89030", TEXT(TRIM(N1166),"00000")="89031", TEXT(TRIM(N1166),"00000")="89032", TEXT(TRIM(N1166),"00000")="89086", TEXT(TRIM(N1166),"00000")="89084", TEXT(TRIM(N1166),"00000")="89081"), "North LV",
  OR(TEXT(TRIM(N1166),"00000")="89109", TEXT(TRIM(N1166),"00000")="89103", TEXT(TRIM(N1166),"00000")="89119", TEXT(TRIM(N1166),"00000")="89123", TEXT(TRIM(N1166),"00000")="89169", TEXT(TRIM(N1166),"00000")="89118"), "South/Strip",
  OR(TEXT(TRIM(N1166),"00000")="89074", TEXT(TRIM(N1166),"00000")="89014", TEXT(TRIM(N1166),"00000")="89015", TEXT(TRIM(N1166),"00000")="89011", TEXT(TRIM(N1166),"00000")="89012"), "Suburban SE",
  OR(TEXT(TRIM(N1166),"00000")="89117", TEXT(TRIM(N1166),"00000")="89128", TEXT(TRIM(N1166),"00000")="89135", TEXT(TRIM(N1166),"00000")="89144", TEXT(TRIM(N1166),"00000")="89145", TEXT(TRIM(N1166),"00000")="89147"), "West Valley",
  TRUE, "Other"
)</f>
        <v>South/Strip</v>
      </c>
      <c r="P1166" t="s">
        <v>38</v>
      </c>
      <c r="Q1166" t="str">
        <f t="shared" si="74"/>
        <v>Home/Residence</v>
      </c>
      <c r="R1166" t="s">
        <v>4455</v>
      </c>
      <c r="S1166" t="s">
        <v>5123</v>
      </c>
      <c r="T1166" t="str" cm="1">
        <f t="array" ref="T1166">_xlfn.IFS(
  TEXT(TRIM(S1166),"00000")="NULL", "Missing/Unknown",
  OR(TEXT(TRIM(S1166),"00000")="89101", TEXT(TRIM(S1166),"00000")="89104", TEXT(TRIM(S1166),"00000")="89106", TEXT(TRIM(S1166),"00000")="89102", TEXT(TRIM(S1166),"00000")="89107", TEXT(TRIM(S1166),"00000")="89108"), "Urban Core",
  OR(TEXT(TRIM(S1166),"00000")="89110", TEXT(TRIM(S1166),"00000")="89115", TEXT(TRIM(S1166),"00000")="89121", TEXT(TRIM(S1166),"00000")="89122", TEXT(TRIM(S1166),"00000")="89142", TEXT(TRIM(S1166),"00000")="89156"), "East Valley",
  OR(TEXT(TRIM(S1166),"00000")="89030", TEXT(TRIM(S1166),"00000")="89031", TEXT(TRIM(S1166),"00000")="89032", TEXT(TRIM(S1166),"00000")="89086", TEXT(TRIM(S1166),"00000")="89084", TEXT(TRIM(S1166),"00000")="89081"), "North LV",
  OR(TEXT(TRIM(S1166),"00000")="89109", TEXT(TRIM(S1166),"00000")="89103", TEXT(TRIM(S1166),"00000")="89119", TEXT(TRIM(S1166),"00000")="89123", TEXT(TRIM(S1166),"00000")="89169", TEXT(TRIM(S1166),"00000")="89118"), "South/Strip",
  OR(TEXT(TRIM(S1166),"00000")="89074", TEXT(TRIM(S1166),"00000")="89014", TEXT(TRIM(S1166),"00000")="89015", TEXT(TRIM(S1166),"00000")="89011", TEXT(TRIM(S1166),"00000")="89012"), "Suburban SE",
  OR(TEXT(TRIM(S1166),"00000")="89117", TEXT(TRIM(S1166),"00000")="89128", TEXT(TRIM(S1166),"00000")="89135", TEXT(TRIM(S1166),"00000")="89144", TEXT(TRIM(S1166),"00000")="89145", TEXT(TRIM(S1166),"00000")="89147"), "West Valley",
  TRUE, "Other"
)</f>
        <v>South/Strip</v>
      </c>
      <c r="U1166" t="s">
        <v>38</v>
      </c>
      <c r="V1166" t="str">
        <f t="shared" si="75"/>
        <v>Home/Residence</v>
      </c>
    </row>
  </sheetData>
  <autoFilter ref="A1:V1166" xr:uid="{52ADCAB6-103B-4DA0-8D65-9C3521200B55}"/>
  <conditionalFormatting sqref="A1:A471">
    <cfRule type="duplicateValues" dxfId="1" priority="3"/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A6785-1558-49B2-9D11-0349FDE45C69}">
  <dimension ref="A1:P473"/>
  <sheetViews>
    <sheetView topLeftCell="N447" workbookViewId="0">
      <selection sqref="A1:P473"/>
    </sheetView>
  </sheetViews>
  <sheetFormatPr defaultRowHeight="13.8"/>
  <cols>
    <col min="1" max="1" width="10.69921875" bestFit="1" customWidth="1"/>
    <col min="2" max="2" width="25.09765625" bestFit="1" customWidth="1"/>
    <col min="3" max="3" width="12" bestFit="1" customWidth="1"/>
    <col min="4" max="4" width="4" bestFit="1" customWidth="1"/>
    <col min="5" max="5" width="28.69921875" bestFit="1" customWidth="1"/>
    <col min="6" max="6" width="83" bestFit="1" customWidth="1"/>
    <col min="7" max="7" width="72.296875" bestFit="1" customWidth="1"/>
    <col min="8" max="8" width="31.69921875" bestFit="1" customWidth="1"/>
    <col min="9" max="9" width="14.8984375" bestFit="1" customWidth="1"/>
    <col min="10" max="10" width="99.3984375" bestFit="1" customWidth="1"/>
    <col min="11" max="11" width="14.296875" bestFit="1" customWidth="1"/>
    <col min="12" max="12" width="16.3984375" bestFit="1" customWidth="1"/>
    <col min="13" max="13" width="88.69921875" bestFit="1" customWidth="1"/>
    <col min="14" max="14" width="25.3984375" bestFit="1" customWidth="1"/>
    <col min="15" max="15" width="77.19921875" bestFit="1" customWidth="1"/>
    <col min="16" max="16" width="25.3984375" bestFit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2401</v>
      </c>
      <c r="B2" t="s">
        <v>2402</v>
      </c>
      <c r="C2" s="1">
        <v>45516</v>
      </c>
      <c r="D2">
        <v>79</v>
      </c>
      <c r="E2" t="s">
        <v>841</v>
      </c>
      <c r="F2" t="s">
        <v>2403</v>
      </c>
      <c r="J2" t="s">
        <v>54</v>
      </c>
      <c r="K2" t="s">
        <v>21</v>
      </c>
      <c r="L2" t="s">
        <v>1071</v>
      </c>
      <c r="M2" t="s">
        <v>2404</v>
      </c>
      <c r="N2" t="s">
        <v>2405</v>
      </c>
      <c r="O2" t="s">
        <v>2404</v>
      </c>
      <c r="P2" t="s">
        <v>2405</v>
      </c>
    </row>
    <row r="3" spans="1:16">
      <c r="A3" t="s">
        <v>2406</v>
      </c>
      <c r="B3" t="s">
        <v>2407</v>
      </c>
      <c r="C3" s="1">
        <v>45484</v>
      </c>
      <c r="D3">
        <v>56</v>
      </c>
      <c r="E3" t="s">
        <v>778</v>
      </c>
      <c r="F3" t="s">
        <v>2408</v>
      </c>
      <c r="J3" t="s">
        <v>54</v>
      </c>
      <c r="K3" t="s">
        <v>21</v>
      </c>
      <c r="L3" t="s">
        <v>1071</v>
      </c>
      <c r="M3" t="s">
        <v>2409</v>
      </c>
      <c r="O3" t="s">
        <v>2409</v>
      </c>
    </row>
    <row r="4" spans="1:16">
      <c r="A4" t="s">
        <v>2410</v>
      </c>
      <c r="B4" t="s">
        <v>2411</v>
      </c>
      <c r="C4" s="1">
        <v>45484</v>
      </c>
      <c r="D4">
        <v>37</v>
      </c>
      <c r="E4" t="s">
        <v>27</v>
      </c>
      <c r="F4" t="s">
        <v>2408</v>
      </c>
      <c r="J4" t="s">
        <v>54</v>
      </c>
      <c r="K4" t="s">
        <v>21</v>
      </c>
      <c r="M4" t="s">
        <v>2412</v>
      </c>
      <c r="N4" t="s">
        <v>2405</v>
      </c>
      <c r="O4" t="s">
        <v>435</v>
      </c>
      <c r="P4" t="s">
        <v>2413</v>
      </c>
    </row>
    <row r="5" spans="1:16">
      <c r="A5" t="s">
        <v>2414</v>
      </c>
      <c r="B5" t="s">
        <v>2415</v>
      </c>
      <c r="C5" s="1">
        <v>45485</v>
      </c>
      <c r="D5">
        <v>48</v>
      </c>
      <c r="E5" t="s">
        <v>778</v>
      </c>
      <c r="F5" t="s">
        <v>2408</v>
      </c>
      <c r="J5" t="s">
        <v>54</v>
      </c>
      <c r="K5" t="s">
        <v>21</v>
      </c>
      <c r="M5" t="s">
        <v>1609</v>
      </c>
      <c r="N5" t="s">
        <v>65</v>
      </c>
      <c r="O5" t="s">
        <v>1609</v>
      </c>
    </row>
    <row r="6" spans="1:16">
      <c r="A6" t="s">
        <v>2416</v>
      </c>
      <c r="B6" t="s">
        <v>2417</v>
      </c>
      <c r="C6" s="1">
        <v>45514</v>
      </c>
      <c r="D6">
        <v>48</v>
      </c>
      <c r="E6" t="s">
        <v>841</v>
      </c>
      <c r="F6" t="s">
        <v>2418</v>
      </c>
      <c r="J6" t="s">
        <v>54</v>
      </c>
      <c r="K6" t="s">
        <v>21</v>
      </c>
      <c r="M6" t="s">
        <v>2419</v>
      </c>
      <c r="N6" t="s">
        <v>271</v>
      </c>
      <c r="O6" t="s">
        <v>2420</v>
      </c>
      <c r="P6" t="s">
        <v>271</v>
      </c>
    </row>
    <row r="7" spans="1:16">
      <c r="A7" t="s">
        <v>2421</v>
      </c>
      <c r="B7" t="s">
        <v>2422</v>
      </c>
      <c r="C7" s="1">
        <v>45491</v>
      </c>
      <c r="D7">
        <v>29</v>
      </c>
      <c r="E7" t="s">
        <v>27</v>
      </c>
      <c r="F7" t="s">
        <v>2423</v>
      </c>
      <c r="J7" t="s">
        <v>54</v>
      </c>
      <c r="K7" t="s">
        <v>21</v>
      </c>
      <c r="N7" t="s">
        <v>2405</v>
      </c>
      <c r="P7" t="s">
        <v>2405</v>
      </c>
    </row>
    <row r="8" spans="1:16">
      <c r="A8" t="s">
        <v>2424</v>
      </c>
      <c r="B8" t="s">
        <v>2425</v>
      </c>
      <c r="C8" s="1">
        <v>45493</v>
      </c>
      <c r="D8">
        <v>47</v>
      </c>
      <c r="E8" t="s">
        <v>841</v>
      </c>
      <c r="F8" t="s">
        <v>2426</v>
      </c>
      <c r="J8" t="s">
        <v>54</v>
      </c>
      <c r="K8" t="s">
        <v>21</v>
      </c>
      <c r="M8" t="s">
        <v>2427</v>
      </c>
      <c r="N8" t="s">
        <v>24</v>
      </c>
      <c r="O8" t="s">
        <v>127</v>
      </c>
    </row>
    <row r="9" spans="1:16">
      <c r="A9" t="s">
        <v>2428</v>
      </c>
      <c r="B9" t="s">
        <v>2429</v>
      </c>
      <c r="C9" s="1">
        <v>45465</v>
      </c>
      <c r="D9">
        <v>68</v>
      </c>
      <c r="E9" t="s">
        <v>841</v>
      </c>
      <c r="F9" t="s">
        <v>2430</v>
      </c>
      <c r="J9" t="s">
        <v>54</v>
      </c>
      <c r="K9" t="s">
        <v>21</v>
      </c>
      <c r="M9" t="s">
        <v>2431</v>
      </c>
      <c r="N9" t="s">
        <v>2432</v>
      </c>
      <c r="O9" t="s">
        <v>127</v>
      </c>
      <c r="P9" t="s">
        <v>2433</v>
      </c>
    </row>
    <row r="10" spans="1:16">
      <c r="A10" t="s">
        <v>2434</v>
      </c>
      <c r="B10" t="s">
        <v>2435</v>
      </c>
      <c r="C10" s="1">
        <v>45549</v>
      </c>
      <c r="D10">
        <v>69</v>
      </c>
      <c r="E10" t="s">
        <v>778</v>
      </c>
      <c r="F10" t="s">
        <v>47</v>
      </c>
      <c r="J10" t="s">
        <v>2436</v>
      </c>
      <c r="K10" t="s">
        <v>21</v>
      </c>
      <c r="N10" t="s">
        <v>2405</v>
      </c>
      <c r="P10" t="s">
        <v>2405</v>
      </c>
    </row>
    <row r="11" spans="1:16">
      <c r="A11" t="s">
        <v>2437</v>
      </c>
      <c r="B11" t="s">
        <v>2438</v>
      </c>
      <c r="C11" s="1">
        <v>45496</v>
      </c>
      <c r="D11">
        <v>36</v>
      </c>
      <c r="E11" t="s">
        <v>841</v>
      </c>
      <c r="F11" t="s">
        <v>2439</v>
      </c>
      <c r="J11" t="s">
        <v>1155</v>
      </c>
      <c r="K11" t="s">
        <v>21</v>
      </c>
      <c r="M11" t="s">
        <v>2440</v>
      </c>
      <c r="N11" t="s">
        <v>2441</v>
      </c>
      <c r="O11" t="s">
        <v>2440</v>
      </c>
      <c r="P11" t="s">
        <v>2441</v>
      </c>
    </row>
    <row r="12" spans="1:16">
      <c r="A12" t="s">
        <v>2442</v>
      </c>
      <c r="B12" t="s">
        <v>2443</v>
      </c>
      <c r="C12" s="1">
        <v>45571</v>
      </c>
      <c r="D12">
        <v>48</v>
      </c>
      <c r="E12" t="s">
        <v>841</v>
      </c>
      <c r="F12" t="s">
        <v>1715</v>
      </c>
      <c r="J12" t="s">
        <v>2444</v>
      </c>
      <c r="K12" t="s">
        <v>21</v>
      </c>
      <c r="N12" t="s">
        <v>2405</v>
      </c>
      <c r="P12" t="s">
        <v>2405</v>
      </c>
    </row>
    <row r="13" spans="1:16">
      <c r="A13" t="s">
        <v>2445</v>
      </c>
      <c r="B13" t="s">
        <v>2446</v>
      </c>
      <c r="C13" s="1">
        <v>45489</v>
      </c>
      <c r="D13">
        <v>40</v>
      </c>
      <c r="E13" t="s">
        <v>841</v>
      </c>
      <c r="F13" t="s">
        <v>2447</v>
      </c>
      <c r="J13" t="s">
        <v>54</v>
      </c>
      <c r="K13" t="s">
        <v>21</v>
      </c>
      <c r="M13" t="s">
        <v>2448</v>
      </c>
      <c r="N13" t="s">
        <v>2405</v>
      </c>
      <c r="O13" t="s">
        <v>2448</v>
      </c>
      <c r="P13" t="s">
        <v>2405</v>
      </c>
    </row>
    <row r="14" spans="1:16">
      <c r="A14" t="s">
        <v>2449</v>
      </c>
      <c r="B14" t="s">
        <v>2450</v>
      </c>
      <c r="C14" s="1">
        <v>45491</v>
      </c>
      <c r="D14">
        <v>65</v>
      </c>
      <c r="F14" t="s">
        <v>2447</v>
      </c>
      <c r="J14" t="s">
        <v>54</v>
      </c>
      <c r="K14" t="s">
        <v>21</v>
      </c>
      <c r="M14" t="s">
        <v>2451</v>
      </c>
      <c r="O14" t="s">
        <v>2451</v>
      </c>
    </row>
    <row r="15" spans="1:16">
      <c r="A15" t="s">
        <v>2452</v>
      </c>
      <c r="B15" t="s">
        <v>2453</v>
      </c>
      <c r="C15" s="1">
        <v>45489</v>
      </c>
      <c r="D15">
        <v>50</v>
      </c>
      <c r="E15" t="s">
        <v>106</v>
      </c>
      <c r="F15" t="s">
        <v>2454</v>
      </c>
      <c r="J15" t="s">
        <v>54</v>
      </c>
      <c r="K15" t="s">
        <v>21</v>
      </c>
      <c r="M15" t="s">
        <v>2455</v>
      </c>
      <c r="N15" t="s">
        <v>2405</v>
      </c>
      <c r="O15" t="s">
        <v>2455</v>
      </c>
      <c r="P15" t="s">
        <v>2405</v>
      </c>
    </row>
    <row r="16" spans="1:16">
      <c r="A16" t="s">
        <v>2456</v>
      </c>
      <c r="B16" t="s">
        <v>2457</v>
      </c>
      <c r="C16" s="1">
        <v>45454</v>
      </c>
      <c r="D16">
        <v>46</v>
      </c>
      <c r="E16" t="s">
        <v>841</v>
      </c>
      <c r="F16" t="s">
        <v>41</v>
      </c>
      <c r="J16" t="s">
        <v>54</v>
      </c>
      <c r="K16" t="s">
        <v>21</v>
      </c>
      <c r="M16" t="s">
        <v>1972</v>
      </c>
      <c r="N16" t="s">
        <v>2405</v>
      </c>
      <c r="O16" t="s">
        <v>1972</v>
      </c>
      <c r="P16" t="s">
        <v>2405</v>
      </c>
    </row>
    <row r="17" spans="1:16">
      <c r="A17" t="s">
        <v>2458</v>
      </c>
      <c r="B17" t="s">
        <v>2459</v>
      </c>
      <c r="C17" s="1">
        <v>45459</v>
      </c>
      <c r="D17">
        <v>35</v>
      </c>
      <c r="E17" t="s">
        <v>841</v>
      </c>
      <c r="F17" t="s">
        <v>41</v>
      </c>
      <c r="J17" t="s">
        <v>54</v>
      </c>
      <c r="K17" t="s">
        <v>21</v>
      </c>
      <c r="N17" t="s">
        <v>2405</v>
      </c>
      <c r="O17" t="s">
        <v>2460</v>
      </c>
      <c r="P17" t="s">
        <v>2413</v>
      </c>
    </row>
    <row r="18" spans="1:16">
      <c r="A18" t="s">
        <v>2461</v>
      </c>
      <c r="B18" t="s">
        <v>2462</v>
      </c>
      <c r="C18" s="1">
        <v>45494</v>
      </c>
      <c r="D18">
        <v>58</v>
      </c>
      <c r="E18" t="s">
        <v>841</v>
      </c>
      <c r="F18" t="s">
        <v>41</v>
      </c>
      <c r="J18" t="s">
        <v>2463</v>
      </c>
      <c r="K18" t="s">
        <v>21</v>
      </c>
      <c r="O18" t="s">
        <v>2464</v>
      </c>
      <c r="P18" t="s">
        <v>2465</v>
      </c>
    </row>
    <row r="19" spans="1:16">
      <c r="A19" t="s">
        <v>2466</v>
      </c>
      <c r="B19" t="s">
        <v>2467</v>
      </c>
      <c r="C19" s="1">
        <v>45500</v>
      </c>
      <c r="D19">
        <v>63</v>
      </c>
      <c r="E19" t="s">
        <v>778</v>
      </c>
      <c r="F19" t="s">
        <v>41</v>
      </c>
      <c r="J19" t="s">
        <v>2468</v>
      </c>
      <c r="K19" t="s">
        <v>21</v>
      </c>
      <c r="N19" t="s">
        <v>65</v>
      </c>
      <c r="P19" t="s">
        <v>65</v>
      </c>
    </row>
    <row r="20" spans="1:16">
      <c r="A20" t="s">
        <v>2469</v>
      </c>
      <c r="B20" t="s">
        <v>2470</v>
      </c>
      <c r="C20" s="1">
        <v>45479</v>
      </c>
      <c r="D20">
        <v>71</v>
      </c>
      <c r="E20" t="s">
        <v>841</v>
      </c>
      <c r="F20" t="s">
        <v>681</v>
      </c>
      <c r="J20" t="s">
        <v>54</v>
      </c>
      <c r="K20" t="s">
        <v>21</v>
      </c>
      <c r="M20" t="s">
        <v>2471</v>
      </c>
      <c r="N20" t="s">
        <v>132</v>
      </c>
      <c r="O20" t="s">
        <v>2471</v>
      </c>
      <c r="P20" t="s">
        <v>132</v>
      </c>
    </row>
    <row r="21" spans="1:16">
      <c r="A21" t="s">
        <v>2472</v>
      </c>
      <c r="B21" t="s">
        <v>2473</v>
      </c>
      <c r="C21" s="1">
        <v>45486</v>
      </c>
      <c r="D21">
        <v>30</v>
      </c>
      <c r="E21" t="s">
        <v>841</v>
      </c>
      <c r="F21" t="s">
        <v>2474</v>
      </c>
      <c r="J21" t="s">
        <v>163</v>
      </c>
      <c r="K21" t="s">
        <v>21</v>
      </c>
      <c r="M21" t="s">
        <v>2475</v>
      </c>
      <c r="N21" t="s">
        <v>2405</v>
      </c>
      <c r="O21" t="s">
        <v>2476</v>
      </c>
      <c r="P21" t="s">
        <v>2477</v>
      </c>
    </row>
    <row r="22" spans="1:16">
      <c r="A22" t="s">
        <v>2478</v>
      </c>
      <c r="B22" t="s">
        <v>2479</v>
      </c>
      <c r="C22" s="1">
        <v>45457</v>
      </c>
      <c r="D22">
        <v>25</v>
      </c>
      <c r="E22" t="s">
        <v>841</v>
      </c>
      <c r="F22" t="s">
        <v>34</v>
      </c>
      <c r="J22" t="s">
        <v>2480</v>
      </c>
      <c r="K22" t="s">
        <v>21</v>
      </c>
      <c r="L22" t="s">
        <v>1071</v>
      </c>
      <c r="M22" t="s">
        <v>2481</v>
      </c>
      <c r="N22" t="s">
        <v>2482</v>
      </c>
      <c r="O22" t="s">
        <v>2481</v>
      </c>
      <c r="P22" t="s">
        <v>2482</v>
      </c>
    </row>
    <row r="23" spans="1:16">
      <c r="A23" t="s">
        <v>2483</v>
      </c>
      <c r="B23" t="s">
        <v>2484</v>
      </c>
      <c r="C23" s="1">
        <v>45470</v>
      </c>
      <c r="D23">
        <v>69</v>
      </c>
      <c r="E23" t="s">
        <v>841</v>
      </c>
      <c r="F23" t="s">
        <v>34</v>
      </c>
      <c r="J23" t="s">
        <v>54</v>
      </c>
      <c r="K23" t="s">
        <v>21</v>
      </c>
      <c r="L23" t="s">
        <v>1071</v>
      </c>
      <c r="M23" t="s">
        <v>2485</v>
      </c>
      <c r="N23" t="s">
        <v>2486</v>
      </c>
      <c r="O23" t="s">
        <v>2485</v>
      </c>
      <c r="P23" t="s">
        <v>2486</v>
      </c>
    </row>
    <row r="24" spans="1:16">
      <c r="A24" t="s">
        <v>2487</v>
      </c>
      <c r="B24" t="s">
        <v>2488</v>
      </c>
      <c r="C24" s="1">
        <v>45471</v>
      </c>
      <c r="D24">
        <v>62</v>
      </c>
      <c r="E24" t="s">
        <v>841</v>
      </c>
      <c r="F24" t="s">
        <v>34</v>
      </c>
      <c r="J24" t="s">
        <v>1362</v>
      </c>
      <c r="K24" t="s">
        <v>21</v>
      </c>
      <c r="N24" t="s">
        <v>2405</v>
      </c>
      <c r="P24" t="s">
        <v>2405</v>
      </c>
    </row>
    <row r="25" spans="1:16">
      <c r="A25" t="s">
        <v>2489</v>
      </c>
      <c r="B25" t="s">
        <v>2490</v>
      </c>
      <c r="C25" s="1">
        <v>45472</v>
      </c>
      <c r="D25">
        <v>61</v>
      </c>
      <c r="E25" t="s">
        <v>778</v>
      </c>
      <c r="F25" t="s">
        <v>34</v>
      </c>
      <c r="J25" t="s">
        <v>2491</v>
      </c>
      <c r="K25" t="s">
        <v>21</v>
      </c>
      <c r="M25" t="s">
        <v>2492</v>
      </c>
      <c r="N25" t="s">
        <v>2493</v>
      </c>
      <c r="O25" t="s">
        <v>2492</v>
      </c>
    </row>
    <row r="26" spans="1:16">
      <c r="A26" t="s">
        <v>2494</v>
      </c>
      <c r="B26" t="s">
        <v>2495</v>
      </c>
      <c r="C26" s="1">
        <v>45485</v>
      </c>
      <c r="D26">
        <v>49</v>
      </c>
      <c r="E26" t="s">
        <v>778</v>
      </c>
      <c r="F26" t="s">
        <v>34</v>
      </c>
      <c r="J26" t="s">
        <v>54</v>
      </c>
      <c r="K26" t="s">
        <v>21</v>
      </c>
      <c r="M26" t="s">
        <v>2496</v>
      </c>
      <c r="N26" t="s">
        <v>2405</v>
      </c>
      <c r="O26" t="s">
        <v>2496</v>
      </c>
      <c r="P26" t="s">
        <v>2405</v>
      </c>
    </row>
    <row r="27" spans="1:16">
      <c r="A27" t="s">
        <v>2497</v>
      </c>
      <c r="B27" t="s">
        <v>2498</v>
      </c>
      <c r="C27" s="1">
        <v>45485</v>
      </c>
      <c r="D27">
        <v>61</v>
      </c>
      <c r="E27" t="s">
        <v>841</v>
      </c>
      <c r="F27" t="s">
        <v>34</v>
      </c>
      <c r="J27" t="s">
        <v>163</v>
      </c>
      <c r="K27" t="s">
        <v>21</v>
      </c>
      <c r="M27" t="s">
        <v>2499</v>
      </c>
      <c r="N27" t="s">
        <v>2405</v>
      </c>
      <c r="O27" t="s">
        <v>2460</v>
      </c>
      <c r="P27" t="s">
        <v>2433</v>
      </c>
    </row>
    <row r="28" spans="1:16">
      <c r="A28" t="s">
        <v>2500</v>
      </c>
      <c r="B28" t="s">
        <v>2501</v>
      </c>
      <c r="C28" s="1">
        <v>45486</v>
      </c>
      <c r="D28">
        <v>43</v>
      </c>
      <c r="E28" t="s">
        <v>841</v>
      </c>
      <c r="F28" t="s">
        <v>34</v>
      </c>
      <c r="J28" t="s">
        <v>54</v>
      </c>
      <c r="K28" t="s">
        <v>21</v>
      </c>
      <c r="M28" t="s">
        <v>2502</v>
      </c>
      <c r="N28" t="s">
        <v>2405</v>
      </c>
      <c r="O28" t="s">
        <v>2502</v>
      </c>
      <c r="P28" t="s">
        <v>2405</v>
      </c>
    </row>
    <row r="29" spans="1:16">
      <c r="A29" t="s">
        <v>2503</v>
      </c>
      <c r="B29" t="s">
        <v>2504</v>
      </c>
      <c r="C29" s="1">
        <v>45492</v>
      </c>
      <c r="D29">
        <v>41</v>
      </c>
      <c r="E29" t="s">
        <v>112</v>
      </c>
      <c r="F29" t="s">
        <v>34</v>
      </c>
      <c r="J29" t="s">
        <v>54</v>
      </c>
      <c r="K29" t="s">
        <v>21</v>
      </c>
      <c r="M29" t="s">
        <v>2505</v>
      </c>
      <c r="N29" t="s">
        <v>2405</v>
      </c>
      <c r="O29" t="s">
        <v>2505</v>
      </c>
      <c r="P29" t="s">
        <v>2405</v>
      </c>
    </row>
    <row r="30" spans="1:16">
      <c r="A30" t="s">
        <v>2506</v>
      </c>
      <c r="B30" t="s">
        <v>2507</v>
      </c>
      <c r="C30" s="1">
        <v>45493</v>
      </c>
      <c r="D30">
        <v>45</v>
      </c>
      <c r="E30" t="s">
        <v>778</v>
      </c>
      <c r="F30" t="s">
        <v>34</v>
      </c>
      <c r="J30" t="s">
        <v>54</v>
      </c>
      <c r="K30" t="s">
        <v>21</v>
      </c>
      <c r="N30" t="s">
        <v>2405</v>
      </c>
      <c r="O30" t="s">
        <v>2476</v>
      </c>
      <c r="P30" t="s">
        <v>2477</v>
      </c>
    </row>
    <row r="31" spans="1:16">
      <c r="A31" t="s">
        <v>2508</v>
      </c>
      <c r="B31" t="s">
        <v>2509</v>
      </c>
      <c r="C31" s="1">
        <v>45514</v>
      </c>
      <c r="D31">
        <v>42</v>
      </c>
      <c r="E31" t="s">
        <v>778</v>
      </c>
      <c r="F31" t="s">
        <v>34</v>
      </c>
      <c r="J31" t="s">
        <v>54</v>
      </c>
      <c r="K31" t="s">
        <v>21</v>
      </c>
      <c r="M31" t="s">
        <v>2510</v>
      </c>
      <c r="O31" t="s">
        <v>2510</v>
      </c>
    </row>
    <row r="32" spans="1:16">
      <c r="A32" t="s">
        <v>2511</v>
      </c>
      <c r="B32" t="s">
        <v>2512</v>
      </c>
      <c r="C32" s="1">
        <v>45516</v>
      </c>
      <c r="D32">
        <v>64</v>
      </c>
      <c r="E32" t="s">
        <v>841</v>
      </c>
      <c r="F32" t="s">
        <v>34</v>
      </c>
      <c r="J32" t="s">
        <v>54</v>
      </c>
      <c r="K32" t="s">
        <v>21</v>
      </c>
      <c r="M32" t="s">
        <v>2513</v>
      </c>
      <c r="N32" t="s">
        <v>2405</v>
      </c>
      <c r="O32" t="s">
        <v>2513</v>
      </c>
      <c r="P32" t="s">
        <v>2405</v>
      </c>
    </row>
    <row r="33" spans="1:16">
      <c r="A33" t="s">
        <v>2514</v>
      </c>
      <c r="B33" t="s">
        <v>2515</v>
      </c>
      <c r="C33" s="1">
        <v>45511</v>
      </c>
      <c r="D33">
        <v>53</v>
      </c>
      <c r="E33" t="s">
        <v>778</v>
      </c>
      <c r="F33" t="s">
        <v>2516</v>
      </c>
      <c r="J33" t="s">
        <v>54</v>
      </c>
      <c r="K33" t="s">
        <v>21</v>
      </c>
      <c r="N33" t="s">
        <v>2405</v>
      </c>
    </row>
    <row r="34" spans="1:16">
      <c r="A34" t="s">
        <v>2517</v>
      </c>
      <c r="B34" t="s">
        <v>2518</v>
      </c>
      <c r="C34" s="1">
        <v>45471</v>
      </c>
      <c r="D34">
        <v>49</v>
      </c>
      <c r="E34" t="s">
        <v>841</v>
      </c>
      <c r="F34" t="s">
        <v>223</v>
      </c>
      <c r="J34" t="s">
        <v>54</v>
      </c>
      <c r="K34" t="s">
        <v>21</v>
      </c>
      <c r="M34" t="s">
        <v>2519</v>
      </c>
      <c r="N34" t="s">
        <v>2482</v>
      </c>
      <c r="O34" t="s">
        <v>2519</v>
      </c>
      <c r="P34" t="s">
        <v>2482</v>
      </c>
    </row>
    <row r="35" spans="1:16">
      <c r="A35" t="s">
        <v>2520</v>
      </c>
      <c r="B35" t="s">
        <v>2521</v>
      </c>
      <c r="C35" s="1">
        <v>45479</v>
      </c>
      <c r="D35">
        <v>39</v>
      </c>
      <c r="E35" t="s">
        <v>841</v>
      </c>
      <c r="F35" t="s">
        <v>223</v>
      </c>
      <c r="J35" t="s">
        <v>54</v>
      </c>
      <c r="K35" t="s">
        <v>21</v>
      </c>
      <c r="O35" t="s">
        <v>89</v>
      </c>
      <c r="P35" t="s">
        <v>2413</v>
      </c>
    </row>
    <row r="36" spans="1:16">
      <c r="A36" t="s">
        <v>2522</v>
      </c>
      <c r="B36" t="s">
        <v>2523</v>
      </c>
      <c r="C36" s="1">
        <v>45510</v>
      </c>
      <c r="D36">
        <v>33</v>
      </c>
      <c r="E36" t="s">
        <v>841</v>
      </c>
      <c r="F36" t="s">
        <v>223</v>
      </c>
      <c r="J36" t="s">
        <v>54</v>
      </c>
      <c r="K36" t="s">
        <v>21</v>
      </c>
      <c r="M36" t="s">
        <v>2524</v>
      </c>
      <c r="N36" t="s">
        <v>2525</v>
      </c>
      <c r="O36" t="s">
        <v>2524</v>
      </c>
      <c r="P36" t="s">
        <v>2525</v>
      </c>
    </row>
    <row r="37" spans="1:16">
      <c r="A37" t="s">
        <v>2526</v>
      </c>
      <c r="B37" t="s">
        <v>2527</v>
      </c>
      <c r="C37" s="1">
        <v>45511</v>
      </c>
      <c r="D37">
        <v>36</v>
      </c>
      <c r="E37" t="s">
        <v>778</v>
      </c>
      <c r="F37" t="s">
        <v>223</v>
      </c>
      <c r="J37" t="s">
        <v>54</v>
      </c>
      <c r="K37" t="s">
        <v>21</v>
      </c>
      <c r="M37" t="s">
        <v>2528</v>
      </c>
      <c r="N37" t="s">
        <v>2405</v>
      </c>
      <c r="O37" t="s">
        <v>2528</v>
      </c>
      <c r="P37" t="s">
        <v>2405</v>
      </c>
    </row>
    <row r="38" spans="1:16">
      <c r="A38" t="s">
        <v>2529</v>
      </c>
      <c r="B38" t="s">
        <v>2530</v>
      </c>
      <c r="C38" s="1">
        <v>45512</v>
      </c>
      <c r="D38">
        <v>72</v>
      </c>
      <c r="E38" t="s">
        <v>778</v>
      </c>
      <c r="F38" t="s">
        <v>223</v>
      </c>
      <c r="J38" t="s">
        <v>54</v>
      </c>
      <c r="K38" t="s">
        <v>21</v>
      </c>
      <c r="M38" t="s">
        <v>2531</v>
      </c>
      <c r="N38" t="s">
        <v>2405</v>
      </c>
      <c r="O38" t="s">
        <v>2531</v>
      </c>
      <c r="P38" t="s">
        <v>2405</v>
      </c>
    </row>
    <row r="39" spans="1:16">
      <c r="A39" t="s">
        <v>2532</v>
      </c>
      <c r="B39" t="s">
        <v>2533</v>
      </c>
      <c r="C39" s="1">
        <v>45519</v>
      </c>
      <c r="D39">
        <v>48</v>
      </c>
      <c r="E39" t="s">
        <v>27</v>
      </c>
      <c r="F39" t="s">
        <v>223</v>
      </c>
      <c r="J39" t="s">
        <v>54</v>
      </c>
      <c r="K39" t="s">
        <v>21</v>
      </c>
      <c r="M39" t="s">
        <v>2534</v>
      </c>
      <c r="N39" t="s">
        <v>2405</v>
      </c>
      <c r="O39" t="s">
        <v>2534</v>
      </c>
      <c r="P39" t="s">
        <v>2405</v>
      </c>
    </row>
    <row r="40" spans="1:16">
      <c r="A40" t="s">
        <v>2535</v>
      </c>
      <c r="B40" t="s">
        <v>2536</v>
      </c>
      <c r="C40" s="1">
        <v>45520</v>
      </c>
      <c r="D40">
        <v>30</v>
      </c>
      <c r="E40" t="s">
        <v>27</v>
      </c>
      <c r="F40" t="s">
        <v>223</v>
      </c>
      <c r="J40" t="s">
        <v>54</v>
      </c>
      <c r="K40" t="s">
        <v>21</v>
      </c>
      <c r="N40" t="s">
        <v>2405</v>
      </c>
      <c r="O40" t="s">
        <v>89</v>
      </c>
      <c r="P40" t="s">
        <v>2537</v>
      </c>
    </row>
    <row r="41" spans="1:16">
      <c r="A41" t="s">
        <v>2538</v>
      </c>
      <c r="B41" t="s">
        <v>2539</v>
      </c>
      <c r="C41" s="1">
        <v>45532</v>
      </c>
      <c r="D41">
        <v>55</v>
      </c>
      <c r="E41" t="s">
        <v>841</v>
      </c>
      <c r="F41" t="s">
        <v>223</v>
      </c>
      <c r="J41" t="s">
        <v>54</v>
      </c>
      <c r="K41" t="s">
        <v>21</v>
      </c>
      <c r="L41" t="s">
        <v>1071</v>
      </c>
      <c r="M41" t="s">
        <v>2540</v>
      </c>
      <c r="N41" t="s">
        <v>70</v>
      </c>
      <c r="O41" t="s">
        <v>2540</v>
      </c>
      <c r="P41" t="s">
        <v>70</v>
      </c>
    </row>
    <row r="42" spans="1:16">
      <c r="A42" t="s">
        <v>2541</v>
      </c>
      <c r="B42" t="s">
        <v>2542</v>
      </c>
      <c r="C42" s="1">
        <v>45535</v>
      </c>
      <c r="D42">
        <v>59</v>
      </c>
      <c r="E42" t="s">
        <v>841</v>
      </c>
      <c r="F42" t="s">
        <v>223</v>
      </c>
      <c r="J42" t="s">
        <v>54</v>
      </c>
      <c r="K42" t="s">
        <v>21</v>
      </c>
      <c r="O42" t="s">
        <v>2543</v>
      </c>
      <c r="P42" t="s">
        <v>2544</v>
      </c>
    </row>
    <row r="43" spans="1:16">
      <c r="A43" t="s">
        <v>2545</v>
      </c>
      <c r="B43" t="s">
        <v>2546</v>
      </c>
      <c r="C43" s="1">
        <v>45535</v>
      </c>
      <c r="D43">
        <v>41</v>
      </c>
      <c r="E43" t="s">
        <v>2547</v>
      </c>
      <c r="F43" t="s">
        <v>223</v>
      </c>
      <c r="J43" t="s">
        <v>54</v>
      </c>
      <c r="K43" t="s">
        <v>21</v>
      </c>
      <c r="M43" t="s">
        <v>2548</v>
      </c>
      <c r="N43" t="s">
        <v>70</v>
      </c>
      <c r="O43" t="s">
        <v>2548</v>
      </c>
      <c r="P43" t="s">
        <v>70</v>
      </c>
    </row>
    <row r="44" spans="1:16">
      <c r="A44" t="s">
        <v>2549</v>
      </c>
      <c r="B44" t="s">
        <v>2550</v>
      </c>
      <c r="C44" s="1">
        <v>45511</v>
      </c>
      <c r="D44">
        <v>63</v>
      </c>
      <c r="E44" t="s">
        <v>841</v>
      </c>
      <c r="F44" t="s">
        <v>2551</v>
      </c>
      <c r="J44" t="s">
        <v>54</v>
      </c>
      <c r="K44" t="s">
        <v>21</v>
      </c>
    </row>
    <row r="45" spans="1:16">
      <c r="A45" t="s">
        <v>2552</v>
      </c>
      <c r="B45" t="s">
        <v>2553</v>
      </c>
      <c r="C45" s="1">
        <v>45478</v>
      </c>
      <c r="D45">
        <v>51</v>
      </c>
      <c r="E45" t="s">
        <v>27</v>
      </c>
      <c r="F45" t="s">
        <v>2554</v>
      </c>
      <c r="J45" t="s">
        <v>54</v>
      </c>
      <c r="K45" t="s">
        <v>21</v>
      </c>
      <c r="L45" t="s">
        <v>1071</v>
      </c>
      <c r="M45" t="s">
        <v>2555</v>
      </c>
      <c r="N45" t="s">
        <v>2556</v>
      </c>
      <c r="O45" t="s">
        <v>2555</v>
      </c>
    </row>
    <row r="46" spans="1:16">
      <c r="A46" t="s">
        <v>2557</v>
      </c>
      <c r="B46" t="s">
        <v>2558</v>
      </c>
      <c r="C46" s="1">
        <v>45511</v>
      </c>
      <c r="D46">
        <v>22</v>
      </c>
      <c r="E46" t="s">
        <v>841</v>
      </c>
      <c r="F46" t="s">
        <v>2554</v>
      </c>
      <c r="J46" t="s">
        <v>54</v>
      </c>
      <c r="K46" t="s">
        <v>21</v>
      </c>
      <c r="M46" t="s">
        <v>2559</v>
      </c>
      <c r="N46" t="s">
        <v>2405</v>
      </c>
      <c r="O46" t="s">
        <v>2559</v>
      </c>
      <c r="P46" t="s">
        <v>2405</v>
      </c>
    </row>
    <row r="47" spans="1:16">
      <c r="A47" t="s">
        <v>2560</v>
      </c>
      <c r="B47" t="s">
        <v>2561</v>
      </c>
      <c r="C47" s="1">
        <v>45479</v>
      </c>
      <c r="D47">
        <v>38</v>
      </c>
      <c r="E47" t="s">
        <v>841</v>
      </c>
      <c r="F47" t="s">
        <v>2562</v>
      </c>
      <c r="J47" t="s">
        <v>54</v>
      </c>
      <c r="K47" t="s">
        <v>21</v>
      </c>
      <c r="M47" t="s">
        <v>2563</v>
      </c>
      <c r="N47" t="s">
        <v>2564</v>
      </c>
      <c r="O47" t="s">
        <v>2563</v>
      </c>
      <c r="P47" t="s">
        <v>2564</v>
      </c>
    </row>
    <row r="48" spans="1:16">
      <c r="A48" t="s">
        <v>2565</v>
      </c>
      <c r="B48" t="s">
        <v>2566</v>
      </c>
      <c r="C48" s="1">
        <v>45482</v>
      </c>
      <c r="D48">
        <v>42</v>
      </c>
      <c r="E48" t="s">
        <v>106</v>
      </c>
      <c r="F48" t="s">
        <v>2567</v>
      </c>
      <c r="J48" t="s">
        <v>54</v>
      </c>
      <c r="K48" t="s">
        <v>21</v>
      </c>
      <c r="N48" t="s">
        <v>2405</v>
      </c>
      <c r="P48" t="s">
        <v>2405</v>
      </c>
    </row>
    <row r="49" spans="1:16">
      <c r="A49" t="s">
        <v>2568</v>
      </c>
      <c r="B49" t="s">
        <v>2569</v>
      </c>
      <c r="C49" s="1">
        <v>45522</v>
      </c>
      <c r="D49">
        <v>28</v>
      </c>
      <c r="F49" t="s">
        <v>2570</v>
      </c>
      <c r="G49" t="s">
        <v>2571</v>
      </c>
      <c r="K49" t="s">
        <v>21</v>
      </c>
      <c r="M49" t="s">
        <v>2572</v>
      </c>
      <c r="N49" t="s">
        <v>2405</v>
      </c>
      <c r="O49" t="s">
        <v>2460</v>
      </c>
      <c r="P49" t="s">
        <v>2573</v>
      </c>
    </row>
    <row r="50" spans="1:16">
      <c r="A50" t="s">
        <v>2574</v>
      </c>
      <c r="B50" t="s">
        <v>2575</v>
      </c>
      <c r="C50" s="1">
        <v>45564</v>
      </c>
      <c r="D50">
        <v>26</v>
      </c>
      <c r="E50" t="s">
        <v>27</v>
      </c>
      <c r="F50" t="s">
        <v>2570</v>
      </c>
      <c r="G50" t="s">
        <v>2576</v>
      </c>
      <c r="K50" t="s">
        <v>21</v>
      </c>
      <c r="N50" t="s">
        <v>2577</v>
      </c>
      <c r="O50" t="s">
        <v>2578</v>
      </c>
      <c r="P50" t="s">
        <v>2579</v>
      </c>
    </row>
    <row r="51" spans="1:16">
      <c r="A51" t="s">
        <v>2580</v>
      </c>
      <c r="B51" t="s">
        <v>2581</v>
      </c>
      <c r="C51" s="1">
        <v>45485</v>
      </c>
      <c r="D51">
        <v>87</v>
      </c>
      <c r="E51" t="s">
        <v>778</v>
      </c>
      <c r="F51" t="s">
        <v>2582</v>
      </c>
      <c r="J51" t="s">
        <v>2583</v>
      </c>
      <c r="K51" t="s">
        <v>21</v>
      </c>
      <c r="N51" t="s">
        <v>1073</v>
      </c>
      <c r="P51" t="s">
        <v>1073</v>
      </c>
    </row>
    <row r="52" spans="1:16">
      <c r="A52" t="s">
        <v>2584</v>
      </c>
      <c r="B52" t="s">
        <v>2585</v>
      </c>
      <c r="C52" s="1">
        <v>45516</v>
      </c>
      <c r="D52">
        <v>72</v>
      </c>
      <c r="E52" t="s">
        <v>841</v>
      </c>
      <c r="F52" t="s">
        <v>1582</v>
      </c>
      <c r="J52" t="s">
        <v>35</v>
      </c>
      <c r="K52" t="s">
        <v>21</v>
      </c>
      <c r="L52" t="s">
        <v>1071</v>
      </c>
      <c r="M52" t="s">
        <v>2586</v>
      </c>
      <c r="O52" t="s">
        <v>2586</v>
      </c>
    </row>
    <row r="53" spans="1:16">
      <c r="A53" t="s">
        <v>2587</v>
      </c>
      <c r="B53" t="s">
        <v>2588</v>
      </c>
      <c r="C53" s="1">
        <v>45547</v>
      </c>
      <c r="D53">
        <v>75</v>
      </c>
      <c r="E53" t="s">
        <v>841</v>
      </c>
      <c r="F53" t="s">
        <v>1582</v>
      </c>
      <c r="J53" t="s">
        <v>2589</v>
      </c>
      <c r="K53" t="s">
        <v>21</v>
      </c>
      <c r="L53" t="s">
        <v>1071</v>
      </c>
      <c r="M53" t="s">
        <v>2590</v>
      </c>
      <c r="N53" t="s">
        <v>1073</v>
      </c>
      <c r="O53" t="s">
        <v>2590</v>
      </c>
      <c r="P53" t="s">
        <v>1073</v>
      </c>
    </row>
    <row r="54" spans="1:16">
      <c r="A54" t="s">
        <v>2591</v>
      </c>
      <c r="B54" t="s">
        <v>2592</v>
      </c>
      <c r="C54" s="1">
        <v>45493</v>
      </c>
      <c r="D54">
        <v>57</v>
      </c>
      <c r="E54" t="s">
        <v>841</v>
      </c>
      <c r="F54" t="s">
        <v>1547</v>
      </c>
      <c r="J54" t="s">
        <v>54</v>
      </c>
      <c r="K54" t="s">
        <v>21</v>
      </c>
      <c r="L54" t="s">
        <v>1071</v>
      </c>
      <c r="O54" t="s">
        <v>127</v>
      </c>
    </row>
    <row r="55" spans="1:16">
      <c r="A55" t="s">
        <v>2593</v>
      </c>
      <c r="B55" t="s">
        <v>2594</v>
      </c>
      <c r="C55" s="1">
        <v>45447</v>
      </c>
      <c r="D55">
        <v>65</v>
      </c>
      <c r="E55" t="s">
        <v>841</v>
      </c>
      <c r="F55" t="s">
        <v>63</v>
      </c>
      <c r="J55" t="s">
        <v>54</v>
      </c>
      <c r="K55" t="s">
        <v>21</v>
      </c>
      <c r="L55" t="s">
        <v>1071</v>
      </c>
      <c r="M55" t="s">
        <v>2595</v>
      </c>
      <c r="N55" t="s">
        <v>1073</v>
      </c>
      <c r="O55" t="s">
        <v>2595</v>
      </c>
      <c r="P55" t="s">
        <v>1073</v>
      </c>
    </row>
    <row r="56" spans="1:16">
      <c r="A56" t="s">
        <v>2596</v>
      </c>
      <c r="B56" t="s">
        <v>2597</v>
      </c>
      <c r="C56" s="1">
        <v>45448</v>
      </c>
      <c r="D56">
        <v>63</v>
      </c>
      <c r="E56" t="s">
        <v>841</v>
      </c>
      <c r="F56" t="s">
        <v>63</v>
      </c>
      <c r="J56" t="s">
        <v>2598</v>
      </c>
      <c r="K56" t="s">
        <v>21</v>
      </c>
      <c r="L56" t="s">
        <v>1071</v>
      </c>
      <c r="M56" t="s">
        <v>2599</v>
      </c>
      <c r="N56" t="s">
        <v>1073</v>
      </c>
      <c r="O56" t="s">
        <v>2599</v>
      </c>
      <c r="P56" t="s">
        <v>1073</v>
      </c>
    </row>
    <row r="57" spans="1:16">
      <c r="A57" t="s">
        <v>2600</v>
      </c>
      <c r="B57" t="s">
        <v>2601</v>
      </c>
      <c r="C57" s="1">
        <v>45451</v>
      </c>
      <c r="D57">
        <v>76</v>
      </c>
      <c r="E57" t="s">
        <v>841</v>
      </c>
      <c r="F57" t="s">
        <v>63</v>
      </c>
      <c r="J57" t="s">
        <v>2602</v>
      </c>
      <c r="K57" t="s">
        <v>21</v>
      </c>
      <c r="L57" t="s">
        <v>1071</v>
      </c>
      <c r="M57" t="s">
        <v>2603</v>
      </c>
      <c r="N57" t="s">
        <v>1073</v>
      </c>
      <c r="O57" t="s">
        <v>2603</v>
      </c>
      <c r="P57" t="s">
        <v>1073</v>
      </c>
    </row>
    <row r="58" spans="1:16">
      <c r="A58" t="s">
        <v>2604</v>
      </c>
      <c r="B58" t="s">
        <v>2605</v>
      </c>
      <c r="C58" s="1">
        <v>45465</v>
      </c>
      <c r="D58">
        <v>77</v>
      </c>
      <c r="E58" t="s">
        <v>841</v>
      </c>
      <c r="F58" t="s">
        <v>63</v>
      </c>
      <c r="J58" t="s">
        <v>2606</v>
      </c>
      <c r="K58" t="s">
        <v>21</v>
      </c>
      <c r="M58" t="s">
        <v>1797</v>
      </c>
      <c r="N58" t="s">
        <v>65</v>
      </c>
      <c r="O58" t="s">
        <v>1797</v>
      </c>
      <c r="P58" t="s">
        <v>65</v>
      </c>
    </row>
    <row r="59" spans="1:16">
      <c r="A59" t="s">
        <v>2607</v>
      </c>
      <c r="B59" t="s">
        <v>2608</v>
      </c>
      <c r="C59" s="1">
        <v>45472</v>
      </c>
      <c r="D59">
        <v>61</v>
      </c>
      <c r="E59" t="s">
        <v>27</v>
      </c>
      <c r="F59" t="s">
        <v>63</v>
      </c>
      <c r="J59" t="s">
        <v>54</v>
      </c>
      <c r="K59" t="s">
        <v>21</v>
      </c>
      <c r="N59" t="s">
        <v>2405</v>
      </c>
      <c r="P59" t="s">
        <v>2405</v>
      </c>
    </row>
    <row r="60" spans="1:16">
      <c r="A60" t="s">
        <v>2609</v>
      </c>
      <c r="B60" t="s">
        <v>2610</v>
      </c>
      <c r="C60" s="1">
        <v>45473</v>
      </c>
      <c r="D60">
        <v>38</v>
      </c>
      <c r="E60" t="s">
        <v>841</v>
      </c>
      <c r="F60" t="s">
        <v>63</v>
      </c>
      <c r="J60" t="s">
        <v>54</v>
      </c>
      <c r="K60" t="s">
        <v>21</v>
      </c>
      <c r="L60" t="s">
        <v>1071</v>
      </c>
      <c r="M60" t="s">
        <v>2611</v>
      </c>
      <c r="N60" t="s">
        <v>2405</v>
      </c>
      <c r="O60" t="s">
        <v>2611</v>
      </c>
      <c r="P60" t="s">
        <v>2405</v>
      </c>
    </row>
    <row r="61" spans="1:16">
      <c r="A61" t="s">
        <v>2612</v>
      </c>
      <c r="B61" t="s">
        <v>2613</v>
      </c>
      <c r="C61" s="1">
        <v>45486</v>
      </c>
      <c r="D61">
        <v>72</v>
      </c>
      <c r="E61" t="s">
        <v>841</v>
      </c>
      <c r="F61" t="s">
        <v>63</v>
      </c>
      <c r="J61" t="s">
        <v>1696</v>
      </c>
      <c r="K61" t="s">
        <v>21</v>
      </c>
      <c r="N61" t="s">
        <v>2614</v>
      </c>
      <c r="O61" t="s">
        <v>947</v>
      </c>
      <c r="P61" t="s">
        <v>2465</v>
      </c>
    </row>
    <row r="62" spans="1:16">
      <c r="A62" t="s">
        <v>2615</v>
      </c>
      <c r="B62" t="s">
        <v>2616</v>
      </c>
      <c r="C62" s="1">
        <v>45487</v>
      </c>
      <c r="D62">
        <v>85</v>
      </c>
      <c r="E62" t="s">
        <v>778</v>
      </c>
      <c r="F62" t="s">
        <v>63</v>
      </c>
      <c r="J62" t="s">
        <v>448</v>
      </c>
      <c r="K62" t="s">
        <v>21</v>
      </c>
      <c r="L62" t="s">
        <v>1071</v>
      </c>
      <c r="M62" t="s">
        <v>2617</v>
      </c>
      <c r="O62" t="s">
        <v>2617</v>
      </c>
    </row>
    <row r="63" spans="1:16">
      <c r="A63" t="s">
        <v>2618</v>
      </c>
      <c r="B63" t="s">
        <v>2619</v>
      </c>
      <c r="C63" s="1">
        <v>45488</v>
      </c>
      <c r="D63">
        <v>62</v>
      </c>
      <c r="E63" t="s">
        <v>841</v>
      </c>
      <c r="F63" t="s">
        <v>63</v>
      </c>
      <c r="J63" t="s">
        <v>2620</v>
      </c>
      <c r="K63" t="s">
        <v>21</v>
      </c>
      <c r="L63" t="s">
        <v>2621</v>
      </c>
      <c r="M63" t="s">
        <v>2622</v>
      </c>
      <c r="N63" t="s">
        <v>2405</v>
      </c>
      <c r="O63" t="s">
        <v>2622</v>
      </c>
      <c r="P63" t="s">
        <v>2405</v>
      </c>
    </row>
    <row r="64" spans="1:16">
      <c r="A64" t="s">
        <v>2623</v>
      </c>
      <c r="B64" t="s">
        <v>2624</v>
      </c>
      <c r="C64" s="1">
        <v>45496</v>
      </c>
      <c r="D64">
        <v>83</v>
      </c>
      <c r="E64" t="s">
        <v>841</v>
      </c>
      <c r="F64" t="s">
        <v>63</v>
      </c>
      <c r="J64" t="s">
        <v>54</v>
      </c>
      <c r="K64" t="s">
        <v>21</v>
      </c>
      <c r="L64" t="s">
        <v>1071</v>
      </c>
      <c r="M64" t="s">
        <v>2625</v>
      </c>
      <c r="N64" t="s">
        <v>1073</v>
      </c>
      <c r="O64" t="s">
        <v>2625</v>
      </c>
      <c r="P64" t="s">
        <v>1073</v>
      </c>
    </row>
    <row r="65" spans="1:16">
      <c r="A65" t="s">
        <v>2626</v>
      </c>
      <c r="B65" t="s">
        <v>2627</v>
      </c>
      <c r="C65" s="1">
        <v>45499</v>
      </c>
      <c r="F65" t="s">
        <v>63</v>
      </c>
      <c r="J65" t="s">
        <v>54</v>
      </c>
      <c r="K65" t="s">
        <v>21</v>
      </c>
      <c r="M65" t="s">
        <v>2628</v>
      </c>
      <c r="O65" t="s">
        <v>2628</v>
      </c>
    </row>
    <row r="66" spans="1:16">
      <c r="A66" t="s">
        <v>2629</v>
      </c>
      <c r="B66" t="s">
        <v>2630</v>
      </c>
      <c r="C66" s="1">
        <v>45510</v>
      </c>
      <c r="D66">
        <v>64</v>
      </c>
      <c r="E66" t="s">
        <v>841</v>
      </c>
      <c r="F66" t="s">
        <v>63</v>
      </c>
      <c r="J66" t="s">
        <v>54</v>
      </c>
      <c r="K66" t="s">
        <v>21</v>
      </c>
      <c r="L66" t="s">
        <v>1071</v>
      </c>
      <c r="M66" t="s">
        <v>2631</v>
      </c>
      <c r="O66" t="s">
        <v>2631</v>
      </c>
    </row>
    <row r="67" spans="1:16">
      <c r="A67" t="s">
        <v>2632</v>
      </c>
      <c r="B67" t="s">
        <v>2633</v>
      </c>
      <c r="C67" s="1">
        <v>45510</v>
      </c>
      <c r="D67">
        <v>80</v>
      </c>
      <c r="E67" t="s">
        <v>841</v>
      </c>
      <c r="F67" t="s">
        <v>63</v>
      </c>
      <c r="J67" t="s">
        <v>54</v>
      </c>
      <c r="K67" t="s">
        <v>21</v>
      </c>
      <c r="L67" t="s">
        <v>1071</v>
      </c>
      <c r="M67" t="s">
        <v>2634</v>
      </c>
      <c r="O67" t="s">
        <v>2634</v>
      </c>
    </row>
    <row r="68" spans="1:16">
      <c r="A68" t="s">
        <v>2635</v>
      </c>
      <c r="B68" t="s">
        <v>2636</v>
      </c>
      <c r="C68" s="1">
        <v>45511</v>
      </c>
      <c r="D68">
        <v>82</v>
      </c>
      <c r="E68" t="s">
        <v>841</v>
      </c>
      <c r="F68" t="s">
        <v>63</v>
      </c>
      <c r="J68" t="s">
        <v>54</v>
      </c>
      <c r="K68" t="s">
        <v>21</v>
      </c>
      <c r="L68" t="s">
        <v>1071</v>
      </c>
      <c r="O68" t="s">
        <v>2637</v>
      </c>
    </row>
    <row r="69" spans="1:16">
      <c r="A69" t="s">
        <v>2638</v>
      </c>
      <c r="B69" t="s">
        <v>2639</v>
      </c>
      <c r="C69" s="1">
        <v>45511</v>
      </c>
      <c r="D69">
        <v>75</v>
      </c>
      <c r="E69" t="s">
        <v>778</v>
      </c>
      <c r="F69" t="s">
        <v>63</v>
      </c>
      <c r="J69" t="s">
        <v>1696</v>
      </c>
      <c r="K69" t="s">
        <v>21</v>
      </c>
      <c r="L69" t="s">
        <v>1071</v>
      </c>
      <c r="O69" t="s">
        <v>2640</v>
      </c>
    </row>
    <row r="70" spans="1:16">
      <c r="A70" t="s">
        <v>2641</v>
      </c>
      <c r="B70" t="s">
        <v>2642</v>
      </c>
      <c r="C70" s="1">
        <v>45512</v>
      </c>
      <c r="D70">
        <v>88</v>
      </c>
      <c r="E70" t="s">
        <v>841</v>
      </c>
      <c r="F70" t="s">
        <v>63</v>
      </c>
      <c r="J70" t="s">
        <v>54</v>
      </c>
      <c r="K70" t="s">
        <v>21</v>
      </c>
    </row>
    <row r="71" spans="1:16">
      <c r="A71" t="s">
        <v>2643</v>
      </c>
      <c r="B71" t="s">
        <v>2644</v>
      </c>
      <c r="C71" s="1">
        <v>45513</v>
      </c>
      <c r="D71">
        <v>79</v>
      </c>
      <c r="E71" t="s">
        <v>841</v>
      </c>
      <c r="F71" t="s">
        <v>63</v>
      </c>
      <c r="J71" t="s">
        <v>54</v>
      </c>
      <c r="K71" t="s">
        <v>21</v>
      </c>
      <c r="N71" t="s">
        <v>1073</v>
      </c>
      <c r="P71" t="s">
        <v>1073</v>
      </c>
    </row>
    <row r="72" spans="1:16">
      <c r="A72" t="s">
        <v>2645</v>
      </c>
      <c r="B72" t="s">
        <v>2646</v>
      </c>
      <c r="C72" s="1">
        <v>45513</v>
      </c>
      <c r="D72">
        <v>53</v>
      </c>
      <c r="E72" t="s">
        <v>112</v>
      </c>
      <c r="F72" t="s">
        <v>63</v>
      </c>
      <c r="J72" t="s">
        <v>54</v>
      </c>
      <c r="K72" t="s">
        <v>21</v>
      </c>
      <c r="L72" t="s">
        <v>1071</v>
      </c>
      <c r="M72" t="s">
        <v>2647</v>
      </c>
      <c r="O72" t="s">
        <v>2647</v>
      </c>
    </row>
    <row r="73" spans="1:16">
      <c r="A73" t="s">
        <v>2648</v>
      </c>
      <c r="B73" t="s">
        <v>2649</v>
      </c>
      <c r="C73" s="1">
        <v>45514</v>
      </c>
      <c r="D73">
        <v>77</v>
      </c>
      <c r="E73" t="s">
        <v>250</v>
      </c>
      <c r="F73" t="s">
        <v>63</v>
      </c>
      <c r="J73" t="s">
        <v>2650</v>
      </c>
      <c r="K73" t="s">
        <v>21</v>
      </c>
      <c r="M73" t="s">
        <v>2651</v>
      </c>
      <c r="O73" t="s">
        <v>2651</v>
      </c>
    </row>
    <row r="74" spans="1:16">
      <c r="A74" t="s">
        <v>2652</v>
      </c>
      <c r="B74" t="s">
        <v>2653</v>
      </c>
      <c r="C74" s="1">
        <v>45532</v>
      </c>
      <c r="D74">
        <v>67</v>
      </c>
      <c r="E74" t="s">
        <v>112</v>
      </c>
      <c r="F74" t="s">
        <v>63</v>
      </c>
      <c r="J74" t="s">
        <v>54</v>
      </c>
      <c r="K74" t="s">
        <v>21</v>
      </c>
      <c r="N74" t="s">
        <v>1073</v>
      </c>
      <c r="P74" t="s">
        <v>1073</v>
      </c>
    </row>
    <row r="75" spans="1:16">
      <c r="A75" t="s">
        <v>2654</v>
      </c>
      <c r="B75" t="s">
        <v>2655</v>
      </c>
      <c r="C75" s="1">
        <v>45540</v>
      </c>
      <c r="D75">
        <v>56</v>
      </c>
      <c r="E75" t="s">
        <v>778</v>
      </c>
      <c r="F75" t="s">
        <v>63</v>
      </c>
      <c r="J75" t="s">
        <v>54</v>
      </c>
      <c r="K75" t="s">
        <v>21</v>
      </c>
      <c r="L75" t="s">
        <v>1071</v>
      </c>
      <c r="M75" t="s">
        <v>2656</v>
      </c>
      <c r="N75" t="s">
        <v>1073</v>
      </c>
      <c r="O75" t="s">
        <v>2656</v>
      </c>
      <c r="P75" t="s">
        <v>1073</v>
      </c>
    </row>
    <row r="76" spans="1:16">
      <c r="A76" t="s">
        <v>2657</v>
      </c>
      <c r="B76" t="s">
        <v>2658</v>
      </c>
      <c r="C76" s="1">
        <v>45512</v>
      </c>
      <c r="D76">
        <v>80</v>
      </c>
      <c r="E76" t="s">
        <v>841</v>
      </c>
      <c r="F76" t="s">
        <v>166</v>
      </c>
      <c r="J76" t="s">
        <v>54</v>
      </c>
      <c r="K76" t="s">
        <v>21</v>
      </c>
      <c r="L76" t="s">
        <v>1071</v>
      </c>
      <c r="M76" t="s">
        <v>2659</v>
      </c>
      <c r="O76" t="s">
        <v>2659</v>
      </c>
    </row>
    <row r="77" spans="1:16">
      <c r="A77" t="s">
        <v>2660</v>
      </c>
      <c r="B77" t="s">
        <v>2661</v>
      </c>
      <c r="C77" s="1">
        <v>45455</v>
      </c>
      <c r="D77">
        <v>52</v>
      </c>
      <c r="E77" t="s">
        <v>841</v>
      </c>
      <c r="F77" t="s">
        <v>1233</v>
      </c>
      <c r="J77" t="s">
        <v>1450</v>
      </c>
      <c r="K77" t="s">
        <v>21</v>
      </c>
      <c r="N77" t="s">
        <v>2405</v>
      </c>
      <c r="P77" t="s">
        <v>2405</v>
      </c>
    </row>
    <row r="78" spans="1:16">
      <c r="A78" t="s">
        <v>2662</v>
      </c>
      <c r="B78" t="s">
        <v>2663</v>
      </c>
      <c r="C78" s="1">
        <v>45540</v>
      </c>
      <c r="D78">
        <v>67</v>
      </c>
      <c r="E78" t="s">
        <v>841</v>
      </c>
      <c r="F78" t="s">
        <v>1233</v>
      </c>
      <c r="J78" t="s">
        <v>54</v>
      </c>
      <c r="K78" t="s">
        <v>21</v>
      </c>
      <c r="L78" t="s">
        <v>2664</v>
      </c>
      <c r="M78" t="s">
        <v>2665</v>
      </c>
      <c r="N78" t="s">
        <v>2666</v>
      </c>
      <c r="O78" t="s">
        <v>2665</v>
      </c>
      <c r="P78" t="s">
        <v>2666</v>
      </c>
    </row>
    <row r="79" spans="1:16">
      <c r="A79" t="s">
        <v>2667</v>
      </c>
      <c r="B79" t="s">
        <v>2668</v>
      </c>
      <c r="C79" s="1">
        <v>45484</v>
      </c>
      <c r="D79">
        <v>61</v>
      </c>
      <c r="E79" t="s">
        <v>841</v>
      </c>
      <c r="F79" t="s">
        <v>2669</v>
      </c>
      <c r="J79" t="s">
        <v>2670</v>
      </c>
      <c r="K79" t="s">
        <v>21</v>
      </c>
      <c r="N79" t="s">
        <v>2405</v>
      </c>
      <c r="P79" t="s">
        <v>2405</v>
      </c>
    </row>
    <row r="80" spans="1:16">
      <c r="A80" t="s">
        <v>2671</v>
      </c>
      <c r="B80" t="s">
        <v>2672</v>
      </c>
      <c r="C80" s="1">
        <v>45492</v>
      </c>
      <c r="D80">
        <v>77</v>
      </c>
      <c r="E80" t="s">
        <v>778</v>
      </c>
      <c r="F80" t="s">
        <v>2673</v>
      </c>
      <c r="G80" t="s">
        <v>28</v>
      </c>
      <c r="J80" t="s">
        <v>2674</v>
      </c>
      <c r="K80" t="s">
        <v>21</v>
      </c>
      <c r="N80" t="s">
        <v>70</v>
      </c>
      <c r="P80" t="s">
        <v>70</v>
      </c>
    </row>
    <row r="81" spans="1:16">
      <c r="A81" t="s">
        <v>2675</v>
      </c>
      <c r="B81" t="s">
        <v>2676</v>
      </c>
      <c r="C81" s="1">
        <v>45545</v>
      </c>
      <c r="D81">
        <v>83</v>
      </c>
      <c r="E81" t="s">
        <v>841</v>
      </c>
      <c r="F81" t="s">
        <v>2677</v>
      </c>
      <c r="J81" t="s">
        <v>2678</v>
      </c>
      <c r="K81" t="s">
        <v>21</v>
      </c>
      <c r="L81" t="s">
        <v>1071</v>
      </c>
      <c r="M81" t="s">
        <v>2679</v>
      </c>
      <c r="N81" t="s">
        <v>70</v>
      </c>
      <c r="O81" t="s">
        <v>2679</v>
      </c>
      <c r="P81" t="s">
        <v>70</v>
      </c>
    </row>
    <row r="82" spans="1:16">
      <c r="A82" t="s">
        <v>2680</v>
      </c>
      <c r="B82" t="s">
        <v>2681</v>
      </c>
      <c r="C82" s="1">
        <v>45531</v>
      </c>
      <c r="D82">
        <v>85</v>
      </c>
      <c r="E82" t="s">
        <v>841</v>
      </c>
      <c r="F82" t="s">
        <v>2682</v>
      </c>
      <c r="G82" t="s">
        <v>2683</v>
      </c>
      <c r="K82" t="s">
        <v>232</v>
      </c>
      <c r="O82" t="s">
        <v>2684</v>
      </c>
      <c r="P82" t="s">
        <v>2579</v>
      </c>
    </row>
    <row r="83" spans="1:16">
      <c r="A83" t="s">
        <v>2685</v>
      </c>
      <c r="B83" t="s">
        <v>2686</v>
      </c>
      <c r="C83" s="1">
        <v>45439</v>
      </c>
      <c r="D83">
        <v>70</v>
      </c>
      <c r="E83" t="s">
        <v>841</v>
      </c>
      <c r="F83" t="s">
        <v>2687</v>
      </c>
      <c r="J83" t="s">
        <v>2688</v>
      </c>
      <c r="K83" t="s">
        <v>21</v>
      </c>
      <c r="L83" t="s">
        <v>1071</v>
      </c>
      <c r="M83" t="s">
        <v>2689</v>
      </c>
      <c r="N83" t="s">
        <v>2690</v>
      </c>
      <c r="O83" t="s">
        <v>116</v>
      </c>
      <c r="P83" t="s">
        <v>44</v>
      </c>
    </row>
    <row r="84" spans="1:16">
      <c r="A84" t="s">
        <v>2691</v>
      </c>
      <c r="B84" t="s">
        <v>2692</v>
      </c>
      <c r="C84" s="1">
        <v>45508</v>
      </c>
      <c r="D84">
        <v>57</v>
      </c>
      <c r="E84" t="s">
        <v>27</v>
      </c>
      <c r="F84" t="s">
        <v>2215</v>
      </c>
      <c r="J84" t="s">
        <v>54</v>
      </c>
      <c r="K84" t="s">
        <v>21</v>
      </c>
      <c r="L84" t="s">
        <v>2693</v>
      </c>
      <c r="M84" t="s">
        <v>2694</v>
      </c>
      <c r="N84" t="s">
        <v>2405</v>
      </c>
      <c r="O84" t="s">
        <v>2695</v>
      </c>
      <c r="P84" t="s">
        <v>2696</v>
      </c>
    </row>
    <row r="85" spans="1:16">
      <c r="A85" t="s">
        <v>2697</v>
      </c>
      <c r="B85" t="s">
        <v>2698</v>
      </c>
      <c r="C85" s="1">
        <v>45443</v>
      </c>
      <c r="D85">
        <v>65</v>
      </c>
      <c r="E85" t="s">
        <v>778</v>
      </c>
      <c r="F85" t="s">
        <v>2699</v>
      </c>
      <c r="J85" t="s">
        <v>54</v>
      </c>
      <c r="K85" t="s">
        <v>21</v>
      </c>
      <c r="M85" t="s">
        <v>2700</v>
      </c>
      <c r="N85" t="s">
        <v>2405</v>
      </c>
      <c r="O85" t="s">
        <v>127</v>
      </c>
      <c r="P85" t="s">
        <v>2537</v>
      </c>
    </row>
    <row r="86" spans="1:16">
      <c r="A86" t="s">
        <v>2701</v>
      </c>
      <c r="B86" t="s">
        <v>2702</v>
      </c>
      <c r="C86" s="1">
        <v>45470</v>
      </c>
      <c r="D86">
        <v>54</v>
      </c>
      <c r="E86" t="s">
        <v>27</v>
      </c>
      <c r="F86" t="s">
        <v>2699</v>
      </c>
      <c r="J86" t="s">
        <v>54</v>
      </c>
      <c r="K86" t="s">
        <v>21</v>
      </c>
      <c r="L86" t="s">
        <v>1071</v>
      </c>
      <c r="M86" t="s">
        <v>2703</v>
      </c>
      <c r="O86" t="s">
        <v>2703</v>
      </c>
    </row>
    <row r="87" spans="1:16">
      <c r="A87" t="s">
        <v>2704</v>
      </c>
      <c r="B87" t="s">
        <v>2705</v>
      </c>
      <c r="C87" s="1">
        <v>45489</v>
      </c>
      <c r="D87">
        <v>69</v>
      </c>
      <c r="E87" t="s">
        <v>112</v>
      </c>
      <c r="F87" t="s">
        <v>2699</v>
      </c>
      <c r="J87" t="s">
        <v>54</v>
      </c>
      <c r="K87" t="s">
        <v>21</v>
      </c>
      <c r="L87" t="s">
        <v>1071</v>
      </c>
      <c r="M87" t="s">
        <v>2706</v>
      </c>
      <c r="N87" t="s">
        <v>1073</v>
      </c>
      <c r="O87" t="s">
        <v>2706</v>
      </c>
      <c r="P87" t="s">
        <v>1073</v>
      </c>
    </row>
    <row r="88" spans="1:16">
      <c r="A88" t="s">
        <v>2707</v>
      </c>
      <c r="B88" t="s">
        <v>2708</v>
      </c>
      <c r="C88" s="1">
        <v>45517</v>
      </c>
      <c r="D88">
        <v>66</v>
      </c>
      <c r="E88" t="s">
        <v>841</v>
      </c>
      <c r="F88" t="s">
        <v>2699</v>
      </c>
      <c r="J88" t="s">
        <v>2606</v>
      </c>
      <c r="K88" t="s">
        <v>21</v>
      </c>
      <c r="L88" t="s">
        <v>1071</v>
      </c>
      <c r="M88" t="s">
        <v>2709</v>
      </c>
      <c r="N88" t="s">
        <v>1073</v>
      </c>
      <c r="O88" t="s">
        <v>2709</v>
      </c>
      <c r="P88" t="s">
        <v>1073</v>
      </c>
    </row>
    <row r="89" spans="1:16">
      <c r="A89" t="s">
        <v>2710</v>
      </c>
      <c r="B89" t="s">
        <v>2711</v>
      </c>
      <c r="C89" s="1">
        <v>45459</v>
      </c>
      <c r="D89">
        <v>48</v>
      </c>
      <c r="E89" t="s">
        <v>841</v>
      </c>
      <c r="F89" t="s">
        <v>199</v>
      </c>
      <c r="J89" t="s">
        <v>2712</v>
      </c>
      <c r="K89" t="s">
        <v>21</v>
      </c>
      <c r="L89" t="s">
        <v>1071</v>
      </c>
      <c r="M89" t="s">
        <v>2713</v>
      </c>
      <c r="N89" t="s">
        <v>1073</v>
      </c>
      <c r="O89" t="s">
        <v>2713</v>
      </c>
      <c r="P89" t="s">
        <v>1073</v>
      </c>
    </row>
    <row r="90" spans="1:16">
      <c r="A90" t="s">
        <v>2714</v>
      </c>
      <c r="B90" t="s">
        <v>2715</v>
      </c>
      <c r="C90" s="1">
        <v>45512</v>
      </c>
      <c r="D90">
        <v>53</v>
      </c>
      <c r="E90" t="s">
        <v>27</v>
      </c>
      <c r="F90" t="s">
        <v>2716</v>
      </c>
      <c r="J90" t="s">
        <v>2717</v>
      </c>
      <c r="K90" t="s">
        <v>21</v>
      </c>
    </row>
    <row r="91" spans="1:16">
      <c r="A91" t="s">
        <v>2718</v>
      </c>
      <c r="B91" t="s">
        <v>2719</v>
      </c>
      <c r="C91" s="1">
        <v>45465</v>
      </c>
      <c r="D91">
        <v>76</v>
      </c>
      <c r="E91" t="s">
        <v>841</v>
      </c>
      <c r="F91" t="s">
        <v>181</v>
      </c>
      <c r="J91" t="s">
        <v>1362</v>
      </c>
      <c r="K91" t="s">
        <v>21</v>
      </c>
      <c r="M91" t="s">
        <v>1797</v>
      </c>
      <c r="N91" t="s">
        <v>65</v>
      </c>
      <c r="O91" t="s">
        <v>1797</v>
      </c>
      <c r="P91" t="s">
        <v>65</v>
      </c>
    </row>
    <row r="92" spans="1:16">
      <c r="A92" t="s">
        <v>2720</v>
      </c>
      <c r="B92" t="s">
        <v>2721</v>
      </c>
      <c r="C92" s="1">
        <v>45469</v>
      </c>
      <c r="D92">
        <v>60</v>
      </c>
      <c r="E92" t="s">
        <v>841</v>
      </c>
      <c r="F92" t="s">
        <v>181</v>
      </c>
      <c r="J92" t="s">
        <v>54</v>
      </c>
      <c r="K92" t="s">
        <v>21</v>
      </c>
      <c r="L92" t="s">
        <v>1071</v>
      </c>
      <c r="O92" t="s">
        <v>2722</v>
      </c>
      <c r="P92" t="s">
        <v>1073</v>
      </c>
    </row>
    <row r="93" spans="1:16">
      <c r="A93" t="s">
        <v>2723</v>
      </c>
      <c r="B93" t="s">
        <v>2724</v>
      </c>
      <c r="C93" s="1">
        <v>45489</v>
      </c>
      <c r="D93">
        <v>79</v>
      </c>
      <c r="E93" t="s">
        <v>841</v>
      </c>
      <c r="F93" t="s">
        <v>181</v>
      </c>
      <c r="J93" t="s">
        <v>54</v>
      </c>
      <c r="K93" t="s">
        <v>21</v>
      </c>
      <c r="L93" t="s">
        <v>1071</v>
      </c>
      <c r="O93" t="s">
        <v>2725</v>
      </c>
      <c r="P93" t="s">
        <v>1073</v>
      </c>
    </row>
    <row r="94" spans="1:16">
      <c r="A94" t="s">
        <v>2726</v>
      </c>
      <c r="B94" t="s">
        <v>2727</v>
      </c>
      <c r="C94" s="1">
        <v>45507</v>
      </c>
      <c r="D94">
        <v>71</v>
      </c>
      <c r="E94" t="s">
        <v>841</v>
      </c>
      <c r="F94" t="s">
        <v>181</v>
      </c>
      <c r="J94" t="s">
        <v>54</v>
      </c>
      <c r="K94" t="s">
        <v>21</v>
      </c>
      <c r="L94" t="s">
        <v>1071</v>
      </c>
      <c r="M94" t="s">
        <v>2728</v>
      </c>
      <c r="O94" t="s">
        <v>2728</v>
      </c>
    </row>
    <row r="95" spans="1:16">
      <c r="A95" t="s">
        <v>2729</v>
      </c>
      <c r="B95" t="s">
        <v>2730</v>
      </c>
      <c r="C95" s="1">
        <v>45450</v>
      </c>
      <c r="D95">
        <v>42</v>
      </c>
      <c r="E95" t="s">
        <v>841</v>
      </c>
      <c r="F95" t="s">
        <v>2731</v>
      </c>
      <c r="J95" t="s">
        <v>54</v>
      </c>
      <c r="K95" t="s">
        <v>21</v>
      </c>
      <c r="L95" t="s">
        <v>2732</v>
      </c>
      <c r="M95" t="s">
        <v>2733</v>
      </c>
      <c r="N95" t="s">
        <v>2405</v>
      </c>
      <c r="O95" t="s">
        <v>2733</v>
      </c>
      <c r="P95" t="s">
        <v>2405</v>
      </c>
    </row>
    <row r="96" spans="1:16">
      <c r="A96" t="s">
        <v>2734</v>
      </c>
      <c r="B96" t="s">
        <v>2735</v>
      </c>
      <c r="C96" s="1">
        <v>45486</v>
      </c>
      <c r="D96">
        <v>43</v>
      </c>
      <c r="E96" t="s">
        <v>778</v>
      </c>
      <c r="F96" t="s">
        <v>2736</v>
      </c>
      <c r="J96" t="s">
        <v>35</v>
      </c>
      <c r="K96" t="s">
        <v>21</v>
      </c>
      <c r="N96" t="s">
        <v>65</v>
      </c>
      <c r="P96" t="s">
        <v>65</v>
      </c>
    </row>
    <row r="97" spans="1:16">
      <c r="A97" t="s">
        <v>2737</v>
      </c>
      <c r="B97" t="s">
        <v>2738</v>
      </c>
      <c r="C97" s="1">
        <v>45469</v>
      </c>
      <c r="D97">
        <v>62</v>
      </c>
      <c r="E97" t="s">
        <v>778</v>
      </c>
      <c r="F97" t="s">
        <v>2739</v>
      </c>
      <c r="J97" t="s">
        <v>2740</v>
      </c>
      <c r="K97" t="s">
        <v>21</v>
      </c>
      <c r="M97" t="s">
        <v>2741</v>
      </c>
      <c r="N97" t="s">
        <v>2405</v>
      </c>
      <c r="O97" t="s">
        <v>2741</v>
      </c>
      <c r="P97" t="s">
        <v>2405</v>
      </c>
    </row>
    <row r="98" spans="1:16">
      <c r="A98" t="s">
        <v>2742</v>
      </c>
      <c r="B98" t="s">
        <v>2743</v>
      </c>
      <c r="C98" s="1">
        <v>45470</v>
      </c>
      <c r="D98">
        <v>66</v>
      </c>
      <c r="E98" t="s">
        <v>778</v>
      </c>
      <c r="F98" t="s">
        <v>2744</v>
      </c>
      <c r="J98" t="s">
        <v>54</v>
      </c>
      <c r="K98" t="s">
        <v>21</v>
      </c>
      <c r="L98" t="s">
        <v>1071</v>
      </c>
      <c r="M98" t="s">
        <v>2745</v>
      </c>
      <c r="N98" t="s">
        <v>65</v>
      </c>
      <c r="O98" t="s">
        <v>2745</v>
      </c>
      <c r="P98" t="s">
        <v>65</v>
      </c>
    </row>
    <row r="99" spans="1:16">
      <c r="A99" t="s">
        <v>2746</v>
      </c>
      <c r="B99" t="s">
        <v>2747</v>
      </c>
      <c r="C99" s="1">
        <v>45541</v>
      </c>
      <c r="D99">
        <v>65</v>
      </c>
      <c r="E99" t="s">
        <v>778</v>
      </c>
      <c r="F99" t="s">
        <v>2748</v>
      </c>
      <c r="J99" t="s">
        <v>54</v>
      </c>
      <c r="K99" t="s">
        <v>21</v>
      </c>
      <c r="M99" t="s">
        <v>2749</v>
      </c>
      <c r="N99" t="s">
        <v>2405</v>
      </c>
      <c r="O99" t="s">
        <v>2749</v>
      </c>
      <c r="P99" t="s">
        <v>2405</v>
      </c>
    </row>
    <row r="100" spans="1:16">
      <c r="A100" t="s">
        <v>2750</v>
      </c>
      <c r="B100" t="s">
        <v>2751</v>
      </c>
      <c r="C100" s="1">
        <v>45473</v>
      </c>
      <c r="D100">
        <v>44</v>
      </c>
      <c r="E100" t="s">
        <v>841</v>
      </c>
      <c r="F100" t="s">
        <v>988</v>
      </c>
      <c r="J100" t="s">
        <v>54</v>
      </c>
      <c r="K100" t="s">
        <v>21</v>
      </c>
      <c r="M100" t="s">
        <v>2752</v>
      </c>
      <c r="N100" t="s">
        <v>2405</v>
      </c>
      <c r="O100" t="s">
        <v>2752</v>
      </c>
      <c r="P100" t="s">
        <v>2405</v>
      </c>
    </row>
    <row r="101" spans="1:16">
      <c r="A101" t="s">
        <v>2753</v>
      </c>
      <c r="B101" t="s">
        <v>2754</v>
      </c>
      <c r="C101" s="1">
        <v>45458</v>
      </c>
      <c r="D101">
        <v>38</v>
      </c>
      <c r="E101" t="s">
        <v>841</v>
      </c>
      <c r="F101" t="s">
        <v>2755</v>
      </c>
      <c r="J101" t="s">
        <v>54</v>
      </c>
      <c r="K101" t="s">
        <v>21</v>
      </c>
      <c r="M101" t="s">
        <v>2756</v>
      </c>
      <c r="N101" t="s">
        <v>2405</v>
      </c>
      <c r="O101" t="s">
        <v>2756</v>
      </c>
      <c r="P101" t="s">
        <v>2405</v>
      </c>
    </row>
    <row r="102" spans="1:16">
      <c r="A102" t="s">
        <v>2757</v>
      </c>
      <c r="B102" t="s">
        <v>2758</v>
      </c>
      <c r="C102" s="1">
        <v>45510</v>
      </c>
      <c r="D102">
        <v>24</v>
      </c>
      <c r="F102" t="s">
        <v>2755</v>
      </c>
      <c r="J102" t="s">
        <v>54</v>
      </c>
      <c r="K102" t="s">
        <v>21</v>
      </c>
      <c r="M102" t="s">
        <v>2759</v>
      </c>
      <c r="N102" t="s">
        <v>70</v>
      </c>
      <c r="O102" t="s">
        <v>2759</v>
      </c>
      <c r="P102" t="s">
        <v>70</v>
      </c>
    </row>
    <row r="103" spans="1:16">
      <c r="A103" t="s">
        <v>2760</v>
      </c>
      <c r="B103" t="s">
        <v>2761</v>
      </c>
      <c r="C103" s="1">
        <v>45404</v>
      </c>
      <c r="D103">
        <v>46</v>
      </c>
      <c r="E103" t="s">
        <v>778</v>
      </c>
      <c r="F103" t="s">
        <v>2762</v>
      </c>
      <c r="J103" t="s">
        <v>35</v>
      </c>
      <c r="K103" t="s">
        <v>21</v>
      </c>
      <c r="M103" t="s">
        <v>2763</v>
      </c>
      <c r="N103" t="s">
        <v>2764</v>
      </c>
      <c r="O103" t="s">
        <v>2763</v>
      </c>
      <c r="P103" t="s">
        <v>2764</v>
      </c>
    </row>
    <row r="104" spans="1:16">
      <c r="A104" t="s">
        <v>2765</v>
      </c>
      <c r="B104" t="s">
        <v>2766</v>
      </c>
      <c r="C104" s="1">
        <v>45538</v>
      </c>
      <c r="D104">
        <v>46</v>
      </c>
      <c r="E104" t="s">
        <v>27</v>
      </c>
      <c r="F104" t="s">
        <v>2767</v>
      </c>
      <c r="J104" t="s">
        <v>54</v>
      </c>
      <c r="K104" t="s">
        <v>21</v>
      </c>
      <c r="M104" t="s">
        <v>2768</v>
      </c>
      <c r="N104" t="s">
        <v>2405</v>
      </c>
      <c r="O104" t="s">
        <v>2684</v>
      </c>
      <c r="P104" t="s">
        <v>2537</v>
      </c>
    </row>
    <row r="105" spans="1:16">
      <c r="A105" t="s">
        <v>2769</v>
      </c>
      <c r="B105" t="s">
        <v>2770</v>
      </c>
      <c r="C105" s="1">
        <v>45470</v>
      </c>
      <c r="D105">
        <v>41</v>
      </c>
      <c r="E105" t="s">
        <v>778</v>
      </c>
      <c r="F105" t="s">
        <v>2771</v>
      </c>
      <c r="J105" t="s">
        <v>54</v>
      </c>
      <c r="K105" t="s">
        <v>21</v>
      </c>
    </row>
    <row r="106" spans="1:16">
      <c r="A106" t="s">
        <v>2772</v>
      </c>
      <c r="B106" t="s">
        <v>2773</v>
      </c>
      <c r="C106" s="1">
        <v>45445</v>
      </c>
      <c r="D106">
        <v>32</v>
      </c>
      <c r="E106" t="s">
        <v>841</v>
      </c>
      <c r="F106" t="s">
        <v>2774</v>
      </c>
      <c r="J106" t="s">
        <v>35</v>
      </c>
      <c r="K106" t="s">
        <v>21</v>
      </c>
      <c r="M106" t="s">
        <v>2775</v>
      </c>
      <c r="N106" t="s">
        <v>2405</v>
      </c>
      <c r="O106" t="s">
        <v>2775</v>
      </c>
      <c r="P106" t="s">
        <v>2405</v>
      </c>
    </row>
    <row r="107" spans="1:16">
      <c r="A107" t="s">
        <v>2776</v>
      </c>
      <c r="B107" t="s">
        <v>2777</v>
      </c>
      <c r="C107" s="1">
        <v>45469</v>
      </c>
      <c r="D107">
        <v>46</v>
      </c>
      <c r="E107" t="s">
        <v>841</v>
      </c>
      <c r="F107" t="s">
        <v>2778</v>
      </c>
      <c r="J107" t="s">
        <v>54</v>
      </c>
      <c r="K107" t="s">
        <v>21</v>
      </c>
      <c r="M107" t="s">
        <v>2779</v>
      </c>
      <c r="N107" t="s">
        <v>271</v>
      </c>
      <c r="O107" t="s">
        <v>2779</v>
      </c>
      <c r="P107" t="s">
        <v>271</v>
      </c>
    </row>
    <row r="108" spans="1:16">
      <c r="A108" t="s">
        <v>2780</v>
      </c>
      <c r="B108" t="s">
        <v>2781</v>
      </c>
      <c r="C108" s="1">
        <v>45508</v>
      </c>
      <c r="D108">
        <v>40</v>
      </c>
      <c r="E108" t="s">
        <v>778</v>
      </c>
      <c r="F108" t="s">
        <v>2782</v>
      </c>
      <c r="J108" t="s">
        <v>54</v>
      </c>
      <c r="K108" t="s">
        <v>21</v>
      </c>
      <c r="M108" t="s">
        <v>2783</v>
      </c>
      <c r="N108" t="s">
        <v>2405</v>
      </c>
      <c r="O108" t="s">
        <v>2783</v>
      </c>
      <c r="P108" t="s">
        <v>2405</v>
      </c>
    </row>
    <row r="109" spans="1:16">
      <c r="A109" t="s">
        <v>2784</v>
      </c>
      <c r="B109" t="s">
        <v>2785</v>
      </c>
      <c r="C109" s="1">
        <v>45508</v>
      </c>
      <c r="D109">
        <v>53</v>
      </c>
      <c r="E109" t="s">
        <v>841</v>
      </c>
      <c r="F109" t="s">
        <v>2786</v>
      </c>
      <c r="J109" t="s">
        <v>54</v>
      </c>
      <c r="K109" t="s">
        <v>21</v>
      </c>
      <c r="M109" t="s">
        <v>2787</v>
      </c>
      <c r="N109" t="s">
        <v>2405</v>
      </c>
      <c r="O109" t="s">
        <v>2787</v>
      </c>
      <c r="P109" t="s">
        <v>2405</v>
      </c>
    </row>
    <row r="110" spans="1:16">
      <c r="A110" t="s">
        <v>2788</v>
      </c>
      <c r="B110" t="s">
        <v>2789</v>
      </c>
      <c r="C110" s="1">
        <v>45499</v>
      </c>
      <c r="D110">
        <v>51</v>
      </c>
      <c r="E110" t="s">
        <v>841</v>
      </c>
      <c r="F110" t="s">
        <v>582</v>
      </c>
      <c r="J110" t="s">
        <v>54</v>
      </c>
      <c r="K110" t="s">
        <v>21</v>
      </c>
      <c r="M110" t="s">
        <v>2790</v>
      </c>
      <c r="O110" t="s">
        <v>2790</v>
      </c>
    </row>
    <row r="111" spans="1:16">
      <c r="A111" t="s">
        <v>2791</v>
      </c>
      <c r="B111" t="s">
        <v>2792</v>
      </c>
      <c r="C111" s="1">
        <v>45500</v>
      </c>
      <c r="D111">
        <v>49</v>
      </c>
      <c r="E111" t="s">
        <v>778</v>
      </c>
      <c r="F111" t="s">
        <v>2793</v>
      </c>
      <c r="J111" t="s">
        <v>2794</v>
      </c>
      <c r="K111" t="s">
        <v>21</v>
      </c>
      <c r="M111" t="s">
        <v>2578</v>
      </c>
      <c r="N111" t="s">
        <v>2696</v>
      </c>
      <c r="O111" t="s">
        <v>2578</v>
      </c>
      <c r="P111" t="s">
        <v>2696</v>
      </c>
    </row>
    <row r="112" spans="1:16">
      <c r="A112" t="s">
        <v>2795</v>
      </c>
      <c r="B112" t="s">
        <v>2796</v>
      </c>
      <c r="C112" s="1">
        <v>45611</v>
      </c>
      <c r="D112">
        <v>71</v>
      </c>
      <c r="E112" t="s">
        <v>112</v>
      </c>
      <c r="F112" t="s">
        <v>2797</v>
      </c>
      <c r="J112" t="s">
        <v>2798</v>
      </c>
      <c r="K112" t="s">
        <v>21</v>
      </c>
      <c r="O112" t="s">
        <v>2695</v>
      </c>
      <c r="P112" t="s">
        <v>2433</v>
      </c>
    </row>
    <row r="113" spans="1:16">
      <c r="A113" t="s">
        <v>2799</v>
      </c>
      <c r="B113" t="s">
        <v>2800</v>
      </c>
      <c r="C113" s="1">
        <v>45535</v>
      </c>
      <c r="D113">
        <v>71</v>
      </c>
      <c r="E113" t="s">
        <v>841</v>
      </c>
      <c r="F113" t="s">
        <v>2801</v>
      </c>
      <c r="G113" t="s">
        <v>2802</v>
      </c>
      <c r="H113" t="s">
        <v>2803</v>
      </c>
      <c r="J113" t="s">
        <v>2804</v>
      </c>
      <c r="K113" t="s">
        <v>21</v>
      </c>
      <c r="L113" t="s">
        <v>1071</v>
      </c>
      <c r="M113" t="s">
        <v>2805</v>
      </c>
      <c r="N113" t="s">
        <v>2806</v>
      </c>
      <c r="O113" t="s">
        <v>2805</v>
      </c>
      <c r="P113" t="s">
        <v>2806</v>
      </c>
    </row>
    <row r="114" spans="1:16">
      <c r="A114" t="s">
        <v>2807</v>
      </c>
      <c r="B114" t="s">
        <v>2808</v>
      </c>
      <c r="C114" s="1">
        <v>45469</v>
      </c>
      <c r="D114">
        <v>51</v>
      </c>
      <c r="E114" t="s">
        <v>841</v>
      </c>
      <c r="F114" t="s">
        <v>73</v>
      </c>
      <c r="G114" t="s">
        <v>299</v>
      </c>
      <c r="H114" t="s">
        <v>434</v>
      </c>
      <c r="J114" t="s">
        <v>54</v>
      </c>
      <c r="K114" t="s">
        <v>21</v>
      </c>
      <c r="L114" t="s">
        <v>1071</v>
      </c>
      <c r="O114" t="s">
        <v>2809</v>
      </c>
    </row>
    <row r="115" spans="1:16">
      <c r="A115" t="s">
        <v>2810</v>
      </c>
      <c r="B115" t="s">
        <v>2811</v>
      </c>
      <c r="C115" s="1">
        <v>45489</v>
      </c>
      <c r="D115">
        <v>74</v>
      </c>
      <c r="E115" t="s">
        <v>778</v>
      </c>
      <c r="F115" t="s">
        <v>461</v>
      </c>
      <c r="G115" t="s">
        <v>54</v>
      </c>
      <c r="K115" t="s">
        <v>21</v>
      </c>
      <c r="L115" t="s">
        <v>1071</v>
      </c>
      <c r="M115" t="s">
        <v>2812</v>
      </c>
      <c r="O115" t="s">
        <v>2812</v>
      </c>
    </row>
    <row r="116" spans="1:16">
      <c r="A116" t="s">
        <v>2813</v>
      </c>
      <c r="B116" t="s">
        <v>2814</v>
      </c>
      <c r="C116" s="1">
        <v>45509</v>
      </c>
      <c r="D116">
        <v>70</v>
      </c>
      <c r="E116" t="s">
        <v>112</v>
      </c>
      <c r="F116" t="s">
        <v>2815</v>
      </c>
      <c r="J116" t="s">
        <v>2816</v>
      </c>
      <c r="K116" t="s">
        <v>21</v>
      </c>
      <c r="L116" t="s">
        <v>1071</v>
      </c>
      <c r="M116" t="s">
        <v>2817</v>
      </c>
      <c r="N116" t="s">
        <v>1073</v>
      </c>
      <c r="O116" t="s">
        <v>2817</v>
      </c>
      <c r="P116" t="s">
        <v>1073</v>
      </c>
    </row>
    <row r="117" spans="1:16">
      <c r="A117" t="s">
        <v>2818</v>
      </c>
      <c r="B117" t="s">
        <v>2819</v>
      </c>
      <c r="C117" s="1">
        <v>45531</v>
      </c>
      <c r="D117">
        <v>68</v>
      </c>
      <c r="E117" t="s">
        <v>841</v>
      </c>
      <c r="F117" t="s">
        <v>2815</v>
      </c>
      <c r="J117" t="s">
        <v>2820</v>
      </c>
      <c r="K117" t="s">
        <v>21</v>
      </c>
      <c r="L117" t="s">
        <v>1071</v>
      </c>
      <c r="M117" t="s">
        <v>2821</v>
      </c>
      <c r="N117" t="s">
        <v>1073</v>
      </c>
      <c r="O117" t="s">
        <v>2821</v>
      </c>
      <c r="P117" t="s">
        <v>1073</v>
      </c>
    </row>
    <row r="118" spans="1:16">
      <c r="A118" t="s">
        <v>2822</v>
      </c>
      <c r="B118" t="s">
        <v>2823</v>
      </c>
      <c r="C118" s="1">
        <v>45467</v>
      </c>
      <c r="D118">
        <v>89</v>
      </c>
      <c r="E118" t="s">
        <v>841</v>
      </c>
      <c r="F118" t="s">
        <v>2824</v>
      </c>
      <c r="J118" t="s">
        <v>54</v>
      </c>
      <c r="K118" t="s">
        <v>21</v>
      </c>
      <c r="L118" t="s">
        <v>1071</v>
      </c>
      <c r="M118" t="s">
        <v>2825</v>
      </c>
      <c r="N118" t="s">
        <v>1073</v>
      </c>
      <c r="O118" t="s">
        <v>2825</v>
      </c>
      <c r="P118" t="s">
        <v>1073</v>
      </c>
    </row>
    <row r="119" spans="1:16">
      <c r="A119" t="s">
        <v>2826</v>
      </c>
      <c r="B119" t="s">
        <v>2827</v>
      </c>
      <c r="C119" s="1">
        <v>45491</v>
      </c>
      <c r="D119">
        <v>94</v>
      </c>
      <c r="E119" t="s">
        <v>841</v>
      </c>
      <c r="F119" t="s">
        <v>2828</v>
      </c>
      <c r="J119" t="s">
        <v>2829</v>
      </c>
      <c r="K119" t="s">
        <v>21</v>
      </c>
      <c r="L119" t="s">
        <v>1071</v>
      </c>
      <c r="M119" t="s">
        <v>2830</v>
      </c>
      <c r="N119" t="s">
        <v>1073</v>
      </c>
      <c r="O119" t="s">
        <v>2830</v>
      </c>
      <c r="P119" t="s">
        <v>1073</v>
      </c>
    </row>
    <row r="120" spans="1:16">
      <c r="A120" t="s">
        <v>2831</v>
      </c>
      <c r="B120" t="s">
        <v>2832</v>
      </c>
      <c r="C120" s="1">
        <v>45513</v>
      </c>
      <c r="D120">
        <v>76</v>
      </c>
      <c r="E120" t="s">
        <v>778</v>
      </c>
      <c r="F120" t="s">
        <v>2824</v>
      </c>
      <c r="J120" t="s">
        <v>54</v>
      </c>
      <c r="K120" t="s">
        <v>21</v>
      </c>
      <c r="L120" t="s">
        <v>1071</v>
      </c>
      <c r="M120" t="s">
        <v>2833</v>
      </c>
      <c r="N120" t="s">
        <v>1073</v>
      </c>
      <c r="O120" t="s">
        <v>2833</v>
      </c>
      <c r="P120" t="s">
        <v>1073</v>
      </c>
    </row>
    <row r="121" spans="1:16">
      <c r="A121" t="s">
        <v>2834</v>
      </c>
      <c r="B121" t="s">
        <v>2835</v>
      </c>
      <c r="C121" s="1">
        <v>45470</v>
      </c>
      <c r="D121">
        <v>62</v>
      </c>
      <c r="E121" t="s">
        <v>841</v>
      </c>
      <c r="F121" t="s">
        <v>349</v>
      </c>
      <c r="J121" t="s">
        <v>54</v>
      </c>
      <c r="K121" t="s">
        <v>21</v>
      </c>
      <c r="L121" t="s">
        <v>1071</v>
      </c>
      <c r="O121" t="s">
        <v>2836</v>
      </c>
      <c r="P121" t="s">
        <v>1073</v>
      </c>
    </row>
    <row r="122" spans="1:16">
      <c r="A122" t="s">
        <v>2837</v>
      </c>
      <c r="B122" t="s">
        <v>2838</v>
      </c>
      <c r="C122" s="1">
        <v>45494</v>
      </c>
      <c r="D122">
        <v>63</v>
      </c>
      <c r="E122" t="s">
        <v>778</v>
      </c>
      <c r="F122" t="s">
        <v>349</v>
      </c>
      <c r="J122" t="s">
        <v>2839</v>
      </c>
      <c r="K122" t="s">
        <v>21</v>
      </c>
      <c r="M122" t="s">
        <v>2840</v>
      </c>
      <c r="N122" t="s">
        <v>271</v>
      </c>
      <c r="O122" t="s">
        <v>2840</v>
      </c>
      <c r="P122" t="s">
        <v>271</v>
      </c>
    </row>
    <row r="123" spans="1:16">
      <c r="A123" t="s">
        <v>2841</v>
      </c>
      <c r="B123" t="s">
        <v>2842</v>
      </c>
      <c r="C123" s="1">
        <v>45496</v>
      </c>
      <c r="D123">
        <v>63</v>
      </c>
      <c r="E123" t="s">
        <v>778</v>
      </c>
      <c r="F123" t="s">
        <v>349</v>
      </c>
      <c r="J123" t="s">
        <v>2843</v>
      </c>
      <c r="K123" t="s">
        <v>21</v>
      </c>
      <c r="O123" t="s">
        <v>2460</v>
      </c>
      <c r="P123" t="s">
        <v>2413</v>
      </c>
    </row>
    <row r="124" spans="1:16">
      <c r="A124" t="s">
        <v>2844</v>
      </c>
      <c r="B124" t="s">
        <v>2845</v>
      </c>
      <c r="C124" s="1">
        <v>45451</v>
      </c>
      <c r="D124">
        <v>56</v>
      </c>
      <c r="E124" t="s">
        <v>841</v>
      </c>
      <c r="F124" t="s">
        <v>1124</v>
      </c>
      <c r="J124" t="s">
        <v>54</v>
      </c>
      <c r="K124" t="s">
        <v>21</v>
      </c>
      <c r="M124" t="s">
        <v>2846</v>
      </c>
      <c r="O124" t="s">
        <v>2695</v>
      </c>
      <c r="P124" t="s">
        <v>2696</v>
      </c>
    </row>
    <row r="125" spans="1:16">
      <c r="A125" t="s">
        <v>2847</v>
      </c>
      <c r="B125" t="s">
        <v>2848</v>
      </c>
      <c r="C125" s="1">
        <v>45474</v>
      </c>
      <c r="D125">
        <v>65</v>
      </c>
      <c r="E125" t="s">
        <v>841</v>
      </c>
      <c r="F125" t="s">
        <v>1124</v>
      </c>
      <c r="J125" t="s">
        <v>54</v>
      </c>
      <c r="K125" t="s">
        <v>21</v>
      </c>
      <c r="M125" t="s">
        <v>2849</v>
      </c>
      <c r="N125" t="s">
        <v>2405</v>
      </c>
      <c r="O125" t="s">
        <v>2849</v>
      </c>
      <c r="P125" t="s">
        <v>2405</v>
      </c>
    </row>
    <row r="126" spans="1:16">
      <c r="A126" t="s">
        <v>2850</v>
      </c>
      <c r="B126" t="s">
        <v>2851</v>
      </c>
      <c r="C126" s="1">
        <v>45497</v>
      </c>
      <c r="D126">
        <v>75</v>
      </c>
      <c r="E126" t="s">
        <v>841</v>
      </c>
      <c r="F126" t="s">
        <v>2852</v>
      </c>
      <c r="J126" t="s">
        <v>2853</v>
      </c>
      <c r="K126" t="s">
        <v>21</v>
      </c>
      <c r="L126" t="s">
        <v>1071</v>
      </c>
      <c r="M126" t="s">
        <v>2854</v>
      </c>
      <c r="N126" t="s">
        <v>1073</v>
      </c>
      <c r="O126" t="s">
        <v>2854</v>
      </c>
      <c r="P126" t="s">
        <v>1073</v>
      </c>
    </row>
    <row r="127" spans="1:16">
      <c r="A127" t="s">
        <v>2855</v>
      </c>
      <c r="B127" t="s">
        <v>2856</v>
      </c>
      <c r="C127" s="1">
        <v>45467</v>
      </c>
      <c r="D127">
        <v>61</v>
      </c>
      <c r="E127" t="s">
        <v>841</v>
      </c>
      <c r="F127" t="s">
        <v>2857</v>
      </c>
      <c r="J127" t="s">
        <v>2858</v>
      </c>
      <c r="K127" t="s">
        <v>21</v>
      </c>
      <c r="M127" t="s">
        <v>2859</v>
      </c>
      <c r="N127" t="s">
        <v>2405</v>
      </c>
      <c r="O127" t="s">
        <v>2859</v>
      </c>
      <c r="P127" t="s">
        <v>2405</v>
      </c>
    </row>
    <row r="128" spans="1:16">
      <c r="A128" t="s">
        <v>2860</v>
      </c>
      <c r="B128" t="s">
        <v>2861</v>
      </c>
      <c r="C128" s="1">
        <v>45450</v>
      </c>
      <c r="D128">
        <v>76</v>
      </c>
      <c r="E128" t="s">
        <v>112</v>
      </c>
      <c r="F128" t="s">
        <v>35</v>
      </c>
      <c r="K128" t="s">
        <v>21</v>
      </c>
    </row>
    <row r="129" spans="1:16">
      <c r="A129" t="s">
        <v>2862</v>
      </c>
      <c r="B129" t="s">
        <v>2863</v>
      </c>
      <c r="C129" s="1">
        <v>45459</v>
      </c>
      <c r="D129">
        <v>61</v>
      </c>
      <c r="E129" t="s">
        <v>841</v>
      </c>
      <c r="F129" t="s">
        <v>35</v>
      </c>
      <c r="J129" t="s">
        <v>2864</v>
      </c>
      <c r="K129" t="s">
        <v>21</v>
      </c>
    </row>
    <row r="130" spans="1:16">
      <c r="A130" t="s">
        <v>2865</v>
      </c>
      <c r="B130" t="s">
        <v>2866</v>
      </c>
      <c r="C130" s="1">
        <v>45478</v>
      </c>
      <c r="D130">
        <v>64</v>
      </c>
      <c r="E130" t="s">
        <v>841</v>
      </c>
      <c r="F130" t="s">
        <v>35</v>
      </c>
      <c r="J130" t="s">
        <v>28</v>
      </c>
      <c r="K130" t="s">
        <v>21</v>
      </c>
      <c r="N130" t="s">
        <v>2405</v>
      </c>
      <c r="P130" t="s">
        <v>2405</v>
      </c>
    </row>
    <row r="131" spans="1:16">
      <c r="A131" t="s">
        <v>2867</v>
      </c>
      <c r="B131" t="s">
        <v>2868</v>
      </c>
      <c r="C131" s="1">
        <v>45479</v>
      </c>
      <c r="D131">
        <v>57</v>
      </c>
      <c r="E131" t="s">
        <v>106</v>
      </c>
      <c r="F131" t="s">
        <v>35</v>
      </c>
      <c r="J131" t="s">
        <v>2869</v>
      </c>
      <c r="K131" t="s">
        <v>21</v>
      </c>
      <c r="L131" t="s">
        <v>1071</v>
      </c>
      <c r="M131" t="s">
        <v>2870</v>
      </c>
      <c r="N131" t="s">
        <v>65</v>
      </c>
      <c r="O131" t="s">
        <v>2870</v>
      </c>
      <c r="P131" t="s">
        <v>65</v>
      </c>
    </row>
    <row r="132" spans="1:16">
      <c r="A132" t="s">
        <v>2871</v>
      </c>
      <c r="B132" t="s">
        <v>2872</v>
      </c>
      <c r="C132" s="1">
        <v>45482</v>
      </c>
      <c r="D132">
        <v>64</v>
      </c>
      <c r="E132" t="s">
        <v>841</v>
      </c>
      <c r="F132" t="s">
        <v>35</v>
      </c>
      <c r="K132" t="s">
        <v>21</v>
      </c>
      <c r="M132" t="s">
        <v>2873</v>
      </c>
      <c r="N132" t="s">
        <v>726</v>
      </c>
      <c r="O132" t="s">
        <v>2873</v>
      </c>
      <c r="P132" t="s">
        <v>726</v>
      </c>
    </row>
    <row r="133" spans="1:16">
      <c r="A133" t="s">
        <v>2874</v>
      </c>
      <c r="B133" t="s">
        <v>2875</v>
      </c>
      <c r="C133" s="1">
        <v>45483</v>
      </c>
      <c r="D133">
        <v>38</v>
      </c>
      <c r="E133" t="s">
        <v>778</v>
      </c>
      <c r="F133" t="s">
        <v>35</v>
      </c>
      <c r="K133" t="s">
        <v>21</v>
      </c>
    </row>
    <row r="134" spans="1:16">
      <c r="A134" t="s">
        <v>2876</v>
      </c>
      <c r="B134" t="s">
        <v>2877</v>
      </c>
      <c r="C134" s="1">
        <v>45483</v>
      </c>
      <c r="D134">
        <v>32</v>
      </c>
      <c r="E134" t="s">
        <v>778</v>
      </c>
      <c r="F134" t="s">
        <v>35</v>
      </c>
      <c r="K134" t="s">
        <v>21</v>
      </c>
      <c r="L134" t="s">
        <v>1071</v>
      </c>
      <c r="M134" t="s">
        <v>2878</v>
      </c>
      <c r="O134" t="s">
        <v>43</v>
      </c>
      <c r="P134" t="s">
        <v>2465</v>
      </c>
    </row>
    <row r="135" spans="1:16">
      <c r="A135" t="s">
        <v>2879</v>
      </c>
      <c r="B135" t="s">
        <v>2880</v>
      </c>
      <c r="C135" s="1">
        <v>45485</v>
      </c>
      <c r="D135">
        <v>45</v>
      </c>
      <c r="E135" t="s">
        <v>27</v>
      </c>
      <c r="F135" t="s">
        <v>35</v>
      </c>
      <c r="J135" t="s">
        <v>1827</v>
      </c>
      <c r="K135" t="s">
        <v>21</v>
      </c>
      <c r="O135" t="s">
        <v>2684</v>
      </c>
      <c r="P135" t="s">
        <v>2465</v>
      </c>
    </row>
    <row r="136" spans="1:16">
      <c r="A136" t="s">
        <v>2881</v>
      </c>
      <c r="B136" t="s">
        <v>2882</v>
      </c>
      <c r="C136" s="1">
        <v>45486</v>
      </c>
      <c r="D136">
        <v>62</v>
      </c>
      <c r="E136" t="s">
        <v>841</v>
      </c>
      <c r="F136" t="s">
        <v>35</v>
      </c>
      <c r="K136" t="s">
        <v>21</v>
      </c>
      <c r="M136" t="s">
        <v>2883</v>
      </c>
      <c r="O136" t="s">
        <v>2883</v>
      </c>
    </row>
    <row r="137" spans="1:16">
      <c r="A137" t="s">
        <v>2884</v>
      </c>
      <c r="B137" t="s">
        <v>2885</v>
      </c>
      <c r="C137" s="1">
        <v>45495</v>
      </c>
      <c r="D137">
        <v>83</v>
      </c>
      <c r="E137" t="s">
        <v>841</v>
      </c>
      <c r="F137" t="s">
        <v>35</v>
      </c>
      <c r="K137" t="s">
        <v>21</v>
      </c>
      <c r="L137" t="s">
        <v>1071</v>
      </c>
      <c r="M137" t="s">
        <v>2886</v>
      </c>
      <c r="O137" t="s">
        <v>2886</v>
      </c>
    </row>
    <row r="138" spans="1:16">
      <c r="A138" t="s">
        <v>2887</v>
      </c>
      <c r="B138" t="s">
        <v>2888</v>
      </c>
      <c r="C138" s="1">
        <v>45499</v>
      </c>
      <c r="D138">
        <v>56</v>
      </c>
      <c r="E138" t="s">
        <v>841</v>
      </c>
      <c r="F138" t="s">
        <v>35</v>
      </c>
      <c r="J138" t="s">
        <v>2889</v>
      </c>
      <c r="K138" t="s">
        <v>21</v>
      </c>
      <c r="M138" t="s">
        <v>2890</v>
      </c>
      <c r="O138" t="s">
        <v>2890</v>
      </c>
    </row>
    <row r="139" spans="1:16">
      <c r="A139" t="s">
        <v>2891</v>
      </c>
      <c r="B139" t="s">
        <v>2892</v>
      </c>
      <c r="C139" s="1">
        <v>45505</v>
      </c>
      <c r="D139">
        <v>65</v>
      </c>
      <c r="E139" t="s">
        <v>841</v>
      </c>
      <c r="F139" t="s">
        <v>35</v>
      </c>
      <c r="J139" t="s">
        <v>28</v>
      </c>
      <c r="K139" t="s">
        <v>21</v>
      </c>
      <c r="L139" t="s">
        <v>1071</v>
      </c>
      <c r="M139" t="s">
        <v>2893</v>
      </c>
      <c r="N139" t="s">
        <v>2405</v>
      </c>
      <c r="O139" t="s">
        <v>127</v>
      </c>
      <c r="P139" t="s">
        <v>2433</v>
      </c>
    </row>
    <row r="140" spans="1:16">
      <c r="A140" t="s">
        <v>2894</v>
      </c>
      <c r="B140" t="s">
        <v>2895</v>
      </c>
      <c r="C140" s="1">
        <v>45516</v>
      </c>
      <c r="D140">
        <v>75</v>
      </c>
      <c r="E140" t="s">
        <v>841</v>
      </c>
      <c r="F140" t="s">
        <v>35</v>
      </c>
      <c r="K140" t="s">
        <v>21</v>
      </c>
      <c r="M140" t="s">
        <v>2896</v>
      </c>
      <c r="N140" t="s">
        <v>2897</v>
      </c>
      <c r="O140" t="s">
        <v>2896</v>
      </c>
      <c r="P140" t="s">
        <v>2897</v>
      </c>
    </row>
    <row r="141" spans="1:16">
      <c r="A141" t="s">
        <v>2898</v>
      </c>
      <c r="B141" t="s">
        <v>2899</v>
      </c>
      <c r="C141" s="1">
        <v>45519</v>
      </c>
      <c r="D141">
        <v>58</v>
      </c>
      <c r="E141" t="s">
        <v>841</v>
      </c>
      <c r="F141" t="s">
        <v>35</v>
      </c>
      <c r="J141" t="s">
        <v>2900</v>
      </c>
      <c r="K141" t="s">
        <v>21</v>
      </c>
      <c r="L141" t="s">
        <v>1071</v>
      </c>
      <c r="M141" t="s">
        <v>2901</v>
      </c>
      <c r="N141" t="s">
        <v>1073</v>
      </c>
      <c r="O141" t="s">
        <v>2901</v>
      </c>
      <c r="P141" t="s">
        <v>1073</v>
      </c>
    </row>
    <row r="142" spans="1:16">
      <c r="A142" t="s">
        <v>2902</v>
      </c>
      <c r="B142" t="s">
        <v>2903</v>
      </c>
      <c r="C142" s="1">
        <v>45536</v>
      </c>
      <c r="D142">
        <v>54</v>
      </c>
      <c r="E142" t="s">
        <v>841</v>
      </c>
      <c r="F142" t="s">
        <v>35</v>
      </c>
      <c r="J142" t="s">
        <v>2904</v>
      </c>
      <c r="K142" t="s">
        <v>21</v>
      </c>
      <c r="M142" t="s">
        <v>2905</v>
      </c>
      <c r="N142" t="s">
        <v>65</v>
      </c>
      <c r="O142" t="s">
        <v>2905</v>
      </c>
      <c r="P142" t="s">
        <v>65</v>
      </c>
    </row>
    <row r="143" spans="1:16">
      <c r="A143" t="s">
        <v>2906</v>
      </c>
      <c r="B143" t="s">
        <v>2907</v>
      </c>
      <c r="C143" s="1">
        <v>45536</v>
      </c>
      <c r="D143">
        <v>53</v>
      </c>
      <c r="E143" t="s">
        <v>106</v>
      </c>
      <c r="F143" t="s">
        <v>35</v>
      </c>
      <c r="J143" t="s">
        <v>2908</v>
      </c>
      <c r="K143" t="s">
        <v>21</v>
      </c>
      <c r="M143" t="s">
        <v>2909</v>
      </c>
      <c r="N143" t="s">
        <v>2405</v>
      </c>
      <c r="O143" t="s">
        <v>2578</v>
      </c>
      <c r="P143" t="s">
        <v>2413</v>
      </c>
    </row>
    <row r="144" spans="1:16">
      <c r="A144" t="s">
        <v>2910</v>
      </c>
      <c r="B144" t="s">
        <v>2911</v>
      </c>
      <c r="C144" s="1">
        <v>45542</v>
      </c>
      <c r="D144">
        <v>40</v>
      </c>
      <c r="E144" t="s">
        <v>841</v>
      </c>
      <c r="F144" t="s">
        <v>35</v>
      </c>
      <c r="J144" t="s">
        <v>2912</v>
      </c>
      <c r="K144" t="s">
        <v>21</v>
      </c>
      <c r="M144" t="s">
        <v>2913</v>
      </c>
      <c r="N144" t="s">
        <v>271</v>
      </c>
      <c r="O144" t="s">
        <v>2913</v>
      </c>
      <c r="P144" t="s">
        <v>271</v>
      </c>
    </row>
    <row r="145" spans="1:16">
      <c r="A145" t="s">
        <v>2914</v>
      </c>
      <c r="B145" t="s">
        <v>2915</v>
      </c>
      <c r="C145" s="1">
        <v>45571</v>
      </c>
      <c r="D145">
        <v>69</v>
      </c>
      <c r="E145" t="s">
        <v>27</v>
      </c>
      <c r="F145" t="s">
        <v>35</v>
      </c>
      <c r="K145" t="s">
        <v>21</v>
      </c>
      <c r="L145" t="s">
        <v>1071</v>
      </c>
      <c r="M145" t="s">
        <v>2916</v>
      </c>
      <c r="N145" t="s">
        <v>1073</v>
      </c>
      <c r="O145" t="s">
        <v>2916</v>
      </c>
      <c r="P145" t="s">
        <v>1073</v>
      </c>
    </row>
    <row r="146" spans="1:16">
      <c r="A146" t="s">
        <v>2917</v>
      </c>
      <c r="B146" t="s">
        <v>2918</v>
      </c>
      <c r="C146" s="1">
        <v>45500</v>
      </c>
      <c r="D146">
        <v>54</v>
      </c>
      <c r="E146" t="s">
        <v>841</v>
      </c>
      <c r="F146" t="s">
        <v>2919</v>
      </c>
      <c r="J146" t="s">
        <v>2920</v>
      </c>
      <c r="K146" t="s">
        <v>21</v>
      </c>
      <c r="N146" t="s">
        <v>2405</v>
      </c>
      <c r="P146" t="s">
        <v>2405</v>
      </c>
    </row>
    <row r="147" spans="1:16">
      <c r="A147" t="s">
        <v>2921</v>
      </c>
      <c r="B147" t="s">
        <v>2922</v>
      </c>
      <c r="C147" s="1">
        <v>45465</v>
      </c>
      <c r="D147">
        <v>46</v>
      </c>
      <c r="E147" t="s">
        <v>778</v>
      </c>
      <c r="F147" t="s">
        <v>2923</v>
      </c>
      <c r="J147" t="s">
        <v>172</v>
      </c>
      <c r="K147" t="s">
        <v>21</v>
      </c>
      <c r="M147" t="s">
        <v>2924</v>
      </c>
      <c r="N147" t="s">
        <v>24</v>
      </c>
      <c r="O147" t="s">
        <v>127</v>
      </c>
    </row>
    <row r="148" spans="1:16">
      <c r="A148" t="s">
        <v>2925</v>
      </c>
      <c r="B148" t="s">
        <v>2926</v>
      </c>
      <c r="C148" s="1">
        <v>45440</v>
      </c>
      <c r="D148">
        <v>60</v>
      </c>
      <c r="E148" t="s">
        <v>841</v>
      </c>
      <c r="F148" t="s">
        <v>54</v>
      </c>
      <c r="J148" t="s">
        <v>2927</v>
      </c>
      <c r="K148" t="s">
        <v>21</v>
      </c>
      <c r="L148" t="s">
        <v>1071</v>
      </c>
      <c r="M148" t="s">
        <v>2928</v>
      </c>
      <c r="N148" t="s">
        <v>1073</v>
      </c>
      <c r="O148" t="s">
        <v>2928</v>
      </c>
      <c r="P148" t="s">
        <v>1073</v>
      </c>
    </row>
    <row r="149" spans="1:16">
      <c r="A149" t="s">
        <v>2929</v>
      </c>
      <c r="B149" t="s">
        <v>2930</v>
      </c>
      <c r="C149" s="1">
        <v>45445</v>
      </c>
      <c r="D149">
        <v>61</v>
      </c>
      <c r="E149" t="s">
        <v>841</v>
      </c>
      <c r="F149" t="s">
        <v>54</v>
      </c>
      <c r="J149" t="s">
        <v>2931</v>
      </c>
      <c r="K149" t="s">
        <v>21</v>
      </c>
      <c r="M149" t="s">
        <v>2932</v>
      </c>
      <c r="N149" t="s">
        <v>2405</v>
      </c>
      <c r="O149" t="s">
        <v>2932</v>
      </c>
      <c r="P149" t="s">
        <v>2405</v>
      </c>
    </row>
    <row r="150" spans="1:16">
      <c r="A150" t="s">
        <v>2933</v>
      </c>
      <c r="B150" t="s">
        <v>2934</v>
      </c>
      <c r="C150" s="1">
        <v>45448</v>
      </c>
      <c r="D150">
        <v>50</v>
      </c>
      <c r="E150" t="s">
        <v>841</v>
      </c>
      <c r="F150" t="s">
        <v>54</v>
      </c>
      <c r="J150" t="s">
        <v>28</v>
      </c>
      <c r="K150" t="s">
        <v>21</v>
      </c>
      <c r="L150" t="s">
        <v>1071</v>
      </c>
      <c r="O150" t="s">
        <v>2935</v>
      </c>
      <c r="P150" t="s">
        <v>1073</v>
      </c>
    </row>
    <row r="151" spans="1:16">
      <c r="A151" t="s">
        <v>2936</v>
      </c>
      <c r="B151" t="s">
        <v>2937</v>
      </c>
      <c r="C151" s="1">
        <v>45449</v>
      </c>
      <c r="D151">
        <v>71</v>
      </c>
      <c r="E151" t="s">
        <v>778</v>
      </c>
      <c r="F151" t="s">
        <v>54</v>
      </c>
      <c r="K151" t="s">
        <v>21</v>
      </c>
    </row>
    <row r="152" spans="1:16">
      <c r="A152" t="s">
        <v>2938</v>
      </c>
      <c r="B152" t="s">
        <v>2939</v>
      </c>
      <c r="C152" s="1">
        <v>45449</v>
      </c>
      <c r="D152">
        <v>79</v>
      </c>
      <c r="E152" t="s">
        <v>841</v>
      </c>
      <c r="F152" t="s">
        <v>54</v>
      </c>
      <c r="J152" t="s">
        <v>2940</v>
      </c>
      <c r="K152" t="s">
        <v>21</v>
      </c>
      <c r="L152" t="s">
        <v>1071</v>
      </c>
      <c r="M152" t="s">
        <v>2941</v>
      </c>
      <c r="N152" t="s">
        <v>1073</v>
      </c>
      <c r="O152" t="s">
        <v>2941</v>
      </c>
      <c r="P152" t="s">
        <v>1073</v>
      </c>
    </row>
    <row r="153" spans="1:16">
      <c r="A153" t="s">
        <v>2942</v>
      </c>
      <c r="B153" t="s">
        <v>2943</v>
      </c>
      <c r="C153" s="1">
        <v>45450</v>
      </c>
      <c r="D153">
        <v>72</v>
      </c>
      <c r="E153" t="s">
        <v>613</v>
      </c>
      <c r="F153" t="s">
        <v>54</v>
      </c>
      <c r="K153" t="s">
        <v>21</v>
      </c>
      <c r="N153" t="s">
        <v>2666</v>
      </c>
      <c r="P153" t="s">
        <v>2666</v>
      </c>
    </row>
    <row r="154" spans="1:16">
      <c r="A154" t="s">
        <v>2944</v>
      </c>
      <c r="B154" t="s">
        <v>2945</v>
      </c>
      <c r="C154" s="1">
        <v>45455</v>
      </c>
      <c r="D154">
        <v>55</v>
      </c>
      <c r="E154" t="s">
        <v>841</v>
      </c>
      <c r="F154" t="s">
        <v>54</v>
      </c>
      <c r="J154" t="s">
        <v>172</v>
      </c>
      <c r="K154" t="s">
        <v>21</v>
      </c>
      <c r="L154" t="s">
        <v>36</v>
      </c>
      <c r="M154" t="s">
        <v>2946</v>
      </c>
      <c r="N154" t="s">
        <v>2947</v>
      </c>
      <c r="O154" t="s">
        <v>2946</v>
      </c>
      <c r="P154" t="s">
        <v>2947</v>
      </c>
    </row>
    <row r="155" spans="1:16">
      <c r="A155" t="s">
        <v>2948</v>
      </c>
      <c r="B155" t="s">
        <v>2949</v>
      </c>
      <c r="C155" s="1">
        <v>45458</v>
      </c>
      <c r="D155">
        <v>64</v>
      </c>
      <c r="F155" t="s">
        <v>54</v>
      </c>
      <c r="J155" t="s">
        <v>98</v>
      </c>
      <c r="K155" t="s">
        <v>21</v>
      </c>
    </row>
    <row r="156" spans="1:16">
      <c r="A156" t="s">
        <v>2950</v>
      </c>
      <c r="B156" t="s">
        <v>2951</v>
      </c>
      <c r="C156" s="1">
        <v>45458</v>
      </c>
      <c r="D156">
        <v>46</v>
      </c>
      <c r="E156" t="s">
        <v>27</v>
      </c>
      <c r="F156" t="s">
        <v>54</v>
      </c>
      <c r="J156" t="s">
        <v>34</v>
      </c>
      <c r="K156" t="s">
        <v>21</v>
      </c>
      <c r="M156" t="s">
        <v>2952</v>
      </c>
      <c r="N156" t="s">
        <v>2405</v>
      </c>
      <c r="O156" t="s">
        <v>2952</v>
      </c>
      <c r="P156" t="s">
        <v>2405</v>
      </c>
    </row>
    <row r="157" spans="1:16">
      <c r="A157" t="s">
        <v>2953</v>
      </c>
      <c r="B157" t="s">
        <v>2954</v>
      </c>
      <c r="C157" s="1">
        <v>45460</v>
      </c>
      <c r="D157">
        <v>66</v>
      </c>
      <c r="E157" t="s">
        <v>841</v>
      </c>
      <c r="F157" t="s">
        <v>54</v>
      </c>
      <c r="J157" t="s">
        <v>2955</v>
      </c>
      <c r="K157" t="s">
        <v>21</v>
      </c>
      <c r="L157" t="s">
        <v>1071</v>
      </c>
      <c r="M157" t="s">
        <v>2956</v>
      </c>
      <c r="N157" t="s">
        <v>70</v>
      </c>
      <c r="O157" t="s">
        <v>2956</v>
      </c>
      <c r="P157" t="s">
        <v>70</v>
      </c>
    </row>
    <row r="158" spans="1:16">
      <c r="A158" t="s">
        <v>2957</v>
      </c>
      <c r="B158" t="s">
        <v>2958</v>
      </c>
      <c r="C158" s="1">
        <v>45461</v>
      </c>
      <c r="D158">
        <v>86</v>
      </c>
      <c r="E158" t="s">
        <v>841</v>
      </c>
      <c r="F158" t="s">
        <v>54</v>
      </c>
      <c r="J158" t="s">
        <v>2959</v>
      </c>
      <c r="K158" t="s">
        <v>21</v>
      </c>
      <c r="L158" t="s">
        <v>1071</v>
      </c>
      <c r="M158" t="s">
        <v>2960</v>
      </c>
      <c r="O158" t="s">
        <v>2960</v>
      </c>
    </row>
    <row r="159" spans="1:16">
      <c r="A159" t="s">
        <v>2961</v>
      </c>
      <c r="B159" t="s">
        <v>2962</v>
      </c>
      <c r="C159" s="1">
        <v>45465</v>
      </c>
      <c r="D159">
        <v>55</v>
      </c>
      <c r="E159" t="s">
        <v>778</v>
      </c>
      <c r="F159" t="s">
        <v>54</v>
      </c>
      <c r="K159" t="s">
        <v>21</v>
      </c>
      <c r="M159" t="s">
        <v>2963</v>
      </c>
      <c r="N159" t="s">
        <v>271</v>
      </c>
      <c r="O159" t="s">
        <v>2963</v>
      </c>
      <c r="P159" t="s">
        <v>271</v>
      </c>
    </row>
    <row r="160" spans="1:16">
      <c r="A160" t="s">
        <v>2964</v>
      </c>
      <c r="B160" t="s">
        <v>2965</v>
      </c>
      <c r="C160" s="1">
        <v>45466</v>
      </c>
      <c r="D160">
        <v>68</v>
      </c>
      <c r="E160" t="s">
        <v>841</v>
      </c>
      <c r="F160" t="s">
        <v>54</v>
      </c>
      <c r="J160" t="s">
        <v>63</v>
      </c>
      <c r="K160" t="s">
        <v>21</v>
      </c>
      <c r="L160" t="s">
        <v>1071</v>
      </c>
      <c r="M160" t="s">
        <v>2966</v>
      </c>
      <c r="N160" t="s">
        <v>1073</v>
      </c>
      <c r="O160" t="s">
        <v>2966</v>
      </c>
      <c r="P160" t="s">
        <v>1073</v>
      </c>
    </row>
    <row r="161" spans="1:16">
      <c r="A161" t="s">
        <v>2967</v>
      </c>
      <c r="B161" t="s">
        <v>2968</v>
      </c>
      <c r="C161" s="1">
        <v>45467</v>
      </c>
      <c r="D161">
        <v>70</v>
      </c>
      <c r="E161" t="s">
        <v>778</v>
      </c>
      <c r="F161" t="s">
        <v>54</v>
      </c>
      <c r="J161" t="s">
        <v>2969</v>
      </c>
      <c r="K161" t="s">
        <v>21</v>
      </c>
      <c r="L161" t="s">
        <v>1071</v>
      </c>
      <c r="M161" t="s">
        <v>2970</v>
      </c>
      <c r="N161" t="s">
        <v>1073</v>
      </c>
      <c r="O161" t="s">
        <v>2970</v>
      </c>
      <c r="P161" t="s">
        <v>1073</v>
      </c>
    </row>
    <row r="162" spans="1:16">
      <c r="A162" t="s">
        <v>2971</v>
      </c>
      <c r="B162" t="s">
        <v>2972</v>
      </c>
      <c r="C162" s="1">
        <v>45467</v>
      </c>
      <c r="D162">
        <v>58</v>
      </c>
      <c r="E162" t="s">
        <v>841</v>
      </c>
      <c r="F162" t="s">
        <v>54</v>
      </c>
      <c r="J162" t="s">
        <v>2973</v>
      </c>
      <c r="K162" t="s">
        <v>21</v>
      </c>
      <c r="M162" t="s">
        <v>2974</v>
      </c>
      <c r="N162" t="s">
        <v>24</v>
      </c>
      <c r="O162" t="s">
        <v>2974</v>
      </c>
      <c r="P162" t="s">
        <v>24</v>
      </c>
    </row>
    <row r="163" spans="1:16">
      <c r="A163" t="s">
        <v>2975</v>
      </c>
      <c r="B163" t="s">
        <v>2976</v>
      </c>
      <c r="C163" s="1">
        <v>45469</v>
      </c>
      <c r="D163">
        <v>57</v>
      </c>
      <c r="E163" t="s">
        <v>841</v>
      </c>
      <c r="F163" t="s">
        <v>54</v>
      </c>
      <c r="J163" t="s">
        <v>2977</v>
      </c>
      <c r="K163" t="s">
        <v>21</v>
      </c>
      <c r="N163" t="s">
        <v>2405</v>
      </c>
      <c r="P163" t="s">
        <v>2405</v>
      </c>
    </row>
    <row r="164" spans="1:16">
      <c r="A164" t="s">
        <v>2978</v>
      </c>
      <c r="B164" t="s">
        <v>2979</v>
      </c>
      <c r="C164" s="1">
        <v>45472</v>
      </c>
      <c r="D164">
        <v>74</v>
      </c>
      <c r="E164" t="s">
        <v>778</v>
      </c>
      <c r="F164" t="s">
        <v>54</v>
      </c>
      <c r="K164" t="s">
        <v>21</v>
      </c>
    </row>
    <row r="165" spans="1:16">
      <c r="A165" t="s">
        <v>2980</v>
      </c>
      <c r="B165" t="s">
        <v>2981</v>
      </c>
      <c r="C165" s="1">
        <v>45473</v>
      </c>
      <c r="D165">
        <v>66</v>
      </c>
      <c r="E165" t="s">
        <v>841</v>
      </c>
      <c r="F165" t="s">
        <v>54</v>
      </c>
      <c r="K165" t="s">
        <v>21</v>
      </c>
    </row>
    <row r="166" spans="1:16">
      <c r="A166" t="s">
        <v>2982</v>
      </c>
      <c r="B166" t="s">
        <v>2983</v>
      </c>
      <c r="C166" s="1">
        <v>45474</v>
      </c>
      <c r="D166">
        <v>50</v>
      </c>
      <c r="E166" t="s">
        <v>841</v>
      </c>
      <c r="F166" t="s">
        <v>54</v>
      </c>
      <c r="J166" t="s">
        <v>2984</v>
      </c>
      <c r="K166" t="s">
        <v>21</v>
      </c>
      <c r="M166" t="s">
        <v>2985</v>
      </c>
      <c r="N166" t="s">
        <v>2405</v>
      </c>
      <c r="O166" t="s">
        <v>2985</v>
      </c>
      <c r="P166" t="s">
        <v>2405</v>
      </c>
    </row>
    <row r="167" spans="1:16">
      <c r="A167" t="s">
        <v>2986</v>
      </c>
      <c r="B167" t="s">
        <v>2987</v>
      </c>
      <c r="C167" s="1">
        <v>45477</v>
      </c>
      <c r="D167">
        <v>71</v>
      </c>
      <c r="E167" t="s">
        <v>27</v>
      </c>
      <c r="F167" t="s">
        <v>54</v>
      </c>
      <c r="J167" t="s">
        <v>2988</v>
      </c>
      <c r="K167" t="s">
        <v>21</v>
      </c>
      <c r="L167" t="s">
        <v>1071</v>
      </c>
      <c r="M167" t="s">
        <v>2989</v>
      </c>
      <c r="N167" t="s">
        <v>2990</v>
      </c>
      <c r="O167" t="s">
        <v>2989</v>
      </c>
    </row>
    <row r="168" spans="1:16">
      <c r="A168" t="s">
        <v>2991</v>
      </c>
      <c r="B168" t="s">
        <v>2992</v>
      </c>
      <c r="C168" s="1">
        <v>45477</v>
      </c>
      <c r="D168">
        <v>85</v>
      </c>
      <c r="E168" t="s">
        <v>778</v>
      </c>
      <c r="F168" t="s">
        <v>54</v>
      </c>
      <c r="J168" t="s">
        <v>2993</v>
      </c>
      <c r="K168" t="s">
        <v>21</v>
      </c>
      <c r="L168" t="s">
        <v>1071</v>
      </c>
      <c r="M168" t="s">
        <v>2994</v>
      </c>
      <c r="N168" t="s">
        <v>1073</v>
      </c>
      <c r="O168" t="s">
        <v>2994</v>
      </c>
      <c r="P168" t="s">
        <v>1073</v>
      </c>
    </row>
    <row r="169" spans="1:16">
      <c r="A169" t="s">
        <v>2995</v>
      </c>
      <c r="B169" t="s">
        <v>2996</v>
      </c>
      <c r="C169" s="1">
        <v>45478</v>
      </c>
      <c r="D169">
        <v>52</v>
      </c>
      <c r="E169" t="s">
        <v>778</v>
      </c>
      <c r="F169" t="s">
        <v>54</v>
      </c>
      <c r="J169" t="s">
        <v>223</v>
      </c>
      <c r="K169" t="s">
        <v>21</v>
      </c>
    </row>
    <row r="170" spans="1:16">
      <c r="A170" t="s">
        <v>2997</v>
      </c>
      <c r="B170" t="s">
        <v>2998</v>
      </c>
      <c r="C170" s="1">
        <v>45478</v>
      </c>
      <c r="D170">
        <v>58</v>
      </c>
      <c r="E170" t="s">
        <v>841</v>
      </c>
      <c r="F170" t="s">
        <v>54</v>
      </c>
      <c r="J170" t="s">
        <v>2999</v>
      </c>
      <c r="K170" t="s">
        <v>21</v>
      </c>
      <c r="L170" t="s">
        <v>1071</v>
      </c>
      <c r="M170" t="s">
        <v>3000</v>
      </c>
      <c r="N170" t="s">
        <v>24</v>
      </c>
      <c r="O170" t="s">
        <v>3000</v>
      </c>
      <c r="P170" t="s">
        <v>24</v>
      </c>
    </row>
    <row r="171" spans="1:16">
      <c r="A171" t="s">
        <v>3001</v>
      </c>
      <c r="B171" t="s">
        <v>3002</v>
      </c>
      <c r="C171" s="1">
        <v>45479</v>
      </c>
      <c r="D171">
        <v>86</v>
      </c>
      <c r="E171" t="s">
        <v>841</v>
      </c>
      <c r="F171" t="s">
        <v>54</v>
      </c>
      <c r="J171" t="s">
        <v>63</v>
      </c>
      <c r="K171" t="s">
        <v>21</v>
      </c>
      <c r="L171" t="s">
        <v>1071</v>
      </c>
      <c r="M171" t="s">
        <v>3003</v>
      </c>
      <c r="O171" t="s">
        <v>3003</v>
      </c>
      <c r="P171" t="s">
        <v>2990</v>
      </c>
    </row>
    <row r="172" spans="1:16">
      <c r="A172" t="s">
        <v>3004</v>
      </c>
      <c r="B172" t="s">
        <v>3005</v>
      </c>
      <c r="C172" s="1">
        <v>45479</v>
      </c>
      <c r="D172">
        <v>67</v>
      </c>
      <c r="E172" t="s">
        <v>112</v>
      </c>
      <c r="F172" t="s">
        <v>54</v>
      </c>
      <c r="J172" t="s">
        <v>223</v>
      </c>
      <c r="K172" t="s">
        <v>21</v>
      </c>
    </row>
    <row r="173" spans="1:16">
      <c r="A173" t="s">
        <v>3006</v>
      </c>
      <c r="B173" t="s">
        <v>3007</v>
      </c>
      <c r="C173" s="1">
        <v>45480</v>
      </c>
      <c r="D173">
        <v>70</v>
      </c>
      <c r="E173" t="s">
        <v>841</v>
      </c>
      <c r="F173" t="s">
        <v>54</v>
      </c>
      <c r="J173" t="s">
        <v>3008</v>
      </c>
      <c r="K173" t="s">
        <v>21</v>
      </c>
      <c r="L173" t="s">
        <v>1071</v>
      </c>
      <c r="M173" t="s">
        <v>3009</v>
      </c>
      <c r="N173" t="s">
        <v>1073</v>
      </c>
      <c r="O173" t="s">
        <v>3009</v>
      </c>
      <c r="P173" t="s">
        <v>1073</v>
      </c>
    </row>
    <row r="174" spans="1:16">
      <c r="A174" t="s">
        <v>3010</v>
      </c>
      <c r="B174" t="s">
        <v>3011</v>
      </c>
      <c r="C174" s="1">
        <v>45480</v>
      </c>
      <c r="D174">
        <v>79</v>
      </c>
      <c r="E174" t="s">
        <v>841</v>
      </c>
      <c r="F174" t="s">
        <v>54</v>
      </c>
      <c r="J174" t="s">
        <v>63</v>
      </c>
      <c r="K174" t="s">
        <v>21</v>
      </c>
      <c r="L174" t="s">
        <v>1071</v>
      </c>
      <c r="M174" t="s">
        <v>3012</v>
      </c>
      <c r="N174" t="s">
        <v>2405</v>
      </c>
      <c r="O174" t="s">
        <v>3012</v>
      </c>
      <c r="P174" t="s">
        <v>2405</v>
      </c>
    </row>
    <row r="175" spans="1:16">
      <c r="A175" t="s">
        <v>3013</v>
      </c>
      <c r="B175" t="s">
        <v>3014</v>
      </c>
      <c r="C175" s="1">
        <v>45481</v>
      </c>
      <c r="D175">
        <v>41</v>
      </c>
      <c r="E175" t="s">
        <v>778</v>
      </c>
      <c r="F175" t="s">
        <v>54</v>
      </c>
      <c r="K175" t="s">
        <v>21</v>
      </c>
      <c r="L175" t="s">
        <v>1071</v>
      </c>
      <c r="M175" t="s">
        <v>3015</v>
      </c>
      <c r="O175" t="s">
        <v>3015</v>
      </c>
    </row>
    <row r="176" spans="1:16">
      <c r="A176" t="s">
        <v>3016</v>
      </c>
      <c r="B176" t="s">
        <v>3017</v>
      </c>
      <c r="C176" s="1">
        <v>45482</v>
      </c>
      <c r="D176">
        <v>82</v>
      </c>
      <c r="E176" t="s">
        <v>778</v>
      </c>
      <c r="F176" t="s">
        <v>54</v>
      </c>
      <c r="J176" t="s">
        <v>3018</v>
      </c>
      <c r="K176" t="s">
        <v>21</v>
      </c>
      <c r="M176" t="s">
        <v>3019</v>
      </c>
      <c r="N176" t="s">
        <v>2405</v>
      </c>
      <c r="O176" t="s">
        <v>3019</v>
      </c>
      <c r="P176" t="s">
        <v>2405</v>
      </c>
    </row>
    <row r="177" spans="1:16">
      <c r="A177" t="s">
        <v>3020</v>
      </c>
      <c r="B177" t="s">
        <v>3021</v>
      </c>
      <c r="C177" s="1">
        <v>45482</v>
      </c>
      <c r="D177">
        <v>71</v>
      </c>
      <c r="E177" t="s">
        <v>778</v>
      </c>
      <c r="F177" t="s">
        <v>120</v>
      </c>
      <c r="K177" t="s">
        <v>21</v>
      </c>
      <c r="M177" t="s">
        <v>3022</v>
      </c>
      <c r="N177" t="s">
        <v>3023</v>
      </c>
      <c r="O177" t="s">
        <v>3022</v>
      </c>
      <c r="P177" t="s">
        <v>3023</v>
      </c>
    </row>
    <row r="178" spans="1:16">
      <c r="A178" t="s">
        <v>3024</v>
      </c>
      <c r="B178" t="s">
        <v>3025</v>
      </c>
      <c r="C178" s="1">
        <v>45483</v>
      </c>
      <c r="D178">
        <v>81</v>
      </c>
      <c r="E178" t="s">
        <v>778</v>
      </c>
      <c r="F178" t="s">
        <v>120</v>
      </c>
      <c r="J178" t="s">
        <v>119</v>
      </c>
      <c r="K178" t="s">
        <v>21</v>
      </c>
      <c r="L178" t="s">
        <v>1071</v>
      </c>
      <c r="M178" t="s">
        <v>3026</v>
      </c>
      <c r="N178" t="s">
        <v>1073</v>
      </c>
      <c r="O178" t="s">
        <v>3026</v>
      </c>
      <c r="P178" t="s">
        <v>1073</v>
      </c>
    </row>
    <row r="179" spans="1:16">
      <c r="A179" t="s">
        <v>3027</v>
      </c>
      <c r="B179" t="s">
        <v>3028</v>
      </c>
      <c r="C179" s="1">
        <v>45484</v>
      </c>
      <c r="D179">
        <v>41</v>
      </c>
      <c r="E179" t="s">
        <v>778</v>
      </c>
      <c r="F179" t="s">
        <v>54</v>
      </c>
      <c r="J179" t="s">
        <v>172</v>
      </c>
      <c r="K179" t="s">
        <v>21</v>
      </c>
      <c r="N179" t="s">
        <v>2405</v>
      </c>
      <c r="P179" t="s">
        <v>2405</v>
      </c>
    </row>
    <row r="180" spans="1:16">
      <c r="A180" t="s">
        <v>3029</v>
      </c>
      <c r="B180" t="s">
        <v>3030</v>
      </c>
      <c r="C180" s="1">
        <v>45484</v>
      </c>
      <c r="D180">
        <v>61</v>
      </c>
      <c r="E180" t="s">
        <v>841</v>
      </c>
      <c r="F180" t="s">
        <v>54</v>
      </c>
      <c r="J180" t="s">
        <v>98</v>
      </c>
      <c r="K180" t="s">
        <v>21</v>
      </c>
      <c r="M180" t="s">
        <v>3031</v>
      </c>
      <c r="O180" t="s">
        <v>3031</v>
      </c>
    </row>
    <row r="181" spans="1:16">
      <c r="A181" t="s">
        <v>3032</v>
      </c>
      <c r="B181" t="s">
        <v>3033</v>
      </c>
      <c r="C181" s="1">
        <v>45484</v>
      </c>
      <c r="D181">
        <v>57</v>
      </c>
      <c r="E181" t="s">
        <v>778</v>
      </c>
      <c r="F181" t="s">
        <v>54</v>
      </c>
      <c r="J181" t="s">
        <v>98</v>
      </c>
      <c r="K181" t="s">
        <v>21</v>
      </c>
      <c r="N181" t="s">
        <v>2405</v>
      </c>
      <c r="P181" t="s">
        <v>2405</v>
      </c>
    </row>
    <row r="182" spans="1:16">
      <c r="A182" t="s">
        <v>3034</v>
      </c>
      <c r="B182" t="s">
        <v>3035</v>
      </c>
      <c r="C182" s="1">
        <v>45484</v>
      </c>
      <c r="D182">
        <v>32</v>
      </c>
      <c r="E182" t="s">
        <v>841</v>
      </c>
      <c r="F182" t="s">
        <v>54</v>
      </c>
      <c r="J182" t="s">
        <v>3036</v>
      </c>
      <c r="K182" t="s">
        <v>21</v>
      </c>
      <c r="N182" t="s">
        <v>2405</v>
      </c>
      <c r="P182" t="s">
        <v>2405</v>
      </c>
    </row>
    <row r="183" spans="1:16">
      <c r="A183" t="s">
        <v>3037</v>
      </c>
      <c r="B183" t="s">
        <v>3038</v>
      </c>
      <c r="C183" s="1">
        <v>45484</v>
      </c>
      <c r="D183">
        <v>72</v>
      </c>
      <c r="E183" t="s">
        <v>841</v>
      </c>
      <c r="F183" t="s">
        <v>54</v>
      </c>
      <c r="J183" t="s">
        <v>63</v>
      </c>
      <c r="K183" t="s">
        <v>21</v>
      </c>
      <c r="M183" t="s">
        <v>3039</v>
      </c>
      <c r="O183" t="s">
        <v>3039</v>
      </c>
    </row>
    <row r="184" spans="1:16">
      <c r="A184" t="s">
        <v>3040</v>
      </c>
      <c r="B184" t="s">
        <v>3041</v>
      </c>
      <c r="C184" s="1">
        <v>45484</v>
      </c>
      <c r="D184">
        <v>53</v>
      </c>
      <c r="E184" t="s">
        <v>841</v>
      </c>
      <c r="F184" t="s">
        <v>54</v>
      </c>
      <c r="J184" t="s">
        <v>227</v>
      </c>
      <c r="K184" t="s">
        <v>21</v>
      </c>
      <c r="L184" t="s">
        <v>1071</v>
      </c>
      <c r="M184" t="s">
        <v>3042</v>
      </c>
      <c r="O184" t="s">
        <v>3042</v>
      </c>
    </row>
    <row r="185" spans="1:16">
      <c r="A185" t="s">
        <v>3043</v>
      </c>
      <c r="B185" t="s">
        <v>3044</v>
      </c>
      <c r="C185" s="1">
        <v>45484</v>
      </c>
      <c r="D185">
        <v>34</v>
      </c>
      <c r="E185" t="s">
        <v>778</v>
      </c>
      <c r="F185" t="s">
        <v>54</v>
      </c>
      <c r="J185" t="s">
        <v>98</v>
      </c>
      <c r="K185" t="s">
        <v>21</v>
      </c>
    </row>
    <row r="186" spans="1:16">
      <c r="A186" t="s">
        <v>3045</v>
      </c>
      <c r="B186" t="s">
        <v>3046</v>
      </c>
      <c r="C186" s="1">
        <v>45485</v>
      </c>
      <c r="D186">
        <v>55</v>
      </c>
      <c r="E186" t="s">
        <v>250</v>
      </c>
      <c r="F186" t="s">
        <v>54</v>
      </c>
      <c r="J186" t="s">
        <v>98</v>
      </c>
      <c r="K186" t="s">
        <v>21</v>
      </c>
      <c r="M186" t="s">
        <v>905</v>
      </c>
      <c r="N186" t="s">
        <v>3047</v>
      </c>
      <c r="O186" t="s">
        <v>905</v>
      </c>
      <c r="P186" t="s">
        <v>3047</v>
      </c>
    </row>
    <row r="187" spans="1:16">
      <c r="A187" t="s">
        <v>3048</v>
      </c>
      <c r="B187" t="s">
        <v>3049</v>
      </c>
      <c r="C187" s="1">
        <v>45485</v>
      </c>
      <c r="D187">
        <v>39</v>
      </c>
      <c r="E187" t="s">
        <v>841</v>
      </c>
      <c r="F187" t="s">
        <v>54</v>
      </c>
      <c r="J187" t="s">
        <v>172</v>
      </c>
      <c r="K187" t="s">
        <v>21</v>
      </c>
    </row>
    <row r="188" spans="1:16">
      <c r="A188" t="s">
        <v>3050</v>
      </c>
      <c r="B188" t="s">
        <v>3051</v>
      </c>
      <c r="C188" s="1">
        <v>45485</v>
      </c>
      <c r="D188">
        <v>47</v>
      </c>
      <c r="E188" t="s">
        <v>778</v>
      </c>
      <c r="F188" t="s">
        <v>54</v>
      </c>
      <c r="J188" t="s">
        <v>2387</v>
      </c>
      <c r="K188" t="s">
        <v>21</v>
      </c>
      <c r="M188" t="s">
        <v>3052</v>
      </c>
      <c r="N188" t="s">
        <v>2482</v>
      </c>
      <c r="O188" t="s">
        <v>3052</v>
      </c>
    </row>
    <row r="189" spans="1:16">
      <c r="A189" t="s">
        <v>3053</v>
      </c>
      <c r="B189" t="s">
        <v>3054</v>
      </c>
      <c r="C189" s="1">
        <v>45485</v>
      </c>
      <c r="D189">
        <v>44</v>
      </c>
      <c r="E189" t="s">
        <v>841</v>
      </c>
      <c r="F189" t="s">
        <v>54</v>
      </c>
      <c r="J189" t="s">
        <v>3055</v>
      </c>
      <c r="K189" t="s">
        <v>21</v>
      </c>
      <c r="M189" t="s">
        <v>3056</v>
      </c>
      <c r="N189" t="s">
        <v>2405</v>
      </c>
      <c r="O189" t="s">
        <v>3056</v>
      </c>
      <c r="P189" t="s">
        <v>2405</v>
      </c>
    </row>
    <row r="190" spans="1:16">
      <c r="A190" t="s">
        <v>3057</v>
      </c>
      <c r="B190" t="s">
        <v>3058</v>
      </c>
      <c r="C190" s="1">
        <v>45486</v>
      </c>
      <c r="D190">
        <v>89</v>
      </c>
      <c r="E190" t="s">
        <v>841</v>
      </c>
      <c r="F190" t="s">
        <v>54</v>
      </c>
      <c r="J190" t="s">
        <v>63</v>
      </c>
      <c r="K190" t="s">
        <v>21</v>
      </c>
      <c r="M190" t="s">
        <v>3059</v>
      </c>
      <c r="N190" t="s">
        <v>65</v>
      </c>
      <c r="O190" t="s">
        <v>3059</v>
      </c>
      <c r="P190" t="s">
        <v>65</v>
      </c>
    </row>
    <row r="191" spans="1:16">
      <c r="A191" t="s">
        <v>3060</v>
      </c>
      <c r="B191" t="s">
        <v>3061</v>
      </c>
      <c r="C191" s="1">
        <v>45486</v>
      </c>
      <c r="D191">
        <v>68</v>
      </c>
      <c r="E191" t="s">
        <v>112</v>
      </c>
      <c r="F191" t="s">
        <v>54</v>
      </c>
      <c r="K191" t="s">
        <v>21</v>
      </c>
      <c r="L191" t="s">
        <v>1071</v>
      </c>
      <c r="M191" t="s">
        <v>3062</v>
      </c>
      <c r="N191" t="s">
        <v>1073</v>
      </c>
      <c r="O191" t="s">
        <v>3062</v>
      </c>
      <c r="P191" t="s">
        <v>1073</v>
      </c>
    </row>
    <row r="192" spans="1:16">
      <c r="A192" t="s">
        <v>3063</v>
      </c>
      <c r="B192" t="s">
        <v>3064</v>
      </c>
      <c r="C192" s="1">
        <v>45486</v>
      </c>
      <c r="D192">
        <v>68</v>
      </c>
      <c r="E192" t="s">
        <v>841</v>
      </c>
      <c r="F192" t="s">
        <v>54</v>
      </c>
      <c r="J192" t="s">
        <v>63</v>
      </c>
      <c r="K192" t="s">
        <v>21</v>
      </c>
      <c r="L192" t="s">
        <v>1071</v>
      </c>
      <c r="M192" t="s">
        <v>3065</v>
      </c>
      <c r="N192" t="s">
        <v>1073</v>
      </c>
      <c r="O192" t="s">
        <v>3065</v>
      </c>
      <c r="P192" t="s">
        <v>1073</v>
      </c>
    </row>
    <row r="193" spans="1:16">
      <c r="A193" t="s">
        <v>3066</v>
      </c>
      <c r="B193" t="s">
        <v>3067</v>
      </c>
      <c r="C193" s="1">
        <v>45487</v>
      </c>
      <c r="D193">
        <v>71</v>
      </c>
      <c r="E193" t="s">
        <v>613</v>
      </c>
      <c r="F193" t="s">
        <v>54</v>
      </c>
      <c r="J193" t="s">
        <v>3068</v>
      </c>
      <c r="K193" t="s">
        <v>21</v>
      </c>
    </row>
    <row r="194" spans="1:16">
      <c r="A194" t="s">
        <v>3069</v>
      </c>
      <c r="B194" t="s">
        <v>3070</v>
      </c>
      <c r="C194" s="1">
        <v>45488</v>
      </c>
      <c r="D194">
        <v>61</v>
      </c>
      <c r="E194" t="s">
        <v>778</v>
      </c>
      <c r="F194" t="s">
        <v>54</v>
      </c>
      <c r="J194" t="s">
        <v>98</v>
      </c>
      <c r="K194" t="s">
        <v>21</v>
      </c>
      <c r="O194" t="s">
        <v>3071</v>
      </c>
      <c r="P194" t="s">
        <v>2405</v>
      </c>
    </row>
    <row r="195" spans="1:16">
      <c r="A195" t="s">
        <v>3072</v>
      </c>
      <c r="B195" t="s">
        <v>3073</v>
      </c>
      <c r="C195" s="1">
        <v>45488</v>
      </c>
      <c r="D195">
        <v>70</v>
      </c>
      <c r="E195" t="s">
        <v>841</v>
      </c>
      <c r="F195" t="s">
        <v>54</v>
      </c>
      <c r="J195" t="s">
        <v>461</v>
      </c>
      <c r="K195" t="s">
        <v>21</v>
      </c>
      <c r="L195" t="s">
        <v>1071</v>
      </c>
      <c r="M195" t="s">
        <v>3074</v>
      </c>
      <c r="N195" t="s">
        <v>1073</v>
      </c>
      <c r="O195" t="s">
        <v>3074</v>
      </c>
      <c r="P195" t="s">
        <v>1073</v>
      </c>
    </row>
    <row r="196" spans="1:16">
      <c r="A196" t="s">
        <v>3075</v>
      </c>
      <c r="B196" t="s">
        <v>3076</v>
      </c>
      <c r="C196" s="1">
        <v>45489</v>
      </c>
      <c r="D196">
        <v>51</v>
      </c>
      <c r="E196" t="s">
        <v>841</v>
      </c>
      <c r="F196" t="s">
        <v>54</v>
      </c>
      <c r="J196" t="s">
        <v>98</v>
      </c>
      <c r="K196" t="s">
        <v>21</v>
      </c>
      <c r="M196" t="s">
        <v>3077</v>
      </c>
      <c r="N196" t="s">
        <v>2405</v>
      </c>
      <c r="O196" t="s">
        <v>3077</v>
      </c>
      <c r="P196" t="s">
        <v>2405</v>
      </c>
    </row>
    <row r="197" spans="1:16">
      <c r="A197" t="s">
        <v>3078</v>
      </c>
      <c r="B197" t="s">
        <v>3079</v>
      </c>
      <c r="C197" s="1">
        <v>45490</v>
      </c>
      <c r="D197">
        <v>60</v>
      </c>
      <c r="E197" t="s">
        <v>841</v>
      </c>
      <c r="F197" t="s">
        <v>54</v>
      </c>
      <c r="K197" t="s">
        <v>21</v>
      </c>
      <c r="M197" t="s">
        <v>3080</v>
      </c>
      <c r="N197" t="s">
        <v>2405</v>
      </c>
      <c r="O197" t="s">
        <v>3080</v>
      </c>
      <c r="P197" t="s">
        <v>2405</v>
      </c>
    </row>
    <row r="198" spans="1:16">
      <c r="A198" t="s">
        <v>3081</v>
      </c>
      <c r="B198" t="s">
        <v>3082</v>
      </c>
      <c r="C198" s="1">
        <v>45490</v>
      </c>
      <c r="D198">
        <v>62</v>
      </c>
      <c r="E198" t="s">
        <v>841</v>
      </c>
      <c r="F198" t="s">
        <v>54</v>
      </c>
      <c r="K198" t="s">
        <v>21</v>
      </c>
      <c r="L198" t="s">
        <v>1071</v>
      </c>
      <c r="O198" t="s">
        <v>3083</v>
      </c>
    </row>
    <row r="199" spans="1:16">
      <c r="A199" t="s">
        <v>3084</v>
      </c>
      <c r="B199" t="s">
        <v>3085</v>
      </c>
      <c r="C199" s="1">
        <v>45490</v>
      </c>
      <c r="D199">
        <v>83</v>
      </c>
      <c r="E199" t="s">
        <v>778</v>
      </c>
      <c r="F199" t="s">
        <v>54</v>
      </c>
      <c r="J199" t="s">
        <v>3086</v>
      </c>
      <c r="K199" t="s">
        <v>21</v>
      </c>
      <c r="L199" t="s">
        <v>1071</v>
      </c>
      <c r="O199" t="s">
        <v>127</v>
      </c>
    </row>
    <row r="200" spans="1:16">
      <c r="A200" t="s">
        <v>3087</v>
      </c>
      <c r="B200" t="s">
        <v>3088</v>
      </c>
      <c r="C200" s="1">
        <v>45490</v>
      </c>
      <c r="D200">
        <v>67</v>
      </c>
      <c r="E200" t="s">
        <v>27</v>
      </c>
      <c r="F200" t="s">
        <v>54</v>
      </c>
      <c r="K200" t="s">
        <v>21</v>
      </c>
      <c r="N200" t="s">
        <v>2405</v>
      </c>
      <c r="P200" t="s">
        <v>2405</v>
      </c>
    </row>
    <row r="201" spans="1:16">
      <c r="A201" t="s">
        <v>3089</v>
      </c>
      <c r="B201" t="s">
        <v>3090</v>
      </c>
      <c r="C201" s="1">
        <v>45491</v>
      </c>
      <c r="D201">
        <v>52</v>
      </c>
      <c r="E201" t="s">
        <v>112</v>
      </c>
      <c r="F201" t="s">
        <v>54</v>
      </c>
      <c r="K201" t="s">
        <v>21</v>
      </c>
      <c r="M201" t="s">
        <v>3091</v>
      </c>
      <c r="O201" t="s">
        <v>3091</v>
      </c>
    </row>
    <row r="202" spans="1:16">
      <c r="A202" t="s">
        <v>3092</v>
      </c>
      <c r="B202" t="s">
        <v>3093</v>
      </c>
      <c r="C202" s="1">
        <v>45491</v>
      </c>
      <c r="D202">
        <v>58</v>
      </c>
      <c r="E202" t="s">
        <v>841</v>
      </c>
      <c r="F202" t="s">
        <v>54</v>
      </c>
      <c r="J202" t="s">
        <v>98</v>
      </c>
      <c r="K202" t="s">
        <v>21</v>
      </c>
    </row>
    <row r="203" spans="1:16">
      <c r="A203" t="s">
        <v>3094</v>
      </c>
      <c r="B203" t="s">
        <v>3095</v>
      </c>
      <c r="C203" s="1">
        <v>45491</v>
      </c>
      <c r="D203">
        <v>78</v>
      </c>
      <c r="E203" t="s">
        <v>841</v>
      </c>
      <c r="F203" t="s">
        <v>54</v>
      </c>
      <c r="J203" t="s">
        <v>1824</v>
      </c>
      <c r="K203" t="s">
        <v>21</v>
      </c>
      <c r="L203" t="s">
        <v>1071</v>
      </c>
      <c r="M203" t="s">
        <v>3096</v>
      </c>
      <c r="N203" t="s">
        <v>1073</v>
      </c>
      <c r="O203" t="s">
        <v>3096</v>
      </c>
      <c r="P203" t="s">
        <v>1073</v>
      </c>
    </row>
    <row r="204" spans="1:16">
      <c r="A204" t="s">
        <v>3097</v>
      </c>
      <c r="B204" t="s">
        <v>3098</v>
      </c>
      <c r="C204" s="1">
        <v>45491</v>
      </c>
      <c r="D204">
        <v>65</v>
      </c>
      <c r="E204" t="s">
        <v>778</v>
      </c>
      <c r="F204" t="s">
        <v>54</v>
      </c>
      <c r="J204" t="s">
        <v>3099</v>
      </c>
      <c r="K204" t="s">
        <v>21</v>
      </c>
      <c r="L204" t="s">
        <v>1071</v>
      </c>
      <c r="M204" t="s">
        <v>3100</v>
      </c>
      <c r="N204" t="s">
        <v>1073</v>
      </c>
      <c r="O204" t="s">
        <v>3100</v>
      </c>
      <c r="P204" t="s">
        <v>1073</v>
      </c>
    </row>
    <row r="205" spans="1:16">
      <c r="A205" t="s">
        <v>3101</v>
      </c>
      <c r="B205" t="s">
        <v>3102</v>
      </c>
      <c r="C205" s="1">
        <v>45491</v>
      </c>
      <c r="D205">
        <v>79</v>
      </c>
      <c r="E205" t="s">
        <v>841</v>
      </c>
      <c r="F205" t="s">
        <v>54</v>
      </c>
      <c r="J205" t="s">
        <v>28</v>
      </c>
      <c r="K205" t="s">
        <v>21</v>
      </c>
      <c r="L205" t="s">
        <v>1071</v>
      </c>
      <c r="M205" t="s">
        <v>3103</v>
      </c>
      <c r="N205" t="s">
        <v>1073</v>
      </c>
      <c r="O205" t="s">
        <v>3103</v>
      </c>
      <c r="P205" t="s">
        <v>1073</v>
      </c>
    </row>
    <row r="206" spans="1:16">
      <c r="A206" t="s">
        <v>3104</v>
      </c>
      <c r="B206" t="s">
        <v>3105</v>
      </c>
      <c r="C206" s="1">
        <v>45492</v>
      </c>
      <c r="D206">
        <v>59</v>
      </c>
      <c r="E206" t="s">
        <v>841</v>
      </c>
      <c r="F206" t="s">
        <v>54</v>
      </c>
      <c r="K206" t="s">
        <v>21</v>
      </c>
      <c r="N206" t="s">
        <v>24</v>
      </c>
      <c r="P206" t="s">
        <v>24</v>
      </c>
    </row>
    <row r="207" spans="1:16">
      <c r="A207" t="s">
        <v>3106</v>
      </c>
      <c r="B207" t="s">
        <v>3107</v>
      </c>
      <c r="C207" s="1">
        <v>45492</v>
      </c>
      <c r="D207">
        <v>72</v>
      </c>
      <c r="E207" t="s">
        <v>841</v>
      </c>
      <c r="F207" t="s">
        <v>54</v>
      </c>
      <c r="K207" t="s">
        <v>21</v>
      </c>
      <c r="L207" t="s">
        <v>1071</v>
      </c>
      <c r="M207" t="s">
        <v>3108</v>
      </c>
      <c r="N207" t="s">
        <v>1073</v>
      </c>
      <c r="O207" t="s">
        <v>3108</v>
      </c>
      <c r="P207" t="s">
        <v>1073</v>
      </c>
    </row>
    <row r="208" spans="1:16">
      <c r="A208" t="s">
        <v>3109</v>
      </c>
      <c r="B208" t="s">
        <v>3110</v>
      </c>
      <c r="C208" s="1">
        <v>45493</v>
      </c>
      <c r="D208">
        <v>77</v>
      </c>
      <c r="E208" t="s">
        <v>778</v>
      </c>
      <c r="F208" t="s">
        <v>54</v>
      </c>
      <c r="J208" t="s">
        <v>3111</v>
      </c>
      <c r="K208" t="s">
        <v>21</v>
      </c>
      <c r="L208" t="s">
        <v>1071</v>
      </c>
      <c r="M208" t="s">
        <v>3112</v>
      </c>
      <c r="N208" t="s">
        <v>1073</v>
      </c>
      <c r="O208" t="s">
        <v>3112</v>
      </c>
      <c r="P208" t="s">
        <v>1073</v>
      </c>
    </row>
    <row r="209" spans="1:16">
      <c r="A209" t="s">
        <v>3113</v>
      </c>
      <c r="B209" t="s">
        <v>3114</v>
      </c>
      <c r="C209" s="1">
        <v>45493</v>
      </c>
      <c r="D209">
        <v>80</v>
      </c>
      <c r="E209" t="s">
        <v>841</v>
      </c>
      <c r="F209" t="s">
        <v>54</v>
      </c>
      <c r="J209" t="s">
        <v>181</v>
      </c>
      <c r="K209" t="s">
        <v>21</v>
      </c>
      <c r="L209" t="s">
        <v>1071</v>
      </c>
      <c r="M209" t="s">
        <v>3115</v>
      </c>
      <c r="N209" t="s">
        <v>1073</v>
      </c>
      <c r="O209" t="s">
        <v>3115</v>
      </c>
      <c r="P209" t="s">
        <v>1073</v>
      </c>
    </row>
    <row r="210" spans="1:16">
      <c r="A210" t="s">
        <v>3116</v>
      </c>
      <c r="B210" t="s">
        <v>3117</v>
      </c>
      <c r="C210" s="1">
        <v>45494</v>
      </c>
      <c r="D210">
        <v>63</v>
      </c>
      <c r="E210" t="s">
        <v>841</v>
      </c>
      <c r="F210" t="s">
        <v>54</v>
      </c>
      <c r="J210" t="s">
        <v>1124</v>
      </c>
      <c r="K210" t="s">
        <v>21</v>
      </c>
      <c r="N210" t="s">
        <v>2405</v>
      </c>
      <c r="P210" t="s">
        <v>2405</v>
      </c>
    </row>
    <row r="211" spans="1:16">
      <c r="A211" t="s">
        <v>3118</v>
      </c>
      <c r="B211" t="s">
        <v>3119</v>
      </c>
      <c r="C211" s="1">
        <v>45494</v>
      </c>
      <c r="D211">
        <v>69</v>
      </c>
      <c r="E211" t="s">
        <v>841</v>
      </c>
      <c r="F211" t="s">
        <v>54</v>
      </c>
      <c r="J211" t="s">
        <v>63</v>
      </c>
      <c r="K211" t="s">
        <v>21</v>
      </c>
      <c r="N211" t="s">
        <v>2405</v>
      </c>
      <c r="P211" t="s">
        <v>2405</v>
      </c>
    </row>
    <row r="212" spans="1:16">
      <c r="A212" t="s">
        <v>3120</v>
      </c>
      <c r="B212" t="s">
        <v>3121</v>
      </c>
      <c r="C212" s="1">
        <v>45495</v>
      </c>
      <c r="D212">
        <v>71</v>
      </c>
      <c r="E212" t="s">
        <v>778</v>
      </c>
      <c r="F212" t="s">
        <v>54</v>
      </c>
      <c r="J212" t="s">
        <v>63</v>
      </c>
      <c r="K212" t="s">
        <v>21</v>
      </c>
      <c r="L212" t="s">
        <v>1071</v>
      </c>
      <c r="M212" t="s">
        <v>3083</v>
      </c>
      <c r="O212" t="s">
        <v>3083</v>
      </c>
    </row>
    <row r="213" spans="1:16">
      <c r="A213" t="s">
        <v>3122</v>
      </c>
      <c r="B213" t="s">
        <v>3123</v>
      </c>
      <c r="C213" s="1">
        <v>45496</v>
      </c>
      <c r="D213">
        <v>48</v>
      </c>
      <c r="E213" t="s">
        <v>841</v>
      </c>
      <c r="F213" t="s">
        <v>54</v>
      </c>
      <c r="J213" t="s">
        <v>98</v>
      </c>
      <c r="K213" t="s">
        <v>21</v>
      </c>
      <c r="M213" t="s">
        <v>3124</v>
      </c>
      <c r="N213" t="s">
        <v>65</v>
      </c>
      <c r="O213" t="s">
        <v>3124</v>
      </c>
      <c r="P213" t="s">
        <v>65</v>
      </c>
    </row>
    <row r="214" spans="1:16">
      <c r="A214" t="s">
        <v>3125</v>
      </c>
      <c r="B214" t="s">
        <v>3126</v>
      </c>
      <c r="C214" s="1">
        <v>45496</v>
      </c>
      <c r="D214">
        <v>63</v>
      </c>
      <c r="E214" t="s">
        <v>841</v>
      </c>
      <c r="F214" t="s">
        <v>54</v>
      </c>
      <c r="K214" t="s">
        <v>21</v>
      </c>
      <c r="L214" t="s">
        <v>1071</v>
      </c>
      <c r="O214" t="s">
        <v>3127</v>
      </c>
    </row>
    <row r="215" spans="1:16">
      <c r="A215" t="s">
        <v>3128</v>
      </c>
      <c r="B215" t="s">
        <v>3129</v>
      </c>
      <c r="C215" s="1">
        <v>45496</v>
      </c>
      <c r="D215">
        <v>81</v>
      </c>
      <c r="E215" t="s">
        <v>841</v>
      </c>
      <c r="F215" t="s">
        <v>54</v>
      </c>
      <c r="J215" t="s">
        <v>98</v>
      </c>
      <c r="K215" t="s">
        <v>21</v>
      </c>
      <c r="M215" t="s">
        <v>3130</v>
      </c>
      <c r="N215" t="s">
        <v>2666</v>
      </c>
      <c r="O215" t="s">
        <v>3130</v>
      </c>
      <c r="P215" t="s">
        <v>2666</v>
      </c>
    </row>
    <row r="216" spans="1:16">
      <c r="A216" t="s">
        <v>3131</v>
      </c>
      <c r="B216" t="s">
        <v>3132</v>
      </c>
      <c r="C216" s="1">
        <v>45496</v>
      </c>
      <c r="D216">
        <v>47</v>
      </c>
      <c r="F216" t="s">
        <v>54</v>
      </c>
      <c r="J216" t="s">
        <v>3133</v>
      </c>
      <c r="K216" t="s">
        <v>21</v>
      </c>
      <c r="L216" t="s">
        <v>1071</v>
      </c>
      <c r="M216" t="s">
        <v>3134</v>
      </c>
      <c r="N216" t="s">
        <v>2405</v>
      </c>
      <c r="O216" t="s">
        <v>3134</v>
      </c>
      <c r="P216" t="s">
        <v>2405</v>
      </c>
    </row>
    <row r="217" spans="1:16">
      <c r="A217" t="s">
        <v>3135</v>
      </c>
      <c r="B217" t="s">
        <v>3136</v>
      </c>
      <c r="C217" s="1">
        <v>45497</v>
      </c>
      <c r="D217">
        <v>39</v>
      </c>
      <c r="E217" t="s">
        <v>841</v>
      </c>
      <c r="F217" t="s">
        <v>54</v>
      </c>
      <c r="J217" t="s">
        <v>98</v>
      </c>
      <c r="K217" t="s">
        <v>21</v>
      </c>
      <c r="M217" t="s">
        <v>3137</v>
      </c>
      <c r="N217" t="s">
        <v>2405</v>
      </c>
      <c r="O217" t="s">
        <v>3137</v>
      </c>
      <c r="P217" t="s">
        <v>2405</v>
      </c>
    </row>
    <row r="218" spans="1:16">
      <c r="A218" t="s">
        <v>3138</v>
      </c>
      <c r="B218" t="s">
        <v>3139</v>
      </c>
      <c r="C218" s="1">
        <v>45497</v>
      </c>
      <c r="D218">
        <v>41</v>
      </c>
      <c r="E218" t="s">
        <v>27</v>
      </c>
      <c r="F218" t="s">
        <v>54</v>
      </c>
      <c r="J218" t="s">
        <v>98</v>
      </c>
      <c r="K218" t="s">
        <v>21</v>
      </c>
      <c r="M218" t="s">
        <v>3140</v>
      </c>
      <c r="O218" t="s">
        <v>3140</v>
      </c>
    </row>
    <row r="219" spans="1:16">
      <c r="A219" t="s">
        <v>3141</v>
      </c>
      <c r="B219" t="s">
        <v>3142</v>
      </c>
      <c r="C219" s="1">
        <v>45497</v>
      </c>
      <c r="D219">
        <v>76</v>
      </c>
      <c r="E219" t="s">
        <v>841</v>
      </c>
      <c r="F219" t="s">
        <v>54</v>
      </c>
      <c r="J219" t="s">
        <v>63</v>
      </c>
      <c r="K219" t="s">
        <v>21</v>
      </c>
      <c r="M219" t="s">
        <v>3143</v>
      </c>
      <c r="N219" t="s">
        <v>2405</v>
      </c>
      <c r="O219" t="s">
        <v>3143</v>
      </c>
      <c r="P219" t="s">
        <v>2405</v>
      </c>
    </row>
    <row r="220" spans="1:16">
      <c r="A220" t="s">
        <v>3144</v>
      </c>
      <c r="B220" t="s">
        <v>3145</v>
      </c>
      <c r="C220" s="1">
        <v>45498</v>
      </c>
      <c r="D220">
        <v>63</v>
      </c>
      <c r="E220" t="s">
        <v>778</v>
      </c>
      <c r="F220" t="s">
        <v>54</v>
      </c>
      <c r="J220" t="s">
        <v>379</v>
      </c>
      <c r="K220" t="s">
        <v>21</v>
      </c>
      <c r="L220" t="s">
        <v>1071</v>
      </c>
      <c r="O220" t="s">
        <v>3146</v>
      </c>
      <c r="P220" t="s">
        <v>1073</v>
      </c>
    </row>
    <row r="221" spans="1:16">
      <c r="A221" t="s">
        <v>3147</v>
      </c>
      <c r="B221" t="s">
        <v>3148</v>
      </c>
      <c r="C221" s="1">
        <v>45498</v>
      </c>
      <c r="D221">
        <v>73</v>
      </c>
      <c r="E221" t="s">
        <v>778</v>
      </c>
      <c r="F221" t="s">
        <v>54</v>
      </c>
      <c r="K221" t="s">
        <v>21</v>
      </c>
      <c r="M221" t="s">
        <v>3149</v>
      </c>
      <c r="N221" t="s">
        <v>2405</v>
      </c>
      <c r="O221" t="s">
        <v>2460</v>
      </c>
      <c r="P221" t="s">
        <v>2413</v>
      </c>
    </row>
    <row r="222" spans="1:16">
      <c r="A222" t="s">
        <v>3150</v>
      </c>
      <c r="B222" t="s">
        <v>3151</v>
      </c>
      <c r="C222" s="1">
        <v>45498</v>
      </c>
      <c r="D222">
        <v>77</v>
      </c>
      <c r="E222" t="s">
        <v>841</v>
      </c>
      <c r="F222" t="s">
        <v>54</v>
      </c>
      <c r="J222" t="s">
        <v>3152</v>
      </c>
      <c r="K222" t="s">
        <v>21</v>
      </c>
      <c r="L222" t="s">
        <v>1071</v>
      </c>
      <c r="M222" t="s">
        <v>3153</v>
      </c>
      <c r="N222" t="s">
        <v>1073</v>
      </c>
      <c r="O222" t="s">
        <v>3153</v>
      </c>
      <c r="P222" t="s">
        <v>1073</v>
      </c>
    </row>
    <row r="223" spans="1:16">
      <c r="A223" t="s">
        <v>3154</v>
      </c>
      <c r="B223" t="s">
        <v>3155</v>
      </c>
      <c r="C223" s="1">
        <v>45498</v>
      </c>
      <c r="D223">
        <v>63</v>
      </c>
      <c r="E223" t="s">
        <v>841</v>
      </c>
      <c r="F223" t="s">
        <v>54</v>
      </c>
      <c r="J223" t="s">
        <v>63</v>
      </c>
      <c r="K223" t="s">
        <v>21</v>
      </c>
      <c r="M223" t="s">
        <v>3156</v>
      </c>
      <c r="N223" t="s">
        <v>2405</v>
      </c>
      <c r="O223" t="s">
        <v>3156</v>
      </c>
      <c r="P223" t="s">
        <v>2405</v>
      </c>
    </row>
    <row r="224" spans="1:16">
      <c r="A224" t="s">
        <v>3157</v>
      </c>
      <c r="B224" t="s">
        <v>3158</v>
      </c>
      <c r="C224" s="1">
        <v>45498</v>
      </c>
      <c r="D224">
        <v>61</v>
      </c>
      <c r="E224" t="s">
        <v>841</v>
      </c>
      <c r="F224" t="s">
        <v>54</v>
      </c>
      <c r="J224" t="s">
        <v>3159</v>
      </c>
      <c r="K224" t="s">
        <v>21</v>
      </c>
      <c r="M224" t="s">
        <v>3160</v>
      </c>
      <c r="N224" t="s">
        <v>2405</v>
      </c>
      <c r="O224" t="s">
        <v>3160</v>
      </c>
      <c r="P224" t="s">
        <v>2405</v>
      </c>
    </row>
    <row r="225" spans="1:16">
      <c r="A225" t="s">
        <v>3161</v>
      </c>
      <c r="B225" t="s">
        <v>3162</v>
      </c>
      <c r="C225" s="1">
        <v>45499</v>
      </c>
      <c r="D225">
        <v>80</v>
      </c>
      <c r="E225" t="s">
        <v>841</v>
      </c>
      <c r="F225" t="s">
        <v>54</v>
      </c>
      <c r="J225" t="s">
        <v>549</v>
      </c>
      <c r="K225" t="s">
        <v>21</v>
      </c>
      <c r="N225" t="s">
        <v>1073</v>
      </c>
      <c r="P225" t="s">
        <v>1073</v>
      </c>
    </row>
    <row r="226" spans="1:16">
      <c r="A226" t="s">
        <v>3163</v>
      </c>
      <c r="B226" t="s">
        <v>3164</v>
      </c>
      <c r="C226" s="1">
        <v>45499</v>
      </c>
      <c r="D226">
        <v>37</v>
      </c>
      <c r="E226" t="s">
        <v>778</v>
      </c>
      <c r="F226" t="s">
        <v>54</v>
      </c>
      <c r="K226" t="s">
        <v>21</v>
      </c>
      <c r="M226" t="s">
        <v>3165</v>
      </c>
      <c r="O226" t="s">
        <v>3165</v>
      </c>
    </row>
    <row r="227" spans="1:16">
      <c r="A227" t="s">
        <v>3166</v>
      </c>
      <c r="B227" t="s">
        <v>3167</v>
      </c>
      <c r="C227" s="1">
        <v>45499</v>
      </c>
      <c r="D227">
        <v>81</v>
      </c>
      <c r="E227" t="s">
        <v>841</v>
      </c>
      <c r="F227" t="s">
        <v>54</v>
      </c>
      <c r="J227" t="s">
        <v>549</v>
      </c>
      <c r="K227" t="s">
        <v>21</v>
      </c>
      <c r="L227" t="s">
        <v>1071</v>
      </c>
      <c r="M227" t="s">
        <v>3168</v>
      </c>
      <c r="N227" t="s">
        <v>1073</v>
      </c>
      <c r="O227" t="s">
        <v>3168</v>
      </c>
      <c r="P227" t="s">
        <v>1073</v>
      </c>
    </row>
    <row r="228" spans="1:16">
      <c r="A228" t="s">
        <v>3169</v>
      </c>
      <c r="B228" t="s">
        <v>3170</v>
      </c>
      <c r="C228" s="1">
        <v>45499</v>
      </c>
      <c r="D228">
        <v>75</v>
      </c>
      <c r="E228" t="s">
        <v>841</v>
      </c>
      <c r="F228" t="s">
        <v>54</v>
      </c>
      <c r="J228" t="s">
        <v>3171</v>
      </c>
      <c r="K228" t="s">
        <v>21</v>
      </c>
      <c r="L228" t="s">
        <v>1071</v>
      </c>
      <c r="M228" t="s">
        <v>3172</v>
      </c>
      <c r="O228" t="s">
        <v>3172</v>
      </c>
    </row>
    <row r="229" spans="1:16">
      <c r="A229" t="s">
        <v>3173</v>
      </c>
      <c r="B229" t="s">
        <v>3174</v>
      </c>
      <c r="C229" s="1">
        <v>45499</v>
      </c>
      <c r="D229">
        <v>40</v>
      </c>
      <c r="E229" t="s">
        <v>778</v>
      </c>
      <c r="F229" t="s">
        <v>54</v>
      </c>
      <c r="J229" t="s">
        <v>172</v>
      </c>
      <c r="K229" t="s">
        <v>21</v>
      </c>
      <c r="M229" t="s">
        <v>3175</v>
      </c>
      <c r="N229" t="s">
        <v>2405</v>
      </c>
      <c r="O229" t="s">
        <v>3175</v>
      </c>
      <c r="P229" t="s">
        <v>2405</v>
      </c>
    </row>
    <row r="230" spans="1:16">
      <c r="A230" t="s">
        <v>3176</v>
      </c>
      <c r="B230" t="s">
        <v>3177</v>
      </c>
      <c r="C230" s="1">
        <v>45499</v>
      </c>
      <c r="D230">
        <v>78</v>
      </c>
      <c r="E230" t="s">
        <v>3178</v>
      </c>
      <c r="F230" t="s">
        <v>54</v>
      </c>
      <c r="J230" t="s">
        <v>3179</v>
      </c>
      <c r="K230" t="s">
        <v>21</v>
      </c>
      <c r="L230" t="s">
        <v>3180</v>
      </c>
      <c r="M230" t="s">
        <v>3181</v>
      </c>
      <c r="N230" t="s">
        <v>3182</v>
      </c>
      <c r="O230" t="s">
        <v>3181</v>
      </c>
      <c r="P230" t="s">
        <v>3182</v>
      </c>
    </row>
    <row r="231" spans="1:16">
      <c r="A231" t="s">
        <v>3183</v>
      </c>
      <c r="B231" t="s">
        <v>3184</v>
      </c>
      <c r="C231" s="1">
        <v>45499</v>
      </c>
      <c r="D231">
        <v>62</v>
      </c>
      <c r="E231" t="s">
        <v>841</v>
      </c>
      <c r="F231" t="s">
        <v>54</v>
      </c>
      <c r="K231" t="s">
        <v>21</v>
      </c>
      <c r="M231" t="s">
        <v>3185</v>
      </c>
      <c r="N231" t="s">
        <v>24</v>
      </c>
      <c r="O231" t="s">
        <v>3185</v>
      </c>
      <c r="P231" t="s">
        <v>24</v>
      </c>
    </row>
    <row r="232" spans="1:16">
      <c r="A232" t="s">
        <v>3186</v>
      </c>
      <c r="B232" t="s">
        <v>3187</v>
      </c>
      <c r="C232" s="1">
        <v>45499</v>
      </c>
      <c r="D232">
        <v>72</v>
      </c>
      <c r="E232" t="s">
        <v>841</v>
      </c>
      <c r="F232" t="s">
        <v>54</v>
      </c>
      <c r="K232" t="s">
        <v>21</v>
      </c>
      <c r="L232" t="s">
        <v>1071</v>
      </c>
      <c r="M232" t="s">
        <v>3188</v>
      </c>
      <c r="O232" t="s">
        <v>3188</v>
      </c>
    </row>
    <row r="233" spans="1:16">
      <c r="A233" t="s">
        <v>3189</v>
      </c>
      <c r="B233" t="s">
        <v>3190</v>
      </c>
      <c r="C233" s="1">
        <v>45500</v>
      </c>
      <c r="D233">
        <v>40</v>
      </c>
      <c r="E233" t="s">
        <v>778</v>
      </c>
      <c r="F233" t="s">
        <v>54</v>
      </c>
      <c r="J233" t="s">
        <v>41</v>
      </c>
      <c r="K233" t="s">
        <v>21</v>
      </c>
    </row>
    <row r="234" spans="1:16">
      <c r="A234" t="s">
        <v>3191</v>
      </c>
      <c r="B234" t="s">
        <v>3192</v>
      </c>
      <c r="C234" s="1">
        <v>45500</v>
      </c>
      <c r="D234">
        <v>66</v>
      </c>
      <c r="E234" t="s">
        <v>841</v>
      </c>
      <c r="F234" t="s">
        <v>54</v>
      </c>
      <c r="J234" t="s">
        <v>3193</v>
      </c>
      <c r="K234" t="s">
        <v>21</v>
      </c>
      <c r="M234" t="s">
        <v>3194</v>
      </c>
      <c r="N234" t="s">
        <v>2405</v>
      </c>
      <c r="O234" t="s">
        <v>3194</v>
      </c>
      <c r="P234" t="s">
        <v>2405</v>
      </c>
    </row>
    <row r="235" spans="1:16">
      <c r="A235" t="s">
        <v>3195</v>
      </c>
      <c r="B235" t="s">
        <v>3196</v>
      </c>
      <c r="C235" s="1">
        <v>45496</v>
      </c>
      <c r="D235">
        <v>75</v>
      </c>
      <c r="E235" t="s">
        <v>841</v>
      </c>
      <c r="F235" t="s">
        <v>54</v>
      </c>
      <c r="J235" t="s">
        <v>3197</v>
      </c>
      <c r="K235" t="s">
        <v>21</v>
      </c>
      <c r="M235" t="s">
        <v>3198</v>
      </c>
      <c r="N235" t="s">
        <v>3199</v>
      </c>
      <c r="O235" t="s">
        <v>3200</v>
      </c>
      <c r="P235" t="s">
        <v>3201</v>
      </c>
    </row>
    <row r="236" spans="1:16">
      <c r="A236" t="s">
        <v>3202</v>
      </c>
      <c r="B236" t="s">
        <v>3203</v>
      </c>
      <c r="C236" s="1">
        <v>45506</v>
      </c>
      <c r="D236">
        <v>41</v>
      </c>
      <c r="E236" t="s">
        <v>778</v>
      </c>
      <c r="F236" t="s">
        <v>54</v>
      </c>
      <c r="J236" t="s">
        <v>3204</v>
      </c>
      <c r="K236" t="s">
        <v>21</v>
      </c>
      <c r="M236" t="s">
        <v>3205</v>
      </c>
      <c r="N236" t="s">
        <v>271</v>
      </c>
      <c r="O236" t="s">
        <v>3205</v>
      </c>
      <c r="P236" t="s">
        <v>271</v>
      </c>
    </row>
    <row r="237" spans="1:16">
      <c r="A237" t="s">
        <v>3206</v>
      </c>
      <c r="B237" t="s">
        <v>3207</v>
      </c>
      <c r="C237" s="1">
        <v>45507</v>
      </c>
      <c r="D237">
        <v>62</v>
      </c>
      <c r="E237" t="s">
        <v>841</v>
      </c>
      <c r="F237" t="s">
        <v>54</v>
      </c>
      <c r="J237" t="s">
        <v>299</v>
      </c>
      <c r="K237" t="s">
        <v>21</v>
      </c>
      <c r="L237" t="s">
        <v>1071</v>
      </c>
      <c r="M237" t="s">
        <v>3208</v>
      </c>
      <c r="N237" t="s">
        <v>1073</v>
      </c>
      <c r="O237" t="s">
        <v>3208</v>
      </c>
      <c r="P237" t="s">
        <v>1073</v>
      </c>
    </row>
    <row r="238" spans="1:16">
      <c r="A238" t="s">
        <v>3209</v>
      </c>
      <c r="B238" t="s">
        <v>3210</v>
      </c>
      <c r="C238" s="1">
        <v>45508</v>
      </c>
      <c r="D238">
        <v>26</v>
      </c>
      <c r="E238" t="s">
        <v>778</v>
      </c>
      <c r="F238" t="s">
        <v>54</v>
      </c>
      <c r="J238" t="s">
        <v>3211</v>
      </c>
      <c r="K238" t="s">
        <v>21</v>
      </c>
      <c r="M238" t="s">
        <v>3212</v>
      </c>
      <c r="N238" t="s">
        <v>2405</v>
      </c>
      <c r="O238" t="s">
        <v>3212</v>
      </c>
      <c r="P238" t="s">
        <v>2405</v>
      </c>
    </row>
    <row r="239" spans="1:16">
      <c r="A239" t="s">
        <v>3213</v>
      </c>
      <c r="B239" t="s">
        <v>3214</v>
      </c>
      <c r="C239" s="1">
        <v>45510</v>
      </c>
      <c r="D239">
        <v>48</v>
      </c>
      <c r="E239" t="s">
        <v>841</v>
      </c>
      <c r="F239" t="s">
        <v>54</v>
      </c>
      <c r="K239" t="s">
        <v>21</v>
      </c>
      <c r="L239" t="s">
        <v>1071</v>
      </c>
      <c r="M239" t="s">
        <v>3215</v>
      </c>
      <c r="N239" t="s">
        <v>1073</v>
      </c>
      <c r="O239" t="s">
        <v>3215</v>
      </c>
      <c r="P239" t="s">
        <v>1073</v>
      </c>
    </row>
    <row r="240" spans="1:16">
      <c r="A240" t="s">
        <v>3216</v>
      </c>
      <c r="B240" t="s">
        <v>3217</v>
      </c>
      <c r="C240" s="1">
        <v>45511</v>
      </c>
      <c r="D240">
        <v>65</v>
      </c>
      <c r="E240" t="s">
        <v>841</v>
      </c>
      <c r="F240" t="s">
        <v>54</v>
      </c>
      <c r="J240" t="s">
        <v>3218</v>
      </c>
      <c r="K240" t="s">
        <v>21</v>
      </c>
      <c r="M240" t="s">
        <v>3219</v>
      </c>
      <c r="N240" t="s">
        <v>24</v>
      </c>
      <c r="O240" t="s">
        <v>3219</v>
      </c>
      <c r="P240" t="s">
        <v>24</v>
      </c>
    </row>
    <row r="241" spans="1:16">
      <c r="A241" t="s">
        <v>3220</v>
      </c>
      <c r="B241" t="s">
        <v>3221</v>
      </c>
      <c r="C241" s="1">
        <v>45512</v>
      </c>
      <c r="D241">
        <v>29</v>
      </c>
      <c r="E241" t="s">
        <v>841</v>
      </c>
      <c r="F241" t="s">
        <v>54</v>
      </c>
      <c r="J241" t="s">
        <v>98</v>
      </c>
      <c r="K241" t="s">
        <v>21</v>
      </c>
      <c r="M241" t="s">
        <v>3222</v>
      </c>
      <c r="N241" t="s">
        <v>24</v>
      </c>
      <c r="O241" t="s">
        <v>3222</v>
      </c>
      <c r="P241" t="s">
        <v>24</v>
      </c>
    </row>
    <row r="242" spans="1:16">
      <c r="A242" t="s">
        <v>3223</v>
      </c>
      <c r="B242" t="s">
        <v>3224</v>
      </c>
      <c r="C242" s="1">
        <v>45512</v>
      </c>
      <c r="D242">
        <v>56</v>
      </c>
      <c r="E242" t="s">
        <v>841</v>
      </c>
      <c r="F242" t="s">
        <v>54</v>
      </c>
      <c r="J242" t="s">
        <v>3225</v>
      </c>
      <c r="K242" t="s">
        <v>21</v>
      </c>
      <c r="M242" t="s">
        <v>3226</v>
      </c>
      <c r="N242" t="s">
        <v>2405</v>
      </c>
      <c r="O242" t="s">
        <v>3226</v>
      </c>
      <c r="P242" t="s">
        <v>2405</v>
      </c>
    </row>
    <row r="243" spans="1:16">
      <c r="A243" t="s">
        <v>3227</v>
      </c>
      <c r="B243" t="s">
        <v>3228</v>
      </c>
      <c r="C243" s="1">
        <v>45512</v>
      </c>
      <c r="D243">
        <v>70</v>
      </c>
      <c r="E243" t="s">
        <v>841</v>
      </c>
      <c r="F243" t="s">
        <v>54</v>
      </c>
      <c r="J243" t="s">
        <v>3229</v>
      </c>
      <c r="K243" t="s">
        <v>21</v>
      </c>
      <c r="M243" t="s">
        <v>3230</v>
      </c>
      <c r="N243" t="s">
        <v>2405</v>
      </c>
      <c r="O243" t="s">
        <v>3230</v>
      </c>
      <c r="P243" t="s">
        <v>2405</v>
      </c>
    </row>
    <row r="244" spans="1:16">
      <c r="A244" t="s">
        <v>3231</v>
      </c>
      <c r="B244" t="s">
        <v>3232</v>
      </c>
      <c r="C244" s="1">
        <v>45513</v>
      </c>
      <c r="D244">
        <v>33</v>
      </c>
      <c r="E244" t="s">
        <v>778</v>
      </c>
      <c r="F244" t="s">
        <v>54</v>
      </c>
      <c r="J244" t="s">
        <v>34</v>
      </c>
      <c r="K244" t="s">
        <v>21</v>
      </c>
      <c r="M244" t="s">
        <v>3233</v>
      </c>
      <c r="O244" t="s">
        <v>3233</v>
      </c>
    </row>
    <row r="245" spans="1:16">
      <c r="A245" t="s">
        <v>3234</v>
      </c>
      <c r="B245" t="s">
        <v>3235</v>
      </c>
      <c r="C245" s="1">
        <v>45514</v>
      </c>
      <c r="D245">
        <v>70</v>
      </c>
      <c r="E245" t="s">
        <v>778</v>
      </c>
      <c r="F245" t="s">
        <v>54</v>
      </c>
      <c r="K245" t="s">
        <v>21</v>
      </c>
      <c r="M245" t="s">
        <v>3236</v>
      </c>
      <c r="N245" t="s">
        <v>2405</v>
      </c>
      <c r="O245" t="s">
        <v>3236</v>
      </c>
      <c r="P245" t="s">
        <v>2405</v>
      </c>
    </row>
    <row r="246" spans="1:16">
      <c r="A246" t="s">
        <v>3237</v>
      </c>
      <c r="B246" t="s">
        <v>3238</v>
      </c>
      <c r="C246" s="1">
        <v>45515</v>
      </c>
      <c r="E246" t="s">
        <v>841</v>
      </c>
      <c r="F246" t="s">
        <v>54</v>
      </c>
      <c r="J246" t="s">
        <v>172</v>
      </c>
      <c r="K246" t="s">
        <v>21</v>
      </c>
      <c r="N246" t="s">
        <v>65</v>
      </c>
      <c r="P246" t="s">
        <v>65</v>
      </c>
    </row>
    <row r="247" spans="1:16">
      <c r="A247" t="s">
        <v>3239</v>
      </c>
      <c r="B247" t="s">
        <v>3240</v>
      </c>
      <c r="C247" s="1">
        <v>45515</v>
      </c>
      <c r="D247">
        <v>77</v>
      </c>
      <c r="E247" t="s">
        <v>3241</v>
      </c>
      <c r="F247" t="s">
        <v>54</v>
      </c>
      <c r="J247" t="s">
        <v>3242</v>
      </c>
      <c r="K247" t="s">
        <v>21</v>
      </c>
      <c r="L247" t="s">
        <v>1071</v>
      </c>
      <c r="M247" t="s">
        <v>3243</v>
      </c>
      <c r="N247" t="s">
        <v>1073</v>
      </c>
      <c r="O247" t="s">
        <v>3243</v>
      </c>
      <c r="P247" t="s">
        <v>1073</v>
      </c>
    </row>
    <row r="248" spans="1:16">
      <c r="A248" t="s">
        <v>3244</v>
      </c>
      <c r="B248" t="s">
        <v>3245</v>
      </c>
      <c r="C248" s="1">
        <v>45516</v>
      </c>
      <c r="D248">
        <v>81</v>
      </c>
      <c r="E248" t="s">
        <v>841</v>
      </c>
      <c r="F248" t="s">
        <v>54</v>
      </c>
      <c r="J248" t="s">
        <v>63</v>
      </c>
      <c r="K248" t="s">
        <v>21</v>
      </c>
      <c r="L248" t="s">
        <v>1071</v>
      </c>
      <c r="M248" t="s">
        <v>3246</v>
      </c>
      <c r="N248" t="s">
        <v>1073</v>
      </c>
      <c r="O248" t="s">
        <v>3246</v>
      </c>
      <c r="P248" t="s">
        <v>1073</v>
      </c>
    </row>
    <row r="249" spans="1:16">
      <c r="A249" t="s">
        <v>3247</v>
      </c>
      <c r="B249" t="s">
        <v>3248</v>
      </c>
      <c r="C249" s="1">
        <v>45517</v>
      </c>
      <c r="D249">
        <v>63</v>
      </c>
      <c r="E249" t="s">
        <v>841</v>
      </c>
      <c r="F249" t="s">
        <v>54</v>
      </c>
      <c r="J249" t="s">
        <v>3249</v>
      </c>
      <c r="K249" t="s">
        <v>21</v>
      </c>
      <c r="L249" t="s">
        <v>1071</v>
      </c>
      <c r="N249" t="s">
        <v>3250</v>
      </c>
      <c r="O249" t="s">
        <v>3251</v>
      </c>
      <c r="P249" t="s">
        <v>3201</v>
      </c>
    </row>
    <row r="250" spans="1:16">
      <c r="A250" t="s">
        <v>3252</v>
      </c>
      <c r="B250" t="s">
        <v>3253</v>
      </c>
      <c r="C250" s="1">
        <v>45523</v>
      </c>
      <c r="D250">
        <v>55</v>
      </c>
      <c r="E250" t="s">
        <v>778</v>
      </c>
      <c r="F250" t="s">
        <v>54</v>
      </c>
      <c r="J250" t="s">
        <v>2900</v>
      </c>
      <c r="K250" t="s">
        <v>21</v>
      </c>
      <c r="L250" t="s">
        <v>1071</v>
      </c>
      <c r="M250" t="s">
        <v>3254</v>
      </c>
      <c r="N250" t="s">
        <v>1073</v>
      </c>
      <c r="O250" t="s">
        <v>3254</v>
      </c>
      <c r="P250" t="s">
        <v>1073</v>
      </c>
    </row>
    <row r="251" spans="1:16">
      <c r="A251" t="s">
        <v>3255</v>
      </c>
      <c r="B251" t="s">
        <v>3256</v>
      </c>
      <c r="C251" s="1">
        <v>45524</v>
      </c>
      <c r="D251">
        <v>51</v>
      </c>
      <c r="E251" t="s">
        <v>778</v>
      </c>
      <c r="F251" t="s">
        <v>54</v>
      </c>
      <c r="J251" t="s">
        <v>98</v>
      </c>
      <c r="K251" t="s">
        <v>21</v>
      </c>
      <c r="M251" t="s">
        <v>3257</v>
      </c>
      <c r="N251" t="s">
        <v>3258</v>
      </c>
      <c r="O251" t="s">
        <v>3257</v>
      </c>
      <c r="P251" t="s">
        <v>3258</v>
      </c>
    </row>
    <row r="252" spans="1:16">
      <c r="A252" t="s">
        <v>3259</v>
      </c>
      <c r="B252" t="s">
        <v>3260</v>
      </c>
      <c r="C252" s="1">
        <v>45524</v>
      </c>
      <c r="D252">
        <v>67</v>
      </c>
      <c r="E252" t="s">
        <v>841</v>
      </c>
      <c r="F252" t="s">
        <v>54</v>
      </c>
      <c r="K252" t="s">
        <v>21</v>
      </c>
      <c r="M252" t="s">
        <v>3261</v>
      </c>
      <c r="N252" t="s">
        <v>2405</v>
      </c>
      <c r="O252" t="s">
        <v>3261</v>
      </c>
      <c r="P252" t="s">
        <v>2405</v>
      </c>
    </row>
    <row r="253" spans="1:16">
      <c r="A253" t="s">
        <v>3262</v>
      </c>
      <c r="B253" t="s">
        <v>3263</v>
      </c>
      <c r="C253" s="1">
        <v>45525</v>
      </c>
      <c r="D253">
        <v>67</v>
      </c>
      <c r="E253" t="s">
        <v>841</v>
      </c>
      <c r="F253" t="s">
        <v>54</v>
      </c>
      <c r="J253" t="s">
        <v>98</v>
      </c>
      <c r="K253" t="s">
        <v>21</v>
      </c>
      <c r="M253" t="s">
        <v>3264</v>
      </c>
      <c r="N253" t="s">
        <v>65</v>
      </c>
      <c r="O253" t="s">
        <v>3264</v>
      </c>
      <c r="P253" t="s">
        <v>65</v>
      </c>
    </row>
    <row r="254" spans="1:16">
      <c r="A254" t="s">
        <v>3265</v>
      </c>
      <c r="B254" t="s">
        <v>3266</v>
      </c>
      <c r="C254" s="1">
        <v>45525</v>
      </c>
      <c r="D254">
        <v>78</v>
      </c>
      <c r="E254" t="s">
        <v>778</v>
      </c>
      <c r="F254" t="s">
        <v>54</v>
      </c>
      <c r="J254" t="s">
        <v>63</v>
      </c>
      <c r="K254" t="s">
        <v>21</v>
      </c>
      <c r="L254" t="s">
        <v>1071</v>
      </c>
      <c r="M254" t="s">
        <v>3267</v>
      </c>
      <c r="N254" t="s">
        <v>1073</v>
      </c>
      <c r="O254" t="s">
        <v>3267</v>
      </c>
      <c r="P254" t="s">
        <v>1073</v>
      </c>
    </row>
    <row r="255" spans="1:16">
      <c r="A255" t="s">
        <v>3268</v>
      </c>
      <c r="B255" t="s">
        <v>3269</v>
      </c>
      <c r="C255" s="1">
        <v>45526</v>
      </c>
      <c r="D255">
        <v>56</v>
      </c>
      <c r="F255" t="s">
        <v>54</v>
      </c>
      <c r="J255" t="s">
        <v>172</v>
      </c>
      <c r="K255" t="s">
        <v>21</v>
      </c>
      <c r="M255" t="s">
        <v>3270</v>
      </c>
      <c r="N255" t="s">
        <v>3182</v>
      </c>
      <c r="O255" t="s">
        <v>3270</v>
      </c>
      <c r="P255" t="s">
        <v>3182</v>
      </c>
    </row>
    <row r="256" spans="1:16">
      <c r="A256" t="s">
        <v>3271</v>
      </c>
      <c r="B256" t="s">
        <v>3272</v>
      </c>
      <c r="C256" s="1">
        <v>45534</v>
      </c>
      <c r="D256">
        <v>42</v>
      </c>
      <c r="E256" t="s">
        <v>27</v>
      </c>
      <c r="F256" t="s">
        <v>54</v>
      </c>
      <c r="J256" t="s">
        <v>3273</v>
      </c>
      <c r="K256" t="s">
        <v>21</v>
      </c>
      <c r="L256" t="s">
        <v>1071</v>
      </c>
      <c r="M256" t="s">
        <v>3274</v>
      </c>
      <c r="N256" t="s">
        <v>1073</v>
      </c>
      <c r="O256" t="s">
        <v>3274</v>
      </c>
      <c r="P256" t="s">
        <v>1073</v>
      </c>
    </row>
    <row r="257" spans="1:16">
      <c r="A257" t="s">
        <v>3275</v>
      </c>
      <c r="B257" t="s">
        <v>3276</v>
      </c>
      <c r="C257" s="1">
        <v>45540</v>
      </c>
      <c r="D257">
        <v>69</v>
      </c>
      <c r="E257" t="s">
        <v>3277</v>
      </c>
      <c r="F257" t="s">
        <v>54</v>
      </c>
      <c r="K257" t="s">
        <v>21</v>
      </c>
    </row>
    <row r="258" spans="1:16">
      <c r="A258" t="s">
        <v>3278</v>
      </c>
      <c r="B258" t="s">
        <v>3279</v>
      </c>
      <c r="C258" s="1">
        <v>45558</v>
      </c>
      <c r="D258">
        <v>38</v>
      </c>
      <c r="E258" t="s">
        <v>27</v>
      </c>
      <c r="F258" t="s">
        <v>54</v>
      </c>
      <c r="J258" t="s">
        <v>3280</v>
      </c>
      <c r="K258" t="s">
        <v>21</v>
      </c>
      <c r="L258" t="s">
        <v>1071</v>
      </c>
      <c r="O258" t="s">
        <v>3281</v>
      </c>
      <c r="P258" t="s">
        <v>1073</v>
      </c>
    </row>
    <row r="259" spans="1:16">
      <c r="A259" t="s">
        <v>3282</v>
      </c>
      <c r="B259" t="s">
        <v>3283</v>
      </c>
      <c r="C259" s="1">
        <v>45495</v>
      </c>
      <c r="D259">
        <v>46</v>
      </c>
      <c r="E259" t="s">
        <v>841</v>
      </c>
      <c r="F259" t="s">
        <v>3284</v>
      </c>
      <c r="J259" t="s">
        <v>3036</v>
      </c>
      <c r="K259" t="s">
        <v>21</v>
      </c>
      <c r="O259" t="s">
        <v>2695</v>
      </c>
      <c r="P259" t="s">
        <v>2696</v>
      </c>
    </row>
    <row r="260" spans="1:16">
      <c r="A260" t="s">
        <v>3285</v>
      </c>
      <c r="B260" t="s">
        <v>3286</v>
      </c>
      <c r="C260" s="1">
        <v>45471</v>
      </c>
      <c r="D260">
        <v>47</v>
      </c>
      <c r="E260" t="s">
        <v>250</v>
      </c>
      <c r="F260" t="s">
        <v>3287</v>
      </c>
      <c r="K260" t="s">
        <v>21</v>
      </c>
      <c r="O260" t="s">
        <v>2460</v>
      </c>
      <c r="P260" t="s">
        <v>2413</v>
      </c>
    </row>
    <row r="261" spans="1:16">
      <c r="A261" t="s">
        <v>3288</v>
      </c>
      <c r="B261" t="s">
        <v>3289</v>
      </c>
      <c r="C261" s="1">
        <v>45499</v>
      </c>
      <c r="D261">
        <v>37</v>
      </c>
      <c r="E261" t="s">
        <v>778</v>
      </c>
      <c r="F261" t="s">
        <v>3290</v>
      </c>
      <c r="J261" t="s">
        <v>3291</v>
      </c>
      <c r="K261" t="s">
        <v>21</v>
      </c>
      <c r="M261" t="s">
        <v>1972</v>
      </c>
      <c r="N261" t="s">
        <v>271</v>
      </c>
      <c r="O261" t="s">
        <v>2578</v>
      </c>
      <c r="P261" t="s">
        <v>2696</v>
      </c>
    </row>
    <row r="262" spans="1:16">
      <c r="A262" t="s">
        <v>3292</v>
      </c>
      <c r="B262" t="s">
        <v>3293</v>
      </c>
      <c r="C262" s="1">
        <v>45476</v>
      </c>
      <c r="D262">
        <v>41</v>
      </c>
      <c r="E262" t="s">
        <v>778</v>
      </c>
      <c r="F262" t="s">
        <v>163</v>
      </c>
      <c r="K262" t="s">
        <v>21</v>
      </c>
      <c r="M262" t="s">
        <v>3294</v>
      </c>
      <c r="O262" t="s">
        <v>2695</v>
      </c>
      <c r="P262" t="s">
        <v>2433</v>
      </c>
    </row>
    <row r="263" spans="1:16">
      <c r="A263" t="s">
        <v>3295</v>
      </c>
      <c r="B263" t="s">
        <v>3296</v>
      </c>
      <c r="C263" s="1">
        <v>45477</v>
      </c>
      <c r="D263">
        <v>47</v>
      </c>
      <c r="E263" t="s">
        <v>841</v>
      </c>
      <c r="F263" t="s">
        <v>163</v>
      </c>
      <c r="J263" t="s">
        <v>172</v>
      </c>
      <c r="K263" t="s">
        <v>21</v>
      </c>
      <c r="L263" t="s">
        <v>1071</v>
      </c>
      <c r="M263" t="s">
        <v>3297</v>
      </c>
      <c r="N263" t="s">
        <v>3298</v>
      </c>
      <c r="O263" t="s">
        <v>89</v>
      </c>
      <c r="P263" t="s">
        <v>2433</v>
      </c>
    </row>
    <row r="264" spans="1:16">
      <c r="A264" t="s">
        <v>3299</v>
      </c>
      <c r="B264" t="s">
        <v>3300</v>
      </c>
      <c r="C264" s="1">
        <v>45477</v>
      </c>
      <c r="D264">
        <v>52</v>
      </c>
      <c r="E264" t="s">
        <v>841</v>
      </c>
      <c r="F264" t="s">
        <v>163</v>
      </c>
      <c r="J264" t="s">
        <v>172</v>
      </c>
      <c r="K264" t="s">
        <v>21</v>
      </c>
      <c r="M264" t="s">
        <v>3301</v>
      </c>
      <c r="N264" t="s">
        <v>2405</v>
      </c>
      <c r="O264" t="s">
        <v>2578</v>
      </c>
      <c r="P264" t="s">
        <v>2465</v>
      </c>
    </row>
    <row r="265" spans="1:16">
      <c r="A265" t="s">
        <v>3302</v>
      </c>
      <c r="B265" t="s">
        <v>3303</v>
      </c>
      <c r="C265" s="1">
        <v>45484</v>
      </c>
      <c r="D265">
        <v>44</v>
      </c>
      <c r="E265" t="s">
        <v>778</v>
      </c>
      <c r="F265" t="s">
        <v>163</v>
      </c>
      <c r="J265" t="s">
        <v>2161</v>
      </c>
      <c r="K265" t="s">
        <v>21</v>
      </c>
      <c r="M265" t="s">
        <v>3304</v>
      </c>
      <c r="O265" t="s">
        <v>127</v>
      </c>
      <c r="P265" t="s">
        <v>44</v>
      </c>
    </row>
    <row r="266" spans="1:16">
      <c r="A266" t="s">
        <v>3305</v>
      </c>
      <c r="B266" t="s">
        <v>3306</v>
      </c>
      <c r="C266" s="1">
        <v>45485</v>
      </c>
      <c r="D266">
        <v>43</v>
      </c>
      <c r="E266" t="s">
        <v>112</v>
      </c>
      <c r="F266" t="s">
        <v>163</v>
      </c>
      <c r="K266" t="s">
        <v>21</v>
      </c>
      <c r="L266" t="s">
        <v>1071</v>
      </c>
      <c r="M266" t="s">
        <v>3307</v>
      </c>
      <c r="N266" t="s">
        <v>1073</v>
      </c>
      <c r="O266" t="s">
        <v>127</v>
      </c>
      <c r="P266" t="s">
        <v>2433</v>
      </c>
    </row>
    <row r="267" spans="1:16">
      <c r="A267" t="s">
        <v>3308</v>
      </c>
      <c r="B267" t="s">
        <v>3309</v>
      </c>
      <c r="C267" s="1">
        <v>45489</v>
      </c>
      <c r="D267">
        <v>78</v>
      </c>
      <c r="E267" t="s">
        <v>841</v>
      </c>
      <c r="F267" t="s">
        <v>163</v>
      </c>
      <c r="J267" t="s">
        <v>3310</v>
      </c>
      <c r="K267" t="s">
        <v>21</v>
      </c>
      <c r="L267" t="s">
        <v>1071</v>
      </c>
      <c r="M267" t="s">
        <v>3311</v>
      </c>
      <c r="N267" t="s">
        <v>1073</v>
      </c>
      <c r="O267" t="s">
        <v>89</v>
      </c>
      <c r="P267" t="s">
        <v>2433</v>
      </c>
    </row>
    <row r="268" spans="1:16">
      <c r="A268" t="s">
        <v>3312</v>
      </c>
      <c r="B268" t="s">
        <v>3313</v>
      </c>
      <c r="C268" s="1">
        <v>45513</v>
      </c>
      <c r="D268">
        <v>73</v>
      </c>
      <c r="E268" t="s">
        <v>841</v>
      </c>
      <c r="F268" t="s">
        <v>163</v>
      </c>
      <c r="J268" t="s">
        <v>3314</v>
      </c>
      <c r="K268" t="s">
        <v>21</v>
      </c>
      <c r="L268" t="s">
        <v>1071</v>
      </c>
      <c r="M268" t="s">
        <v>3315</v>
      </c>
      <c r="N268" t="s">
        <v>1073</v>
      </c>
      <c r="O268" t="s">
        <v>478</v>
      </c>
      <c r="P268" t="s">
        <v>109</v>
      </c>
    </row>
    <row r="269" spans="1:16">
      <c r="A269" t="s">
        <v>3316</v>
      </c>
      <c r="B269" t="s">
        <v>3317</v>
      </c>
      <c r="C269" s="1">
        <v>45521</v>
      </c>
      <c r="D269">
        <v>36</v>
      </c>
      <c r="E269" t="s">
        <v>106</v>
      </c>
      <c r="F269" t="s">
        <v>163</v>
      </c>
      <c r="J269" t="s">
        <v>98</v>
      </c>
      <c r="K269" t="s">
        <v>21</v>
      </c>
      <c r="M269" t="s">
        <v>3318</v>
      </c>
      <c r="N269" t="s">
        <v>2405</v>
      </c>
      <c r="O269" t="s">
        <v>2578</v>
      </c>
      <c r="P269" t="s">
        <v>2413</v>
      </c>
    </row>
    <row r="270" spans="1:16">
      <c r="A270" t="s">
        <v>3319</v>
      </c>
      <c r="B270" t="s">
        <v>3320</v>
      </c>
      <c r="C270" s="1">
        <v>45493</v>
      </c>
      <c r="D270">
        <v>41</v>
      </c>
      <c r="E270" t="s">
        <v>841</v>
      </c>
      <c r="F270" t="s">
        <v>163</v>
      </c>
      <c r="J270" t="s">
        <v>172</v>
      </c>
      <c r="K270" t="s">
        <v>21</v>
      </c>
      <c r="L270" t="s">
        <v>1071</v>
      </c>
      <c r="M270" t="s">
        <v>3321</v>
      </c>
      <c r="N270" t="s">
        <v>208</v>
      </c>
      <c r="O270" t="s">
        <v>116</v>
      </c>
      <c r="P270" t="s">
        <v>51</v>
      </c>
    </row>
    <row r="271" spans="1:16">
      <c r="A271" t="s">
        <v>3322</v>
      </c>
      <c r="B271" t="s">
        <v>3323</v>
      </c>
      <c r="C271" s="1">
        <v>45532</v>
      </c>
      <c r="D271">
        <v>41</v>
      </c>
      <c r="E271" t="s">
        <v>841</v>
      </c>
      <c r="F271" t="s">
        <v>3324</v>
      </c>
      <c r="J271" t="s">
        <v>503</v>
      </c>
      <c r="K271" t="s">
        <v>21</v>
      </c>
      <c r="M271" t="s">
        <v>3325</v>
      </c>
      <c r="N271" t="s">
        <v>24</v>
      </c>
      <c r="O271" t="s">
        <v>1096</v>
      </c>
      <c r="P271" t="s">
        <v>109</v>
      </c>
    </row>
    <row r="272" spans="1:16">
      <c r="A272" t="s">
        <v>3326</v>
      </c>
      <c r="B272" t="s">
        <v>3327</v>
      </c>
      <c r="C272" s="1">
        <v>45610</v>
      </c>
      <c r="D272">
        <v>69</v>
      </c>
      <c r="E272" t="s">
        <v>778</v>
      </c>
      <c r="F272" t="s">
        <v>3324</v>
      </c>
      <c r="K272" t="s">
        <v>21</v>
      </c>
      <c r="L272" t="s">
        <v>1071</v>
      </c>
      <c r="O272" t="s">
        <v>3328</v>
      </c>
      <c r="P272" t="s">
        <v>3329</v>
      </c>
    </row>
    <row r="273" spans="1:16">
      <c r="A273" t="s">
        <v>3330</v>
      </c>
      <c r="B273" t="s">
        <v>3331</v>
      </c>
      <c r="C273" s="1">
        <v>45486</v>
      </c>
      <c r="D273">
        <v>25</v>
      </c>
      <c r="E273" t="s">
        <v>27</v>
      </c>
      <c r="F273" t="s">
        <v>3332</v>
      </c>
      <c r="J273" t="s">
        <v>3333</v>
      </c>
      <c r="K273" t="s">
        <v>21</v>
      </c>
    </row>
    <row r="274" spans="1:16">
      <c r="A274" t="s">
        <v>3334</v>
      </c>
      <c r="B274" t="s">
        <v>3335</v>
      </c>
      <c r="C274" s="1">
        <v>45465</v>
      </c>
      <c r="D274">
        <v>58</v>
      </c>
      <c r="E274" t="s">
        <v>841</v>
      </c>
      <c r="F274" t="s">
        <v>3336</v>
      </c>
      <c r="J274" t="s">
        <v>3337</v>
      </c>
      <c r="K274" t="s">
        <v>21</v>
      </c>
      <c r="M274" t="s">
        <v>3338</v>
      </c>
      <c r="N274" t="s">
        <v>2405</v>
      </c>
      <c r="O274" t="s">
        <v>3338</v>
      </c>
      <c r="P274" t="s">
        <v>2405</v>
      </c>
    </row>
    <row r="275" spans="1:16">
      <c r="A275" t="s">
        <v>3339</v>
      </c>
      <c r="B275" t="s">
        <v>3340</v>
      </c>
      <c r="C275" s="1">
        <v>45485</v>
      </c>
      <c r="D275">
        <v>43</v>
      </c>
      <c r="F275" t="s">
        <v>3341</v>
      </c>
      <c r="J275" t="s">
        <v>35</v>
      </c>
      <c r="K275" t="s">
        <v>21</v>
      </c>
      <c r="N275" t="s">
        <v>1073</v>
      </c>
      <c r="P275" t="s">
        <v>1073</v>
      </c>
    </row>
    <row r="276" spans="1:16">
      <c r="A276" t="s">
        <v>3342</v>
      </c>
      <c r="B276" t="s">
        <v>3343</v>
      </c>
      <c r="C276" s="1">
        <v>45485</v>
      </c>
      <c r="D276">
        <v>56</v>
      </c>
      <c r="E276" t="s">
        <v>841</v>
      </c>
      <c r="F276" t="s">
        <v>1827</v>
      </c>
      <c r="J276" t="s">
        <v>35</v>
      </c>
      <c r="K276" t="s">
        <v>21</v>
      </c>
      <c r="L276" t="s">
        <v>1071</v>
      </c>
      <c r="M276" t="s">
        <v>3344</v>
      </c>
      <c r="N276" t="s">
        <v>1073</v>
      </c>
      <c r="O276" t="s">
        <v>3344</v>
      </c>
      <c r="P276" t="s">
        <v>1073</v>
      </c>
    </row>
    <row r="277" spans="1:16">
      <c r="A277" t="s">
        <v>3345</v>
      </c>
      <c r="B277" t="s">
        <v>3346</v>
      </c>
      <c r="C277" s="1">
        <v>45481</v>
      </c>
      <c r="D277">
        <v>23</v>
      </c>
      <c r="E277" t="s">
        <v>778</v>
      </c>
      <c r="F277" t="s">
        <v>3347</v>
      </c>
      <c r="J277" t="s">
        <v>54</v>
      </c>
      <c r="K277" t="s">
        <v>21</v>
      </c>
      <c r="M277" t="s">
        <v>3348</v>
      </c>
      <c r="N277" t="s">
        <v>2405</v>
      </c>
      <c r="O277" t="s">
        <v>3348</v>
      </c>
      <c r="P277" t="s">
        <v>2405</v>
      </c>
    </row>
    <row r="278" spans="1:16">
      <c r="A278" t="s">
        <v>3349</v>
      </c>
      <c r="B278" t="s">
        <v>3350</v>
      </c>
      <c r="C278" s="1">
        <v>45492</v>
      </c>
      <c r="D278">
        <v>32</v>
      </c>
      <c r="E278" t="s">
        <v>841</v>
      </c>
      <c r="F278" t="s">
        <v>3347</v>
      </c>
      <c r="J278" t="s">
        <v>54</v>
      </c>
      <c r="K278" t="s">
        <v>21</v>
      </c>
      <c r="M278" t="s">
        <v>3351</v>
      </c>
      <c r="O278" t="s">
        <v>3351</v>
      </c>
    </row>
    <row r="279" spans="1:16">
      <c r="A279" t="s">
        <v>3352</v>
      </c>
      <c r="B279" t="s">
        <v>3353</v>
      </c>
      <c r="C279" s="1">
        <v>45499</v>
      </c>
      <c r="D279">
        <v>55</v>
      </c>
      <c r="E279" t="s">
        <v>841</v>
      </c>
      <c r="F279" t="s">
        <v>472</v>
      </c>
      <c r="J279" t="s">
        <v>3354</v>
      </c>
      <c r="K279" t="s">
        <v>21</v>
      </c>
    </row>
    <row r="280" spans="1:16">
      <c r="A280" t="s">
        <v>3355</v>
      </c>
      <c r="B280" t="s">
        <v>3356</v>
      </c>
      <c r="C280" s="1">
        <v>45455</v>
      </c>
      <c r="D280">
        <v>57</v>
      </c>
      <c r="E280" t="s">
        <v>841</v>
      </c>
      <c r="F280" t="s">
        <v>286</v>
      </c>
      <c r="J280" t="s">
        <v>54</v>
      </c>
      <c r="K280" t="s">
        <v>21</v>
      </c>
      <c r="O280" t="s">
        <v>3357</v>
      </c>
    </row>
    <row r="281" spans="1:16">
      <c r="A281" t="s">
        <v>3358</v>
      </c>
      <c r="B281" t="s">
        <v>3359</v>
      </c>
      <c r="C281" s="1">
        <v>45477</v>
      </c>
      <c r="D281">
        <v>46</v>
      </c>
      <c r="E281" t="s">
        <v>841</v>
      </c>
      <c r="F281" t="s">
        <v>286</v>
      </c>
      <c r="J281" t="s">
        <v>3360</v>
      </c>
      <c r="K281" t="s">
        <v>21</v>
      </c>
    </row>
    <row r="282" spans="1:16">
      <c r="A282" t="s">
        <v>3361</v>
      </c>
      <c r="B282" t="s">
        <v>3362</v>
      </c>
      <c r="C282" s="1">
        <v>45496</v>
      </c>
      <c r="D282">
        <v>38</v>
      </c>
      <c r="E282" t="s">
        <v>841</v>
      </c>
      <c r="F282" t="s">
        <v>3363</v>
      </c>
      <c r="J282" t="s">
        <v>54</v>
      </c>
      <c r="K282" t="s">
        <v>21</v>
      </c>
      <c r="L282" t="s">
        <v>1071</v>
      </c>
      <c r="M282" t="s">
        <v>3364</v>
      </c>
      <c r="N282" t="s">
        <v>65</v>
      </c>
      <c r="O282" t="s">
        <v>3364</v>
      </c>
      <c r="P282" t="s">
        <v>65</v>
      </c>
    </row>
    <row r="283" spans="1:16">
      <c r="A283" t="s">
        <v>3365</v>
      </c>
      <c r="B283" t="s">
        <v>3366</v>
      </c>
      <c r="C283" s="1">
        <v>45491</v>
      </c>
      <c r="D283">
        <v>57</v>
      </c>
      <c r="E283" t="s">
        <v>27</v>
      </c>
      <c r="F283" t="s">
        <v>3367</v>
      </c>
      <c r="J283" t="s">
        <v>54</v>
      </c>
      <c r="K283" t="s">
        <v>21</v>
      </c>
      <c r="M283" t="s">
        <v>3368</v>
      </c>
      <c r="N283" t="s">
        <v>2405</v>
      </c>
      <c r="O283" t="s">
        <v>3368</v>
      </c>
      <c r="P283" t="s">
        <v>2405</v>
      </c>
    </row>
    <row r="284" spans="1:16">
      <c r="A284" t="s">
        <v>3369</v>
      </c>
      <c r="B284" t="s">
        <v>3370</v>
      </c>
      <c r="C284" s="1">
        <v>45496</v>
      </c>
      <c r="D284">
        <v>88</v>
      </c>
      <c r="E284" t="s">
        <v>841</v>
      </c>
      <c r="F284" t="s">
        <v>549</v>
      </c>
      <c r="J284" t="s">
        <v>54</v>
      </c>
      <c r="K284" t="s">
        <v>21</v>
      </c>
      <c r="L284" t="s">
        <v>1071</v>
      </c>
      <c r="M284" t="s">
        <v>3371</v>
      </c>
      <c r="O284" t="s">
        <v>3371</v>
      </c>
    </row>
    <row r="285" spans="1:16">
      <c r="A285" t="s">
        <v>3372</v>
      </c>
      <c r="B285" t="s">
        <v>3263</v>
      </c>
      <c r="C285" s="1">
        <v>45480</v>
      </c>
      <c r="D285">
        <v>56</v>
      </c>
      <c r="E285" t="s">
        <v>778</v>
      </c>
      <c r="F285" t="s">
        <v>660</v>
      </c>
      <c r="J285" t="s">
        <v>98</v>
      </c>
      <c r="K285" t="s">
        <v>21</v>
      </c>
      <c r="M285" t="s">
        <v>3373</v>
      </c>
      <c r="N285" t="s">
        <v>2405</v>
      </c>
      <c r="O285" t="s">
        <v>3373</v>
      </c>
      <c r="P285" t="s">
        <v>2405</v>
      </c>
    </row>
    <row r="286" spans="1:16">
      <c r="A286" t="s">
        <v>3374</v>
      </c>
      <c r="B286" t="s">
        <v>3375</v>
      </c>
      <c r="C286" s="1">
        <v>45480</v>
      </c>
      <c r="D286">
        <v>27</v>
      </c>
      <c r="E286" t="s">
        <v>112</v>
      </c>
      <c r="F286" t="s">
        <v>660</v>
      </c>
      <c r="K286" t="s">
        <v>21</v>
      </c>
      <c r="N286" t="s">
        <v>2666</v>
      </c>
      <c r="O286" t="s">
        <v>127</v>
      </c>
    </row>
    <row r="287" spans="1:16">
      <c r="A287" t="s">
        <v>3376</v>
      </c>
      <c r="B287" t="s">
        <v>3377</v>
      </c>
      <c r="C287" s="1">
        <v>45481</v>
      </c>
      <c r="D287">
        <v>61</v>
      </c>
      <c r="E287" t="s">
        <v>27</v>
      </c>
      <c r="F287" t="s">
        <v>660</v>
      </c>
      <c r="J287" t="s">
        <v>3378</v>
      </c>
      <c r="K287" t="s">
        <v>21</v>
      </c>
      <c r="L287" t="s">
        <v>1071</v>
      </c>
      <c r="N287" t="s">
        <v>2666</v>
      </c>
    </row>
    <row r="288" spans="1:16">
      <c r="A288" t="s">
        <v>3379</v>
      </c>
      <c r="B288" t="s">
        <v>3380</v>
      </c>
      <c r="C288" s="1">
        <v>45481</v>
      </c>
      <c r="D288">
        <v>55</v>
      </c>
      <c r="E288" t="s">
        <v>841</v>
      </c>
      <c r="F288" t="s">
        <v>660</v>
      </c>
      <c r="J288" t="s">
        <v>135</v>
      </c>
      <c r="K288" t="s">
        <v>21</v>
      </c>
      <c r="N288" t="s">
        <v>2405</v>
      </c>
      <c r="O288" t="s">
        <v>2684</v>
      </c>
      <c r="P288" t="s">
        <v>51</v>
      </c>
    </row>
    <row r="289" spans="1:16">
      <c r="A289" t="s">
        <v>3381</v>
      </c>
      <c r="B289" t="s">
        <v>3382</v>
      </c>
      <c r="C289" s="1">
        <v>45482</v>
      </c>
      <c r="D289">
        <v>28</v>
      </c>
      <c r="E289" t="s">
        <v>27</v>
      </c>
      <c r="F289" t="s">
        <v>660</v>
      </c>
      <c r="J289" t="s">
        <v>130</v>
      </c>
      <c r="K289" t="s">
        <v>21</v>
      </c>
      <c r="M289" t="s">
        <v>3383</v>
      </c>
      <c r="N289" t="s">
        <v>2405</v>
      </c>
      <c r="O289" t="s">
        <v>2460</v>
      </c>
      <c r="P289" t="s">
        <v>2537</v>
      </c>
    </row>
    <row r="290" spans="1:16">
      <c r="A290" t="s">
        <v>3384</v>
      </c>
      <c r="B290" t="s">
        <v>3385</v>
      </c>
      <c r="C290" s="1">
        <v>45489</v>
      </c>
      <c r="D290">
        <v>61</v>
      </c>
      <c r="E290" t="s">
        <v>778</v>
      </c>
      <c r="F290" t="s">
        <v>660</v>
      </c>
      <c r="K290" t="s">
        <v>21</v>
      </c>
      <c r="M290" t="s">
        <v>1972</v>
      </c>
      <c r="O290" t="s">
        <v>127</v>
      </c>
    </row>
    <row r="291" spans="1:16">
      <c r="A291" t="s">
        <v>3386</v>
      </c>
      <c r="B291" t="s">
        <v>3387</v>
      </c>
      <c r="C291" s="1">
        <v>45494</v>
      </c>
      <c r="D291">
        <v>36</v>
      </c>
      <c r="E291" t="s">
        <v>27</v>
      </c>
      <c r="F291" t="s">
        <v>660</v>
      </c>
      <c r="J291" t="s">
        <v>47</v>
      </c>
      <c r="K291" t="s">
        <v>21</v>
      </c>
      <c r="M291" t="s">
        <v>3388</v>
      </c>
      <c r="N291" t="s">
        <v>2405</v>
      </c>
      <c r="O291" t="s">
        <v>43</v>
      </c>
      <c r="P291" t="s">
        <v>2413</v>
      </c>
    </row>
    <row r="292" spans="1:16">
      <c r="A292" t="s">
        <v>3389</v>
      </c>
      <c r="B292" t="s">
        <v>3390</v>
      </c>
      <c r="C292" s="1">
        <v>45495</v>
      </c>
      <c r="D292">
        <v>52</v>
      </c>
      <c r="E292" t="s">
        <v>841</v>
      </c>
      <c r="F292" t="s">
        <v>660</v>
      </c>
      <c r="J292" t="s">
        <v>3391</v>
      </c>
      <c r="K292" t="s">
        <v>21</v>
      </c>
      <c r="M292" t="s">
        <v>3392</v>
      </c>
      <c r="N292" t="s">
        <v>2405</v>
      </c>
      <c r="O292" t="s">
        <v>3392</v>
      </c>
      <c r="P292" t="s">
        <v>2405</v>
      </c>
    </row>
    <row r="293" spans="1:16">
      <c r="A293" t="s">
        <v>3393</v>
      </c>
      <c r="B293" t="s">
        <v>3394</v>
      </c>
      <c r="C293" s="1">
        <v>45496</v>
      </c>
      <c r="D293">
        <v>34</v>
      </c>
      <c r="E293" t="s">
        <v>778</v>
      </c>
      <c r="F293" t="s">
        <v>660</v>
      </c>
      <c r="J293" t="s">
        <v>98</v>
      </c>
      <c r="K293" t="s">
        <v>21</v>
      </c>
      <c r="M293" t="s">
        <v>3395</v>
      </c>
      <c r="N293" t="s">
        <v>132</v>
      </c>
      <c r="O293" t="s">
        <v>2684</v>
      </c>
      <c r="P293" t="s">
        <v>2537</v>
      </c>
    </row>
    <row r="294" spans="1:16">
      <c r="A294" t="s">
        <v>3396</v>
      </c>
      <c r="B294" t="s">
        <v>3397</v>
      </c>
      <c r="C294" s="1">
        <v>45497</v>
      </c>
      <c r="D294">
        <v>61</v>
      </c>
      <c r="E294" t="s">
        <v>841</v>
      </c>
      <c r="F294" t="s">
        <v>660</v>
      </c>
      <c r="J294" t="s">
        <v>135</v>
      </c>
      <c r="K294" t="s">
        <v>21</v>
      </c>
      <c r="M294" t="s">
        <v>3398</v>
      </c>
      <c r="N294" t="s">
        <v>271</v>
      </c>
      <c r="O294" t="s">
        <v>2578</v>
      </c>
      <c r="P294" t="s">
        <v>44</v>
      </c>
    </row>
    <row r="295" spans="1:16">
      <c r="A295" t="s">
        <v>3399</v>
      </c>
      <c r="B295" t="s">
        <v>3400</v>
      </c>
      <c r="C295" s="1">
        <v>45496</v>
      </c>
      <c r="D295">
        <v>27</v>
      </c>
      <c r="E295" t="s">
        <v>841</v>
      </c>
      <c r="F295" t="s">
        <v>660</v>
      </c>
      <c r="J295" t="s">
        <v>1808</v>
      </c>
      <c r="K295" t="s">
        <v>21</v>
      </c>
      <c r="M295" t="s">
        <v>3401</v>
      </c>
      <c r="N295" t="s">
        <v>2405</v>
      </c>
      <c r="O295" t="s">
        <v>2460</v>
      </c>
      <c r="P295" t="s">
        <v>2433</v>
      </c>
    </row>
    <row r="296" spans="1:16">
      <c r="A296" t="s">
        <v>3402</v>
      </c>
      <c r="B296" t="s">
        <v>3403</v>
      </c>
      <c r="C296" s="1">
        <v>45511</v>
      </c>
      <c r="D296">
        <v>47</v>
      </c>
      <c r="E296" t="s">
        <v>778</v>
      </c>
      <c r="F296" t="s">
        <v>660</v>
      </c>
      <c r="J296" t="s">
        <v>98</v>
      </c>
      <c r="K296" t="s">
        <v>21</v>
      </c>
      <c r="O296" t="s">
        <v>2460</v>
      </c>
      <c r="P296" t="s">
        <v>2579</v>
      </c>
    </row>
    <row r="297" spans="1:16">
      <c r="A297" t="s">
        <v>3404</v>
      </c>
      <c r="B297" t="s">
        <v>3405</v>
      </c>
      <c r="C297" s="1">
        <v>45534</v>
      </c>
      <c r="D297">
        <v>34</v>
      </c>
      <c r="E297" t="s">
        <v>841</v>
      </c>
      <c r="F297" t="s">
        <v>3406</v>
      </c>
      <c r="J297" t="s">
        <v>3407</v>
      </c>
      <c r="K297" t="s">
        <v>21</v>
      </c>
      <c r="M297" t="s">
        <v>3408</v>
      </c>
      <c r="N297" t="s">
        <v>2405</v>
      </c>
      <c r="O297" t="s">
        <v>2460</v>
      </c>
      <c r="P297" t="s">
        <v>2413</v>
      </c>
    </row>
    <row r="298" spans="1:16">
      <c r="A298" t="s">
        <v>3409</v>
      </c>
      <c r="B298" t="s">
        <v>3410</v>
      </c>
      <c r="C298" s="1">
        <v>45443</v>
      </c>
      <c r="D298">
        <v>44</v>
      </c>
      <c r="E298" t="s">
        <v>841</v>
      </c>
      <c r="F298" t="s">
        <v>638</v>
      </c>
      <c r="K298" t="s">
        <v>21</v>
      </c>
      <c r="M298" t="s">
        <v>3411</v>
      </c>
      <c r="N298" t="s">
        <v>2482</v>
      </c>
      <c r="O298" t="s">
        <v>3411</v>
      </c>
      <c r="P298" t="s">
        <v>2482</v>
      </c>
    </row>
    <row r="299" spans="1:16">
      <c r="A299" t="s">
        <v>3412</v>
      </c>
      <c r="B299" t="s">
        <v>3413</v>
      </c>
      <c r="C299" s="1">
        <v>45468</v>
      </c>
      <c r="D299">
        <v>50</v>
      </c>
      <c r="E299" t="s">
        <v>106</v>
      </c>
      <c r="F299" t="s">
        <v>638</v>
      </c>
      <c r="G299" t="s">
        <v>54</v>
      </c>
      <c r="J299" t="s">
        <v>3414</v>
      </c>
      <c r="K299" t="s">
        <v>21</v>
      </c>
      <c r="M299" t="s">
        <v>3415</v>
      </c>
      <c r="N299" t="s">
        <v>2405</v>
      </c>
      <c r="O299" t="s">
        <v>3415</v>
      </c>
      <c r="P299" t="s">
        <v>2405</v>
      </c>
    </row>
    <row r="300" spans="1:16">
      <c r="A300" t="s">
        <v>3416</v>
      </c>
      <c r="B300" t="s">
        <v>3417</v>
      </c>
      <c r="C300" s="1">
        <v>45470</v>
      </c>
      <c r="D300">
        <v>34</v>
      </c>
      <c r="E300" t="s">
        <v>778</v>
      </c>
      <c r="F300" t="s">
        <v>638</v>
      </c>
      <c r="G300" t="s">
        <v>54</v>
      </c>
      <c r="J300" t="s">
        <v>98</v>
      </c>
      <c r="K300" t="s">
        <v>21</v>
      </c>
      <c r="M300" t="s">
        <v>3418</v>
      </c>
      <c r="N300" t="s">
        <v>3419</v>
      </c>
      <c r="O300" t="s">
        <v>3418</v>
      </c>
      <c r="P300" t="s">
        <v>3419</v>
      </c>
    </row>
    <row r="301" spans="1:16">
      <c r="A301" t="s">
        <v>3420</v>
      </c>
      <c r="B301" t="s">
        <v>3421</v>
      </c>
      <c r="C301" s="1">
        <v>45479</v>
      </c>
      <c r="D301">
        <v>85</v>
      </c>
      <c r="E301" t="s">
        <v>778</v>
      </c>
      <c r="F301" t="s">
        <v>638</v>
      </c>
      <c r="J301" t="s">
        <v>3422</v>
      </c>
      <c r="K301" t="s">
        <v>21</v>
      </c>
      <c r="N301" t="s">
        <v>2405</v>
      </c>
      <c r="O301" t="s">
        <v>2695</v>
      </c>
    </row>
    <row r="302" spans="1:16">
      <c r="A302" t="s">
        <v>3423</v>
      </c>
      <c r="B302" t="s">
        <v>3424</v>
      </c>
      <c r="C302" s="1">
        <v>45486</v>
      </c>
      <c r="D302">
        <v>64</v>
      </c>
      <c r="E302" t="s">
        <v>778</v>
      </c>
      <c r="F302" t="s">
        <v>2387</v>
      </c>
      <c r="J302" t="s">
        <v>54</v>
      </c>
      <c r="K302" t="s">
        <v>21</v>
      </c>
      <c r="L302" t="s">
        <v>1071</v>
      </c>
      <c r="M302" t="s">
        <v>3425</v>
      </c>
      <c r="N302" t="s">
        <v>1073</v>
      </c>
      <c r="O302" t="s">
        <v>3425</v>
      </c>
      <c r="P302" t="s">
        <v>1073</v>
      </c>
    </row>
    <row r="303" spans="1:16">
      <c r="A303" t="s">
        <v>3426</v>
      </c>
      <c r="B303" t="s">
        <v>3427</v>
      </c>
      <c r="C303" s="1">
        <v>45451</v>
      </c>
      <c r="D303">
        <v>75</v>
      </c>
      <c r="E303" t="s">
        <v>841</v>
      </c>
      <c r="F303" t="s">
        <v>227</v>
      </c>
      <c r="J303" t="s">
        <v>3428</v>
      </c>
      <c r="K303" t="s">
        <v>21</v>
      </c>
      <c r="L303" t="s">
        <v>1071</v>
      </c>
      <c r="M303" t="s">
        <v>3429</v>
      </c>
      <c r="O303" t="s">
        <v>3429</v>
      </c>
    </row>
    <row r="304" spans="1:16">
      <c r="A304" t="s">
        <v>3430</v>
      </c>
      <c r="B304" t="s">
        <v>3431</v>
      </c>
      <c r="C304" s="1">
        <v>45457</v>
      </c>
      <c r="D304">
        <v>84</v>
      </c>
      <c r="E304" t="s">
        <v>841</v>
      </c>
      <c r="F304" t="s">
        <v>227</v>
      </c>
      <c r="J304" t="s">
        <v>35</v>
      </c>
      <c r="K304" t="s">
        <v>21</v>
      </c>
      <c r="L304" t="s">
        <v>1071</v>
      </c>
      <c r="O304" t="s">
        <v>3432</v>
      </c>
    </row>
    <row r="305" spans="1:16">
      <c r="A305" t="s">
        <v>3433</v>
      </c>
      <c r="B305" t="s">
        <v>3434</v>
      </c>
      <c r="C305" s="1">
        <v>45469</v>
      </c>
      <c r="D305">
        <v>53</v>
      </c>
      <c r="E305" t="s">
        <v>778</v>
      </c>
      <c r="F305" t="s">
        <v>227</v>
      </c>
      <c r="J305" t="s">
        <v>54</v>
      </c>
      <c r="K305" t="s">
        <v>21</v>
      </c>
      <c r="L305" t="s">
        <v>1071</v>
      </c>
      <c r="O305" t="s">
        <v>3435</v>
      </c>
    </row>
    <row r="306" spans="1:16">
      <c r="A306" t="s">
        <v>3436</v>
      </c>
      <c r="B306" t="s">
        <v>3437</v>
      </c>
      <c r="C306" s="1">
        <v>45474</v>
      </c>
      <c r="D306">
        <v>81</v>
      </c>
      <c r="E306" t="s">
        <v>841</v>
      </c>
      <c r="F306" t="s">
        <v>227</v>
      </c>
      <c r="J306" t="s">
        <v>185</v>
      </c>
      <c r="K306" t="s">
        <v>21</v>
      </c>
      <c r="L306" t="s">
        <v>1071</v>
      </c>
      <c r="O306" t="s">
        <v>3438</v>
      </c>
      <c r="P306" t="s">
        <v>1073</v>
      </c>
    </row>
    <row r="307" spans="1:16">
      <c r="A307" t="s">
        <v>3439</v>
      </c>
      <c r="B307" t="s">
        <v>3440</v>
      </c>
      <c r="C307" s="1">
        <v>45480</v>
      </c>
      <c r="D307">
        <v>78</v>
      </c>
      <c r="E307" t="s">
        <v>841</v>
      </c>
      <c r="F307" t="s">
        <v>227</v>
      </c>
      <c r="J307" t="s">
        <v>3441</v>
      </c>
      <c r="K307" t="s">
        <v>21</v>
      </c>
      <c r="N307" t="s">
        <v>1073</v>
      </c>
      <c r="P307" t="s">
        <v>1073</v>
      </c>
    </row>
    <row r="308" spans="1:16">
      <c r="A308" t="s">
        <v>3442</v>
      </c>
      <c r="B308" t="s">
        <v>3443</v>
      </c>
      <c r="C308" s="1">
        <v>45487</v>
      </c>
      <c r="D308">
        <v>79</v>
      </c>
      <c r="E308" t="s">
        <v>778</v>
      </c>
      <c r="F308" t="s">
        <v>227</v>
      </c>
      <c r="J308" t="s">
        <v>3444</v>
      </c>
      <c r="K308" t="s">
        <v>21</v>
      </c>
      <c r="L308" t="s">
        <v>1071</v>
      </c>
      <c r="M308" t="s">
        <v>3445</v>
      </c>
      <c r="N308" t="s">
        <v>1073</v>
      </c>
      <c r="O308" t="s">
        <v>3445</v>
      </c>
      <c r="P308" t="s">
        <v>1073</v>
      </c>
    </row>
    <row r="309" spans="1:16">
      <c r="A309" t="s">
        <v>3446</v>
      </c>
      <c r="B309" t="s">
        <v>3447</v>
      </c>
      <c r="C309" s="1">
        <v>45488</v>
      </c>
      <c r="D309">
        <v>82</v>
      </c>
      <c r="E309" t="s">
        <v>841</v>
      </c>
      <c r="F309" t="s">
        <v>227</v>
      </c>
      <c r="J309" t="s">
        <v>54</v>
      </c>
      <c r="K309" t="s">
        <v>21</v>
      </c>
      <c r="L309" t="s">
        <v>1071</v>
      </c>
      <c r="O309" t="s">
        <v>3448</v>
      </c>
      <c r="P309" t="s">
        <v>1073</v>
      </c>
    </row>
    <row r="310" spans="1:16">
      <c r="A310" t="s">
        <v>3449</v>
      </c>
      <c r="B310" t="s">
        <v>3450</v>
      </c>
      <c r="C310" s="1">
        <v>45489</v>
      </c>
      <c r="D310">
        <v>82</v>
      </c>
      <c r="E310" t="s">
        <v>841</v>
      </c>
      <c r="F310" t="s">
        <v>227</v>
      </c>
      <c r="J310" t="s">
        <v>54</v>
      </c>
      <c r="K310" t="s">
        <v>21</v>
      </c>
      <c r="L310" t="s">
        <v>1071</v>
      </c>
      <c r="O310" t="s">
        <v>2725</v>
      </c>
      <c r="P310" t="s">
        <v>1073</v>
      </c>
    </row>
    <row r="311" spans="1:16">
      <c r="A311" t="s">
        <v>3451</v>
      </c>
      <c r="B311" t="s">
        <v>3452</v>
      </c>
      <c r="C311" s="1">
        <v>45500</v>
      </c>
      <c r="D311">
        <v>54</v>
      </c>
      <c r="E311" t="s">
        <v>841</v>
      </c>
      <c r="F311" t="s">
        <v>227</v>
      </c>
      <c r="J311" t="s">
        <v>3453</v>
      </c>
      <c r="K311" t="s">
        <v>21</v>
      </c>
    </row>
    <row r="312" spans="1:16">
      <c r="A312" t="s">
        <v>3454</v>
      </c>
      <c r="B312" t="s">
        <v>3455</v>
      </c>
      <c r="C312" s="1">
        <v>45500</v>
      </c>
      <c r="D312">
        <v>87</v>
      </c>
      <c r="E312" t="s">
        <v>841</v>
      </c>
      <c r="F312" t="s">
        <v>303</v>
      </c>
      <c r="J312" t="s">
        <v>114</v>
      </c>
      <c r="K312" t="s">
        <v>21</v>
      </c>
      <c r="L312" t="s">
        <v>1071</v>
      </c>
      <c r="M312" t="s">
        <v>3456</v>
      </c>
      <c r="N312" t="s">
        <v>1073</v>
      </c>
      <c r="O312" t="s">
        <v>3456</v>
      </c>
      <c r="P312" t="s">
        <v>1073</v>
      </c>
    </row>
    <row r="313" spans="1:16">
      <c r="A313" t="s">
        <v>3457</v>
      </c>
      <c r="B313" t="s">
        <v>3458</v>
      </c>
      <c r="C313" s="1">
        <v>45500</v>
      </c>
      <c r="D313">
        <v>64</v>
      </c>
      <c r="E313" t="s">
        <v>841</v>
      </c>
      <c r="F313" t="s">
        <v>227</v>
      </c>
      <c r="J313" t="s">
        <v>3459</v>
      </c>
      <c r="K313" t="s">
        <v>21</v>
      </c>
      <c r="L313" t="s">
        <v>1071</v>
      </c>
      <c r="M313" t="s">
        <v>3460</v>
      </c>
      <c r="O313" t="s">
        <v>3460</v>
      </c>
    </row>
    <row r="314" spans="1:16">
      <c r="A314" t="s">
        <v>3461</v>
      </c>
      <c r="B314" t="s">
        <v>3462</v>
      </c>
      <c r="C314" s="1">
        <v>45512</v>
      </c>
      <c r="D314">
        <v>90</v>
      </c>
      <c r="E314" t="s">
        <v>841</v>
      </c>
      <c r="F314" t="s">
        <v>227</v>
      </c>
      <c r="J314" t="s">
        <v>54</v>
      </c>
      <c r="K314" t="s">
        <v>21</v>
      </c>
      <c r="N314" t="s">
        <v>1073</v>
      </c>
      <c r="P314" t="s">
        <v>1073</v>
      </c>
    </row>
    <row r="315" spans="1:16">
      <c r="A315" t="s">
        <v>3463</v>
      </c>
      <c r="B315" t="s">
        <v>3464</v>
      </c>
      <c r="C315" s="1">
        <v>45516</v>
      </c>
      <c r="D315">
        <v>77</v>
      </c>
      <c r="E315" t="s">
        <v>841</v>
      </c>
      <c r="F315" t="s">
        <v>227</v>
      </c>
      <c r="J315" t="s">
        <v>54</v>
      </c>
      <c r="K315" t="s">
        <v>21</v>
      </c>
      <c r="L315" t="s">
        <v>1071</v>
      </c>
      <c r="M315" t="s">
        <v>3465</v>
      </c>
      <c r="N315" t="s">
        <v>1073</v>
      </c>
      <c r="O315" t="s">
        <v>3465</v>
      </c>
      <c r="P315" t="s">
        <v>1073</v>
      </c>
    </row>
    <row r="316" spans="1:16">
      <c r="A316" t="s">
        <v>3466</v>
      </c>
      <c r="B316" t="s">
        <v>3467</v>
      </c>
      <c r="C316" s="1">
        <v>45522</v>
      </c>
      <c r="D316">
        <v>76</v>
      </c>
      <c r="E316" t="s">
        <v>27</v>
      </c>
      <c r="F316" t="s">
        <v>303</v>
      </c>
      <c r="J316" t="s">
        <v>3468</v>
      </c>
      <c r="K316" t="s">
        <v>21</v>
      </c>
      <c r="L316" t="s">
        <v>1071</v>
      </c>
      <c r="M316" t="s">
        <v>3469</v>
      </c>
      <c r="N316" t="s">
        <v>1073</v>
      </c>
      <c r="O316" t="s">
        <v>3469</v>
      </c>
      <c r="P316" t="s">
        <v>1073</v>
      </c>
    </row>
    <row r="317" spans="1:16">
      <c r="A317" t="s">
        <v>3470</v>
      </c>
      <c r="B317" t="s">
        <v>3471</v>
      </c>
      <c r="C317" s="1">
        <v>45531</v>
      </c>
      <c r="D317">
        <v>82</v>
      </c>
      <c r="E317" t="s">
        <v>778</v>
      </c>
      <c r="F317" t="s">
        <v>227</v>
      </c>
      <c r="J317" t="s">
        <v>54</v>
      </c>
      <c r="K317" t="s">
        <v>21</v>
      </c>
      <c r="L317" t="s">
        <v>1071</v>
      </c>
      <c r="M317" t="s">
        <v>3472</v>
      </c>
      <c r="N317" t="s">
        <v>1073</v>
      </c>
      <c r="O317" t="s">
        <v>3472</v>
      </c>
      <c r="P317" t="s">
        <v>1073</v>
      </c>
    </row>
    <row r="318" spans="1:16">
      <c r="A318" t="s">
        <v>3473</v>
      </c>
      <c r="B318" t="s">
        <v>3474</v>
      </c>
      <c r="C318" s="1">
        <v>45536</v>
      </c>
      <c r="D318">
        <v>62</v>
      </c>
      <c r="E318" t="s">
        <v>841</v>
      </c>
      <c r="F318" t="s">
        <v>227</v>
      </c>
      <c r="J318" t="s">
        <v>3475</v>
      </c>
      <c r="K318" t="s">
        <v>21</v>
      </c>
      <c r="L318" t="s">
        <v>1071</v>
      </c>
      <c r="M318" t="s">
        <v>3476</v>
      </c>
      <c r="O318" t="s">
        <v>3476</v>
      </c>
    </row>
    <row r="319" spans="1:16">
      <c r="A319" t="s">
        <v>3477</v>
      </c>
      <c r="B319" t="s">
        <v>3478</v>
      </c>
      <c r="C319" s="1">
        <v>45546</v>
      </c>
      <c r="D319">
        <v>77</v>
      </c>
      <c r="E319" t="s">
        <v>841</v>
      </c>
      <c r="F319" t="s">
        <v>227</v>
      </c>
      <c r="J319" t="s">
        <v>448</v>
      </c>
      <c r="K319" t="s">
        <v>21</v>
      </c>
      <c r="L319" t="s">
        <v>1071</v>
      </c>
      <c r="M319" t="s">
        <v>3479</v>
      </c>
      <c r="N319" t="s">
        <v>2405</v>
      </c>
      <c r="O319" t="s">
        <v>3479</v>
      </c>
      <c r="P319" t="s">
        <v>2405</v>
      </c>
    </row>
    <row r="320" spans="1:16">
      <c r="A320" t="s">
        <v>3480</v>
      </c>
      <c r="B320" t="s">
        <v>3481</v>
      </c>
      <c r="C320" s="1">
        <v>45449</v>
      </c>
      <c r="D320">
        <v>79</v>
      </c>
      <c r="E320" t="s">
        <v>841</v>
      </c>
      <c r="F320" t="s">
        <v>68</v>
      </c>
      <c r="J320" t="s">
        <v>3482</v>
      </c>
      <c r="K320" t="s">
        <v>21</v>
      </c>
      <c r="L320" t="s">
        <v>1071</v>
      </c>
      <c r="M320" t="s">
        <v>3483</v>
      </c>
      <c r="N320" t="s">
        <v>2405</v>
      </c>
      <c r="O320" t="s">
        <v>3483</v>
      </c>
      <c r="P320" t="s">
        <v>2405</v>
      </c>
    </row>
    <row r="321" spans="1:16">
      <c r="A321" t="s">
        <v>3484</v>
      </c>
      <c r="B321" t="s">
        <v>3485</v>
      </c>
      <c r="C321" s="1">
        <v>45450</v>
      </c>
      <c r="D321">
        <v>84</v>
      </c>
      <c r="E321" t="s">
        <v>841</v>
      </c>
      <c r="F321" t="s">
        <v>68</v>
      </c>
      <c r="J321" t="s">
        <v>54</v>
      </c>
      <c r="K321" t="s">
        <v>21</v>
      </c>
      <c r="L321" t="s">
        <v>1071</v>
      </c>
      <c r="M321" t="s">
        <v>3486</v>
      </c>
      <c r="O321" t="s">
        <v>89</v>
      </c>
      <c r="P321" t="s">
        <v>2413</v>
      </c>
    </row>
    <row r="322" spans="1:16">
      <c r="A322" t="s">
        <v>3487</v>
      </c>
      <c r="B322" t="s">
        <v>3488</v>
      </c>
      <c r="C322" s="1">
        <v>45471</v>
      </c>
      <c r="D322">
        <v>71</v>
      </c>
      <c r="E322" t="s">
        <v>841</v>
      </c>
      <c r="F322" t="s">
        <v>68</v>
      </c>
      <c r="J322" t="s">
        <v>3489</v>
      </c>
      <c r="K322" t="s">
        <v>21</v>
      </c>
      <c r="L322" t="s">
        <v>1071</v>
      </c>
      <c r="M322" t="s">
        <v>3490</v>
      </c>
      <c r="N322" t="s">
        <v>1073</v>
      </c>
      <c r="O322" t="s">
        <v>3490</v>
      </c>
      <c r="P322" t="s">
        <v>1073</v>
      </c>
    </row>
    <row r="323" spans="1:16">
      <c r="A323" t="s">
        <v>3491</v>
      </c>
      <c r="B323" t="s">
        <v>3492</v>
      </c>
      <c r="C323" s="1">
        <v>45472</v>
      </c>
      <c r="D323">
        <v>75</v>
      </c>
      <c r="E323" t="s">
        <v>841</v>
      </c>
      <c r="F323" t="s">
        <v>68</v>
      </c>
      <c r="J323" t="s">
        <v>54</v>
      </c>
      <c r="K323" t="s">
        <v>21</v>
      </c>
      <c r="M323" t="s">
        <v>3493</v>
      </c>
      <c r="N323" t="s">
        <v>2405</v>
      </c>
      <c r="O323" t="s">
        <v>3493</v>
      </c>
      <c r="P323" t="s">
        <v>2405</v>
      </c>
    </row>
    <row r="324" spans="1:16">
      <c r="A324" t="s">
        <v>3494</v>
      </c>
      <c r="B324" t="s">
        <v>3495</v>
      </c>
      <c r="C324" s="1">
        <v>45497</v>
      </c>
      <c r="D324">
        <v>68</v>
      </c>
      <c r="E324" t="s">
        <v>841</v>
      </c>
      <c r="F324" t="s">
        <v>68</v>
      </c>
      <c r="J324" t="s">
        <v>54</v>
      </c>
      <c r="K324" t="s">
        <v>21</v>
      </c>
      <c r="M324" t="s">
        <v>3496</v>
      </c>
      <c r="N324" t="s">
        <v>2405</v>
      </c>
      <c r="O324" t="s">
        <v>3496</v>
      </c>
      <c r="P324" t="s">
        <v>2405</v>
      </c>
    </row>
    <row r="325" spans="1:16">
      <c r="A325" t="s">
        <v>3497</v>
      </c>
      <c r="B325" t="s">
        <v>3498</v>
      </c>
      <c r="C325" s="1">
        <v>45539</v>
      </c>
      <c r="D325">
        <v>64</v>
      </c>
      <c r="E325" t="s">
        <v>841</v>
      </c>
      <c r="F325" t="s">
        <v>68</v>
      </c>
      <c r="J325" t="s">
        <v>3499</v>
      </c>
      <c r="K325" t="s">
        <v>21</v>
      </c>
      <c r="L325" t="s">
        <v>1071</v>
      </c>
      <c r="M325" t="s">
        <v>3500</v>
      </c>
      <c r="N325" t="s">
        <v>3501</v>
      </c>
      <c r="O325" t="s">
        <v>3500</v>
      </c>
      <c r="P325" t="s">
        <v>3501</v>
      </c>
    </row>
    <row r="326" spans="1:16">
      <c r="A326" t="s">
        <v>3502</v>
      </c>
      <c r="B326" t="s">
        <v>3503</v>
      </c>
      <c r="C326" s="1">
        <v>45446</v>
      </c>
      <c r="D326">
        <v>75</v>
      </c>
      <c r="E326" t="s">
        <v>841</v>
      </c>
      <c r="F326" t="s">
        <v>28</v>
      </c>
      <c r="J326" t="s">
        <v>35</v>
      </c>
      <c r="K326" t="s">
        <v>21</v>
      </c>
      <c r="L326" t="s">
        <v>1071</v>
      </c>
      <c r="O326" t="s">
        <v>3504</v>
      </c>
      <c r="P326" t="s">
        <v>1073</v>
      </c>
    </row>
    <row r="327" spans="1:16">
      <c r="A327" t="s">
        <v>3505</v>
      </c>
      <c r="B327" t="s">
        <v>3506</v>
      </c>
      <c r="C327" s="1">
        <v>45447</v>
      </c>
      <c r="D327">
        <v>72</v>
      </c>
      <c r="E327" t="s">
        <v>841</v>
      </c>
      <c r="F327" t="s">
        <v>28</v>
      </c>
      <c r="J327" t="s">
        <v>3507</v>
      </c>
      <c r="K327" t="s">
        <v>21</v>
      </c>
      <c r="L327" t="s">
        <v>1071</v>
      </c>
      <c r="M327" t="s">
        <v>3508</v>
      </c>
      <c r="O327" t="s">
        <v>3508</v>
      </c>
    </row>
    <row r="328" spans="1:16">
      <c r="A328" t="s">
        <v>3509</v>
      </c>
      <c r="B328" t="s">
        <v>3510</v>
      </c>
      <c r="C328" s="1">
        <v>45449</v>
      </c>
      <c r="D328">
        <v>89</v>
      </c>
      <c r="E328" t="s">
        <v>841</v>
      </c>
      <c r="F328" t="s">
        <v>28</v>
      </c>
      <c r="J328" t="s">
        <v>3511</v>
      </c>
      <c r="K328" t="s">
        <v>21</v>
      </c>
      <c r="L328" t="s">
        <v>1071</v>
      </c>
      <c r="O328" t="s">
        <v>3512</v>
      </c>
      <c r="P328" t="s">
        <v>1073</v>
      </c>
    </row>
    <row r="329" spans="1:16">
      <c r="A329" t="s">
        <v>3513</v>
      </c>
      <c r="B329" t="s">
        <v>3514</v>
      </c>
      <c r="C329" s="1">
        <v>45450</v>
      </c>
      <c r="D329">
        <v>84</v>
      </c>
      <c r="E329" t="s">
        <v>27</v>
      </c>
      <c r="F329" t="s">
        <v>28</v>
      </c>
      <c r="J329" t="s">
        <v>54</v>
      </c>
      <c r="K329" t="s">
        <v>21</v>
      </c>
      <c r="L329" t="s">
        <v>1071</v>
      </c>
      <c r="M329" t="s">
        <v>3515</v>
      </c>
      <c r="O329" t="s">
        <v>3515</v>
      </c>
    </row>
    <row r="330" spans="1:16">
      <c r="A330" t="s">
        <v>3516</v>
      </c>
      <c r="B330" t="s">
        <v>3517</v>
      </c>
      <c r="C330" s="1">
        <v>45477</v>
      </c>
      <c r="D330">
        <v>66</v>
      </c>
      <c r="E330" t="s">
        <v>841</v>
      </c>
      <c r="F330" t="s">
        <v>28</v>
      </c>
      <c r="J330" t="s">
        <v>54</v>
      </c>
      <c r="K330" t="s">
        <v>21</v>
      </c>
      <c r="L330" t="s">
        <v>1071</v>
      </c>
      <c r="M330" t="s">
        <v>3518</v>
      </c>
      <c r="N330" t="s">
        <v>3519</v>
      </c>
      <c r="O330" t="s">
        <v>3518</v>
      </c>
      <c r="P330" t="s">
        <v>70</v>
      </c>
    </row>
    <row r="331" spans="1:16">
      <c r="A331" t="s">
        <v>3520</v>
      </c>
      <c r="B331" t="s">
        <v>3521</v>
      </c>
      <c r="C331" s="1">
        <v>45477</v>
      </c>
      <c r="D331">
        <v>82</v>
      </c>
      <c r="E331" t="s">
        <v>841</v>
      </c>
      <c r="F331" t="s">
        <v>28</v>
      </c>
      <c r="J331" t="s">
        <v>54</v>
      </c>
      <c r="K331" t="s">
        <v>21</v>
      </c>
      <c r="L331" t="s">
        <v>1071</v>
      </c>
      <c r="M331" t="s">
        <v>3522</v>
      </c>
      <c r="N331" t="s">
        <v>1073</v>
      </c>
      <c r="O331" t="s">
        <v>3522</v>
      </c>
      <c r="P331" t="s">
        <v>1073</v>
      </c>
    </row>
    <row r="332" spans="1:16">
      <c r="A332" t="s">
        <v>3523</v>
      </c>
      <c r="B332" t="s">
        <v>3524</v>
      </c>
      <c r="C332" s="1">
        <v>45489</v>
      </c>
      <c r="D332">
        <v>81</v>
      </c>
      <c r="E332" t="s">
        <v>778</v>
      </c>
      <c r="F332" t="s">
        <v>28</v>
      </c>
      <c r="J332" t="s">
        <v>54</v>
      </c>
      <c r="K332" t="s">
        <v>21</v>
      </c>
      <c r="L332" t="s">
        <v>1071</v>
      </c>
      <c r="M332" t="s">
        <v>3525</v>
      </c>
      <c r="N332" t="s">
        <v>1073</v>
      </c>
      <c r="O332" t="s">
        <v>3525</v>
      </c>
      <c r="P332" t="s">
        <v>1073</v>
      </c>
    </row>
    <row r="333" spans="1:16">
      <c r="A333" t="s">
        <v>3526</v>
      </c>
      <c r="B333" t="s">
        <v>3527</v>
      </c>
      <c r="C333" s="1">
        <v>45489</v>
      </c>
      <c r="D333">
        <v>83</v>
      </c>
      <c r="E333" t="s">
        <v>778</v>
      </c>
      <c r="F333" t="s">
        <v>28</v>
      </c>
      <c r="J333" t="s">
        <v>3528</v>
      </c>
      <c r="K333" t="s">
        <v>21</v>
      </c>
      <c r="L333" t="s">
        <v>1071</v>
      </c>
      <c r="M333" t="s">
        <v>3529</v>
      </c>
      <c r="N333" t="s">
        <v>1073</v>
      </c>
      <c r="O333" t="s">
        <v>3529</v>
      </c>
      <c r="P333" t="s">
        <v>1073</v>
      </c>
    </row>
    <row r="334" spans="1:16">
      <c r="A334" t="s">
        <v>3530</v>
      </c>
      <c r="B334" t="s">
        <v>3531</v>
      </c>
      <c r="C334" s="1">
        <v>45493</v>
      </c>
      <c r="D334">
        <v>85</v>
      </c>
      <c r="E334" t="s">
        <v>112</v>
      </c>
      <c r="F334" t="s">
        <v>28</v>
      </c>
      <c r="J334" t="s">
        <v>54</v>
      </c>
      <c r="K334" t="s">
        <v>21</v>
      </c>
      <c r="L334" t="s">
        <v>1071</v>
      </c>
      <c r="O334" t="s">
        <v>3532</v>
      </c>
    </row>
    <row r="335" spans="1:16">
      <c r="A335" t="s">
        <v>3533</v>
      </c>
      <c r="B335" t="s">
        <v>3534</v>
      </c>
      <c r="C335" s="1">
        <v>45499</v>
      </c>
      <c r="D335">
        <v>91</v>
      </c>
      <c r="E335" t="s">
        <v>841</v>
      </c>
      <c r="F335" t="s">
        <v>28</v>
      </c>
      <c r="J335" t="s">
        <v>114</v>
      </c>
      <c r="K335" t="s">
        <v>21</v>
      </c>
      <c r="L335" t="s">
        <v>1071</v>
      </c>
      <c r="M335" t="s">
        <v>3535</v>
      </c>
      <c r="N335" t="s">
        <v>1073</v>
      </c>
      <c r="O335" t="s">
        <v>3535</v>
      </c>
      <c r="P335" t="s">
        <v>1073</v>
      </c>
    </row>
    <row r="336" spans="1:16">
      <c r="A336" t="s">
        <v>3536</v>
      </c>
      <c r="B336" t="s">
        <v>3537</v>
      </c>
      <c r="C336" s="1">
        <v>45510</v>
      </c>
      <c r="D336">
        <v>57</v>
      </c>
      <c r="E336" t="s">
        <v>112</v>
      </c>
      <c r="F336" t="s">
        <v>28</v>
      </c>
      <c r="J336" t="s">
        <v>3538</v>
      </c>
      <c r="K336" t="s">
        <v>21</v>
      </c>
      <c r="L336" t="s">
        <v>1071</v>
      </c>
      <c r="M336" t="s">
        <v>3539</v>
      </c>
      <c r="N336" t="s">
        <v>1073</v>
      </c>
      <c r="O336" t="s">
        <v>3539</v>
      </c>
      <c r="P336" t="s">
        <v>1073</v>
      </c>
    </row>
    <row r="337" spans="1:16">
      <c r="A337" t="s">
        <v>3540</v>
      </c>
      <c r="B337" t="s">
        <v>3541</v>
      </c>
      <c r="C337" s="1">
        <v>45565</v>
      </c>
      <c r="D337">
        <v>41</v>
      </c>
      <c r="E337" t="s">
        <v>27</v>
      </c>
      <c r="F337" t="s">
        <v>28</v>
      </c>
      <c r="J337" t="s">
        <v>3542</v>
      </c>
      <c r="K337" t="s">
        <v>21</v>
      </c>
      <c r="M337" t="s">
        <v>3543</v>
      </c>
      <c r="N337" t="s">
        <v>2405</v>
      </c>
      <c r="O337" t="s">
        <v>3543</v>
      </c>
      <c r="P337" t="s">
        <v>2405</v>
      </c>
    </row>
    <row r="338" spans="1:16">
      <c r="A338" t="s">
        <v>3544</v>
      </c>
      <c r="B338" t="s">
        <v>3545</v>
      </c>
      <c r="C338" s="1">
        <v>45485</v>
      </c>
      <c r="D338">
        <v>91</v>
      </c>
      <c r="E338" t="s">
        <v>3546</v>
      </c>
      <c r="F338" t="s">
        <v>3547</v>
      </c>
      <c r="J338" t="s">
        <v>3548</v>
      </c>
      <c r="K338" t="s">
        <v>21</v>
      </c>
      <c r="L338" t="s">
        <v>1071</v>
      </c>
      <c r="M338" t="s">
        <v>3549</v>
      </c>
      <c r="N338" t="s">
        <v>1073</v>
      </c>
      <c r="O338" t="s">
        <v>3549</v>
      </c>
      <c r="P338" t="s">
        <v>1073</v>
      </c>
    </row>
    <row r="339" spans="1:16">
      <c r="A339" t="s">
        <v>3550</v>
      </c>
      <c r="B339" t="s">
        <v>3551</v>
      </c>
      <c r="C339" s="1">
        <v>45444</v>
      </c>
      <c r="D339">
        <v>76</v>
      </c>
      <c r="E339" t="s">
        <v>841</v>
      </c>
      <c r="F339" t="s">
        <v>3552</v>
      </c>
      <c r="J339" t="s">
        <v>3553</v>
      </c>
      <c r="K339" t="s">
        <v>21</v>
      </c>
      <c r="L339" t="s">
        <v>1071</v>
      </c>
      <c r="M339" t="s">
        <v>3554</v>
      </c>
      <c r="N339" t="s">
        <v>1073</v>
      </c>
      <c r="O339" t="s">
        <v>3554</v>
      </c>
      <c r="P339" t="s">
        <v>1073</v>
      </c>
    </row>
    <row r="340" spans="1:16">
      <c r="A340" t="s">
        <v>3555</v>
      </c>
      <c r="B340" t="s">
        <v>3556</v>
      </c>
      <c r="C340" s="1">
        <v>45506</v>
      </c>
      <c r="D340">
        <v>72</v>
      </c>
      <c r="F340" t="s">
        <v>299</v>
      </c>
      <c r="J340" t="s">
        <v>54</v>
      </c>
      <c r="K340" t="s">
        <v>21</v>
      </c>
      <c r="L340" t="s">
        <v>1071</v>
      </c>
      <c r="M340" t="s">
        <v>3557</v>
      </c>
      <c r="O340" t="s">
        <v>3557</v>
      </c>
    </row>
    <row r="341" spans="1:16">
      <c r="A341" t="s">
        <v>3558</v>
      </c>
      <c r="B341" t="s">
        <v>3559</v>
      </c>
      <c r="C341" s="1">
        <v>45532</v>
      </c>
      <c r="D341">
        <v>65</v>
      </c>
      <c r="E341" t="s">
        <v>778</v>
      </c>
      <c r="F341" t="s">
        <v>299</v>
      </c>
      <c r="J341" t="s">
        <v>185</v>
      </c>
      <c r="K341" t="s">
        <v>21</v>
      </c>
      <c r="L341" t="s">
        <v>1071</v>
      </c>
      <c r="M341" t="s">
        <v>3560</v>
      </c>
      <c r="N341" t="s">
        <v>1073</v>
      </c>
      <c r="O341" t="s">
        <v>3560</v>
      </c>
      <c r="P341" t="s">
        <v>1073</v>
      </c>
    </row>
    <row r="342" spans="1:16">
      <c r="A342" t="s">
        <v>3561</v>
      </c>
      <c r="B342" t="s">
        <v>3562</v>
      </c>
      <c r="C342" s="1">
        <v>45449</v>
      </c>
      <c r="D342">
        <v>89</v>
      </c>
      <c r="E342" t="s">
        <v>841</v>
      </c>
      <c r="F342" t="s">
        <v>97</v>
      </c>
      <c r="G342" t="s">
        <v>54</v>
      </c>
      <c r="K342" t="s">
        <v>21</v>
      </c>
      <c r="O342" t="s">
        <v>435</v>
      </c>
      <c r="P342" t="s">
        <v>2413</v>
      </c>
    </row>
    <row r="343" spans="1:16">
      <c r="A343" t="s">
        <v>3563</v>
      </c>
      <c r="B343" t="s">
        <v>3564</v>
      </c>
      <c r="C343" s="1">
        <v>45449</v>
      </c>
      <c r="D343">
        <v>47</v>
      </c>
      <c r="E343" t="s">
        <v>27</v>
      </c>
      <c r="F343" t="s">
        <v>97</v>
      </c>
      <c r="G343" t="s">
        <v>35</v>
      </c>
      <c r="J343" t="s">
        <v>98</v>
      </c>
      <c r="K343" t="s">
        <v>21</v>
      </c>
      <c r="M343" t="s">
        <v>3565</v>
      </c>
      <c r="N343" t="s">
        <v>2405</v>
      </c>
      <c r="O343" t="s">
        <v>127</v>
      </c>
      <c r="P343" t="s">
        <v>2433</v>
      </c>
    </row>
    <row r="344" spans="1:16">
      <c r="A344" t="s">
        <v>3566</v>
      </c>
      <c r="B344" t="s">
        <v>3567</v>
      </c>
      <c r="C344" s="1">
        <v>45461</v>
      </c>
      <c r="D344">
        <v>64</v>
      </c>
      <c r="E344" t="s">
        <v>841</v>
      </c>
      <c r="F344" t="s">
        <v>97</v>
      </c>
      <c r="J344" t="s">
        <v>3568</v>
      </c>
      <c r="K344" t="s">
        <v>21</v>
      </c>
      <c r="M344" t="s">
        <v>3569</v>
      </c>
      <c r="O344" t="s">
        <v>2578</v>
      </c>
      <c r="P344" t="s">
        <v>2696</v>
      </c>
    </row>
    <row r="345" spans="1:16">
      <c r="A345" t="s">
        <v>3570</v>
      </c>
      <c r="B345" t="s">
        <v>3571</v>
      </c>
      <c r="C345" s="1">
        <v>45467</v>
      </c>
      <c r="D345">
        <v>57</v>
      </c>
      <c r="E345" t="s">
        <v>841</v>
      </c>
      <c r="F345" t="s">
        <v>97</v>
      </c>
      <c r="J345" t="s">
        <v>1263</v>
      </c>
      <c r="K345" t="s">
        <v>21</v>
      </c>
      <c r="O345" t="s">
        <v>1159</v>
      </c>
      <c r="P345" t="s">
        <v>2413</v>
      </c>
    </row>
    <row r="346" spans="1:16">
      <c r="A346" t="s">
        <v>3572</v>
      </c>
      <c r="B346" t="s">
        <v>3573</v>
      </c>
      <c r="C346" s="1">
        <v>45456</v>
      </c>
      <c r="D346">
        <v>54</v>
      </c>
      <c r="E346" t="s">
        <v>778</v>
      </c>
      <c r="F346" t="s">
        <v>97</v>
      </c>
      <c r="J346" t="s">
        <v>2739</v>
      </c>
      <c r="K346" t="s">
        <v>21</v>
      </c>
      <c r="O346" t="s">
        <v>127</v>
      </c>
      <c r="P346" t="s">
        <v>2433</v>
      </c>
    </row>
    <row r="347" spans="1:16">
      <c r="A347" t="s">
        <v>3574</v>
      </c>
      <c r="B347" t="s">
        <v>3575</v>
      </c>
      <c r="C347" s="1">
        <v>45487</v>
      </c>
      <c r="D347">
        <v>58</v>
      </c>
      <c r="E347" t="s">
        <v>841</v>
      </c>
      <c r="F347" t="s">
        <v>97</v>
      </c>
      <c r="J347" t="s">
        <v>2755</v>
      </c>
      <c r="K347" t="s">
        <v>21</v>
      </c>
      <c r="M347" t="s">
        <v>3576</v>
      </c>
      <c r="N347" t="s">
        <v>2405</v>
      </c>
      <c r="O347" t="s">
        <v>2460</v>
      </c>
      <c r="P347" t="s">
        <v>2413</v>
      </c>
    </row>
    <row r="348" spans="1:16">
      <c r="A348" t="s">
        <v>3577</v>
      </c>
      <c r="B348" t="s">
        <v>3578</v>
      </c>
      <c r="C348" s="1">
        <v>45488</v>
      </c>
      <c r="D348">
        <v>35</v>
      </c>
      <c r="E348" t="s">
        <v>27</v>
      </c>
      <c r="F348" t="s">
        <v>97</v>
      </c>
      <c r="J348" t="s">
        <v>360</v>
      </c>
      <c r="K348" t="s">
        <v>21</v>
      </c>
      <c r="L348" t="s">
        <v>1071</v>
      </c>
      <c r="O348" t="s">
        <v>2684</v>
      </c>
      <c r="P348" t="s">
        <v>2433</v>
      </c>
    </row>
    <row r="349" spans="1:16">
      <c r="A349" t="s">
        <v>3579</v>
      </c>
      <c r="B349" t="s">
        <v>3580</v>
      </c>
      <c r="C349" s="1">
        <v>45492</v>
      </c>
      <c r="D349">
        <v>71</v>
      </c>
      <c r="E349" t="s">
        <v>778</v>
      </c>
      <c r="F349" t="s">
        <v>97</v>
      </c>
      <c r="J349" t="s">
        <v>3581</v>
      </c>
      <c r="K349" t="s">
        <v>21</v>
      </c>
      <c r="L349" t="s">
        <v>1071</v>
      </c>
      <c r="M349" t="s">
        <v>3582</v>
      </c>
      <c r="N349" t="s">
        <v>70</v>
      </c>
      <c r="O349" t="s">
        <v>3582</v>
      </c>
      <c r="P349" t="s">
        <v>70</v>
      </c>
    </row>
    <row r="350" spans="1:16">
      <c r="A350" t="s">
        <v>3583</v>
      </c>
      <c r="B350" t="s">
        <v>3584</v>
      </c>
      <c r="C350" s="1">
        <v>45493</v>
      </c>
      <c r="D350">
        <v>43</v>
      </c>
      <c r="E350" t="s">
        <v>27</v>
      </c>
      <c r="F350" t="s">
        <v>97</v>
      </c>
      <c r="J350" t="s">
        <v>339</v>
      </c>
      <c r="K350" t="s">
        <v>21</v>
      </c>
      <c r="M350" t="s">
        <v>3585</v>
      </c>
      <c r="N350" t="s">
        <v>2405</v>
      </c>
      <c r="O350" t="s">
        <v>127</v>
      </c>
      <c r="P350" t="s">
        <v>44</v>
      </c>
    </row>
    <row r="351" spans="1:16">
      <c r="A351" t="s">
        <v>3586</v>
      </c>
      <c r="B351" t="s">
        <v>3587</v>
      </c>
      <c r="C351" s="1">
        <v>45496</v>
      </c>
      <c r="D351">
        <v>35</v>
      </c>
      <c r="E351" t="s">
        <v>778</v>
      </c>
      <c r="F351" t="s">
        <v>97</v>
      </c>
      <c r="J351" t="s">
        <v>3588</v>
      </c>
      <c r="K351" t="s">
        <v>21</v>
      </c>
      <c r="O351" t="s">
        <v>2695</v>
      </c>
      <c r="P351" t="s">
        <v>2433</v>
      </c>
    </row>
    <row r="352" spans="1:16">
      <c r="A352" t="s">
        <v>3589</v>
      </c>
      <c r="B352" t="s">
        <v>3590</v>
      </c>
      <c r="C352" s="1">
        <v>45498</v>
      </c>
      <c r="D352">
        <v>53</v>
      </c>
      <c r="E352" t="s">
        <v>841</v>
      </c>
      <c r="F352" t="s">
        <v>97</v>
      </c>
      <c r="J352" t="s">
        <v>3591</v>
      </c>
      <c r="K352" t="s">
        <v>21</v>
      </c>
      <c r="L352" t="s">
        <v>1071</v>
      </c>
      <c r="M352" t="s">
        <v>3592</v>
      </c>
      <c r="N352" t="s">
        <v>1073</v>
      </c>
      <c r="O352" t="s">
        <v>2695</v>
      </c>
      <c r="P352" t="s">
        <v>2413</v>
      </c>
    </row>
    <row r="353" spans="1:16">
      <c r="A353" t="s">
        <v>3593</v>
      </c>
      <c r="B353" t="s">
        <v>3594</v>
      </c>
      <c r="C353" s="1">
        <v>45509</v>
      </c>
      <c r="D353">
        <v>52</v>
      </c>
      <c r="E353" t="s">
        <v>841</v>
      </c>
      <c r="F353" t="s">
        <v>97</v>
      </c>
      <c r="J353" t="s">
        <v>98</v>
      </c>
      <c r="K353" t="s">
        <v>21</v>
      </c>
      <c r="M353" t="s">
        <v>3595</v>
      </c>
      <c r="N353" t="s">
        <v>132</v>
      </c>
      <c r="O353" t="s">
        <v>2578</v>
      </c>
      <c r="P353" t="s">
        <v>2413</v>
      </c>
    </row>
    <row r="354" spans="1:16">
      <c r="A354" t="s">
        <v>3596</v>
      </c>
      <c r="B354" t="s">
        <v>3597</v>
      </c>
      <c r="C354" s="1">
        <v>45510</v>
      </c>
      <c r="D354">
        <v>66</v>
      </c>
      <c r="E354" t="s">
        <v>841</v>
      </c>
      <c r="F354" t="s">
        <v>97</v>
      </c>
      <c r="J354" t="s">
        <v>181</v>
      </c>
      <c r="K354" t="s">
        <v>21</v>
      </c>
      <c r="M354" t="s">
        <v>3598</v>
      </c>
      <c r="N354" t="s">
        <v>3599</v>
      </c>
      <c r="O354" t="s">
        <v>2460</v>
      </c>
      <c r="P354" t="s">
        <v>2413</v>
      </c>
    </row>
    <row r="355" spans="1:16">
      <c r="A355" t="s">
        <v>3600</v>
      </c>
      <c r="B355" t="s">
        <v>3601</v>
      </c>
      <c r="C355" s="1">
        <v>45500</v>
      </c>
      <c r="D355">
        <v>73</v>
      </c>
      <c r="E355" t="s">
        <v>778</v>
      </c>
      <c r="F355" t="s">
        <v>97</v>
      </c>
      <c r="K355" t="s">
        <v>21</v>
      </c>
      <c r="L355" t="s">
        <v>1071</v>
      </c>
      <c r="M355" t="s">
        <v>3602</v>
      </c>
      <c r="N355" t="s">
        <v>1073</v>
      </c>
      <c r="O355" t="s">
        <v>2460</v>
      </c>
      <c r="P355" t="s">
        <v>51</v>
      </c>
    </row>
    <row r="356" spans="1:16">
      <c r="A356" t="s">
        <v>3603</v>
      </c>
      <c r="B356" t="s">
        <v>3604</v>
      </c>
      <c r="C356" s="1">
        <v>45510</v>
      </c>
      <c r="D356">
        <v>63</v>
      </c>
      <c r="E356" t="s">
        <v>841</v>
      </c>
      <c r="F356" t="s">
        <v>97</v>
      </c>
      <c r="G356" t="s">
        <v>54</v>
      </c>
      <c r="J356" t="s">
        <v>28</v>
      </c>
      <c r="K356" t="s">
        <v>21</v>
      </c>
      <c r="L356" t="s">
        <v>1071</v>
      </c>
      <c r="M356" t="s">
        <v>3605</v>
      </c>
      <c r="O356" t="s">
        <v>478</v>
      </c>
      <c r="P356" t="s">
        <v>3606</v>
      </c>
    </row>
    <row r="357" spans="1:16">
      <c r="A357" t="s">
        <v>3607</v>
      </c>
      <c r="B357" t="s">
        <v>3608</v>
      </c>
      <c r="C357" s="1">
        <v>45534</v>
      </c>
      <c r="D357">
        <v>46</v>
      </c>
      <c r="E357" t="s">
        <v>841</v>
      </c>
      <c r="F357" t="s">
        <v>97</v>
      </c>
      <c r="G357" t="s">
        <v>54</v>
      </c>
      <c r="K357" t="s">
        <v>21</v>
      </c>
      <c r="L357" t="s">
        <v>3609</v>
      </c>
      <c r="M357" t="s">
        <v>3610</v>
      </c>
      <c r="N357" t="s">
        <v>2405</v>
      </c>
      <c r="O357" t="s">
        <v>3611</v>
      </c>
      <c r="P357" t="s">
        <v>2433</v>
      </c>
    </row>
    <row r="358" spans="1:16">
      <c r="A358" t="s">
        <v>3612</v>
      </c>
      <c r="B358" t="s">
        <v>3613</v>
      </c>
      <c r="C358" s="1">
        <v>45574</v>
      </c>
      <c r="D358">
        <v>40</v>
      </c>
      <c r="E358" t="s">
        <v>778</v>
      </c>
      <c r="F358" t="s">
        <v>97</v>
      </c>
      <c r="K358" t="s">
        <v>21</v>
      </c>
      <c r="M358" t="s">
        <v>3614</v>
      </c>
      <c r="N358" t="s">
        <v>3615</v>
      </c>
      <c r="O358" t="s">
        <v>2460</v>
      </c>
      <c r="P358" t="s">
        <v>2433</v>
      </c>
    </row>
    <row r="359" spans="1:16">
      <c r="A359" t="s">
        <v>3616</v>
      </c>
      <c r="B359" t="s">
        <v>3617</v>
      </c>
      <c r="C359" s="1">
        <v>45509</v>
      </c>
      <c r="D359">
        <v>93</v>
      </c>
      <c r="E359" t="s">
        <v>841</v>
      </c>
      <c r="F359" t="s">
        <v>3618</v>
      </c>
      <c r="J359" t="s">
        <v>3619</v>
      </c>
      <c r="K359" t="s">
        <v>21</v>
      </c>
      <c r="L359" t="s">
        <v>1071</v>
      </c>
      <c r="O359" t="s">
        <v>89</v>
      </c>
      <c r="P359" t="s">
        <v>2413</v>
      </c>
    </row>
    <row r="360" spans="1:16">
      <c r="A360" t="s">
        <v>3620</v>
      </c>
      <c r="B360" t="s">
        <v>3621</v>
      </c>
      <c r="C360" s="1">
        <v>45469</v>
      </c>
      <c r="D360">
        <v>64</v>
      </c>
      <c r="E360" t="s">
        <v>613</v>
      </c>
      <c r="F360" t="s">
        <v>3622</v>
      </c>
      <c r="J360" t="s">
        <v>3623</v>
      </c>
      <c r="K360" t="s">
        <v>21</v>
      </c>
      <c r="M360" t="s">
        <v>3624</v>
      </c>
      <c r="N360" t="s">
        <v>132</v>
      </c>
      <c r="O360" t="s">
        <v>2695</v>
      </c>
      <c r="P360" t="s">
        <v>2696</v>
      </c>
    </row>
    <row r="361" spans="1:16">
      <c r="A361" t="s">
        <v>3625</v>
      </c>
      <c r="B361" t="s">
        <v>3626</v>
      </c>
      <c r="C361" s="1">
        <v>45468</v>
      </c>
      <c r="D361">
        <v>75</v>
      </c>
      <c r="E361" t="s">
        <v>841</v>
      </c>
      <c r="F361" t="s">
        <v>3627</v>
      </c>
      <c r="J361" t="s">
        <v>3628</v>
      </c>
      <c r="K361" t="s">
        <v>21</v>
      </c>
      <c r="L361" t="s">
        <v>1071</v>
      </c>
      <c r="M361" t="s">
        <v>3629</v>
      </c>
      <c r="N361" t="s">
        <v>2405</v>
      </c>
      <c r="O361" t="s">
        <v>478</v>
      </c>
      <c r="P361" t="s">
        <v>3606</v>
      </c>
    </row>
    <row r="362" spans="1:16">
      <c r="A362" t="s">
        <v>3630</v>
      </c>
      <c r="B362" t="s">
        <v>3631</v>
      </c>
      <c r="C362" s="1">
        <v>45496</v>
      </c>
      <c r="D362">
        <v>61</v>
      </c>
      <c r="E362" t="s">
        <v>841</v>
      </c>
      <c r="F362" t="s">
        <v>1672</v>
      </c>
      <c r="J362" t="s">
        <v>3632</v>
      </c>
      <c r="K362" t="s">
        <v>21</v>
      </c>
      <c r="L362" t="s">
        <v>1071</v>
      </c>
      <c r="M362" t="s">
        <v>1972</v>
      </c>
      <c r="N362" t="s">
        <v>3633</v>
      </c>
      <c r="O362" t="s">
        <v>1972</v>
      </c>
      <c r="P362" t="s">
        <v>3633</v>
      </c>
    </row>
    <row r="363" spans="1:16">
      <c r="A363" t="s">
        <v>3634</v>
      </c>
      <c r="B363" t="s">
        <v>3635</v>
      </c>
      <c r="C363" s="1">
        <v>45453</v>
      </c>
      <c r="D363">
        <v>74</v>
      </c>
      <c r="E363" t="s">
        <v>841</v>
      </c>
      <c r="F363" t="s">
        <v>3636</v>
      </c>
      <c r="J363" t="s">
        <v>3637</v>
      </c>
      <c r="K363" t="s">
        <v>21</v>
      </c>
      <c r="L363" t="s">
        <v>1071</v>
      </c>
      <c r="M363" t="s">
        <v>3638</v>
      </c>
      <c r="O363" t="s">
        <v>3638</v>
      </c>
    </row>
    <row r="364" spans="1:16">
      <c r="A364" t="s">
        <v>3639</v>
      </c>
      <c r="B364" t="s">
        <v>3640</v>
      </c>
      <c r="C364" s="1">
        <v>45535</v>
      </c>
      <c r="D364">
        <v>46</v>
      </c>
      <c r="E364" t="s">
        <v>841</v>
      </c>
      <c r="F364" t="s">
        <v>3641</v>
      </c>
      <c r="J364" t="s">
        <v>3642</v>
      </c>
      <c r="K364" t="s">
        <v>21</v>
      </c>
      <c r="M364" t="s">
        <v>3643</v>
      </c>
      <c r="N364" t="s">
        <v>2405</v>
      </c>
      <c r="O364" t="s">
        <v>3643</v>
      </c>
      <c r="P364" t="s">
        <v>2405</v>
      </c>
    </row>
    <row r="365" spans="1:16">
      <c r="A365" t="s">
        <v>3644</v>
      </c>
      <c r="B365" t="s">
        <v>3645</v>
      </c>
      <c r="C365" s="1">
        <v>45455</v>
      </c>
      <c r="D365">
        <v>44</v>
      </c>
      <c r="E365" t="s">
        <v>778</v>
      </c>
      <c r="F365" t="s">
        <v>3646</v>
      </c>
      <c r="J365" t="s">
        <v>1249</v>
      </c>
      <c r="K365" t="s">
        <v>21</v>
      </c>
      <c r="N365" t="s">
        <v>2405</v>
      </c>
      <c r="O365" t="s">
        <v>116</v>
      </c>
      <c r="P365" t="s">
        <v>2413</v>
      </c>
    </row>
    <row r="366" spans="1:16">
      <c r="A366" t="s">
        <v>3647</v>
      </c>
      <c r="B366" t="s">
        <v>3648</v>
      </c>
      <c r="C366" s="1">
        <v>45500</v>
      </c>
      <c r="D366">
        <v>79</v>
      </c>
      <c r="E366" t="s">
        <v>841</v>
      </c>
      <c r="F366" t="s">
        <v>3649</v>
      </c>
      <c r="G366" t="s">
        <v>3650</v>
      </c>
      <c r="J366" t="s">
        <v>54</v>
      </c>
      <c r="K366" t="s">
        <v>21</v>
      </c>
      <c r="L366" t="s">
        <v>1071</v>
      </c>
      <c r="M366" t="s">
        <v>3651</v>
      </c>
      <c r="N366" t="s">
        <v>1073</v>
      </c>
      <c r="O366" t="s">
        <v>3651</v>
      </c>
      <c r="P366" t="s">
        <v>1073</v>
      </c>
    </row>
    <row r="367" spans="1:16">
      <c r="A367" t="s">
        <v>3652</v>
      </c>
      <c r="B367" t="s">
        <v>3653</v>
      </c>
      <c r="C367" s="1">
        <v>45468</v>
      </c>
      <c r="D367">
        <v>39</v>
      </c>
      <c r="E367" t="s">
        <v>841</v>
      </c>
      <c r="F367" t="s">
        <v>3654</v>
      </c>
      <c r="J367" t="s">
        <v>54</v>
      </c>
      <c r="K367" t="s">
        <v>21</v>
      </c>
      <c r="M367" t="s">
        <v>3655</v>
      </c>
      <c r="N367" t="s">
        <v>2405</v>
      </c>
      <c r="O367" t="s">
        <v>3655</v>
      </c>
      <c r="P367" t="s">
        <v>2405</v>
      </c>
    </row>
    <row r="368" spans="1:16">
      <c r="A368" t="s">
        <v>3656</v>
      </c>
      <c r="B368" t="s">
        <v>3657</v>
      </c>
      <c r="C368" s="1">
        <v>45483</v>
      </c>
      <c r="D368">
        <v>68</v>
      </c>
      <c r="E368" t="s">
        <v>841</v>
      </c>
      <c r="F368" t="s">
        <v>3658</v>
      </c>
      <c r="J368" t="s">
        <v>3659</v>
      </c>
      <c r="K368" t="s">
        <v>21</v>
      </c>
      <c r="M368" t="s">
        <v>3660</v>
      </c>
      <c r="N368" t="s">
        <v>2405</v>
      </c>
      <c r="O368" t="s">
        <v>3660</v>
      </c>
      <c r="P368" t="s">
        <v>2405</v>
      </c>
    </row>
    <row r="369" spans="1:16">
      <c r="A369" t="s">
        <v>3661</v>
      </c>
      <c r="B369" t="s">
        <v>3662</v>
      </c>
      <c r="C369" s="1">
        <v>45484</v>
      </c>
      <c r="D369">
        <v>58</v>
      </c>
      <c r="E369" t="s">
        <v>841</v>
      </c>
      <c r="F369" t="s">
        <v>1808</v>
      </c>
      <c r="J369" t="s">
        <v>3663</v>
      </c>
      <c r="K369" t="s">
        <v>21</v>
      </c>
    </row>
    <row r="370" spans="1:16">
      <c r="A370" t="s">
        <v>3664</v>
      </c>
      <c r="B370" t="s">
        <v>3665</v>
      </c>
      <c r="C370" s="1">
        <v>45494</v>
      </c>
      <c r="D370">
        <v>50</v>
      </c>
      <c r="E370" t="s">
        <v>841</v>
      </c>
      <c r="F370" t="s">
        <v>1808</v>
      </c>
      <c r="J370" t="s">
        <v>54</v>
      </c>
      <c r="K370" t="s">
        <v>21</v>
      </c>
      <c r="M370" t="s">
        <v>3666</v>
      </c>
      <c r="N370" t="s">
        <v>70</v>
      </c>
      <c r="O370" t="s">
        <v>3666</v>
      </c>
      <c r="P370" t="s">
        <v>70</v>
      </c>
    </row>
    <row r="371" spans="1:16">
      <c r="A371" t="s">
        <v>3667</v>
      </c>
      <c r="B371" t="s">
        <v>3668</v>
      </c>
      <c r="C371" s="1">
        <v>45498</v>
      </c>
      <c r="D371">
        <v>43</v>
      </c>
      <c r="E371" t="s">
        <v>841</v>
      </c>
      <c r="F371" t="s">
        <v>1808</v>
      </c>
      <c r="J371" t="s">
        <v>54</v>
      </c>
      <c r="K371" t="s">
        <v>21</v>
      </c>
      <c r="N371" t="s">
        <v>2405</v>
      </c>
      <c r="P371" t="s">
        <v>2405</v>
      </c>
    </row>
    <row r="372" spans="1:16">
      <c r="A372" t="s">
        <v>3669</v>
      </c>
      <c r="B372" t="s">
        <v>3670</v>
      </c>
      <c r="C372" s="1">
        <v>45451</v>
      </c>
      <c r="D372">
        <v>52</v>
      </c>
      <c r="E372" t="s">
        <v>841</v>
      </c>
      <c r="F372" t="s">
        <v>499</v>
      </c>
      <c r="J372" t="s">
        <v>54</v>
      </c>
      <c r="K372" t="s">
        <v>21</v>
      </c>
    </row>
    <row r="373" spans="1:16">
      <c r="A373" t="s">
        <v>3671</v>
      </c>
      <c r="B373" t="s">
        <v>3672</v>
      </c>
      <c r="C373" s="1">
        <v>45491</v>
      </c>
      <c r="D373">
        <v>32</v>
      </c>
      <c r="E373" t="s">
        <v>841</v>
      </c>
      <c r="F373" t="s">
        <v>499</v>
      </c>
      <c r="J373" t="s">
        <v>54</v>
      </c>
      <c r="K373" t="s">
        <v>21</v>
      </c>
      <c r="M373" t="s">
        <v>3673</v>
      </c>
      <c r="O373" t="s">
        <v>3673</v>
      </c>
    </row>
    <row r="374" spans="1:16">
      <c r="A374" t="s">
        <v>3674</v>
      </c>
      <c r="B374" t="s">
        <v>3675</v>
      </c>
      <c r="C374" s="1">
        <v>45492</v>
      </c>
      <c r="D374">
        <v>37</v>
      </c>
      <c r="F374" t="s">
        <v>499</v>
      </c>
      <c r="J374" t="s">
        <v>54</v>
      </c>
      <c r="K374" t="s">
        <v>21</v>
      </c>
      <c r="M374" t="s">
        <v>3676</v>
      </c>
      <c r="O374" t="s">
        <v>3676</v>
      </c>
    </row>
    <row r="375" spans="1:16">
      <c r="A375" t="s">
        <v>3677</v>
      </c>
      <c r="B375" t="s">
        <v>3678</v>
      </c>
      <c r="C375" s="1">
        <v>45450</v>
      </c>
      <c r="D375">
        <v>59</v>
      </c>
      <c r="E375" t="s">
        <v>778</v>
      </c>
      <c r="F375" t="s">
        <v>135</v>
      </c>
      <c r="J375" t="s">
        <v>35</v>
      </c>
      <c r="K375" t="s">
        <v>21</v>
      </c>
      <c r="M375" t="s">
        <v>3679</v>
      </c>
      <c r="N375" t="s">
        <v>2405</v>
      </c>
      <c r="O375" t="s">
        <v>3679</v>
      </c>
      <c r="P375" t="s">
        <v>2405</v>
      </c>
    </row>
    <row r="376" spans="1:16">
      <c r="A376" t="s">
        <v>3680</v>
      </c>
      <c r="B376" t="s">
        <v>3681</v>
      </c>
      <c r="C376" s="1">
        <v>45451</v>
      </c>
      <c r="D376">
        <v>65</v>
      </c>
      <c r="E376" t="s">
        <v>841</v>
      </c>
      <c r="F376" t="s">
        <v>135</v>
      </c>
      <c r="J376" t="s">
        <v>35</v>
      </c>
      <c r="K376" t="s">
        <v>21</v>
      </c>
      <c r="O376" t="s">
        <v>43</v>
      </c>
      <c r="P376" t="s">
        <v>2413</v>
      </c>
    </row>
    <row r="377" spans="1:16">
      <c r="A377" t="s">
        <v>3682</v>
      </c>
      <c r="B377" t="s">
        <v>3683</v>
      </c>
      <c r="C377" s="1">
        <v>45458</v>
      </c>
      <c r="D377">
        <v>48</v>
      </c>
      <c r="E377" t="s">
        <v>106</v>
      </c>
      <c r="F377" t="s">
        <v>135</v>
      </c>
      <c r="J377" t="s">
        <v>3684</v>
      </c>
      <c r="K377" t="s">
        <v>21</v>
      </c>
      <c r="O377" t="s">
        <v>127</v>
      </c>
    </row>
    <row r="378" spans="1:16">
      <c r="A378" t="s">
        <v>3685</v>
      </c>
      <c r="B378" t="s">
        <v>3686</v>
      </c>
      <c r="C378" s="1">
        <v>45460</v>
      </c>
      <c r="D378">
        <v>65</v>
      </c>
      <c r="E378" t="s">
        <v>841</v>
      </c>
      <c r="F378" t="s">
        <v>135</v>
      </c>
      <c r="J378" t="s">
        <v>35</v>
      </c>
      <c r="K378" t="s">
        <v>21</v>
      </c>
      <c r="L378" t="s">
        <v>1071</v>
      </c>
      <c r="O378" t="s">
        <v>3687</v>
      </c>
      <c r="P378" t="s">
        <v>1073</v>
      </c>
    </row>
    <row r="379" spans="1:16">
      <c r="A379" t="s">
        <v>3688</v>
      </c>
      <c r="B379" t="s">
        <v>3689</v>
      </c>
      <c r="C379" s="1">
        <v>45464</v>
      </c>
      <c r="D379">
        <v>64</v>
      </c>
      <c r="E379" t="s">
        <v>841</v>
      </c>
      <c r="F379" t="s">
        <v>135</v>
      </c>
      <c r="J379" t="s">
        <v>35</v>
      </c>
      <c r="K379" t="s">
        <v>21</v>
      </c>
      <c r="O379" t="s">
        <v>2460</v>
      </c>
      <c r="P379" t="s">
        <v>2413</v>
      </c>
    </row>
    <row r="380" spans="1:16">
      <c r="A380" t="s">
        <v>3690</v>
      </c>
      <c r="B380" t="s">
        <v>3691</v>
      </c>
      <c r="C380" s="1">
        <v>45464</v>
      </c>
      <c r="D380">
        <v>71</v>
      </c>
      <c r="E380" t="s">
        <v>841</v>
      </c>
      <c r="F380" t="s">
        <v>135</v>
      </c>
      <c r="J380" t="s">
        <v>35</v>
      </c>
      <c r="K380" t="s">
        <v>21</v>
      </c>
      <c r="M380" t="s">
        <v>3692</v>
      </c>
      <c r="N380" t="s">
        <v>2405</v>
      </c>
      <c r="O380" t="s">
        <v>3692</v>
      </c>
      <c r="P380" t="s">
        <v>2405</v>
      </c>
    </row>
    <row r="381" spans="1:16">
      <c r="A381" t="s">
        <v>3693</v>
      </c>
      <c r="B381" t="s">
        <v>3694</v>
      </c>
      <c r="C381" s="1">
        <v>45466</v>
      </c>
      <c r="D381">
        <v>67</v>
      </c>
      <c r="E381" t="s">
        <v>841</v>
      </c>
      <c r="F381" t="s">
        <v>135</v>
      </c>
      <c r="J381" t="s">
        <v>416</v>
      </c>
      <c r="K381" t="s">
        <v>21</v>
      </c>
      <c r="M381" t="s">
        <v>3695</v>
      </c>
      <c r="N381" t="s">
        <v>2405</v>
      </c>
      <c r="O381" t="s">
        <v>3695</v>
      </c>
      <c r="P381" t="s">
        <v>2405</v>
      </c>
    </row>
    <row r="382" spans="1:16">
      <c r="A382" t="s">
        <v>3696</v>
      </c>
      <c r="B382" t="s">
        <v>3697</v>
      </c>
      <c r="C382" s="1">
        <v>45483</v>
      </c>
      <c r="D382">
        <v>33</v>
      </c>
      <c r="E382" t="s">
        <v>841</v>
      </c>
      <c r="F382" t="s">
        <v>135</v>
      </c>
      <c r="J382" t="s">
        <v>54</v>
      </c>
      <c r="K382" t="s">
        <v>21</v>
      </c>
      <c r="M382" t="s">
        <v>3698</v>
      </c>
      <c r="N382" t="s">
        <v>2405</v>
      </c>
      <c r="O382" t="s">
        <v>3698</v>
      </c>
      <c r="P382" t="s">
        <v>2405</v>
      </c>
    </row>
    <row r="383" spans="1:16">
      <c r="A383" t="s">
        <v>3699</v>
      </c>
      <c r="B383" t="s">
        <v>3700</v>
      </c>
      <c r="C383" s="1">
        <v>45483</v>
      </c>
      <c r="D383">
        <v>68</v>
      </c>
      <c r="E383" t="s">
        <v>841</v>
      </c>
      <c r="F383" t="s">
        <v>135</v>
      </c>
      <c r="J383" t="s">
        <v>35</v>
      </c>
      <c r="K383" t="s">
        <v>21</v>
      </c>
      <c r="L383" t="s">
        <v>1071</v>
      </c>
      <c r="M383" t="s">
        <v>3701</v>
      </c>
      <c r="O383" t="s">
        <v>3701</v>
      </c>
    </row>
    <row r="384" spans="1:16">
      <c r="A384" t="s">
        <v>3702</v>
      </c>
      <c r="B384" t="s">
        <v>3703</v>
      </c>
      <c r="C384" s="1">
        <v>45483</v>
      </c>
      <c r="D384">
        <v>47</v>
      </c>
      <c r="E384" t="s">
        <v>841</v>
      </c>
      <c r="F384" t="s">
        <v>135</v>
      </c>
      <c r="J384" t="s">
        <v>3422</v>
      </c>
      <c r="K384" t="s">
        <v>21</v>
      </c>
      <c r="M384" t="s">
        <v>3704</v>
      </c>
      <c r="N384" t="s">
        <v>70</v>
      </c>
      <c r="O384" t="s">
        <v>3704</v>
      </c>
      <c r="P384" t="s">
        <v>70</v>
      </c>
    </row>
    <row r="385" spans="1:16">
      <c r="A385" t="s">
        <v>3705</v>
      </c>
      <c r="B385" t="s">
        <v>3706</v>
      </c>
      <c r="C385" s="1">
        <v>45484</v>
      </c>
      <c r="D385">
        <v>60</v>
      </c>
      <c r="E385" t="s">
        <v>778</v>
      </c>
      <c r="F385" t="s">
        <v>135</v>
      </c>
      <c r="J385" t="s">
        <v>35</v>
      </c>
      <c r="K385" t="s">
        <v>21</v>
      </c>
      <c r="N385" t="s">
        <v>2405</v>
      </c>
      <c r="P385" t="s">
        <v>2405</v>
      </c>
    </row>
    <row r="386" spans="1:16">
      <c r="A386" t="s">
        <v>3707</v>
      </c>
      <c r="B386" t="s">
        <v>3708</v>
      </c>
      <c r="C386" s="1">
        <v>45484</v>
      </c>
      <c r="D386">
        <v>34</v>
      </c>
      <c r="E386" t="s">
        <v>841</v>
      </c>
      <c r="F386" t="s">
        <v>135</v>
      </c>
      <c r="J386" t="s">
        <v>35</v>
      </c>
      <c r="K386" t="s">
        <v>21</v>
      </c>
      <c r="M386" t="s">
        <v>3709</v>
      </c>
      <c r="O386" t="s">
        <v>3709</v>
      </c>
    </row>
    <row r="387" spans="1:16">
      <c r="A387" t="s">
        <v>3710</v>
      </c>
      <c r="B387" t="s">
        <v>3711</v>
      </c>
      <c r="C387" s="1">
        <v>45485</v>
      </c>
      <c r="D387">
        <v>52</v>
      </c>
      <c r="E387" t="s">
        <v>841</v>
      </c>
      <c r="F387" t="s">
        <v>135</v>
      </c>
      <c r="J387" t="s">
        <v>35</v>
      </c>
      <c r="K387" t="s">
        <v>21</v>
      </c>
      <c r="M387" t="s">
        <v>3712</v>
      </c>
      <c r="N387" t="s">
        <v>271</v>
      </c>
      <c r="O387" t="s">
        <v>3712</v>
      </c>
      <c r="P387" t="s">
        <v>271</v>
      </c>
    </row>
    <row r="388" spans="1:16">
      <c r="A388" t="s">
        <v>3713</v>
      </c>
      <c r="B388" t="s">
        <v>3714</v>
      </c>
      <c r="C388" s="1">
        <v>45498</v>
      </c>
      <c r="D388">
        <v>42</v>
      </c>
      <c r="E388" t="s">
        <v>27</v>
      </c>
      <c r="F388" t="s">
        <v>135</v>
      </c>
      <c r="J388" t="s">
        <v>54</v>
      </c>
      <c r="K388" t="s">
        <v>21</v>
      </c>
      <c r="N388" t="s">
        <v>2405</v>
      </c>
      <c r="O388" t="s">
        <v>2460</v>
      </c>
      <c r="P388" t="s">
        <v>2413</v>
      </c>
    </row>
    <row r="389" spans="1:16">
      <c r="A389" t="s">
        <v>3715</v>
      </c>
      <c r="B389" t="s">
        <v>3716</v>
      </c>
      <c r="C389" s="1">
        <v>45507</v>
      </c>
      <c r="D389">
        <v>42</v>
      </c>
      <c r="E389" t="s">
        <v>841</v>
      </c>
      <c r="F389" t="s">
        <v>135</v>
      </c>
      <c r="J389" t="s">
        <v>35</v>
      </c>
      <c r="K389" t="s">
        <v>21</v>
      </c>
      <c r="M389" t="s">
        <v>3717</v>
      </c>
      <c r="N389" t="s">
        <v>2405</v>
      </c>
      <c r="O389" t="s">
        <v>3717</v>
      </c>
      <c r="P389" t="s">
        <v>2405</v>
      </c>
    </row>
    <row r="390" spans="1:16">
      <c r="A390" t="s">
        <v>3718</v>
      </c>
      <c r="B390" t="s">
        <v>3719</v>
      </c>
      <c r="C390" s="1">
        <v>45507</v>
      </c>
      <c r="D390">
        <v>33</v>
      </c>
      <c r="E390" t="s">
        <v>841</v>
      </c>
      <c r="F390" t="s">
        <v>135</v>
      </c>
      <c r="J390" t="s">
        <v>35</v>
      </c>
      <c r="K390" t="s">
        <v>21</v>
      </c>
      <c r="M390" t="s">
        <v>3720</v>
      </c>
      <c r="N390" t="s">
        <v>3721</v>
      </c>
      <c r="O390" t="s">
        <v>127</v>
      </c>
      <c r="P390" t="s">
        <v>44</v>
      </c>
    </row>
    <row r="391" spans="1:16">
      <c r="A391" t="s">
        <v>3722</v>
      </c>
      <c r="B391" t="s">
        <v>3723</v>
      </c>
      <c r="C391" s="1">
        <v>45508</v>
      </c>
      <c r="D391">
        <v>28</v>
      </c>
      <c r="E391" t="s">
        <v>250</v>
      </c>
      <c r="F391" t="s">
        <v>135</v>
      </c>
      <c r="J391" t="s">
        <v>35</v>
      </c>
      <c r="K391" t="s">
        <v>21</v>
      </c>
      <c r="M391" t="s">
        <v>3724</v>
      </c>
      <c r="N391" t="s">
        <v>726</v>
      </c>
      <c r="O391" t="s">
        <v>3724</v>
      </c>
      <c r="P391" t="s">
        <v>726</v>
      </c>
    </row>
    <row r="392" spans="1:16">
      <c r="A392" t="s">
        <v>3725</v>
      </c>
      <c r="B392" t="s">
        <v>3726</v>
      </c>
      <c r="C392" s="1">
        <v>45514</v>
      </c>
      <c r="D392">
        <v>35</v>
      </c>
      <c r="E392" t="s">
        <v>778</v>
      </c>
      <c r="F392" t="s">
        <v>135</v>
      </c>
      <c r="J392" t="s">
        <v>35</v>
      </c>
      <c r="K392" t="s">
        <v>21</v>
      </c>
      <c r="M392" t="s">
        <v>3727</v>
      </c>
      <c r="N392" t="s">
        <v>2405</v>
      </c>
      <c r="O392" t="s">
        <v>3727</v>
      </c>
      <c r="P392" t="s">
        <v>2405</v>
      </c>
    </row>
    <row r="393" spans="1:16">
      <c r="A393" t="s">
        <v>3728</v>
      </c>
      <c r="B393" t="s">
        <v>3729</v>
      </c>
      <c r="C393" s="1">
        <v>45515</v>
      </c>
      <c r="D393">
        <v>63</v>
      </c>
      <c r="E393" t="s">
        <v>778</v>
      </c>
      <c r="F393" t="s">
        <v>135</v>
      </c>
      <c r="J393" t="s">
        <v>35</v>
      </c>
      <c r="K393" t="s">
        <v>21</v>
      </c>
      <c r="M393" t="s">
        <v>3730</v>
      </c>
      <c r="N393" t="s">
        <v>1042</v>
      </c>
      <c r="O393" t="s">
        <v>3730</v>
      </c>
      <c r="P393" t="s">
        <v>1042</v>
      </c>
    </row>
    <row r="394" spans="1:16">
      <c r="A394" t="s">
        <v>3731</v>
      </c>
      <c r="B394" t="s">
        <v>3732</v>
      </c>
      <c r="C394" s="1">
        <v>45543</v>
      </c>
      <c r="D394">
        <v>52</v>
      </c>
      <c r="E394" t="s">
        <v>778</v>
      </c>
      <c r="F394" t="s">
        <v>135</v>
      </c>
      <c r="J394" t="s">
        <v>54</v>
      </c>
      <c r="K394" t="s">
        <v>21</v>
      </c>
      <c r="L394" t="s">
        <v>1071</v>
      </c>
      <c r="M394" t="s">
        <v>3733</v>
      </c>
      <c r="N394" t="s">
        <v>1073</v>
      </c>
      <c r="O394" t="s">
        <v>3733</v>
      </c>
      <c r="P394" t="s">
        <v>1073</v>
      </c>
    </row>
    <row r="395" spans="1:16">
      <c r="A395" t="s">
        <v>3734</v>
      </c>
      <c r="B395" t="s">
        <v>3735</v>
      </c>
      <c r="C395" s="1">
        <v>45569</v>
      </c>
      <c r="D395">
        <v>65</v>
      </c>
      <c r="E395" t="s">
        <v>778</v>
      </c>
      <c r="F395" t="s">
        <v>135</v>
      </c>
      <c r="J395" t="s">
        <v>3736</v>
      </c>
      <c r="K395" t="s">
        <v>21</v>
      </c>
      <c r="N395" t="s">
        <v>2405</v>
      </c>
      <c r="O395" t="s">
        <v>2684</v>
      </c>
      <c r="P395" t="s">
        <v>2433</v>
      </c>
    </row>
    <row r="396" spans="1:16">
      <c r="A396" t="s">
        <v>3737</v>
      </c>
      <c r="B396" t="s">
        <v>3738</v>
      </c>
      <c r="C396" s="1">
        <v>45483</v>
      </c>
      <c r="D396">
        <v>60</v>
      </c>
      <c r="E396" t="s">
        <v>841</v>
      </c>
      <c r="F396" t="s">
        <v>1254</v>
      </c>
      <c r="J396" t="s">
        <v>35</v>
      </c>
      <c r="K396" t="s">
        <v>21</v>
      </c>
      <c r="N396" t="s">
        <v>2405</v>
      </c>
      <c r="P396" t="s">
        <v>2405</v>
      </c>
    </row>
    <row r="397" spans="1:16">
      <c r="A397" t="s">
        <v>3739</v>
      </c>
      <c r="B397" t="s">
        <v>3740</v>
      </c>
      <c r="C397" s="1">
        <v>45486</v>
      </c>
      <c r="D397">
        <v>61</v>
      </c>
      <c r="E397" t="s">
        <v>841</v>
      </c>
      <c r="F397" t="s">
        <v>1254</v>
      </c>
      <c r="J397" t="s">
        <v>35</v>
      </c>
      <c r="K397" t="s">
        <v>21</v>
      </c>
      <c r="M397" t="s">
        <v>3741</v>
      </c>
      <c r="N397" t="s">
        <v>2405</v>
      </c>
      <c r="O397" t="s">
        <v>127</v>
      </c>
      <c r="P397" t="s">
        <v>2433</v>
      </c>
    </row>
    <row r="398" spans="1:16">
      <c r="A398" t="s">
        <v>3742</v>
      </c>
      <c r="B398" t="s">
        <v>3743</v>
      </c>
      <c r="C398" s="1">
        <v>45486</v>
      </c>
      <c r="D398">
        <v>40</v>
      </c>
      <c r="E398" t="s">
        <v>841</v>
      </c>
      <c r="F398" t="s">
        <v>1254</v>
      </c>
      <c r="J398" t="s">
        <v>35</v>
      </c>
      <c r="K398" t="s">
        <v>21</v>
      </c>
    </row>
    <row r="399" spans="1:16">
      <c r="A399" t="s">
        <v>3744</v>
      </c>
      <c r="B399" t="s">
        <v>3745</v>
      </c>
      <c r="C399" s="1">
        <v>45486</v>
      </c>
      <c r="D399">
        <v>61</v>
      </c>
      <c r="E399" t="s">
        <v>841</v>
      </c>
      <c r="F399" t="s">
        <v>1254</v>
      </c>
      <c r="J399" t="s">
        <v>35</v>
      </c>
      <c r="K399" t="s">
        <v>21</v>
      </c>
    </row>
    <row r="400" spans="1:16">
      <c r="A400" t="s">
        <v>3746</v>
      </c>
      <c r="B400" t="s">
        <v>3747</v>
      </c>
      <c r="C400" s="1">
        <v>45498</v>
      </c>
      <c r="D400">
        <v>47</v>
      </c>
      <c r="E400" t="s">
        <v>841</v>
      </c>
      <c r="F400" t="s">
        <v>1254</v>
      </c>
      <c r="J400" t="s">
        <v>54</v>
      </c>
      <c r="K400" t="s">
        <v>21</v>
      </c>
      <c r="M400" t="s">
        <v>3748</v>
      </c>
      <c r="N400" t="s">
        <v>65</v>
      </c>
      <c r="O400" t="s">
        <v>3748</v>
      </c>
      <c r="P400" t="s">
        <v>65</v>
      </c>
    </row>
    <row r="401" spans="1:16">
      <c r="A401" t="s">
        <v>3749</v>
      </c>
      <c r="B401" t="s">
        <v>3750</v>
      </c>
      <c r="C401" s="1">
        <v>45514</v>
      </c>
      <c r="D401">
        <v>45</v>
      </c>
      <c r="E401" t="s">
        <v>27</v>
      </c>
      <c r="F401" t="s">
        <v>1254</v>
      </c>
      <c r="J401" t="s">
        <v>35</v>
      </c>
      <c r="K401" t="s">
        <v>21</v>
      </c>
      <c r="L401" t="s">
        <v>1071</v>
      </c>
      <c r="M401" t="s">
        <v>3751</v>
      </c>
      <c r="N401" t="s">
        <v>2405</v>
      </c>
      <c r="O401" t="s">
        <v>2460</v>
      </c>
      <c r="P401" t="s">
        <v>2413</v>
      </c>
    </row>
    <row r="402" spans="1:16">
      <c r="A402" t="s">
        <v>3752</v>
      </c>
      <c r="B402" t="s">
        <v>3753</v>
      </c>
      <c r="C402" s="1">
        <v>45441</v>
      </c>
      <c r="D402">
        <v>29</v>
      </c>
      <c r="E402" t="s">
        <v>841</v>
      </c>
      <c r="F402" t="s">
        <v>172</v>
      </c>
      <c r="J402" t="s">
        <v>3754</v>
      </c>
      <c r="K402" t="s">
        <v>21</v>
      </c>
      <c r="M402" t="s">
        <v>3755</v>
      </c>
      <c r="N402" t="s">
        <v>2405</v>
      </c>
      <c r="O402" t="s">
        <v>3755</v>
      </c>
      <c r="P402" t="s">
        <v>2405</v>
      </c>
    </row>
    <row r="403" spans="1:16">
      <c r="A403" t="s">
        <v>3756</v>
      </c>
      <c r="B403" t="s">
        <v>3757</v>
      </c>
      <c r="C403" s="1">
        <v>45448</v>
      </c>
      <c r="D403">
        <v>53</v>
      </c>
      <c r="E403" t="s">
        <v>841</v>
      </c>
      <c r="F403" t="s">
        <v>172</v>
      </c>
      <c r="J403" t="s">
        <v>3758</v>
      </c>
      <c r="K403" t="s">
        <v>21</v>
      </c>
      <c r="M403" t="s">
        <v>3759</v>
      </c>
      <c r="N403" t="s">
        <v>2405</v>
      </c>
      <c r="O403" t="s">
        <v>43</v>
      </c>
      <c r="P403" t="s">
        <v>44</v>
      </c>
    </row>
    <row r="404" spans="1:16">
      <c r="A404" t="s">
        <v>3760</v>
      </c>
      <c r="B404" t="s">
        <v>3761</v>
      </c>
      <c r="C404" s="1">
        <v>45449</v>
      </c>
      <c r="D404">
        <v>44</v>
      </c>
      <c r="E404" t="s">
        <v>841</v>
      </c>
      <c r="F404" t="s">
        <v>172</v>
      </c>
      <c r="J404" t="s">
        <v>3762</v>
      </c>
      <c r="K404" t="s">
        <v>21</v>
      </c>
      <c r="M404" t="s">
        <v>3763</v>
      </c>
      <c r="N404" t="s">
        <v>2405</v>
      </c>
      <c r="O404" t="s">
        <v>3763</v>
      </c>
      <c r="P404" t="s">
        <v>2405</v>
      </c>
    </row>
    <row r="405" spans="1:16">
      <c r="A405" t="s">
        <v>3764</v>
      </c>
      <c r="B405" t="s">
        <v>3765</v>
      </c>
      <c r="C405" s="1">
        <v>45449</v>
      </c>
      <c r="D405">
        <v>50</v>
      </c>
      <c r="E405" t="s">
        <v>112</v>
      </c>
      <c r="F405" t="s">
        <v>172</v>
      </c>
      <c r="J405" t="s">
        <v>54</v>
      </c>
      <c r="K405" t="s">
        <v>21</v>
      </c>
      <c r="M405" t="s">
        <v>3766</v>
      </c>
      <c r="O405" t="s">
        <v>3766</v>
      </c>
    </row>
    <row r="406" spans="1:16">
      <c r="A406" t="s">
        <v>3767</v>
      </c>
      <c r="B406" t="s">
        <v>3768</v>
      </c>
      <c r="C406" s="1">
        <v>45449</v>
      </c>
      <c r="D406">
        <v>45</v>
      </c>
      <c r="E406" t="s">
        <v>778</v>
      </c>
      <c r="F406" t="s">
        <v>172</v>
      </c>
      <c r="J406" t="s">
        <v>54</v>
      </c>
      <c r="K406" t="s">
        <v>21</v>
      </c>
      <c r="N406" t="s">
        <v>2405</v>
      </c>
      <c r="P406" t="s">
        <v>2405</v>
      </c>
    </row>
    <row r="407" spans="1:16">
      <c r="A407" t="s">
        <v>3769</v>
      </c>
      <c r="B407" t="s">
        <v>3770</v>
      </c>
      <c r="C407" s="1">
        <v>45449</v>
      </c>
      <c r="D407">
        <v>44</v>
      </c>
      <c r="E407" t="s">
        <v>778</v>
      </c>
      <c r="F407" t="s">
        <v>172</v>
      </c>
      <c r="J407" t="s">
        <v>54</v>
      </c>
      <c r="K407" t="s">
        <v>21</v>
      </c>
      <c r="M407" t="s">
        <v>3771</v>
      </c>
      <c r="N407" t="s">
        <v>2405</v>
      </c>
      <c r="O407" t="s">
        <v>3771</v>
      </c>
      <c r="P407" t="s">
        <v>2405</v>
      </c>
    </row>
    <row r="408" spans="1:16">
      <c r="A408" t="s">
        <v>3772</v>
      </c>
      <c r="B408" t="s">
        <v>3773</v>
      </c>
      <c r="C408" s="1">
        <v>45450</v>
      </c>
      <c r="D408">
        <v>60</v>
      </c>
      <c r="E408" t="s">
        <v>841</v>
      </c>
      <c r="F408" t="s">
        <v>172</v>
      </c>
      <c r="J408" t="s">
        <v>54</v>
      </c>
      <c r="K408" t="s">
        <v>21</v>
      </c>
      <c r="L408" t="s">
        <v>1071</v>
      </c>
      <c r="M408" t="s">
        <v>3774</v>
      </c>
      <c r="N408" t="s">
        <v>3775</v>
      </c>
      <c r="O408" t="s">
        <v>3774</v>
      </c>
      <c r="P408" t="s">
        <v>3775</v>
      </c>
    </row>
    <row r="409" spans="1:16">
      <c r="A409" t="s">
        <v>3776</v>
      </c>
      <c r="B409" t="s">
        <v>3777</v>
      </c>
      <c r="C409" s="1">
        <v>45464</v>
      </c>
      <c r="D409">
        <v>43</v>
      </c>
      <c r="E409" t="s">
        <v>27</v>
      </c>
      <c r="F409" t="s">
        <v>172</v>
      </c>
      <c r="J409" t="s">
        <v>35</v>
      </c>
      <c r="K409" t="s">
        <v>21</v>
      </c>
    </row>
    <row r="410" spans="1:16">
      <c r="A410" t="s">
        <v>3778</v>
      </c>
      <c r="B410" t="s">
        <v>3779</v>
      </c>
      <c r="C410" s="1">
        <v>45474</v>
      </c>
      <c r="D410">
        <v>46</v>
      </c>
      <c r="E410" t="s">
        <v>841</v>
      </c>
      <c r="F410" t="s">
        <v>172</v>
      </c>
      <c r="J410" t="s">
        <v>54</v>
      </c>
      <c r="K410" t="s">
        <v>21</v>
      </c>
      <c r="M410" t="s">
        <v>3780</v>
      </c>
      <c r="N410" t="s">
        <v>2405</v>
      </c>
      <c r="O410" t="s">
        <v>3780</v>
      </c>
      <c r="P410" t="s">
        <v>2405</v>
      </c>
    </row>
    <row r="411" spans="1:16">
      <c r="A411" t="s">
        <v>3781</v>
      </c>
      <c r="B411" t="s">
        <v>3782</v>
      </c>
      <c r="C411" s="1">
        <v>45476</v>
      </c>
      <c r="D411">
        <v>55</v>
      </c>
      <c r="E411" t="s">
        <v>841</v>
      </c>
      <c r="F411" t="s">
        <v>172</v>
      </c>
      <c r="J411" t="s">
        <v>54</v>
      </c>
      <c r="K411" t="s">
        <v>21</v>
      </c>
      <c r="L411" t="s">
        <v>1071</v>
      </c>
      <c r="M411" t="s">
        <v>3205</v>
      </c>
      <c r="N411" t="s">
        <v>1073</v>
      </c>
      <c r="O411" t="s">
        <v>3205</v>
      </c>
      <c r="P411" t="s">
        <v>1073</v>
      </c>
    </row>
    <row r="412" spans="1:16">
      <c r="A412" t="s">
        <v>3783</v>
      </c>
      <c r="B412" t="s">
        <v>3784</v>
      </c>
      <c r="C412" s="1">
        <v>45490</v>
      </c>
      <c r="D412">
        <v>55</v>
      </c>
      <c r="E412" t="s">
        <v>27</v>
      </c>
      <c r="F412" t="s">
        <v>172</v>
      </c>
      <c r="J412" t="s">
        <v>54</v>
      </c>
      <c r="K412" t="s">
        <v>21</v>
      </c>
      <c r="M412" t="s">
        <v>3785</v>
      </c>
      <c r="N412" t="s">
        <v>271</v>
      </c>
      <c r="O412" t="s">
        <v>3785</v>
      </c>
      <c r="P412" t="s">
        <v>271</v>
      </c>
    </row>
    <row r="413" spans="1:16">
      <c r="A413" t="s">
        <v>3786</v>
      </c>
      <c r="B413" t="s">
        <v>3787</v>
      </c>
      <c r="C413" s="1">
        <v>45491</v>
      </c>
      <c r="D413">
        <v>55</v>
      </c>
      <c r="E413" t="s">
        <v>841</v>
      </c>
      <c r="F413" t="s">
        <v>172</v>
      </c>
      <c r="J413" t="s">
        <v>48</v>
      </c>
      <c r="K413" t="s">
        <v>21</v>
      </c>
      <c r="N413" t="s">
        <v>2405</v>
      </c>
      <c r="P413" t="s">
        <v>2405</v>
      </c>
    </row>
    <row r="414" spans="1:16">
      <c r="A414" t="s">
        <v>3788</v>
      </c>
      <c r="B414" t="s">
        <v>3789</v>
      </c>
      <c r="C414" s="1">
        <v>45499</v>
      </c>
      <c r="D414">
        <v>36</v>
      </c>
      <c r="E414" t="s">
        <v>841</v>
      </c>
      <c r="F414" t="s">
        <v>172</v>
      </c>
      <c r="J414" t="s">
        <v>3290</v>
      </c>
      <c r="K414" t="s">
        <v>21</v>
      </c>
      <c r="N414" t="s">
        <v>2405</v>
      </c>
      <c r="O414" t="s">
        <v>2460</v>
      </c>
      <c r="P414" t="s">
        <v>3790</v>
      </c>
    </row>
    <row r="415" spans="1:16">
      <c r="A415" t="s">
        <v>3791</v>
      </c>
      <c r="B415" t="s">
        <v>3792</v>
      </c>
      <c r="C415" s="1">
        <v>45499</v>
      </c>
      <c r="D415">
        <v>30</v>
      </c>
      <c r="E415" t="s">
        <v>778</v>
      </c>
      <c r="F415" t="s">
        <v>172</v>
      </c>
      <c r="J415" t="s">
        <v>35</v>
      </c>
      <c r="K415" t="s">
        <v>21</v>
      </c>
      <c r="M415" t="s">
        <v>3793</v>
      </c>
      <c r="N415" t="s">
        <v>2405</v>
      </c>
      <c r="O415" t="s">
        <v>3793</v>
      </c>
      <c r="P415" t="s">
        <v>2405</v>
      </c>
    </row>
    <row r="416" spans="1:16">
      <c r="A416" t="s">
        <v>3794</v>
      </c>
      <c r="B416" t="s">
        <v>3795</v>
      </c>
      <c r="C416" s="1">
        <v>45501</v>
      </c>
      <c r="D416">
        <v>34</v>
      </c>
      <c r="E416" t="s">
        <v>841</v>
      </c>
      <c r="F416" t="s">
        <v>172</v>
      </c>
      <c r="J416" t="s">
        <v>54</v>
      </c>
      <c r="K416" t="s">
        <v>21</v>
      </c>
      <c r="M416" t="s">
        <v>3796</v>
      </c>
      <c r="N416" t="s">
        <v>2405</v>
      </c>
      <c r="O416" t="s">
        <v>3796</v>
      </c>
      <c r="P416" t="s">
        <v>2405</v>
      </c>
    </row>
    <row r="417" spans="1:16">
      <c r="A417" t="s">
        <v>3797</v>
      </c>
      <c r="B417" t="s">
        <v>3798</v>
      </c>
      <c r="C417" s="1">
        <v>45502</v>
      </c>
      <c r="D417">
        <v>70</v>
      </c>
      <c r="E417" t="s">
        <v>841</v>
      </c>
      <c r="F417" t="s">
        <v>172</v>
      </c>
      <c r="J417" t="s">
        <v>3799</v>
      </c>
      <c r="K417" t="s">
        <v>21</v>
      </c>
      <c r="M417" t="s">
        <v>3800</v>
      </c>
      <c r="N417" t="s">
        <v>70</v>
      </c>
      <c r="O417" t="s">
        <v>3800</v>
      </c>
      <c r="P417" t="s">
        <v>70</v>
      </c>
    </row>
    <row r="418" spans="1:16">
      <c r="A418" t="s">
        <v>3801</v>
      </c>
      <c r="B418" t="s">
        <v>3802</v>
      </c>
      <c r="C418" s="1">
        <v>45502</v>
      </c>
      <c r="D418">
        <v>26</v>
      </c>
      <c r="E418" t="s">
        <v>841</v>
      </c>
      <c r="F418" t="s">
        <v>172</v>
      </c>
      <c r="J418" t="s">
        <v>3803</v>
      </c>
      <c r="K418" t="s">
        <v>21</v>
      </c>
      <c r="O418" t="s">
        <v>2695</v>
      </c>
      <c r="P418" t="s">
        <v>2696</v>
      </c>
    </row>
    <row r="419" spans="1:16">
      <c r="A419" t="s">
        <v>3804</v>
      </c>
      <c r="B419" t="s">
        <v>3805</v>
      </c>
      <c r="C419" s="1">
        <v>45511</v>
      </c>
      <c r="D419">
        <v>62</v>
      </c>
      <c r="E419" t="s">
        <v>841</v>
      </c>
      <c r="F419" t="s">
        <v>172</v>
      </c>
      <c r="J419" t="s">
        <v>54</v>
      </c>
      <c r="K419" t="s">
        <v>21</v>
      </c>
      <c r="L419" t="s">
        <v>1071</v>
      </c>
      <c r="M419" t="s">
        <v>3806</v>
      </c>
      <c r="N419" t="s">
        <v>1073</v>
      </c>
      <c r="O419" t="s">
        <v>3806</v>
      </c>
      <c r="P419" t="s">
        <v>1073</v>
      </c>
    </row>
    <row r="420" spans="1:16">
      <c r="A420" t="s">
        <v>3807</v>
      </c>
      <c r="B420" t="s">
        <v>3808</v>
      </c>
      <c r="C420" s="1">
        <v>45519</v>
      </c>
      <c r="D420">
        <v>60</v>
      </c>
      <c r="E420" t="s">
        <v>27</v>
      </c>
      <c r="F420" t="s">
        <v>172</v>
      </c>
      <c r="J420" t="s">
        <v>35</v>
      </c>
      <c r="K420" t="s">
        <v>21</v>
      </c>
      <c r="L420" t="s">
        <v>1071</v>
      </c>
      <c r="M420" t="s">
        <v>3809</v>
      </c>
      <c r="O420" t="s">
        <v>3809</v>
      </c>
    </row>
    <row r="421" spans="1:16">
      <c r="A421" t="s">
        <v>3810</v>
      </c>
      <c r="B421" t="s">
        <v>3811</v>
      </c>
      <c r="C421" s="1">
        <v>45521</v>
      </c>
      <c r="D421">
        <v>42</v>
      </c>
      <c r="E421" t="s">
        <v>841</v>
      </c>
      <c r="F421" t="s">
        <v>172</v>
      </c>
      <c r="J421" t="s">
        <v>35</v>
      </c>
      <c r="K421" t="s">
        <v>21</v>
      </c>
      <c r="M421" t="s">
        <v>3812</v>
      </c>
      <c r="N421" t="s">
        <v>3813</v>
      </c>
      <c r="O421" t="s">
        <v>3812</v>
      </c>
      <c r="P421" t="s">
        <v>3813</v>
      </c>
    </row>
    <row r="422" spans="1:16">
      <c r="A422" t="s">
        <v>3814</v>
      </c>
      <c r="B422" t="s">
        <v>3815</v>
      </c>
      <c r="C422" s="1">
        <v>45527</v>
      </c>
      <c r="D422">
        <v>66</v>
      </c>
      <c r="E422" t="s">
        <v>778</v>
      </c>
      <c r="F422" t="s">
        <v>172</v>
      </c>
      <c r="J422" t="s">
        <v>54</v>
      </c>
      <c r="K422" t="s">
        <v>21</v>
      </c>
      <c r="L422" t="s">
        <v>1071</v>
      </c>
      <c r="M422" t="s">
        <v>3816</v>
      </c>
      <c r="N422" t="s">
        <v>1073</v>
      </c>
      <c r="O422" t="s">
        <v>3816</v>
      </c>
      <c r="P422" t="s">
        <v>1073</v>
      </c>
    </row>
    <row r="423" spans="1:16">
      <c r="A423" t="s">
        <v>3817</v>
      </c>
      <c r="B423" t="s">
        <v>3818</v>
      </c>
      <c r="C423" s="1">
        <v>45537</v>
      </c>
      <c r="D423">
        <v>42</v>
      </c>
      <c r="E423" t="s">
        <v>778</v>
      </c>
      <c r="F423" t="s">
        <v>172</v>
      </c>
      <c r="J423" t="s">
        <v>54</v>
      </c>
      <c r="K423" t="s">
        <v>21</v>
      </c>
      <c r="M423" t="s">
        <v>3819</v>
      </c>
      <c r="N423" t="s">
        <v>2405</v>
      </c>
      <c r="O423" t="s">
        <v>2460</v>
      </c>
      <c r="P423" t="s">
        <v>2413</v>
      </c>
    </row>
    <row r="424" spans="1:16">
      <c r="A424" t="s">
        <v>3820</v>
      </c>
      <c r="B424" t="s">
        <v>3821</v>
      </c>
      <c r="C424" s="1">
        <v>45537</v>
      </c>
      <c r="D424">
        <v>58</v>
      </c>
      <c r="E424" t="s">
        <v>841</v>
      </c>
      <c r="F424" t="s">
        <v>172</v>
      </c>
      <c r="J424" t="s">
        <v>3822</v>
      </c>
      <c r="K424" t="s">
        <v>21</v>
      </c>
      <c r="M424" t="s">
        <v>3823</v>
      </c>
      <c r="O424" t="s">
        <v>3823</v>
      </c>
    </row>
    <row r="425" spans="1:16">
      <c r="A425" t="s">
        <v>3824</v>
      </c>
      <c r="B425" t="s">
        <v>3825</v>
      </c>
      <c r="C425" s="1">
        <v>45538</v>
      </c>
      <c r="D425">
        <v>62</v>
      </c>
      <c r="E425" t="s">
        <v>778</v>
      </c>
      <c r="F425" t="s">
        <v>172</v>
      </c>
      <c r="J425" t="s">
        <v>54</v>
      </c>
      <c r="K425" t="s">
        <v>21</v>
      </c>
      <c r="M425" t="s">
        <v>3826</v>
      </c>
      <c r="N425" t="s">
        <v>24</v>
      </c>
      <c r="O425" t="s">
        <v>3826</v>
      </c>
      <c r="P425" t="s">
        <v>24</v>
      </c>
    </row>
    <row r="426" spans="1:16">
      <c r="A426" t="s">
        <v>3827</v>
      </c>
      <c r="B426" t="s">
        <v>3828</v>
      </c>
      <c r="C426" s="1">
        <v>45538</v>
      </c>
      <c r="D426">
        <v>45</v>
      </c>
      <c r="E426" t="s">
        <v>841</v>
      </c>
      <c r="F426" t="s">
        <v>172</v>
      </c>
      <c r="J426" t="s">
        <v>54</v>
      </c>
      <c r="K426" t="s">
        <v>21</v>
      </c>
      <c r="M426" t="s">
        <v>3829</v>
      </c>
      <c r="N426" t="s">
        <v>2405</v>
      </c>
      <c r="O426" t="s">
        <v>3829</v>
      </c>
      <c r="P426" t="s">
        <v>2405</v>
      </c>
    </row>
    <row r="427" spans="1:16">
      <c r="A427" t="s">
        <v>3830</v>
      </c>
      <c r="B427" t="s">
        <v>3831</v>
      </c>
      <c r="C427" s="1">
        <v>45539</v>
      </c>
      <c r="D427">
        <v>67</v>
      </c>
      <c r="E427" t="s">
        <v>778</v>
      </c>
      <c r="F427" t="s">
        <v>172</v>
      </c>
      <c r="J427" t="s">
        <v>3832</v>
      </c>
      <c r="K427" t="s">
        <v>21</v>
      </c>
      <c r="P427" t="s">
        <v>3833</v>
      </c>
    </row>
    <row r="428" spans="1:16">
      <c r="A428" t="s">
        <v>3834</v>
      </c>
      <c r="B428" t="s">
        <v>3835</v>
      </c>
      <c r="C428" s="1">
        <v>45560</v>
      </c>
      <c r="D428">
        <v>54</v>
      </c>
      <c r="F428" t="s">
        <v>172</v>
      </c>
      <c r="J428" t="s">
        <v>54</v>
      </c>
      <c r="K428" t="s">
        <v>21</v>
      </c>
      <c r="O428" t="s">
        <v>3836</v>
      </c>
    </row>
    <row r="429" spans="1:16">
      <c r="A429" t="s">
        <v>3837</v>
      </c>
      <c r="B429" t="s">
        <v>3838</v>
      </c>
      <c r="C429" s="1">
        <v>45621</v>
      </c>
      <c r="D429">
        <v>40</v>
      </c>
      <c r="E429" t="s">
        <v>778</v>
      </c>
      <c r="F429" t="s">
        <v>172</v>
      </c>
      <c r="J429" t="s">
        <v>35</v>
      </c>
      <c r="K429" t="s">
        <v>21</v>
      </c>
      <c r="P429" t="s">
        <v>2666</v>
      </c>
    </row>
    <row r="430" spans="1:16">
      <c r="A430" t="s">
        <v>3839</v>
      </c>
      <c r="B430" t="s">
        <v>3840</v>
      </c>
      <c r="C430" s="1">
        <v>45445</v>
      </c>
      <c r="D430">
        <v>51</v>
      </c>
      <c r="E430" t="s">
        <v>841</v>
      </c>
      <c r="F430" t="s">
        <v>503</v>
      </c>
      <c r="J430" t="s">
        <v>35</v>
      </c>
      <c r="K430" t="s">
        <v>21</v>
      </c>
      <c r="M430" t="s">
        <v>3841</v>
      </c>
      <c r="N430" t="s">
        <v>2405</v>
      </c>
      <c r="O430" t="s">
        <v>3841</v>
      </c>
      <c r="P430" t="s">
        <v>2405</v>
      </c>
    </row>
    <row r="431" spans="1:16">
      <c r="A431" t="s">
        <v>3842</v>
      </c>
      <c r="B431" t="s">
        <v>3843</v>
      </c>
      <c r="C431" s="1">
        <v>45477</v>
      </c>
      <c r="D431">
        <v>39</v>
      </c>
      <c r="E431" t="s">
        <v>841</v>
      </c>
      <c r="F431" t="s">
        <v>503</v>
      </c>
      <c r="J431" t="s">
        <v>54</v>
      </c>
      <c r="K431" t="s">
        <v>21</v>
      </c>
      <c r="M431" t="s">
        <v>3844</v>
      </c>
      <c r="N431" t="s">
        <v>2405</v>
      </c>
      <c r="O431" t="s">
        <v>3844</v>
      </c>
      <c r="P431" t="s">
        <v>2405</v>
      </c>
    </row>
    <row r="432" spans="1:16">
      <c r="A432" t="s">
        <v>3845</v>
      </c>
      <c r="B432" t="s">
        <v>3846</v>
      </c>
      <c r="C432" s="1">
        <v>45527</v>
      </c>
      <c r="D432">
        <v>40</v>
      </c>
      <c r="E432" t="s">
        <v>841</v>
      </c>
      <c r="F432" t="s">
        <v>3847</v>
      </c>
      <c r="K432" t="s">
        <v>21</v>
      </c>
      <c r="M432" t="s">
        <v>3848</v>
      </c>
      <c r="N432" t="s">
        <v>3023</v>
      </c>
      <c r="O432" t="s">
        <v>2578</v>
      </c>
      <c r="P432" t="s">
        <v>2413</v>
      </c>
    </row>
    <row r="433" spans="1:16">
      <c r="A433" t="s">
        <v>3849</v>
      </c>
      <c r="B433" t="s">
        <v>3850</v>
      </c>
      <c r="C433" s="1">
        <v>45499</v>
      </c>
      <c r="D433">
        <v>50</v>
      </c>
      <c r="E433" t="s">
        <v>841</v>
      </c>
      <c r="F433" t="s">
        <v>3851</v>
      </c>
      <c r="J433" t="s">
        <v>3852</v>
      </c>
      <c r="K433" t="s">
        <v>21</v>
      </c>
      <c r="O433" t="s">
        <v>3853</v>
      </c>
    </row>
    <row r="434" spans="1:16">
      <c r="A434" t="s">
        <v>3854</v>
      </c>
      <c r="B434" t="s">
        <v>3855</v>
      </c>
      <c r="C434" s="1">
        <v>45496</v>
      </c>
      <c r="D434">
        <v>44</v>
      </c>
      <c r="E434" t="s">
        <v>778</v>
      </c>
      <c r="F434" t="s">
        <v>3856</v>
      </c>
      <c r="J434" t="s">
        <v>54</v>
      </c>
      <c r="K434" t="s">
        <v>21</v>
      </c>
      <c r="M434" t="s">
        <v>3857</v>
      </c>
      <c r="N434" t="s">
        <v>2405</v>
      </c>
      <c r="O434" t="s">
        <v>2460</v>
      </c>
      <c r="P434" t="s">
        <v>2433</v>
      </c>
    </row>
    <row r="435" spans="1:16">
      <c r="A435" t="s">
        <v>3858</v>
      </c>
      <c r="B435" t="s">
        <v>3859</v>
      </c>
      <c r="C435" s="1">
        <v>45483</v>
      </c>
      <c r="D435">
        <v>59</v>
      </c>
      <c r="E435" t="s">
        <v>841</v>
      </c>
      <c r="F435" t="s">
        <v>3860</v>
      </c>
      <c r="J435" t="s">
        <v>54</v>
      </c>
      <c r="K435" t="s">
        <v>21</v>
      </c>
      <c r="M435" t="s">
        <v>3861</v>
      </c>
      <c r="N435" t="s">
        <v>271</v>
      </c>
      <c r="O435" t="s">
        <v>3861</v>
      </c>
      <c r="P435" t="s">
        <v>271</v>
      </c>
    </row>
    <row r="436" spans="1:16">
      <c r="A436" t="s">
        <v>3862</v>
      </c>
      <c r="B436" t="s">
        <v>3863</v>
      </c>
      <c r="C436" s="1">
        <v>45484</v>
      </c>
      <c r="D436">
        <v>23</v>
      </c>
      <c r="E436" t="s">
        <v>778</v>
      </c>
      <c r="F436" t="s">
        <v>3864</v>
      </c>
      <c r="J436" t="s">
        <v>35</v>
      </c>
      <c r="K436" t="s">
        <v>21</v>
      </c>
      <c r="M436" t="s">
        <v>3865</v>
      </c>
      <c r="N436" t="s">
        <v>2405</v>
      </c>
      <c r="O436" t="s">
        <v>2460</v>
      </c>
      <c r="P436" t="s">
        <v>2537</v>
      </c>
    </row>
    <row r="437" spans="1:16">
      <c r="A437" t="s">
        <v>3866</v>
      </c>
      <c r="B437" t="s">
        <v>3867</v>
      </c>
      <c r="C437" s="1">
        <v>45548</v>
      </c>
      <c r="D437">
        <v>68</v>
      </c>
      <c r="E437" t="s">
        <v>778</v>
      </c>
      <c r="F437" t="s">
        <v>3868</v>
      </c>
      <c r="J437" t="s">
        <v>3869</v>
      </c>
      <c r="K437" t="s">
        <v>21</v>
      </c>
      <c r="M437" t="s">
        <v>3870</v>
      </c>
      <c r="N437" t="s">
        <v>2482</v>
      </c>
      <c r="O437" t="s">
        <v>3870</v>
      </c>
      <c r="P437" t="s">
        <v>2482</v>
      </c>
    </row>
    <row r="438" spans="1:16">
      <c r="A438" t="s">
        <v>3871</v>
      </c>
      <c r="B438" t="s">
        <v>3872</v>
      </c>
      <c r="C438" s="1">
        <v>45486</v>
      </c>
      <c r="D438">
        <v>35</v>
      </c>
      <c r="E438" t="s">
        <v>613</v>
      </c>
      <c r="F438" t="s">
        <v>3873</v>
      </c>
      <c r="J438" t="s">
        <v>3874</v>
      </c>
      <c r="K438" t="s">
        <v>21</v>
      </c>
      <c r="M438" t="s">
        <v>3875</v>
      </c>
      <c r="N438" t="s">
        <v>3876</v>
      </c>
      <c r="O438" t="s">
        <v>3875</v>
      </c>
      <c r="P438" t="s">
        <v>3876</v>
      </c>
    </row>
    <row r="439" spans="1:16">
      <c r="A439" t="s">
        <v>3877</v>
      </c>
      <c r="B439" t="s">
        <v>3878</v>
      </c>
      <c r="C439" s="1">
        <v>45450</v>
      </c>
      <c r="D439">
        <v>36</v>
      </c>
      <c r="E439" t="s">
        <v>841</v>
      </c>
      <c r="F439" t="s">
        <v>3879</v>
      </c>
      <c r="J439" t="s">
        <v>35</v>
      </c>
      <c r="K439" t="s">
        <v>21</v>
      </c>
      <c r="N439" t="s">
        <v>3298</v>
      </c>
      <c r="P439" t="s">
        <v>3298</v>
      </c>
    </row>
    <row r="440" spans="1:16">
      <c r="A440" t="s">
        <v>3880</v>
      </c>
      <c r="B440" t="s">
        <v>3881</v>
      </c>
      <c r="C440" s="1">
        <v>45483</v>
      </c>
      <c r="D440">
        <v>43</v>
      </c>
      <c r="E440" t="s">
        <v>841</v>
      </c>
      <c r="F440" t="s">
        <v>830</v>
      </c>
      <c r="J440" t="s">
        <v>35</v>
      </c>
      <c r="K440" t="s">
        <v>21</v>
      </c>
      <c r="M440" t="s">
        <v>3882</v>
      </c>
      <c r="O440" t="s">
        <v>2684</v>
      </c>
    </row>
    <row r="441" spans="1:16">
      <c r="A441" t="s">
        <v>3883</v>
      </c>
      <c r="B441" t="s">
        <v>3884</v>
      </c>
      <c r="C441" s="1">
        <v>45485</v>
      </c>
      <c r="D441">
        <v>45</v>
      </c>
      <c r="E441" t="s">
        <v>27</v>
      </c>
      <c r="F441" t="s">
        <v>830</v>
      </c>
      <c r="J441" t="s">
        <v>35</v>
      </c>
      <c r="K441" t="s">
        <v>21</v>
      </c>
      <c r="M441" t="s">
        <v>3885</v>
      </c>
      <c r="N441" t="s">
        <v>2405</v>
      </c>
      <c r="O441" t="s">
        <v>3885</v>
      </c>
      <c r="P441" t="s">
        <v>2405</v>
      </c>
    </row>
    <row r="442" spans="1:16">
      <c r="A442" t="s">
        <v>3886</v>
      </c>
      <c r="B442" t="s">
        <v>3887</v>
      </c>
      <c r="C442" s="1">
        <v>45569</v>
      </c>
      <c r="D442">
        <v>39</v>
      </c>
      <c r="E442" t="s">
        <v>841</v>
      </c>
      <c r="F442" t="s">
        <v>830</v>
      </c>
      <c r="J442" t="s">
        <v>3888</v>
      </c>
      <c r="K442" t="s">
        <v>21</v>
      </c>
      <c r="M442" t="s">
        <v>3889</v>
      </c>
      <c r="N442" t="s">
        <v>2405</v>
      </c>
      <c r="O442" t="s">
        <v>3889</v>
      </c>
      <c r="P442" t="s">
        <v>2405</v>
      </c>
    </row>
    <row r="443" spans="1:16">
      <c r="A443" t="s">
        <v>3890</v>
      </c>
      <c r="B443" t="s">
        <v>3891</v>
      </c>
      <c r="C443" s="1">
        <v>45570</v>
      </c>
      <c r="D443">
        <v>59</v>
      </c>
      <c r="E443" t="s">
        <v>841</v>
      </c>
      <c r="F443" t="s">
        <v>830</v>
      </c>
      <c r="J443" t="s">
        <v>35</v>
      </c>
      <c r="K443" t="s">
        <v>21</v>
      </c>
      <c r="M443" t="s">
        <v>3892</v>
      </c>
      <c r="N443" t="s">
        <v>2405</v>
      </c>
      <c r="O443" t="s">
        <v>3892</v>
      </c>
      <c r="P443" t="s">
        <v>2405</v>
      </c>
    </row>
    <row r="444" spans="1:16">
      <c r="A444" t="s">
        <v>3893</v>
      </c>
      <c r="B444" t="s">
        <v>3894</v>
      </c>
      <c r="C444" s="1">
        <v>45508</v>
      </c>
      <c r="D444">
        <v>50</v>
      </c>
      <c r="E444" t="s">
        <v>250</v>
      </c>
      <c r="F444" t="s">
        <v>3895</v>
      </c>
      <c r="J444" t="s">
        <v>3896</v>
      </c>
      <c r="K444" t="s">
        <v>21</v>
      </c>
      <c r="M444" t="s">
        <v>3897</v>
      </c>
      <c r="N444" t="s">
        <v>2405</v>
      </c>
      <c r="O444" t="s">
        <v>2695</v>
      </c>
    </row>
    <row r="445" spans="1:16">
      <c r="A445" t="s">
        <v>3898</v>
      </c>
      <c r="B445" t="s">
        <v>3899</v>
      </c>
      <c r="C445" s="1">
        <v>45485</v>
      </c>
      <c r="D445">
        <v>62</v>
      </c>
      <c r="E445" t="s">
        <v>841</v>
      </c>
      <c r="F445" t="s">
        <v>3900</v>
      </c>
      <c r="J445" t="s">
        <v>3901</v>
      </c>
      <c r="K445" t="s">
        <v>21</v>
      </c>
      <c r="M445" t="s">
        <v>3902</v>
      </c>
      <c r="N445" t="s">
        <v>65</v>
      </c>
      <c r="O445" t="s">
        <v>3902</v>
      </c>
      <c r="P445" t="s">
        <v>65</v>
      </c>
    </row>
    <row r="446" spans="1:16">
      <c r="A446" t="s">
        <v>3903</v>
      </c>
      <c r="B446" t="s">
        <v>3904</v>
      </c>
      <c r="C446" s="1">
        <v>45535</v>
      </c>
      <c r="D446">
        <v>43</v>
      </c>
      <c r="E446" t="s">
        <v>841</v>
      </c>
      <c r="F446" t="s">
        <v>3905</v>
      </c>
      <c r="J446" t="s">
        <v>35</v>
      </c>
      <c r="K446" t="s">
        <v>21</v>
      </c>
      <c r="N446" t="s">
        <v>2405</v>
      </c>
      <c r="P446" t="s">
        <v>2405</v>
      </c>
    </row>
    <row r="447" spans="1:16">
      <c r="A447" t="s">
        <v>3906</v>
      </c>
      <c r="B447" t="s">
        <v>3907</v>
      </c>
      <c r="C447" s="1">
        <v>45502</v>
      </c>
      <c r="D447">
        <v>38</v>
      </c>
      <c r="E447" t="s">
        <v>841</v>
      </c>
      <c r="F447" t="s">
        <v>3908</v>
      </c>
      <c r="J447" t="s">
        <v>35</v>
      </c>
      <c r="K447" t="s">
        <v>21</v>
      </c>
    </row>
    <row r="448" spans="1:16">
      <c r="A448" t="s">
        <v>3909</v>
      </c>
      <c r="B448" t="s">
        <v>3910</v>
      </c>
      <c r="C448" s="1">
        <v>45500</v>
      </c>
      <c r="D448">
        <v>36</v>
      </c>
      <c r="E448" t="s">
        <v>106</v>
      </c>
      <c r="F448" t="s">
        <v>3911</v>
      </c>
      <c r="J448" t="s">
        <v>35</v>
      </c>
      <c r="K448" t="s">
        <v>21</v>
      </c>
      <c r="M448" t="s">
        <v>3912</v>
      </c>
      <c r="O448" t="s">
        <v>3912</v>
      </c>
    </row>
    <row r="449" spans="1:16">
      <c r="A449" t="s">
        <v>3913</v>
      </c>
      <c r="B449" t="s">
        <v>3914</v>
      </c>
      <c r="C449" s="1">
        <v>45482</v>
      </c>
      <c r="D449">
        <v>32</v>
      </c>
      <c r="E449" t="s">
        <v>27</v>
      </c>
      <c r="F449" t="s">
        <v>3915</v>
      </c>
      <c r="J449" t="s">
        <v>54</v>
      </c>
      <c r="K449" t="s">
        <v>21</v>
      </c>
      <c r="M449" t="s">
        <v>3916</v>
      </c>
      <c r="N449" t="s">
        <v>2405</v>
      </c>
      <c r="O449" t="s">
        <v>2684</v>
      </c>
      <c r="P449" t="s">
        <v>2433</v>
      </c>
    </row>
    <row r="450" spans="1:16">
      <c r="A450" t="s">
        <v>3917</v>
      </c>
      <c r="B450" t="s">
        <v>3918</v>
      </c>
      <c r="C450" s="1">
        <v>45497</v>
      </c>
      <c r="D450">
        <v>60</v>
      </c>
      <c r="E450" t="s">
        <v>841</v>
      </c>
      <c r="F450" t="s">
        <v>3919</v>
      </c>
      <c r="J450" t="s">
        <v>54</v>
      </c>
      <c r="K450" t="s">
        <v>21</v>
      </c>
      <c r="L450" t="s">
        <v>1071</v>
      </c>
      <c r="M450" t="s">
        <v>3920</v>
      </c>
      <c r="N450" t="s">
        <v>1073</v>
      </c>
      <c r="O450" t="s">
        <v>3920</v>
      </c>
      <c r="P450" t="s">
        <v>1073</v>
      </c>
    </row>
    <row r="451" spans="1:16">
      <c r="A451" t="s">
        <v>3921</v>
      </c>
      <c r="B451" t="s">
        <v>3922</v>
      </c>
      <c r="C451" s="1">
        <v>45483</v>
      </c>
      <c r="D451">
        <v>70</v>
      </c>
      <c r="E451" t="s">
        <v>841</v>
      </c>
      <c r="F451" t="s">
        <v>3923</v>
      </c>
      <c r="J451" t="s">
        <v>114</v>
      </c>
      <c r="K451" t="s">
        <v>21</v>
      </c>
      <c r="L451" t="s">
        <v>1071</v>
      </c>
      <c r="M451" t="s">
        <v>3924</v>
      </c>
      <c r="N451" t="s">
        <v>1073</v>
      </c>
      <c r="O451" t="s">
        <v>3924</v>
      </c>
      <c r="P451" t="s">
        <v>1073</v>
      </c>
    </row>
    <row r="452" spans="1:16">
      <c r="A452" t="s">
        <v>3925</v>
      </c>
      <c r="B452" t="s">
        <v>3926</v>
      </c>
      <c r="C452" s="1">
        <v>45496</v>
      </c>
      <c r="D452">
        <v>73</v>
      </c>
      <c r="E452" t="s">
        <v>841</v>
      </c>
      <c r="F452" t="s">
        <v>2927</v>
      </c>
      <c r="J452" t="s">
        <v>54</v>
      </c>
      <c r="K452" t="s">
        <v>21</v>
      </c>
      <c r="M452" t="s">
        <v>3927</v>
      </c>
      <c r="N452" t="s">
        <v>1042</v>
      </c>
      <c r="O452" t="s">
        <v>3927</v>
      </c>
      <c r="P452" t="s">
        <v>1042</v>
      </c>
    </row>
    <row r="453" spans="1:16">
      <c r="A453" t="s">
        <v>3928</v>
      </c>
      <c r="B453" t="s">
        <v>3929</v>
      </c>
      <c r="C453" s="1">
        <v>45499</v>
      </c>
      <c r="D453">
        <v>80</v>
      </c>
      <c r="E453" t="s">
        <v>27</v>
      </c>
      <c r="F453" t="s">
        <v>3930</v>
      </c>
      <c r="J453" t="s">
        <v>114</v>
      </c>
      <c r="K453" t="s">
        <v>21</v>
      </c>
      <c r="L453" t="s">
        <v>1071</v>
      </c>
      <c r="M453" t="s">
        <v>3931</v>
      </c>
      <c r="N453" t="s">
        <v>1073</v>
      </c>
      <c r="O453" t="s">
        <v>3931</v>
      </c>
      <c r="P453" t="s">
        <v>1073</v>
      </c>
    </row>
    <row r="454" spans="1:16">
      <c r="A454" t="s">
        <v>3932</v>
      </c>
      <c r="B454" t="s">
        <v>3933</v>
      </c>
      <c r="C454" s="1">
        <v>45476</v>
      </c>
      <c r="D454">
        <v>43</v>
      </c>
      <c r="E454" t="s">
        <v>778</v>
      </c>
      <c r="F454" t="s">
        <v>3934</v>
      </c>
      <c r="J454" t="s">
        <v>35</v>
      </c>
      <c r="K454" t="s">
        <v>21</v>
      </c>
      <c r="L454" t="s">
        <v>1071</v>
      </c>
      <c r="M454" t="s">
        <v>3935</v>
      </c>
      <c r="N454" t="s">
        <v>1073</v>
      </c>
      <c r="O454" t="s">
        <v>3935</v>
      </c>
      <c r="P454" t="s">
        <v>1073</v>
      </c>
    </row>
    <row r="455" spans="1:16">
      <c r="A455" t="s">
        <v>3936</v>
      </c>
      <c r="B455" t="s">
        <v>3937</v>
      </c>
      <c r="C455" s="1">
        <v>45486</v>
      </c>
      <c r="D455">
        <v>61</v>
      </c>
      <c r="E455" t="s">
        <v>841</v>
      </c>
      <c r="F455" t="s">
        <v>3938</v>
      </c>
      <c r="J455" t="s">
        <v>54</v>
      </c>
      <c r="K455" t="s">
        <v>21</v>
      </c>
      <c r="L455" t="s">
        <v>1071</v>
      </c>
      <c r="M455" t="s">
        <v>3939</v>
      </c>
      <c r="N455" t="s">
        <v>1073</v>
      </c>
      <c r="O455" t="s">
        <v>3939</v>
      </c>
      <c r="P455" t="s">
        <v>1073</v>
      </c>
    </row>
    <row r="456" spans="1:16">
      <c r="A456" t="s">
        <v>3940</v>
      </c>
      <c r="B456" t="s">
        <v>3941</v>
      </c>
      <c r="C456" s="1">
        <v>45496</v>
      </c>
      <c r="D456">
        <v>63</v>
      </c>
      <c r="E456" t="s">
        <v>841</v>
      </c>
      <c r="F456" t="s">
        <v>3938</v>
      </c>
      <c r="J456" t="s">
        <v>54</v>
      </c>
      <c r="K456" t="s">
        <v>21</v>
      </c>
      <c r="M456" t="s">
        <v>2455</v>
      </c>
      <c r="N456" t="s">
        <v>2405</v>
      </c>
      <c r="O456" t="s">
        <v>2455</v>
      </c>
      <c r="P456" t="s">
        <v>2405</v>
      </c>
    </row>
    <row r="457" spans="1:16">
      <c r="A457" t="s">
        <v>3942</v>
      </c>
      <c r="B457" t="s">
        <v>3943</v>
      </c>
      <c r="C457" s="1">
        <v>45481</v>
      </c>
      <c r="D457">
        <v>50</v>
      </c>
      <c r="E457" t="s">
        <v>841</v>
      </c>
      <c r="F457" t="s">
        <v>3944</v>
      </c>
      <c r="J457" t="s">
        <v>54</v>
      </c>
      <c r="K457" t="s">
        <v>21</v>
      </c>
      <c r="L457" t="s">
        <v>3945</v>
      </c>
      <c r="M457" t="s">
        <v>3946</v>
      </c>
      <c r="N457" t="s">
        <v>2405</v>
      </c>
      <c r="O457" t="s">
        <v>3946</v>
      </c>
      <c r="P457" t="s">
        <v>2405</v>
      </c>
    </row>
    <row r="458" spans="1:16">
      <c r="A458" t="s">
        <v>3947</v>
      </c>
      <c r="B458" t="s">
        <v>3948</v>
      </c>
      <c r="C458" s="1">
        <v>45514</v>
      </c>
      <c r="D458">
        <v>79</v>
      </c>
      <c r="E458" t="s">
        <v>841</v>
      </c>
      <c r="F458" t="s">
        <v>3949</v>
      </c>
      <c r="J458" t="s">
        <v>58</v>
      </c>
      <c r="K458" t="s">
        <v>21</v>
      </c>
      <c r="L458" t="s">
        <v>3945</v>
      </c>
      <c r="O458" t="s">
        <v>478</v>
      </c>
      <c r="P458" t="s">
        <v>3201</v>
      </c>
    </row>
    <row r="459" spans="1:16">
      <c r="A459" t="s">
        <v>3950</v>
      </c>
      <c r="B459" t="s">
        <v>3951</v>
      </c>
      <c r="C459" s="1">
        <v>45525</v>
      </c>
      <c r="D459">
        <v>64</v>
      </c>
      <c r="E459" t="s">
        <v>841</v>
      </c>
      <c r="F459" t="s">
        <v>3952</v>
      </c>
      <c r="G459" t="s">
        <v>3953</v>
      </c>
      <c r="J459" t="s">
        <v>3954</v>
      </c>
      <c r="K459" t="s">
        <v>21</v>
      </c>
      <c r="M459" t="s">
        <v>3955</v>
      </c>
      <c r="N459" t="s">
        <v>2405</v>
      </c>
      <c r="O459" t="s">
        <v>3955</v>
      </c>
      <c r="P459" t="s">
        <v>2405</v>
      </c>
    </row>
    <row r="460" spans="1:16">
      <c r="A460" t="s">
        <v>3956</v>
      </c>
      <c r="B460" t="s">
        <v>3957</v>
      </c>
      <c r="C460" s="1">
        <v>45563</v>
      </c>
      <c r="D460">
        <v>61</v>
      </c>
      <c r="E460" t="s">
        <v>841</v>
      </c>
      <c r="F460" t="s">
        <v>3958</v>
      </c>
      <c r="J460" t="s">
        <v>2576</v>
      </c>
      <c r="K460" t="s">
        <v>21</v>
      </c>
      <c r="N460" t="s">
        <v>2405</v>
      </c>
      <c r="O460" t="s">
        <v>2460</v>
      </c>
      <c r="P460" t="s">
        <v>2413</v>
      </c>
    </row>
    <row r="461" spans="1:16">
      <c r="A461" t="s">
        <v>3959</v>
      </c>
      <c r="B461" t="s">
        <v>3960</v>
      </c>
      <c r="C461" s="1">
        <v>45517</v>
      </c>
      <c r="D461">
        <v>38</v>
      </c>
      <c r="E461" t="s">
        <v>106</v>
      </c>
      <c r="F461" t="s">
        <v>19</v>
      </c>
      <c r="J461" t="s">
        <v>3961</v>
      </c>
      <c r="K461" t="s">
        <v>21</v>
      </c>
      <c r="L461" t="s">
        <v>1071</v>
      </c>
      <c r="M461" t="s">
        <v>3962</v>
      </c>
      <c r="N461" t="s">
        <v>1073</v>
      </c>
      <c r="O461" t="s">
        <v>3962</v>
      </c>
      <c r="P461" t="s">
        <v>1073</v>
      </c>
    </row>
    <row r="462" spans="1:16">
      <c r="A462" t="s">
        <v>3963</v>
      </c>
      <c r="B462" t="s">
        <v>3964</v>
      </c>
      <c r="C462" s="1">
        <v>45452</v>
      </c>
      <c r="D462">
        <v>40</v>
      </c>
      <c r="E462" t="s">
        <v>841</v>
      </c>
      <c r="F462" t="s">
        <v>339</v>
      </c>
      <c r="J462" t="s">
        <v>2816</v>
      </c>
      <c r="K462" t="s">
        <v>21</v>
      </c>
    </row>
    <row r="463" spans="1:16">
      <c r="A463" t="s">
        <v>3965</v>
      </c>
      <c r="B463" t="s">
        <v>3966</v>
      </c>
      <c r="C463" s="1">
        <v>45467</v>
      </c>
      <c r="D463">
        <v>62</v>
      </c>
      <c r="E463" t="s">
        <v>841</v>
      </c>
      <c r="F463" t="s">
        <v>339</v>
      </c>
      <c r="J463" t="s">
        <v>3967</v>
      </c>
      <c r="K463" t="s">
        <v>21</v>
      </c>
      <c r="M463" t="s">
        <v>3968</v>
      </c>
      <c r="N463" t="s">
        <v>2405</v>
      </c>
      <c r="O463" t="s">
        <v>3968</v>
      </c>
      <c r="P463" t="s">
        <v>2405</v>
      </c>
    </row>
    <row r="464" spans="1:16">
      <c r="A464" t="s">
        <v>3969</v>
      </c>
      <c r="B464" t="s">
        <v>3970</v>
      </c>
      <c r="C464" s="1">
        <v>45467</v>
      </c>
      <c r="D464">
        <v>49</v>
      </c>
      <c r="E464" t="s">
        <v>841</v>
      </c>
      <c r="F464" t="s">
        <v>339</v>
      </c>
      <c r="J464" t="s">
        <v>3971</v>
      </c>
      <c r="K464" t="s">
        <v>21</v>
      </c>
      <c r="M464" t="s">
        <v>3972</v>
      </c>
      <c r="N464" t="s">
        <v>3973</v>
      </c>
      <c r="O464" t="s">
        <v>3972</v>
      </c>
      <c r="P464" t="s">
        <v>3973</v>
      </c>
    </row>
    <row r="465" spans="1:16">
      <c r="A465" t="s">
        <v>3974</v>
      </c>
      <c r="B465" t="s">
        <v>3975</v>
      </c>
      <c r="C465" s="1">
        <v>45471</v>
      </c>
      <c r="D465">
        <v>48</v>
      </c>
      <c r="E465" t="s">
        <v>778</v>
      </c>
      <c r="F465" t="s">
        <v>339</v>
      </c>
      <c r="J465" t="s">
        <v>54</v>
      </c>
      <c r="K465" t="s">
        <v>21</v>
      </c>
      <c r="M465" t="s">
        <v>3976</v>
      </c>
      <c r="N465" t="s">
        <v>208</v>
      </c>
      <c r="O465" t="s">
        <v>3976</v>
      </c>
      <c r="P465" t="s">
        <v>208</v>
      </c>
    </row>
    <row r="466" spans="1:16">
      <c r="A466" t="s">
        <v>3977</v>
      </c>
      <c r="B466" t="s">
        <v>3978</v>
      </c>
      <c r="C466" s="1">
        <v>45482</v>
      </c>
      <c r="D466">
        <v>35</v>
      </c>
      <c r="E466" t="s">
        <v>841</v>
      </c>
      <c r="F466" t="s">
        <v>339</v>
      </c>
      <c r="J466" t="s">
        <v>54</v>
      </c>
      <c r="K466" t="s">
        <v>21</v>
      </c>
      <c r="M466" t="s">
        <v>3979</v>
      </c>
      <c r="N466" t="s">
        <v>2405</v>
      </c>
      <c r="O466" t="s">
        <v>127</v>
      </c>
      <c r="P466" t="s">
        <v>2537</v>
      </c>
    </row>
    <row r="467" spans="1:16">
      <c r="A467" t="s">
        <v>3980</v>
      </c>
      <c r="B467" t="s">
        <v>3981</v>
      </c>
      <c r="C467" s="1">
        <v>45486</v>
      </c>
      <c r="D467">
        <v>66</v>
      </c>
      <c r="E467" t="s">
        <v>778</v>
      </c>
      <c r="F467" t="s">
        <v>339</v>
      </c>
      <c r="J467" t="s">
        <v>3982</v>
      </c>
      <c r="K467" t="s">
        <v>21</v>
      </c>
      <c r="L467" t="s">
        <v>1071</v>
      </c>
      <c r="M467" t="s">
        <v>3983</v>
      </c>
      <c r="O467" t="s">
        <v>3983</v>
      </c>
    </row>
    <row r="468" spans="1:16">
      <c r="A468" t="s">
        <v>3984</v>
      </c>
      <c r="B468" t="s">
        <v>3985</v>
      </c>
      <c r="C468" s="1">
        <v>45493</v>
      </c>
      <c r="D468">
        <v>52</v>
      </c>
      <c r="E468" t="s">
        <v>841</v>
      </c>
      <c r="F468" t="s">
        <v>339</v>
      </c>
      <c r="J468" t="s">
        <v>54</v>
      </c>
      <c r="K468" t="s">
        <v>21</v>
      </c>
      <c r="M468" t="s">
        <v>3986</v>
      </c>
      <c r="N468" t="s">
        <v>2405</v>
      </c>
      <c r="O468" t="s">
        <v>3986</v>
      </c>
      <c r="P468" t="s">
        <v>2405</v>
      </c>
    </row>
    <row r="469" spans="1:16">
      <c r="A469" t="s">
        <v>3987</v>
      </c>
      <c r="B469" t="s">
        <v>3988</v>
      </c>
      <c r="C469" s="1">
        <v>45495</v>
      </c>
      <c r="D469">
        <v>35</v>
      </c>
      <c r="E469" t="s">
        <v>778</v>
      </c>
      <c r="F469" t="s">
        <v>339</v>
      </c>
      <c r="J469" t="s">
        <v>48</v>
      </c>
      <c r="K469" t="s">
        <v>21</v>
      </c>
      <c r="M469" t="s">
        <v>3989</v>
      </c>
      <c r="O469" t="s">
        <v>3989</v>
      </c>
    </row>
    <row r="470" spans="1:16">
      <c r="A470" t="s">
        <v>3990</v>
      </c>
      <c r="B470" t="s">
        <v>3991</v>
      </c>
      <c r="C470" s="1">
        <v>45509</v>
      </c>
      <c r="D470">
        <v>46</v>
      </c>
      <c r="E470" t="s">
        <v>841</v>
      </c>
      <c r="F470" t="s">
        <v>339</v>
      </c>
      <c r="J470" t="s">
        <v>54</v>
      </c>
      <c r="K470" t="s">
        <v>21</v>
      </c>
      <c r="O470" t="s">
        <v>3992</v>
      </c>
      <c r="P470" t="s">
        <v>3993</v>
      </c>
    </row>
    <row r="471" spans="1:16">
      <c r="A471" t="s">
        <v>3994</v>
      </c>
      <c r="B471" t="s">
        <v>3995</v>
      </c>
      <c r="C471" s="1">
        <v>45509</v>
      </c>
      <c r="D471">
        <v>51</v>
      </c>
      <c r="E471" t="s">
        <v>27</v>
      </c>
      <c r="F471" t="s">
        <v>339</v>
      </c>
      <c r="J471" t="s">
        <v>54</v>
      </c>
      <c r="K471" t="s">
        <v>21</v>
      </c>
      <c r="M471" t="s">
        <v>3996</v>
      </c>
      <c r="N471" t="s">
        <v>2405</v>
      </c>
      <c r="O471" t="s">
        <v>2684</v>
      </c>
    </row>
    <row r="472" spans="1:16">
      <c r="A472" t="s">
        <v>3997</v>
      </c>
      <c r="B472" t="s">
        <v>3998</v>
      </c>
      <c r="C472" s="1">
        <v>45517</v>
      </c>
      <c r="D472">
        <v>40</v>
      </c>
      <c r="E472" t="s">
        <v>841</v>
      </c>
      <c r="F472" t="s">
        <v>339</v>
      </c>
      <c r="J472" t="s">
        <v>1635</v>
      </c>
      <c r="K472" t="s">
        <v>21</v>
      </c>
      <c r="M472" t="s">
        <v>3999</v>
      </c>
      <c r="N472" t="s">
        <v>2405</v>
      </c>
      <c r="O472" t="s">
        <v>3999</v>
      </c>
      <c r="P472" t="s">
        <v>2405</v>
      </c>
    </row>
    <row r="473" spans="1:16">
      <c r="A473" t="s">
        <v>4000</v>
      </c>
      <c r="B473" t="s">
        <v>4001</v>
      </c>
      <c r="C473" s="1">
        <v>45516</v>
      </c>
      <c r="D473">
        <v>70</v>
      </c>
      <c r="E473" t="s">
        <v>841</v>
      </c>
      <c r="F473" t="s">
        <v>4002</v>
      </c>
      <c r="J473" t="s">
        <v>54</v>
      </c>
      <c r="K473" t="s">
        <v>21</v>
      </c>
      <c r="P473" t="s">
        <v>4003</v>
      </c>
    </row>
  </sheetData>
  <conditionalFormatting sqref="A1:A47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B502-4A61-4ED4-B854-CE07E19F9B03}">
  <dimension ref="A1:P1332"/>
  <sheetViews>
    <sheetView topLeftCell="A284" workbookViewId="0">
      <selection sqref="A1:P302"/>
    </sheetView>
  </sheetViews>
  <sheetFormatPr defaultColWidth="11.19921875" defaultRowHeight="13.8"/>
  <cols>
    <col min="1" max="1" width="10.69921875" bestFit="1" customWidth="1"/>
    <col min="2" max="2" width="23.8984375" bestFit="1" customWidth="1"/>
    <col min="3" max="3" width="12" bestFit="1" customWidth="1"/>
    <col min="4" max="4" width="4" bestFit="1" customWidth="1"/>
    <col min="5" max="5" width="14.296875" bestFit="1" customWidth="1"/>
    <col min="6" max="6" width="64.296875" bestFit="1" customWidth="1"/>
    <col min="7" max="7" width="41.3984375" bestFit="1" customWidth="1"/>
    <col min="8" max="8" width="41.69921875" bestFit="1" customWidth="1"/>
    <col min="9" max="9" width="14.8984375" bestFit="1" customWidth="1"/>
    <col min="10" max="10" width="117.69921875" bestFit="1" customWidth="1"/>
    <col min="11" max="11" width="14.296875" bestFit="1" customWidth="1"/>
    <col min="12" max="12" width="16.3984375" bestFit="1" customWidth="1"/>
    <col min="13" max="13" width="35" bestFit="1" customWidth="1"/>
    <col min="14" max="14" width="23.09765625" bestFit="1" customWidth="1"/>
    <col min="15" max="15" width="35" bestFit="1" customWidth="1"/>
    <col min="16" max="16" width="18.3984375" bestFit="1" customWidth="1"/>
  </cols>
  <sheetData>
    <row r="1" spans="1:1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s="1">
        <v>45027</v>
      </c>
      <c r="D2">
        <v>57</v>
      </c>
      <c r="E2" t="s">
        <v>18</v>
      </c>
      <c r="F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23</v>
      </c>
      <c r="P2" t="s">
        <v>24</v>
      </c>
    </row>
    <row r="3" spans="1:16">
      <c r="A3" t="s">
        <v>25</v>
      </c>
      <c r="B3" t="s">
        <v>26</v>
      </c>
      <c r="C3" s="1">
        <v>45027</v>
      </c>
      <c r="D3">
        <v>39</v>
      </c>
      <c r="E3" t="s">
        <v>27</v>
      </c>
      <c r="F3" t="s">
        <v>28</v>
      </c>
      <c r="J3" t="s">
        <v>29</v>
      </c>
      <c r="K3" t="s">
        <v>21</v>
      </c>
      <c r="P3" t="s">
        <v>30</v>
      </c>
    </row>
    <row r="4" spans="1:16">
      <c r="A4" t="s">
        <v>31</v>
      </c>
      <c r="B4" t="s">
        <v>32</v>
      </c>
      <c r="C4" s="1">
        <v>45064</v>
      </c>
      <c r="D4">
        <v>67</v>
      </c>
      <c r="E4" t="s">
        <v>33</v>
      </c>
      <c r="F4" t="s">
        <v>34</v>
      </c>
      <c r="J4" t="s">
        <v>35</v>
      </c>
      <c r="K4" t="s">
        <v>21</v>
      </c>
      <c r="L4" t="s">
        <v>36</v>
      </c>
      <c r="M4" t="s">
        <v>37</v>
      </c>
      <c r="N4" t="s">
        <v>38</v>
      </c>
      <c r="O4" t="s">
        <v>37</v>
      </c>
      <c r="P4" t="s">
        <v>38</v>
      </c>
    </row>
    <row r="5" spans="1:16">
      <c r="A5" t="s">
        <v>39</v>
      </c>
      <c r="B5" t="s">
        <v>40</v>
      </c>
      <c r="C5" s="1">
        <v>45067</v>
      </c>
      <c r="D5">
        <v>50</v>
      </c>
      <c r="E5" t="s">
        <v>33</v>
      </c>
      <c r="F5" t="s">
        <v>41</v>
      </c>
      <c r="J5" t="s">
        <v>42</v>
      </c>
      <c r="K5" t="s">
        <v>21</v>
      </c>
      <c r="O5" t="s">
        <v>43</v>
      </c>
      <c r="P5" t="s">
        <v>44</v>
      </c>
    </row>
    <row r="6" spans="1:16">
      <c r="A6" t="s">
        <v>45</v>
      </c>
      <c r="B6" t="s">
        <v>46</v>
      </c>
      <c r="C6" s="1">
        <v>45068</v>
      </c>
      <c r="D6">
        <v>62</v>
      </c>
      <c r="E6" t="s">
        <v>18</v>
      </c>
      <c r="F6" t="s">
        <v>47</v>
      </c>
      <c r="J6" t="s">
        <v>48</v>
      </c>
      <c r="K6" t="s">
        <v>21</v>
      </c>
      <c r="M6" t="s">
        <v>49</v>
      </c>
      <c r="N6" t="s">
        <v>30</v>
      </c>
      <c r="O6" t="s">
        <v>50</v>
      </c>
      <c r="P6" t="s">
        <v>51</v>
      </c>
    </row>
    <row r="7" spans="1:16">
      <c r="A7" t="s">
        <v>52</v>
      </c>
      <c r="B7" t="s">
        <v>53</v>
      </c>
      <c r="C7" s="1">
        <v>45070</v>
      </c>
      <c r="D7">
        <v>87</v>
      </c>
      <c r="E7" t="s">
        <v>27</v>
      </c>
      <c r="F7" t="s">
        <v>54</v>
      </c>
      <c r="K7" t="s">
        <v>21</v>
      </c>
      <c r="L7" t="s">
        <v>36</v>
      </c>
      <c r="M7" t="s">
        <v>55</v>
      </c>
      <c r="N7" t="s">
        <v>38</v>
      </c>
      <c r="O7" t="s">
        <v>55</v>
      </c>
      <c r="P7" t="s">
        <v>38</v>
      </c>
    </row>
    <row r="8" spans="1:16">
      <c r="A8" t="s">
        <v>56</v>
      </c>
      <c r="B8" t="s">
        <v>57</v>
      </c>
      <c r="C8" s="1">
        <v>45070</v>
      </c>
      <c r="D8">
        <v>56</v>
      </c>
      <c r="E8" t="s">
        <v>33</v>
      </c>
      <c r="F8" t="s">
        <v>58</v>
      </c>
      <c r="J8" t="s">
        <v>59</v>
      </c>
      <c r="K8" t="s">
        <v>21</v>
      </c>
      <c r="M8" t="s">
        <v>60</v>
      </c>
      <c r="N8" t="s">
        <v>30</v>
      </c>
      <c r="O8" t="s">
        <v>60</v>
      </c>
      <c r="P8" t="s">
        <v>30</v>
      </c>
    </row>
    <row r="9" spans="1:16">
      <c r="A9" t="s">
        <v>61</v>
      </c>
      <c r="B9" t="s">
        <v>62</v>
      </c>
      <c r="C9" s="1">
        <v>45083</v>
      </c>
      <c r="D9">
        <v>59</v>
      </c>
      <c r="E9" t="s">
        <v>33</v>
      </c>
      <c r="F9" t="s">
        <v>63</v>
      </c>
      <c r="J9" t="s">
        <v>54</v>
      </c>
      <c r="K9" t="s">
        <v>21</v>
      </c>
      <c r="L9" t="s">
        <v>36</v>
      </c>
      <c r="M9" t="s">
        <v>64</v>
      </c>
      <c r="N9" t="s">
        <v>65</v>
      </c>
      <c r="O9" t="s">
        <v>64</v>
      </c>
      <c r="P9" t="s">
        <v>65</v>
      </c>
    </row>
    <row r="10" spans="1:16">
      <c r="A10" t="s">
        <v>66</v>
      </c>
      <c r="B10" t="s">
        <v>67</v>
      </c>
      <c r="C10" s="1">
        <v>45084</v>
      </c>
      <c r="D10">
        <v>82</v>
      </c>
      <c r="E10" t="s">
        <v>27</v>
      </c>
      <c r="F10" t="s">
        <v>68</v>
      </c>
      <c r="J10" t="s">
        <v>54</v>
      </c>
      <c r="K10" t="s">
        <v>21</v>
      </c>
      <c r="L10" t="s">
        <v>36</v>
      </c>
      <c r="M10" t="s">
        <v>69</v>
      </c>
      <c r="N10" t="s">
        <v>70</v>
      </c>
      <c r="O10" t="s">
        <v>69</v>
      </c>
      <c r="P10" t="s">
        <v>70</v>
      </c>
    </row>
    <row r="11" spans="1:16">
      <c r="A11" t="s">
        <v>71</v>
      </c>
      <c r="B11" t="s">
        <v>72</v>
      </c>
      <c r="C11" s="1">
        <v>45084</v>
      </c>
      <c r="D11">
        <v>57</v>
      </c>
      <c r="E11" t="s">
        <v>18</v>
      </c>
      <c r="F11" t="s">
        <v>73</v>
      </c>
      <c r="G11" t="s">
        <v>28</v>
      </c>
      <c r="J11" t="s">
        <v>54</v>
      </c>
      <c r="K11" t="s">
        <v>21</v>
      </c>
      <c r="L11" t="s">
        <v>36</v>
      </c>
      <c r="M11" t="s">
        <v>74</v>
      </c>
      <c r="N11" t="s">
        <v>38</v>
      </c>
      <c r="O11" t="s">
        <v>74</v>
      </c>
      <c r="P11" t="s">
        <v>38</v>
      </c>
    </row>
    <row r="12" spans="1:16">
      <c r="A12" t="s">
        <v>75</v>
      </c>
      <c r="B12" t="s">
        <v>76</v>
      </c>
      <c r="C12" s="1">
        <v>45087</v>
      </c>
      <c r="D12">
        <v>33</v>
      </c>
      <c r="E12" t="s">
        <v>33</v>
      </c>
      <c r="F12" t="s">
        <v>35</v>
      </c>
      <c r="K12" t="s">
        <v>21</v>
      </c>
      <c r="M12" t="s">
        <v>77</v>
      </c>
      <c r="N12" t="s">
        <v>30</v>
      </c>
      <c r="O12" t="s">
        <v>77</v>
      </c>
      <c r="P12" t="s">
        <v>30</v>
      </c>
    </row>
    <row r="13" spans="1:16">
      <c r="A13" t="s">
        <v>78</v>
      </c>
      <c r="B13" t="s">
        <v>79</v>
      </c>
      <c r="C13" s="1">
        <v>45087</v>
      </c>
      <c r="D13">
        <v>67</v>
      </c>
      <c r="E13" t="s">
        <v>33</v>
      </c>
      <c r="F13" t="s">
        <v>80</v>
      </c>
      <c r="G13" t="s">
        <v>81</v>
      </c>
      <c r="H13" t="s">
        <v>82</v>
      </c>
      <c r="J13" t="s">
        <v>83</v>
      </c>
      <c r="K13" t="s">
        <v>21</v>
      </c>
      <c r="L13" t="s">
        <v>36</v>
      </c>
      <c r="N13" t="s">
        <v>30</v>
      </c>
      <c r="O13" t="s">
        <v>84</v>
      </c>
      <c r="P13" t="s">
        <v>30</v>
      </c>
    </row>
    <row r="14" spans="1:16">
      <c r="A14" t="s">
        <v>85</v>
      </c>
      <c r="B14" t="s">
        <v>86</v>
      </c>
      <c r="C14" s="1">
        <v>45091</v>
      </c>
      <c r="D14">
        <v>58</v>
      </c>
      <c r="E14" t="s">
        <v>33</v>
      </c>
      <c r="F14" t="s">
        <v>87</v>
      </c>
      <c r="J14" t="s">
        <v>54</v>
      </c>
      <c r="K14" t="s">
        <v>21</v>
      </c>
      <c r="M14" t="s">
        <v>88</v>
      </c>
      <c r="N14" t="s">
        <v>30</v>
      </c>
      <c r="O14" t="s">
        <v>89</v>
      </c>
      <c r="P14" t="s">
        <v>44</v>
      </c>
    </row>
    <row r="15" spans="1:16">
      <c r="A15" t="s">
        <v>90</v>
      </c>
      <c r="B15" t="s">
        <v>91</v>
      </c>
      <c r="C15" s="1">
        <v>45094</v>
      </c>
      <c r="D15">
        <v>49</v>
      </c>
      <c r="E15" t="s">
        <v>33</v>
      </c>
      <c r="F15" t="s">
        <v>92</v>
      </c>
      <c r="J15" t="s">
        <v>93</v>
      </c>
      <c r="K15" t="s">
        <v>21</v>
      </c>
      <c r="M15" t="s">
        <v>94</v>
      </c>
      <c r="N15" t="s">
        <v>30</v>
      </c>
      <c r="O15" t="s">
        <v>94</v>
      </c>
      <c r="P15" t="s">
        <v>30</v>
      </c>
    </row>
    <row r="16" spans="1:16">
      <c r="A16" t="s">
        <v>95</v>
      </c>
      <c r="B16" t="s">
        <v>96</v>
      </c>
      <c r="C16" s="1">
        <v>45098</v>
      </c>
      <c r="D16">
        <v>30</v>
      </c>
      <c r="E16" t="s">
        <v>27</v>
      </c>
      <c r="F16" t="s">
        <v>97</v>
      </c>
      <c r="J16" t="s">
        <v>98</v>
      </c>
      <c r="K16" t="s">
        <v>21</v>
      </c>
      <c r="N16" t="s">
        <v>24</v>
      </c>
      <c r="O16" t="s">
        <v>99</v>
      </c>
      <c r="P16" t="s">
        <v>44</v>
      </c>
    </row>
    <row r="17" spans="1:16">
      <c r="A17" t="s">
        <v>100</v>
      </c>
      <c r="B17" t="s">
        <v>101</v>
      </c>
      <c r="C17" s="1">
        <v>45099</v>
      </c>
      <c r="D17">
        <v>70</v>
      </c>
      <c r="E17" t="s">
        <v>33</v>
      </c>
      <c r="F17" t="s">
        <v>102</v>
      </c>
      <c r="J17" t="s">
        <v>54</v>
      </c>
      <c r="K17" t="s">
        <v>21</v>
      </c>
      <c r="L17" t="s">
        <v>36</v>
      </c>
      <c r="M17" t="s">
        <v>103</v>
      </c>
      <c r="N17" t="s">
        <v>38</v>
      </c>
      <c r="O17" t="s">
        <v>103</v>
      </c>
      <c r="P17" t="s">
        <v>38</v>
      </c>
    </row>
    <row r="18" spans="1:16">
      <c r="A18" t="s">
        <v>104</v>
      </c>
      <c r="B18" t="s">
        <v>105</v>
      </c>
      <c r="C18" s="1">
        <v>45106</v>
      </c>
      <c r="D18">
        <v>53</v>
      </c>
      <c r="E18" t="s">
        <v>106</v>
      </c>
      <c r="F18" t="s">
        <v>19</v>
      </c>
      <c r="J18" t="s">
        <v>54</v>
      </c>
      <c r="K18" t="s">
        <v>21</v>
      </c>
      <c r="L18" t="s">
        <v>36</v>
      </c>
      <c r="M18" t="s">
        <v>107</v>
      </c>
      <c r="N18" t="s">
        <v>65</v>
      </c>
      <c r="O18" t="s">
        <v>108</v>
      </c>
      <c r="P18" t="s">
        <v>109</v>
      </c>
    </row>
    <row r="19" spans="1:16">
      <c r="A19" t="s">
        <v>110</v>
      </c>
      <c r="B19" t="s">
        <v>111</v>
      </c>
      <c r="C19" s="1">
        <v>45106</v>
      </c>
      <c r="D19">
        <v>52</v>
      </c>
      <c r="E19" t="s">
        <v>112</v>
      </c>
      <c r="F19" t="s">
        <v>113</v>
      </c>
      <c r="J19" t="s">
        <v>114</v>
      </c>
      <c r="K19" t="s">
        <v>21</v>
      </c>
      <c r="L19" t="s">
        <v>36</v>
      </c>
      <c r="M19" t="s">
        <v>115</v>
      </c>
      <c r="N19" t="s">
        <v>38</v>
      </c>
      <c r="O19" t="s">
        <v>116</v>
      </c>
      <c r="P19" t="s">
        <v>44</v>
      </c>
    </row>
    <row r="20" spans="1:16">
      <c r="A20" t="s">
        <v>117</v>
      </c>
      <c r="B20" t="s">
        <v>118</v>
      </c>
      <c r="C20" s="1">
        <v>45108</v>
      </c>
      <c r="D20">
        <v>74</v>
      </c>
      <c r="E20" t="s">
        <v>33</v>
      </c>
      <c r="F20" t="s">
        <v>119</v>
      </c>
      <c r="J20" t="s">
        <v>120</v>
      </c>
      <c r="K20" t="s">
        <v>21</v>
      </c>
      <c r="L20" t="s">
        <v>121</v>
      </c>
      <c r="M20" t="s">
        <v>122</v>
      </c>
      <c r="N20" t="s">
        <v>65</v>
      </c>
      <c r="O20" t="s">
        <v>122</v>
      </c>
      <c r="P20" t="s">
        <v>65</v>
      </c>
    </row>
    <row r="21" spans="1:16">
      <c r="A21" t="s">
        <v>123</v>
      </c>
      <c r="B21" t="s">
        <v>124</v>
      </c>
      <c r="C21" s="1">
        <v>45108</v>
      </c>
      <c r="D21">
        <v>40</v>
      </c>
      <c r="E21" t="s">
        <v>18</v>
      </c>
      <c r="F21" t="s">
        <v>125</v>
      </c>
      <c r="G21" t="s">
        <v>54</v>
      </c>
      <c r="K21" t="s">
        <v>21</v>
      </c>
      <c r="M21" t="s">
        <v>126</v>
      </c>
      <c r="N21" t="s">
        <v>30</v>
      </c>
      <c r="O21" t="s">
        <v>127</v>
      </c>
      <c r="P21" t="s">
        <v>51</v>
      </c>
    </row>
    <row r="22" spans="1:16">
      <c r="A22" t="s">
        <v>128</v>
      </c>
      <c r="B22" t="s">
        <v>129</v>
      </c>
      <c r="C22" s="1">
        <v>45109</v>
      </c>
      <c r="D22">
        <v>35</v>
      </c>
      <c r="E22" t="s">
        <v>18</v>
      </c>
      <c r="F22" t="s">
        <v>130</v>
      </c>
      <c r="J22" t="s">
        <v>54</v>
      </c>
      <c r="K22" t="s">
        <v>21</v>
      </c>
      <c r="M22" t="s">
        <v>131</v>
      </c>
      <c r="N22" t="s">
        <v>132</v>
      </c>
      <c r="O22" t="s">
        <v>131</v>
      </c>
      <c r="P22" t="s">
        <v>132</v>
      </c>
    </row>
    <row r="23" spans="1:16">
      <c r="A23" t="s">
        <v>133</v>
      </c>
      <c r="B23" t="s">
        <v>134</v>
      </c>
      <c r="C23" s="1">
        <v>45109</v>
      </c>
      <c r="D23">
        <v>46</v>
      </c>
      <c r="E23" t="s">
        <v>33</v>
      </c>
      <c r="F23" t="s">
        <v>135</v>
      </c>
      <c r="J23" t="s">
        <v>54</v>
      </c>
      <c r="K23" t="s">
        <v>21</v>
      </c>
      <c r="L23" t="s">
        <v>36</v>
      </c>
      <c r="M23" t="s">
        <v>136</v>
      </c>
      <c r="N23" t="s">
        <v>38</v>
      </c>
      <c r="O23" t="s">
        <v>136</v>
      </c>
      <c r="P23" t="s">
        <v>38</v>
      </c>
    </row>
    <row r="24" spans="1:16">
      <c r="A24" t="s">
        <v>137</v>
      </c>
      <c r="B24" t="s">
        <v>138</v>
      </c>
      <c r="C24" s="1">
        <v>45110</v>
      </c>
      <c r="D24">
        <v>90</v>
      </c>
      <c r="E24" t="s">
        <v>33</v>
      </c>
      <c r="F24" t="s">
        <v>54</v>
      </c>
      <c r="J24" t="s">
        <v>139</v>
      </c>
      <c r="K24" t="s">
        <v>21</v>
      </c>
      <c r="L24" t="s">
        <v>36</v>
      </c>
      <c r="M24" t="s">
        <v>140</v>
      </c>
      <c r="N24" t="s">
        <v>65</v>
      </c>
      <c r="O24" t="s">
        <v>140</v>
      </c>
      <c r="P24" t="s">
        <v>65</v>
      </c>
    </row>
    <row r="25" spans="1:16">
      <c r="A25" t="s">
        <v>141</v>
      </c>
      <c r="B25" t="s">
        <v>142</v>
      </c>
      <c r="C25" s="1">
        <v>45110</v>
      </c>
      <c r="D25">
        <v>77</v>
      </c>
      <c r="E25" t="s">
        <v>33</v>
      </c>
      <c r="F25" t="s">
        <v>63</v>
      </c>
      <c r="J25" t="s">
        <v>54</v>
      </c>
      <c r="K25" t="s">
        <v>21</v>
      </c>
      <c r="L25" t="s">
        <v>36</v>
      </c>
      <c r="M25" t="s">
        <v>143</v>
      </c>
      <c r="N25" t="s">
        <v>70</v>
      </c>
      <c r="O25" t="s">
        <v>143</v>
      </c>
      <c r="P25" t="s">
        <v>70</v>
      </c>
    </row>
    <row r="26" spans="1:16">
      <c r="A26" t="s">
        <v>144</v>
      </c>
      <c r="B26" t="s">
        <v>145</v>
      </c>
      <c r="C26" s="1">
        <v>45110</v>
      </c>
      <c r="D26">
        <v>40</v>
      </c>
      <c r="E26" t="s">
        <v>18</v>
      </c>
      <c r="F26" t="s">
        <v>54</v>
      </c>
      <c r="K26" t="s">
        <v>21</v>
      </c>
      <c r="M26" t="s">
        <v>146</v>
      </c>
      <c r="N26" t="s">
        <v>30</v>
      </c>
      <c r="O26" t="s">
        <v>146</v>
      </c>
      <c r="P26" t="s">
        <v>30</v>
      </c>
    </row>
    <row r="27" spans="1:16">
      <c r="A27" t="s">
        <v>147</v>
      </c>
      <c r="B27" t="s">
        <v>148</v>
      </c>
      <c r="C27" s="1">
        <v>45110</v>
      </c>
      <c r="D27">
        <v>53</v>
      </c>
      <c r="E27" t="s">
        <v>33</v>
      </c>
      <c r="F27" t="s">
        <v>54</v>
      </c>
      <c r="J27" t="s">
        <v>63</v>
      </c>
      <c r="K27" t="s">
        <v>21</v>
      </c>
      <c r="L27" t="s">
        <v>36</v>
      </c>
      <c r="M27" t="s">
        <v>149</v>
      </c>
      <c r="N27" t="s">
        <v>30</v>
      </c>
      <c r="O27" t="s">
        <v>150</v>
      </c>
      <c r="P27" t="s">
        <v>44</v>
      </c>
    </row>
    <row r="28" spans="1:16">
      <c r="A28" t="s">
        <v>151</v>
      </c>
      <c r="B28" t="s">
        <v>152</v>
      </c>
      <c r="C28" s="1">
        <v>45110</v>
      </c>
      <c r="D28">
        <v>50</v>
      </c>
      <c r="E28" t="s">
        <v>33</v>
      </c>
      <c r="F28" t="s">
        <v>135</v>
      </c>
      <c r="J28" t="s">
        <v>54</v>
      </c>
      <c r="K28" t="s">
        <v>21</v>
      </c>
      <c r="M28" t="s">
        <v>153</v>
      </c>
      <c r="N28" t="s">
        <v>30</v>
      </c>
      <c r="O28" t="s">
        <v>153</v>
      </c>
      <c r="P28" t="s">
        <v>30</v>
      </c>
    </row>
    <row r="29" spans="1:16">
      <c r="A29" t="s">
        <v>154</v>
      </c>
      <c r="B29" t="s">
        <v>155</v>
      </c>
      <c r="C29" s="1">
        <v>45110</v>
      </c>
      <c r="D29">
        <v>66</v>
      </c>
      <c r="E29" t="s">
        <v>33</v>
      </c>
      <c r="F29" t="s">
        <v>28</v>
      </c>
      <c r="J29" t="s">
        <v>54</v>
      </c>
      <c r="K29" t="s">
        <v>21</v>
      </c>
      <c r="L29" t="s">
        <v>36</v>
      </c>
      <c r="M29" t="s">
        <v>156</v>
      </c>
      <c r="N29" t="s">
        <v>38</v>
      </c>
      <c r="O29" t="s">
        <v>156</v>
      </c>
      <c r="P29" t="s">
        <v>30</v>
      </c>
    </row>
    <row r="30" spans="1:16">
      <c r="A30" t="s">
        <v>157</v>
      </c>
      <c r="B30" t="s">
        <v>158</v>
      </c>
      <c r="C30" s="1">
        <v>45111</v>
      </c>
      <c r="D30">
        <v>80</v>
      </c>
      <c r="E30" t="s">
        <v>33</v>
      </c>
      <c r="F30" t="s">
        <v>68</v>
      </c>
      <c r="J30" t="s">
        <v>159</v>
      </c>
      <c r="K30" t="s">
        <v>21</v>
      </c>
      <c r="L30" t="s">
        <v>36</v>
      </c>
      <c r="M30" t="s">
        <v>160</v>
      </c>
      <c r="N30" t="s">
        <v>38</v>
      </c>
      <c r="O30" t="s">
        <v>160</v>
      </c>
      <c r="P30" t="s">
        <v>38</v>
      </c>
    </row>
    <row r="31" spans="1:16">
      <c r="A31" t="s">
        <v>161</v>
      </c>
      <c r="B31" t="s">
        <v>162</v>
      </c>
      <c r="C31" s="1">
        <v>45111</v>
      </c>
      <c r="D31">
        <v>43</v>
      </c>
      <c r="E31" t="s">
        <v>27</v>
      </c>
      <c r="F31" t="s">
        <v>163</v>
      </c>
      <c r="K31" t="s">
        <v>21</v>
      </c>
      <c r="L31" t="s">
        <v>36</v>
      </c>
      <c r="O31" t="s">
        <v>43</v>
      </c>
      <c r="P31" t="s">
        <v>44</v>
      </c>
    </row>
    <row r="32" spans="1:16">
      <c r="A32" t="s">
        <v>164</v>
      </c>
      <c r="B32" t="s">
        <v>165</v>
      </c>
      <c r="C32" s="1">
        <v>45111</v>
      </c>
      <c r="D32">
        <v>72</v>
      </c>
      <c r="E32" t="s">
        <v>18</v>
      </c>
      <c r="F32" t="s">
        <v>48</v>
      </c>
      <c r="J32" t="s">
        <v>166</v>
      </c>
      <c r="K32" t="s">
        <v>21</v>
      </c>
      <c r="M32" t="s">
        <v>167</v>
      </c>
      <c r="N32" t="s">
        <v>30</v>
      </c>
      <c r="O32" t="s">
        <v>167</v>
      </c>
      <c r="P32" t="s">
        <v>30</v>
      </c>
    </row>
    <row r="33" spans="1:16">
      <c r="A33" t="s">
        <v>168</v>
      </c>
      <c r="B33" t="s">
        <v>169</v>
      </c>
      <c r="C33" s="1">
        <v>45111</v>
      </c>
      <c r="D33">
        <v>38</v>
      </c>
      <c r="E33" t="s">
        <v>33</v>
      </c>
      <c r="F33" t="s">
        <v>41</v>
      </c>
      <c r="J33" t="s">
        <v>54</v>
      </c>
      <c r="K33" t="s">
        <v>21</v>
      </c>
      <c r="N33" t="s">
        <v>30</v>
      </c>
      <c r="P33" t="s">
        <v>30</v>
      </c>
    </row>
    <row r="34" spans="1:16">
      <c r="A34" t="s">
        <v>170</v>
      </c>
      <c r="B34" t="s">
        <v>171</v>
      </c>
      <c r="C34" s="1">
        <v>45111</v>
      </c>
      <c r="D34">
        <v>71</v>
      </c>
      <c r="E34" t="s">
        <v>33</v>
      </c>
      <c r="F34" t="s">
        <v>172</v>
      </c>
      <c r="J34" t="s">
        <v>173</v>
      </c>
      <c r="K34" t="s">
        <v>21</v>
      </c>
      <c r="M34" t="s">
        <v>174</v>
      </c>
      <c r="N34" t="s">
        <v>30</v>
      </c>
      <c r="O34" t="s">
        <v>174</v>
      </c>
      <c r="P34" t="s">
        <v>30</v>
      </c>
    </row>
    <row r="35" spans="1:16">
      <c r="A35" t="s">
        <v>175</v>
      </c>
      <c r="B35" t="s">
        <v>176</v>
      </c>
      <c r="C35" s="1">
        <v>45111</v>
      </c>
      <c r="D35">
        <v>32</v>
      </c>
      <c r="E35" t="s">
        <v>18</v>
      </c>
      <c r="F35" t="s">
        <v>54</v>
      </c>
      <c r="J35" t="s">
        <v>177</v>
      </c>
      <c r="K35" t="s">
        <v>21</v>
      </c>
      <c r="M35" t="s">
        <v>178</v>
      </c>
      <c r="N35" t="s">
        <v>30</v>
      </c>
      <c r="O35" t="s">
        <v>178</v>
      </c>
      <c r="P35" t="s">
        <v>30</v>
      </c>
    </row>
    <row r="36" spans="1:16">
      <c r="A36" t="s">
        <v>179</v>
      </c>
      <c r="B36" t="s">
        <v>180</v>
      </c>
      <c r="C36" s="1">
        <v>45112</v>
      </c>
      <c r="D36">
        <v>71</v>
      </c>
      <c r="E36" t="s">
        <v>33</v>
      </c>
      <c r="F36" t="s">
        <v>54</v>
      </c>
      <c r="J36" t="s">
        <v>181</v>
      </c>
      <c r="K36" t="s">
        <v>21</v>
      </c>
      <c r="M36" t="s">
        <v>182</v>
      </c>
      <c r="N36" t="s">
        <v>30</v>
      </c>
      <c r="O36" t="s">
        <v>182</v>
      </c>
      <c r="P36" t="s">
        <v>30</v>
      </c>
    </row>
    <row r="37" spans="1:16">
      <c r="A37" t="s">
        <v>183</v>
      </c>
      <c r="B37" t="s">
        <v>184</v>
      </c>
      <c r="C37" s="1">
        <v>45112</v>
      </c>
      <c r="D37">
        <v>83</v>
      </c>
      <c r="E37" t="s">
        <v>33</v>
      </c>
      <c r="F37" t="s">
        <v>63</v>
      </c>
      <c r="J37" t="s">
        <v>185</v>
      </c>
      <c r="K37" t="s">
        <v>21</v>
      </c>
      <c r="L37" t="s">
        <v>36</v>
      </c>
      <c r="M37" t="s">
        <v>186</v>
      </c>
      <c r="N37" t="s">
        <v>38</v>
      </c>
      <c r="O37" t="s">
        <v>186</v>
      </c>
      <c r="P37" t="s">
        <v>38</v>
      </c>
    </row>
    <row r="38" spans="1:16">
      <c r="A38" t="s">
        <v>187</v>
      </c>
      <c r="B38" t="s">
        <v>188</v>
      </c>
      <c r="C38" s="1">
        <v>45114</v>
      </c>
      <c r="D38">
        <v>34</v>
      </c>
      <c r="E38" t="s">
        <v>33</v>
      </c>
      <c r="F38" t="s">
        <v>172</v>
      </c>
      <c r="J38" t="s">
        <v>54</v>
      </c>
      <c r="K38" t="s">
        <v>21</v>
      </c>
      <c r="M38" t="s">
        <v>189</v>
      </c>
      <c r="N38" t="s">
        <v>30</v>
      </c>
      <c r="O38" t="s">
        <v>99</v>
      </c>
      <c r="P38" t="s">
        <v>44</v>
      </c>
    </row>
    <row r="39" spans="1:16">
      <c r="A39" t="s">
        <v>190</v>
      </c>
      <c r="B39" t="s">
        <v>191</v>
      </c>
      <c r="C39" s="1">
        <v>45114</v>
      </c>
      <c r="D39">
        <v>49</v>
      </c>
      <c r="E39" t="s">
        <v>27</v>
      </c>
      <c r="F39" t="s">
        <v>192</v>
      </c>
      <c r="J39" t="s">
        <v>54</v>
      </c>
      <c r="K39" t="s">
        <v>21</v>
      </c>
      <c r="M39" t="s">
        <v>193</v>
      </c>
      <c r="N39" t="s">
        <v>38</v>
      </c>
      <c r="O39" t="s">
        <v>99</v>
      </c>
      <c r="P39" t="s">
        <v>44</v>
      </c>
    </row>
    <row r="40" spans="1:16">
      <c r="A40" t="s">
        <v>194</v>
      </c>
      <c r="B40" t="s">
        <v>195</v>
      </c>
      <c r="C40" s="1">
        <v>45115</v>
      </c>
      <c r="D40">
        <v>42</v>
      </c>
      <c r="E40" t="s">
        <v>18</v>
      </c>
      <c r="F40" t="s">
        <v>54</v>
      </c>
      <c r="J40" t="s">
        <v>196</v>
      </c>
      <c r="K40" t="s">
        <v>21</v>
      </c>
      <c r="N40" t="s">
        <v>30</v>
      </c>
      <c r="P40" t="s">
        <v>30</v>
      </c>
    </row>
    <row r="41" spans="1:16">
      <c r="A41" t="s">
        <v>197</v>
      </c>
      <c r="B41" t="s">
        <v>198</v>
      </c>
      <c r="C41" s="1">
        <v>45116</v>
      </c>
      <c r="D41">
        <v>60</v>
      </c>
      <c r="E41" t="s">
        <v>33</v>
      </c>
      <c r="F41" t="s">
        <v>54</v>
      </c>
      <c r="J41" t="s">
        <v>199</v>
      </c>
      <c r="K41" t="s">
        <v>21</v>
      </c>
      <c r="L41" t="s">
        <v>36</v>
      </c>
      <c r="M41" t="s">
        <v>200</v>
      </c>
      <c r="N41" t="s">
        <v>70</v>
      </c>
      <c r="O41" t="s">
        <v>200</v>
      </c>
      <c r="P41" t="s">
        <v>70</v>
      </c>
    </row>
    <row r="42" spans="1:16">
      <c r="A42" t="s">
        <v>201</v>
      </c>
      <c r="B42" t="s">
        <v>202</v>
      </c>
      <c r="C42" s="1">
        <v>45116</v>
      </c>
      <c r="D42">
        <v>44</v>
      </c>
      <c r="E42" t="s">
        <v>27</v>
      </c>
      <c r="F42" t="s">
        <v>54</v>
      </c>
      <c r="J42" t="s">
        <v>98</v>
      </c>
      <c r="K42" t="s">
        <v>21</v>
      </c>
      <c r="M42" t="s">
        <v>203</v>
      </c>
      <c r="N42" t="s">
        <v>30</v>
      </c>
      <c r="O42" t="s">
        <v>203</v>
      </c>
      <c r="P42" t="s">
        <v>30</v>
      </c>
    </row>
    <row r="43" spans="1:16">
      <c r="A43" t="s">
        <v>204</v>
      </c>
      <c r="B43" t="s">
        <v>205</v>
      </c>
      <c r="C43" s="1">
        <v>45116</v>
      </c>
      <c r="D43">
        <v>52</v>
      </c>
      <c r="E43" t="s">
        <v>18</v>
      </c>
      <c r="F43" t="s">
        <v>54</v>
      </c>
      <c r="J43" t="s">
        <v>206</v>
      </c>
      <c r="K43" t="s">
        <v>21</v>
      </c>
      <c r="M43" t="s">
        <v>207</v>
      </c>
      <c r="N43" t="s">
        <v>208</v>
      </c>
      <c r="O43" t="s">
        <v>207</v>
      </c>
      <c r="P43" t="s">
        <v>208</v>
      </c>
    </row>
    <row r="44" spans="1:16">
      <c r="A44" t="s">
        <v>209</v>
      </c>
      <c r="B44" t="s">
        <v>210</v>
      </c>
      <c r="C44" s="1">
        <v>45116</v>
      </c>
      <c r="D44">
        <v>38</v>
      </c>
      <c r="E44" t="s">
        <v>27</v>
      </c>
      <c r="F44" t="s">
        <v>54</v>
      </c>
      <c r="K44" t="s">
        <v>21</v>
      </c>
      <c r="L44" t="s">
        <v>36</v>
      </c>
      <c r="M44" t="s">
        <v>211</v>
      </c>
      <c r="N44" t="s">
        <v>30</v>
      </c>
      <c r="O44" t="s">
        <v>211</v>
      </c>
      <c r="P44" t="s">
        <v>30</v>
      </c>
    </row>
    <row r="45" spans="1:16">
      <c r="A45" t="s">
        <v>212</v>
      </c>
      <c r="B45" t="s">
        <v>213</v>
      </c>
      <c r="C45" s="1">
        <v>45117</v>
      </c>
      <c r="D45">
        <v>53</v>
      </c>
      <c r="E45" t="s">
        <v>33</v>
      </c>
      <c r="F45" t="s">
        <v>214</v>
      </c>
      <c r="J45" t="s">
        <v>215</v>
      </c>
      <c r="K45" t="s">
        <v>21</v>
      </c>
      <c r="L45" t="s">
        <v>22</v>
      </c>
      <c r="M45" t="s">
        <v>216</v>
      </c>
      <c r="N45" t="s">
        <v>30</v>
      </c>
      <c r="O45" t="s">
        <v>216</v>
      </c>
      <c r="P45" t="s">
        <v>30</v>
      </c>
    </row>
    <row r="46" spans="1:16">
      <c r="A46" t="s">
        <v>217</v>
      </c>
      <c r="B46" t="s">
        <v>218</v>
      </c>
      <c r="C46" s="1">
        <v>45117</v>
      </c>
      <c r="D46">
        <v>64</v>
      </c>
      <c r="E46" t="s">
        <v>18</v>
      </c>
      <c r="F46" t="s">
        <v>219</v>
      </c>
      <c r="K46" t="s">
        <v>21</v>
      </c>
      <c r="L46" t="s">
        <v>36</v>
      </c>
      <c r="M46" t="s">
        <v>220</v>
      </c>
      <c r="N46" t="s">
        <v>30</v>
      </c>
      <c r="O46" t="s">
        <v>43</v>
      </c>
      <c r="P46" t="s">
        <v>44</v>
      </c>
    </row>
    <row r="47" spans="1:16">
      <c r="A47" t="s">
        <v>221</v>
      </c>
      <c r="B47" t="s">
        <v>222</v>
      </c>
      <c r="C47" s="1">
        <v>45117</v>
      </c>
      <c r="D47">
        <v>32</v>
      </c>
      <c r="E47" t="s">
        <v>33</v>
      </c>
      <c r="F47" t="s">
        <v>54</v>
      </c>
      <c r="J47" t="s">
        <v>223</v>
      </c>
      <c r="K47" t="s">
        <v>21</v>
      </c>
      <c r="M47" t="s">
        <v>224</v>
      </c>
      <c r="N47" t="s">
        <v>30</v>
      </c>
      <c r="O47" t="s">
        <v>224</v>
      </c>
      <c r="P47" t="s">
        <v>30</v>
      </c>
    </row>
    <row r="48" spans="1:16">
      <c r="A48" t="s">
        <v>225</v>
      </c>
      <c r="B48" t="s">
        <v>226</v>
      </c>
      <c r="C48" s="1">
        <v>45107</v>
      </c>
      <c r="D48">
        <v>65</v>
      </c>
      <c r="E48" t="s">
        <v>33</v>
      </c>
      <c r="F48" t="s">
        <v>163</v>
      </c>
      <c r="J48" t="s">
        <v>227</v>
      </c>
      <c r="K48" t="s">
        <v>21</v>
      </c>
      <c r="L48" t="s">
        <v>36</v>
      </c>
      <c r="O48" t="s">
        <v>116</v>
      </c>
      <c r="P48" t="s">
        <v>228</v>
      </c>
    </row>
    <row r="49" spans="1:16">
      <c r="A49" t="s">
        <v>229</v>
      </c>
      <c r="B49" t="s">
        <v>230</v>
      </c>
      <c r="C49" s="1">
        <v>45119</v>
      </c>
      <c r="D49">
        <v>77</v>
      </c>
      <c r="E49" t="s">
        <v>18</v>
      </c>
      <c r="F49" t="s">
        <v>73</v>
      </c>
      <c r="J49" t="s">
        <v>231</v>
      </c>
      <c r="K49" t="s">
        <v>232</v>
      </c>
      <c r="L49" t="s">
        <v>36</v>
      </c>
      <c r="M49" t="s">
        <v>233</v>
      </c>
      <c r="N49" t="s">
        <v>38</v>
      </c>
      <c r="O49" t="s">
        <v>233</v>
      </c>
      <c r="P49" t="s">
        <v>38</v>
      </c>
    </row>
    <row r="50" spans="1:16">
      <c r="A50" t="s">
        <v>234</v>
      </c>
      <c r="B50" t="s">
        <v>235</v>
      </c>
      <c r="C50" s="1">
        <v>45119</v>
      </c>
      <c r="D50">
        <v>37</v>
      </c>
      <c r="E50" t="s">
        <v>18</v>
      </c>
      <c r="F50" t="s">
        <v>54</v>
      </c>
      <c r="J50" t="s">
        <v>236</v>
      </c>
      <c r="K50" t="s">
        <v>21</v>
      </c>
      <c r="M50" t="s">
        <v>237</v>
      </c>
      <c r="N50" t="s">
        <v>30</v>
      </c>
      <c r="O50" t="s">
        <v>99</v>
      </c>
      <c r="P50" t="s">
        <v>44</v>
      </c>
    </row>
    <row r="51" spans="1:16">
      <c r="A51" t="s">
        <v>238</v>
      </c>
      <c r="B51" t="s">
        <v>239</v>
      </c>
      <c r="C51" s="1">
        <v>45119</v>
      </c>
      <c r="D51">
        <v>77</v>
      </c>
      <c r="E51" t="s">
        <v>33</v>
      </c>
      <c r="F51" t="s">
        <v>227</v>
      </c>
      <c r="J51" t="s">
        <v>54</v>
      </c>
      <c r="K51" t="s">
        <v>21</v>
      </c>
      <c r="L51" t="s">
        <v>36</v>
      </c>
      <c r="M51" t="s">
        <v>240</v>
      </c>
      <c r="N51" t="s">
        <v>38</v>
      </c>
      <c r="O51" t="s">
        <v>240</v>
      </c>
      <c r="P51" t="s">
        <v>38</v>
      </c>
    </row>
    <row r="52" spans="1:16">
      <c r="A52" t="s">
        <v>241</v>
      </c>
      <c r="B52" t="s">
        <v>242</v>
      </c>
      <c r="C52" s="1">
        <v>45120</v>
      </c>
      <c r="D52">
        <v>75</v>
      </c>
      <c r="E52" t="s">
        <v>33</v>
      </c>
      <c r="F52" t="s">
        <v>120</v>
      </c>
      <c r="K52" t="s">
        <v>21</v>
      </c>
      <c r="L52" t="s">
        <v>36</v>
      </c>
      <c r="M52" t="s">
        <v>243</v>
      </c>
      <c r="N52" t="s">
        <v>38</v>
      </c>
      <c r="O52" t="s">
        <v>243</v>
      </c>
      <c r="P52" t="s">
        <v>38</v>
      </c>
    </row>
    <row r="53" spans="1:16">
      <c r="A53" t="s">
        <v>244</v>
      </c>
      <c r="B53" t="s">
        <v>245</v>
      </c>
      <c r="C53" s="1">
        <v>45120</v>
      </c>
      <c r="D53">
        <v>40</v>
      </c>
      <c r="E53" t="s">
        <v>33</v>
      </c>
      <c r="F53" t="s">
        <v>223</v>
      </c>
      <c r="J53" t="s">
        <v>54</v>
      </c>
      <c r="K53" t="s">
        <v>21</v>
      </c>
      <c r="M53" t="s">
        <v>246</v>
      </c>
      <c r="N53" t="s">
        <v>30</v>
      </c>
      <c r="O53" t="s">
        <v>246</v>
      </c>
      <c r="P53" t="s">
        <v>30</v>
      </c>
    </row>
    <row r="54" spans="1:16">
      <c r="A54" t="s">
        <v>247</v>
      </c>
      <c r="B54" t="s">
        <v>248</v>
      </c>
      <c r="C54" s="1">
        <v>45120</v>
      </c>
      <c r="D54">
        <v>46</v>
      </c>
      <c r="E54" t="s">
        <v>18</v>
      </c>
      <c r="F54" t="s">
        <v>249</v>
      </c>
      <c r="J54" t="s">
        <v>54</v>
      </c>
      <c r="K54" t="s">
        <v>21</v>
      </c>
      <c r="M54" t="s">
        <v>250</v>
      </c>
      <c r="N54" t="s">
        <v>30</v>
      </c>
      <c r="O54" t="s">
        <v>127</v>
      </c>
      <c r="P54" t="s">
        <v>44</v>
      </c>
    </row>
    <row r="55" spans="1:16">
      <c r="A55" t="s">
        <v>251</v>
      </c>
      <c r="B55" t="s">
        <v>252</v>
      </c>
      <c r="C55" s="1">
        <v>45120</v>
      </c>
      <c r="D55">
        <v>52</v>
      </c>
      <c r="E55" t="s">
        <v>33</v>
      </c>
      <c r="F55" t="s">
        <v>199</v>
      </c>
      <c r="J55" t="s">
        <v>54</v>
      </c>
      <c r="K55" t="s">
        <v>21</v>
      </c>
      <c r="L55" t="s">
        <v>36</v>
      </c>
      <c r="M55" t="s">
        <v>253</v>
      </c>
      <c r="N55" t="s">
        <v>38</v>
      </c>
      <c r="O55" t="s">
        <v>253</v>
      </c>
      <c r="P55" t="s">
        <v>38</v>
      </c>
    </row>
    <row r="56" spans="1:16">
      <c r="A56" t="s">
        <v>254</v>
      </c>
      <c r="B56" t="s">
        <v>255</v>
      </c>
      <c r="C56" s="1">
        <v>45120</v>
      </c>
      <c r="D56">
        <v>54</v>
      </c>
      <c r="E56" t="s">
        <v>33</v>
      </c>
      <c r="F56" t="s">
        <v>54</v>
      </c>
      <c r="J56" t="s">
        <v>223</v>
      </c>
      <c r="K56" t="s">
        <v>21</v>
      </c>
      <c r="M56" t="s">
        <v>256</v>
      </c>
      <c r="N56" t="s">
        <v>38</v>
      </c>
      <c r="O56" t="s">
        <v>256</v>
      </c>
      <c r="P56" t="s">
        <v>70</v>
      </c>
    </row>
    <row r="57" spans="1:16">
      <c r="A57" t="s">
        <v>257</v>
      </c>
      <c r="B57" t="s">
        <v>258</v>
      </c>
      <c r="C57" s="1">
        <v>45120</v>
      </c>
      <c r="D57">
        <v>73</v>
      </c>
      <c r="E57" t="s">
        <v>33</v>
      </c>
      <c r="F57" t="s">
        <v>63</v>
      </c>
      <c r="J57" t="s">
        <v>54</v>
      </c>
      <c r="K57" t="s">
        <v>21</v>
      </c>
      <c r="M57" t="s">
        <v>259</v>
      </c>
      <c r="N57" t="s">
        <v>132</v>
      </c>
      <c r="O57" t="s">
        <v>260</v>
      </c>
      <c r="P57" t="s">
        <v>132</v>
      </c>
    </row>
    <row r="58" spans="1:16">
      <c r="A58" t="s">
        <v>261</v>
      </c>
      <c r="B58" t="s">
        <v>262</v>
      </c>
      <c r="C58" s="1">
        <v>45120</v>
      </c>
      <c r="D58">
        <v>32</v>
      </c>
      <c r="E58" t="s">
        <v>18</v>
      </c>
      <c r="F58" t="s">
        <v>263</v>
      </c>
      <c r="K58" t="s">
        <v>21</v>
      </c>
      <c r="M58" t="s">
        <v>264</v>
      </c>
      <c r="N58" t="s">
        <v>30</v>
      </c>
      <c r="O58" t="s">
        <v>264</v>
      </c>
      <c r="P58" t="s">
        <v>30</v>
      </c>
    </row>
    <row r="59" spans="1:16">
      <c r="A59" t="s">
        <v>265</v>
      </c>
      <c r="B59" t="s">
        <v>266</v>
      </c>
      <c r="C59" s="1">
        <v>45120</v>
      </c>
      <c r="D59">
        <v>71</v>
      </c>
      <c r="E59" t="s">
        <v>33</v>
      </c>
      <c r="F59" t="s">
        <v>54</v>
      </c>
      <c r="J59" t="s">
        <v>63</v>
      </c>
      <c r="K59" t="s">
        <v>21</v>
      </c>
      <c r="L59" t="s">
        <v>36</v>
      </c>
      <c r="M59" t="s">
        <v>267</v>
      </c>
      <c r="N59" t="s">
        <v>38</v>
      </c>
      <c r="O59" t="s">
        <v>267</v>
      </c>
      <c r="P59" t="s">
        <v>38</v>
      </c>
    </row>
    <row r="60" spans="1:16">
      <c r="A60" t="s">
        <v>268</v>
      </c>
      <c r="B60" t="s">
        <v>269</v>
      </c>
      <c r="C60" s="1">
        <v>45120</v>
      </c>
      <c r="D60">
        <v>64</v>
      </c>
      <c r="E60" t="s">
        <v>33</v>
      </c>
      <c r="F60" t="s">
        <v>172</v>
      </c>
      <c r="J60" t="s">
        <v>54</v>
      </c>
      <c r="K60" t="s">
        <v>21</v>
      </c>
      <c r="M60" t="s">
        <v>270</v>
      </c>
      <c r="N60" t="s">
        <v>271</v>
      </c>
      <c r="O60" t="s">
        <v>99</v>
      </c>
      <c r="P60" t="s">
        <v>44</v>
      </c>
    </row>
    <row r="61" spans="1:16">
      <c r="A61" t="s">
        <v>272</v>
      </c>
      <c r="B61" t="s">
        <v>273</v>
      </c>
      <c r="C61" s="1">
        <v>45120</v>
      </c>
      <c r="D61">
        <v>75</v>
      </c>
      <c r="E61" t="s">
        <v>33</v>
      </c>
      <c r="F61" t="s">
        <v>54</v>
      </c>
      <c r="J61" t="s">
        <v>274</v>
      </c>
      <c r="K61" t="s">
        <v>21</v>
      </c>
      <c r="L61" t="s">
        <v>36</v>
      </c>
      <c r="M61" t="s">
        <v>275</v>
      </c>
      <c r="N61" t="s">
        <v>38</v>
      </c>
      <c r="O61" t="s">
        <v>275</v>
      </c>
      <c r="P61" t="s">
        <v>38</v>
      </c>
    </row>
    <row r="62" spans="1:16">
      <c r="A62" t="s">
        <v>276</v>
      </c>
      <c r="B62" t="s">
        <v>277</v>
      </c>
      <c r="C62" s="1">
        <v>45121</v>
      </c>
      <c r="D62">
        <v>44</v>
      </c>
      <c r="E62" t="s">
        <v>33</v>
      </c>
      <c r="F62" t="s">
        <v>54</v>
      </c>
      <c r="J62" t="s">
        <v>278</v>
      </c>
      <c r="K62" t="s">
        <v>21</v>
      </c>
      <c r="N62" t="s">
        <v>30</v>
      </c>
      <c r="P62" t="s">
        <v>30</v>
      </c>
    </row>
    <row r="63" spans="1:16">
      <c r="A63" t="s">
        <v>279</v>
      </c>
      <c r="B63" t="s">
        <v>280</v>
      </c>
      <c r="C63" s="1">
        <v>45121</v>
      </c>
      <c r="D63">
        <v>69</v>
      </c>
      <c r="E63" t="s">
        <v>33</v>
      </c>
      <c r="F63" t="s">
        <v>281</v>
      </c>
      <c r="J63" t="s">
        <v>282</v>
      </c>
      <c r="K63" t="s">
        <v>21</v>
      </c>
      <c r="L63" t="s">
        <v>36</v>
      </c>
      <c r="M63" t="s">
        <v>283</v>
      </c>
      <c r="N63" t="s">
        <v>38</v>
      </c>
      <c r="O63" t="s">
        <v>283</v>
      </c>
      <c r="P63" t="s">
        <v>38</v>
      </c>
    </row>
    <row r="64" spans="1:16">
      <c r="A64" t="s">
        <v>284</v>
      </c>
      <c r="B64" t="s">
        <v>285</v>
      </c>
      <c r="C64" s="1">
        <v>45121</v>
      </c>
      <c r="D64">
        <v>29</v>
      </c>
      <c r="E64" t="s">
        <v>33</v>
      </c>
      <c r="F64" t="s">
        <v>286</v>
      </c>
      <c r="J64" t="s">
        <v>287</v>
      </c>
      <c r="K64" t="s">
        <v>21</v>
      </c>
      <c r="M64" t="s">
        <v>288</v>
      </c>
      <c r="N64" t="s">
        <v>30</v>
      </c>
      <c r="O64" t="s">
        <v>89</v>
      </c>
      <c r="P64" t="s">
        <v>44</v>
      </c>
    </row>
    <row r="65" spans="1:16">
      <c r="A65" t="s">
        <v>289</v>
      </c>
      <c r="B65" t="s">
        <v>290</v>
      </c>
      <c r="C65" s="1">
        <v>45122</v>
      </c>
      <c r="D65">
        <v>84</v>
      </c>
      <c r="E65" t="s">
        <v>112</v>
      </c>
      <c r="F65" t="s">
        <v>63</v>
      </c>
      <c r="J65" t="s">
        <v>54</v>
      </c>
      <c r="K65" t="s">
        <v>21</v>
      </c>
      <c r="N65" t="s">
        <v>208</v>
      </c>
      <c r="P65" t="s">
        <v>208</v>
      </c>
    </row>
    <row r="66" spans="1:16">
      <c r="A66" t="s">
        <v>291</v>
      </c>
      <c r="B66" t="s">
        <v>292</v>
      </c>
      <c r="C66" s="1">
        <v>45122</v>
      </c>
      <c r="D66">
        <v>40</v>
      </c>
      <c r="E66" t="s">
        <v>106</v>
      </c>
      <c r="F66" t="s">
        <v>97</v>
      </c>
      <c r="J66" t="s">
        <v>98</v>
      </c>
      <c r="K66" t="s">
        <v>21</v>
      </c>
      <c r="M66" t="s">
        <v>250</v>
      </c>
      <c r="N66" t="s">
        <v>30</v>
      </c>
      <c r="O66" t="s">
        <v>43</v>
      </c>
      <c r="P66" t="s">
        <v>51</v>
      </c>
    </row>
    <row r="67" spans="1:16">
      <c r="A67" t="s">
        <v>293</v>
      </c>
      <c r="B67" t="s">
        <v>294</v>
      </c>
      <c r="C67" s="1">
        <v>45123</v>
      </c>
      <c r="D67">
        <v>44</v>
      </c>
      <c r="E67" t="s">
        <v>106</v>
      </c>
      <c r="F67" t="s">
        <v>54</v>
      </c>
      <c r="K67" t="s">
        <v>21</v>
      </c>
      <c r="M67" t="s">
        <v>295</v>
      </c>
      <c r="N67" t="s">
        <v>30</v>
      </c>
      <c r="O67" t="s">
        <v>295</v>
      </c>
      <c r="P67" t="s">
        <v>30</v>
      </c>
    </row>
    <row r="68" spans="1:16">
      <c r="A68" t="s">
        <v>296</v>
      </c>
      <c r="B68" t="s">
        <v>297</v>
      </c>
      <c r="C68" s="1">
        <v>45123</v>
      </c>
      <c r="D68">
        <v>53</v>
      </c>
      <c r="E68" t="s">
        <v>298</v>
      </c>
      <c r="F68" t="s">
        <v>299</v>
      </c>
      <c r="J68" t="s">
        <v>54</v>
      </c>
      <c r="K68" t="s">
        <v>21</v>
      </c>
      <c r="L68" t="s">
        <v>36</v>
      </c>
      <c r="M68" t="s">
        <v>300</v>
      </c>
      <c r="N68" t="s">
        <v>38</v>
      </c>
      <c r="O68" t="s">
        <v>300</v>
      </c>
      <c r="P68" t="s">
        <v>38</v>
      </c>
    </row>
    <row r="69" spans="1:16">
      <c r="A69" t="s">
        <v>301</v>
      </c>
      <c r="B69" t="s">
        <v>302</v>
      </c>
      <c r="C69" s="1">
        <v>45123</v>
      </c>
      <c r="D69">
        <v>87</v>
      </c>
      <c r="E69" t="s">
        <v>112</v>
      </c>
      <c r="F69" t="s">
        <v>303</v>
      </c>
      <c r="J69" t="s">
        <v>120</v>
      </c>
      <c r="K69" t="s">
        <v>21</v>
      </c>
      <c r="L69" t="s">
        <v>36</v>
      </c>
      <c r="M69" t="s">
        <v>304</v>
      </c>
      <c r="N69" t="s">
        <v>38</v>
      </c>
      <c r="O69" t="s">
        <v>304</v>
      </c>
      <c r="P69" t="s">
        <v>38</v>
      </c>
    </row>
    <row r="70" spans="1:16">
      <c r="A70" t="s">
        <v>305</v>
      </c>
      <c r="B70" t="s">
        <v>306</v>
      </c>
      <c r="C70" s="1">
        <v>45124</v>
      </c>
      <c r="D70">
        <v>74</v>
      </c>
      <c r="E70" t="s">
        <v>33</v>
      </c>
      <c r="F70" t="s">
        <v>80</v>
      </c>
      <c r="G70" t="s">
        <v>28</v>
      </c>
      <c r="J70" t="s">
        <v>307</v>
      </c>
      <c r="K70" t="s">
        <v>21</v>
      </c>
      <c r="L70" t="s">
        <v>36</v>
      </c>
      <c r="M70" t="s">
        <v>308</v>
      </c>
      <c r="N70" t="s">
        <v>38</v>
      </c>
      <c r="O70" t="s">
        <v>308</v>
      </c>
      <c r="P70" t="s">
        <v>38</v>
      </c>
    </row>
    <row r="71" spans="1:16">
      <c r="A71" t="s">
        <v>309</v>
      </c>
      <c r="B71" t="s">
        <v>310</v>
      </c>
      <c r="C71" s="1">
        <v>45124</v>
      </c>
      <c r="D71">
        <v>64</v>
      </c>
      <c r="E71" t="s">
        <v>33</v>
      </c>
      <c r="F71" t="s">
        <v>227</v>
      </c>
      <c r="J71" t="s">
        <v>311</v>
      </c>
      <c r="K71" t="s">
        <v>21</v>
      </c>
      <c r="M71" t="s">
        <v>312</v>
      </c>
      <c r="N71" t="s">
        <v>30</v>
      </c>
      <c r="O71" t="s">
        <v>312</v>
      </c>
      <c r="P71" t="s">
        <v>30</v>
      </c>
    </row>
    <row r="72" spans="1:16">
      <c r="A72" t="s">
        <v>313</v>
      </c>
      <c r="B72" t="s">
        <v>314</v>
      </c>
      <c r="C72" s="1">
        <v>45124</v>
      </c>
      <c r="D72">
        <v>70</v>
      </c>
      <c r="E72" t="s">
        <v>33</v>
      </c>
      <c r="F72" t="s">
        <v>54</v>
      </c>
      <c r="J72" t="s">
        <v>315</v>
      </c>
      <c r="K72" t="s">
        <v>21</v>
      </c>
      <c r="L72" t="s">
        <v>36</v>
      </c>
      <c r="M72" t="s">
        <v>316</v>
      </c>
      <c r="N72" t="s">
        <v>38</v>
      </c>
      <c r="O72" t="s">
        <v>316</v>
      </c>
      <c r="P72" t="s">
        <v>38</v>
      </c>
    </row>
    <row r="73" spans="1:16">
      <c r="A73" t="s">
        <v>317</v>
      </c>
      <c r="B73" t="s">
        <v>318</v>
      </c>
      <c r="C73" s="1">
        <v>45124</v>
      </c>
      <c r="D73">
        <v>61</v>
      </c>
      <c r="E73" t="s">
        <v>33</v>
      </c>
      <c r="F73" t="s">
        <v>97</v>
      </c>
      <c r="J73" t="s">
        <v>98</v>
      </c>
      <c r="K73" t="s">
        <v>21</v>
      </c>
      <c r="M73" t="s">
        <v>319</v>
      </c>
      <c r="N73" t="s">
        <v>30</v>
      </c>
      <c r="O73" t="s">
        <v>43</v>
      </c>
      <c r="P73" t="s">
        <v>44</v>
      </c>
    </row>
    <row r="74" spans="1:16">
      <c r="A74" t="s">
        <v>320</v>
      </c>
      <c r="B74" t="s">
        <v>321</v>
      </c>
      <c r="C74" s="1">
        <v>45124</v>
      </c>
      <c r="D74">
        <v>66</v>
      </c>
      <c r="E74" t="s">
        <v>112</v>
      </c>
      <c r="F74" t="s">
        <v>227</v>
      </c>
      <c r="J74" t="s">
        <v>54</v>
      </c>
      <c r="K74" t="s">
        <v>21</v>
      </c>
      <c r="L74" t="s">
        <v>36</v>
      </c>
      <c r="M74" t="s">
        <v>322</v>
      </c>
      <c r="N74" t="s">
        <v>70</v>
      </c>
      <c r="O74" t="s">
        <v>322</v>
      </c>
      <c r="P74" t="s">
        <v>70</v>
      </c>
    </row>
    <row r="75" spans="1:16">
      <c r="A75" t="s">
        <v>323</v>
      </c>
      <c r="B75" t="s">
        <v>324</v>
      </c>
      <c r="C75" s="1">
        <v>45125</v>
      </c>
      <c r="D75">
        <v>93</v>
      </c>
      <c r="E75" t="s">
        <v>18</v>
      </c>
      <c r="F75" t="s">
        <v>73</v>
      </c>
      <c r="G75" t="s">
        <v>299</v>
      </c>
      <c r="J75" t="s">
        <v>54</v>
      </c>
      <c r="K75" t="s">
        <v>21</v>
      </c>
      <c r="L75" t="s">
        <v>36</v>
      </c>
      <c r="M75" t="s">
        <v>325</v>
      </c>
      <c r="N75" t="s">
        <v>38</v>
      </c>
      <c r="O75" t="s">
        <v>325</v>
      </c>
      <c r="P75" t="s">
        <v>38</v>
      </c>
    </row>
    <row r="76" spans="1:16">
      <c r="A76" t="s">
        <v>326</v>
      </c>
      <c r="B76" t="s">
        <v>327</v>
      </c>
      <c r="C76" s="1">
        <v>45125</v>
      </c>
      <c r="D76">
        <v>83</v>
      </c>
      <c r="E76" t="s">
        <v>33</v>
      </c>
      <c r="F76" t="s">
        <v>281</v>
      </c>
      <c r="J76" t="s">
        <v>54</v>
      </c>
      <c r="K76" t="s">
        <v>21</v>
      </c>
      <c r="L76" t="s">
        <v>36</v>
      </c>
      <c r="M76" t="s">
        <v>328</v>
      </c>
      <c r="N76" t="s">
        <v>38</v>
      </c>
      <c r="O76" t="s">
        <v>328</v>
      </c>
      <c r="P76" t="s">
        <v>38</v>
      </c>
    </row>
    <row r="77" spans="1:16">
      <c r="A77" t="s">
        <v>329</v>
      </c>
      <c r="B77" t="s">
        <v>330</v>
      </c>
      <c r="C77" s="1">
        <v>45125</v>
      </c>
      <c r="D77">
        <v>49</v>
      </c>
      <c r="E77" t="s">
        <v>33</v>
      </c>
      <c r="F77" t="s">
        <v>54</v>
      </c>
      <c r="J77" t="s">
        <v>98</v>
      </c>
      <c r="K77" t="s">
        <v>21</v>
      </c>
      <c r="N77" t="s">
        <v>331</v>
      </c>
      <c r="O77" t="s">
        <v>332</v>
      </c>
      <c r="P77" t="s">
        <v>333</v>
      </c>
    </row>
    <row r="78" spans="1:16">
      <c r="A78" t="s">
        <v>334</v>
      </c>
      <c r="B78" t="s">
        <v>335</v>
      </c>
      <c r="C78" s="1">
        <v>45125</v>
      </c>
      <c r="D78">
        <v>35</v>
      </c>
      <c r="E78" t="s">
        <v>33</v>
      </c>
      <c r="F78" t="s">
        <v>54</v>
      </c>
      <c r="J78" t="s">
        <v>98</v>
      </c>
      <c r="K78" t="s">
        <v>21</v>
      </c>
      <c r="M78" t="s">
        <v>336</v>
      </c>
      <c r="N78" t="s">
        <v>30</v>
      </c>
      <c r="O78" t="s">
        <v>336</v>
      </c>
      <c r="P78" t="s">
        <v>30</v>
      </c>
    </row>
    <row r="79" spans="1:16">
      <c r="A79" t="s">
        <v>337</v>
      </c>
      <c r="B79" t="s">
        <v>338</v>
      </c>
      <c r="C79" s="1">
        <v>45125</v>
      </c>
      <c r="D79">
        <v>56</v>
      </c>
      <c r="E79" t="s">
        <v>33</v>
      </c>
      <c r="F79" t="s">
        <v>339</v>
      </c>
      <c r="J79" t="s">
        <v>54</v>
      </c>
      <c r="K79" t="s">
        <v>21</v>
      </c>
      <c r="M79" t="s">
        <v>340</v>
      </c>
      <c r="N79" t="s">
        <v>30</v>
      </c>
      <c r="O79" t="s">
        <v>340</v>
      </c>
      <c r="P79" t="s">
        <v>30</v>
      </c>
    </row>
    <row r="80" spans="1:16">
      <c r="A80" t="s">
        <v>341</v>
      </c>
      <c r="B80" t="s">
        <v>342</v>
      </c>
      <c r="C80" s="1">
        <v>45125</v>
      </c>
      <c r="D80">
        <v>64</v>
      </c>
      <c r="E80" t="s">
        <v>33</v>
      </c>
      <c r="F80" t="s">
        <v>54</v>
      </c>
      <c r="J80" t="s">
        <v>343</v>
      </c>
      <c r="K80" t="s">
        <v>21</v>
      </c>
      <c r="L80" t="s">
        <v>36</v>
      </c>
      <c r="M80" t="s">
        <v>344</v>
      </c>
      <c r="N80" t="s">
        <v>38</v>
      </c>
      <c r="O80" t="s">
        <v>344</v>
      </c>
      <c r="P80" t="s">
        <v>38</v>
      </c>
    </row>
    <row r="81" spans="1:16">
      <c r="A81" t="s">
        <v>345</v>
      </c>
      <c r="B81" t="s">
        <v>346</v>
      </c>
      <c r="C81" s="1">
        <v>45125</v>
      </c>
      <c r="D81">
        <v>32</v>
      </c>
      <c r="E81" t="s">
        <v>18</v>
      </c>
      <c r="F81" t="s">
        <v>339</v>
      </c>
      <c r="J81" t="s">
        <v>54</v>
      </c>
      <c r="K81" t="s">
        <v>21</v>
      </c>
      <c r="N81" t="s">
        <v>30</v>
      </c>
      <c r="P81" t="s">
        <v>30</v>
      </c>
    </row>
    <row r="82" spans="1:16">
      <c r="A82" t="s">
        <v>347</v>
      </c>
      <c r="B82" t="s">
        <v>348</v>
      </c>
      <c r="C82" s="1">
        <v>45125</v>
      </c>
      <c r="D82">
        <v>46</v>
      </c>
      <c r="E82" t="s">
        <v>33</v>
      </c>
      <c r="F82" t="s">
        <v>349</v>
      </c>
      <c r="J82" t="s">
        <v>159</v>
      </c>
      <c r="K82" t="s">
        <v>21</v>
      </c>
      <c r="L82" t="s">
        <v>36</v>
      </c>
      <c r="M82" t="s">
        <v>350</v>
      </c>
      <c r="N82" t="s">
        <v>38</v>
      </c>
      <c r="O82" t="s">
        <v>350</v>
      </c>
      <c r="P82" t="s">
        <v>38</v>
      </c>
    </row>
    <row r="83" spans="1:16">
      <c r="A83" t="s">
        <v>351</v>
      </c>
      <c r="B83" t="s">
        <v>352</v>
      </c>
      <c r="C83" s="1">
        <v>45125</v>
      </c>
      <c r="D83">
        <v>79</v>
      </c>
      <c r="E83" t="s">
        <v>33</v>
      </c>
      <c r="F83" t="s">
        <v>63</v>
      </c>
      <c r="J83" t="s">
        <v>54</v>
      </c>
      <c r="K83" t="s">
        <v>21</v>
      </c>
      <c r="L83" t="s">
        <v>36</v>
      </c>
      <c r="M83" t="s">
        <v>353</v>
      </c>
      <c r="N83" t="s">
        <v>38</v>
      </c>
      <c r="O83" t="s">
        <v>353</v>
      </c>
      <c r="P83" t="s">
        <v>38</v>
      </c>
    </row>
    <row r="84" spans="1:16">
      <c r="A84" t="s">
        <v>354</v>
      </c>
      <c r="B84" t="s">
        <v>355</v>
      </c>
      <c r="C84" s="1">
        <v>45125</v>
      </c>
      <c r="D84">
        <v>59</v>
      </c>
      <c r="E84" t="s">
        <v>33</v>
      </c>
      <c r="F84" t="s">
        <v>97</v>
      </c>
      <c r="J84" t="s">
        <v>356</v>
      </c>
      <c r="K84" t="s">
        <v>21</v>
      </c>
      <c r="M84" t="s">
        <v>357</v>
      </c>
      <c r="N84" t="s">
        <v>65</v>
      </c>
      <c r="O84" t="s">
        <v>99</v>
      </c>
      <c r="P84" t="s">
        <v>44</v>
      </c>
    </row>
    <row r="85" spans="1:16">
      <c r="A85" t="s">
        <v>358</v>
      </c>
      <c r="B85" t="s">
        <v>359</v>
      </c>
      <c r="C85" s="1">
        <v>45125</v>
      </c>
      <c r="D85">
        <v>38</v>
      </c>
      <c r="E85" t="s">
        <v>33</v>
      </c>
      <c r="F85" t="s">
        <v>97</v>
      </c>
      <c r="J85" t="s">
        <v>360</v>
      </c>
      <c r="K85" t="s">
        <v>21</v>
      </c>
      <c r="N85" t="s">
        <v>30</v>
      </c>
      <c r="O85" t="s">
        <v>99</v>
      </c>
      <c r="P85" t="s">
        <v>51</v>
      </c>
    </row>
    <row r="86" spans="1:16">
      <c r="A86" t="s">
        <v>361</v>
      </c>
      <c r="B86" t="s">
        <v>362</v>
      </c>
      <c r="C86" s="1">
        <v>45125</v>
      </c>
      <c r="D86">
        <v>49</v>
      </c>
      <c r="E86" t="s">
        <v>18</v>
      </c>
      <c r="F86" t="s">
        <v>363</v>
      </c>
      <c r="J86" t="s">
        <v>364</v>
      </c>
      <c r="K86" t="s">
        <v>21</v>
      </c>
      <c r="M86" t="s">
        <v>250</v>
      </c>
      <c r="N86" t="s">
        <v>30</v>
      </c>
      <c r="O86" t="s">
        <v>89</v>
      </c>
      <c r="P86" t="s">
        <v>51</v>
      </c>
    </row>
    <row r="87" spans="1:16">
      <c r="A87" t="s">
        <v>365</v>
      </c>
      <c r="B87" t="s">
        <v>366</v>
      </c>
      <c r="C87" s="1">
        <v>45125</v>
      </c>
      <c r="D87">
        <v>53</v>
      </c>
      <c r="E87" t="s">
        <v>33</v>
      </c>
      <c r="F87" t="s">
        <v>367</v>
      </c>
      <c r="J87" t="s">
        <v>368</v>
      </c>
      <c r="K87" t="s">
        <v>21</v>
      </c>
      <c r="N87" t="s">
        <v>65</v>
      </c>
      <c r="O87" t="s">
        <v>369</v>
      </c>
      <c r="P87" t="s">
        <v>44</v>
      </c>
    </row>
    <row r="88" spans="1:16">
      <c r="A88" t="s">
        <v>370</v>
      </c>
      <c r="B88" t="s">
        <v>371</v>
      </c>
      <c r="C88" s="1">
        <v>45125</v>
      </c>
      <c r="D88">
        <v>47</v>
      </c>
      <c r="E88" t="s">
        <v>18</v>
      </c>
      <c r="F88" t="s">
        <v>54</v>
      </c>
      <c r="J88" t="s">
        <v>339</v>
      </c>
      <c r="K88" t="s">
        <v>21</v>
      </c>
      <c r="M88" t="s">
        <v>372</v>
      </c>
      <c r="N88" t="s">
        <v>30</v>
      </c>
      <c r="O88" t="s">
        <v>99</v>
      </c>
      <c r="P88" t="s">
        <v>44</v>
      </c>
    </row>
    <row r="89" spans="1:16">
      <c r="A89" t="s">
        <v>373</v>
      </c>
      <c r="B89" t="s">
        <v>374</v>
      </c>
      <c r="C89" s="1">
        <v>45125</v>
      </c>
      <c r="D89">
        <v>58</v>
      </c>
      <c r="E89" t="s">
        <v>33</v>
      </c>
      <c r="F89" t="s">
        <v>339</v>
      </c>
      <c r="J89" t="s">
        <v>375</v>
      </c>
      <c r="K89" t="s">
        <v>21</v>
      </c>
      <c r="L89" t="s">
        <v>36</v>
      </c>
      <c r="M89" t="s">
        <v>376</v>
      </c>
      <c r="N89" t="s">
        <v>70</v>
      </c>
      <c r="O89" t="s">
        <v>376</v>
      </c>
      <c r="P89" t="s">
        <v>70</v>
      </c>
    </row>
    <row r="90" spans="1:16">
      <c r="A90" t="s">
        <v>377</v>
      </c>
      <c r="B90" t="s">
        <v>378</v>
      </c>
      <c r="C90" s="1">
        <v>45125</v>
      </c>
      <c r="D90">
        <v>61</v>
      </c>
      <c r="E90" t="s">
        <v>33</v>
      </c>
      <c r="F90" t="s">
        <v>163</v>
      </c>
      <c r="J90" t="s">
        <v>379</v>
      </c>
      <c r="K90" t="s">
        <v>21</v>
      </c>
      <c r="M90" t="s">
        <v>380</v>
      </c>
      <c r="N90" t="s">
        <v>30</v>
      </c>
      <c r="O90" t="s">
        <v>43</v>
      </c>
      <c r="P90" t="s">
        <v>44</v>
      </c>
    </row>
    <row r="91" spans="1:16">
      <c r="A91" t="s">
        <v>381</v>
      </c>
      <c r="B91" t="s">
        <v>382</v>
      </c>
      <c r="C91" s="1">
        <v>45125</v>
      </c>
      <c r="D91">
        <v>55</v>
      </c>
      <c r="E91" t="s">
        <v>33</v>
      </c>
      <c r="F91" t="s">
        <v>97</v>
      </c>
      <c r="J91" t="s">
        <v>98</v>
      </c>
      <c r="K91" t="s">
        <v>21</v>
      </c>
      <c r="M91" t="s">
        <v>380</v>
      </c>
      <c r="N91" t="s">
        <v>30</v>
      </c>
      <c r="O91" t="s">
        <v>43</v>
      </c>
      <c r="P91" t="s">
        <v>44</v>
      </c>
    </row>
    <row r="92" spans="1:16">
      <c r="A92" t="s">
        <v>383</v>
      </c>
      <c r="B92" t="s">
        <v>384</v>
      </c>
      <c r="C92" s="1">
        <v>45125</v>
      </c>
      <c r="D92">
        <v>40</v>
      </c>
      <c r="E92" t="s">
        <v>18</v>
      </c>
      <c r="F92" t="s">
        <v>97</v>
      </c>
      <c r="J92" t="s">
        <v>98</v>
      </c>
      <c r="K92" t="s">
        <v>21</v>
      </c>
      <c r="M92" t="s">
        <v>385</v>
      </c>
      <c r="N92" t="s">
        <v>30</v>
      </c>
      <c r="O92" t="s">
        <v>43</v>
      </c>
      <c r="P92" t="s">
        <v>44</v>
      </c>
    </row>
    <row r="93" spans="1:16">
      <c r="A93" t="s">
        <v>386</v>
      </c>
      <c r="B93" t="s">
        <v>387</v>
      </c>
      <c r="C93" s="1">
        <v>45125</v>
      </c>
      <c r="D93">
        <v>59</v>
      </c>
      <c r="E93" t="s">
        <v>33</v>
      </c>
      <c r="F93" t="s">
        <v>339</v>
      </c>
      <c r="J93" t="s">
        <v>388</v>
      </c>
      <c r="K93" t="s">
        <v>21</v>
      </c>
      <c r="L93" t="s">
        <v>36</v>
      </c>
      <c r="M93" t="s">
        <v>389</v>
      </c>
      <c r="N93" t="s">
        <v>38</v>
      </c>
      <c r="O93" t="s">
        <v>389</v>
      </c>
      <c r="P93" t="s">
        <v>38</v>
      </c>
    </row>
    <row r="94" spans="1:16">
      <c r="A94" t="s">
        <v>390</v>
      </c>
      <c r="B94" t="s">
        <v>391</v>
      </c>
      <c r="C94" s="1">
        <v>45125</v>
      </c>
      <c r="D94">
        <v>51</v>
      </c>
      <c r="E94" t="s">
        <v>33</v>
      </c>
      <c r="F94" t="s">
        <v>54</v>
      </c>
      <c r="J94" t="s">
        <v>392</v>
      </c>
      <c r="K94" t="s">
        <v>21</v>
      </c>
      <c r="M94" t="s">
        <v>393</v>
      </c>
      <c r="N94" t="s">
        <v>30</v>
      </c>
      <c r="O94" t="s">
        <v>393</v>
      </c>
      <c r="P94" t="s">
        <v>30</v>
      </c>
    </row>
    <row r="95" spans="1:16">
      <c r="A95" t="s">
        <v>394</v>
      </c>
      <c r="B95" t="s">
        <v>395</v>
      </c>
      <c r="C95" s="1">
        <v>45125</v>
      </c>
      <c r="D95">
        <v>61</v>
      </c>
      <c r="E95" t="s">
        <v>18</v>
      </c>
      <c r="F95" t="s">
        <v>54</v>
      </c>
      <c r="J95" t="s">
        <v>396</v>
      </c>
      <c r="K95" t="s">
        <v>21</v>
      </c>
      <c r="N95" t="s">
        <v>30</v>
      </c>
      <c r="O95" t="s">
        <v>99</v>
      </c>
      <c r="P95" t="s">
        <v>44</v>
      </c>
    </row>
    <row r="96" spans="1:16">
      <c r="A96" t="s">
        <v>397</v>
      </c>
      <c r="B96" t="s">
        <v>398</v>
      </c>
      <c r="C96" s="1">
        <v>45126</v>
      </c>
      <c r="D96">
        <v>56</v>
      </c>
      <c r="E96" t="s">
        <v>33</v>
      </c>
      <c r="F96" t="s">
        <v>54</v>
      </c>
      <c r="K96" t="s">
        <v>21</v>
      </c>
      <c r="M96" t="s">
        <v>399</v>
      </c>
      <c r="N96" t="s">
        <v>30</v>
      </c>
      <c r="O96" t="s">
        <v>399</v>
      </c>
      <c r="P96" t="s">
        <v>30</v>
      </c>
    </row>
    <row r="97" spans="1:16">
      <c r="A97" t="s">
        <v>400</v>
      </c>
      <c r="B97" t="s">
        <v>401</v>
      </c>
      <c r="C97" s="1">
        <v>45126</v>
      </c>
      <c r="D97">
        <v>63</v>
      </c>
      <c r="E97" t="s">
        <v>18</v>
      </c>
      <c r="F97" t="s">
        <v>299</v>
      </c>
      <c r="J97" t="s">
        <v>54</v>
      </c>
      <c r="K97" t="s">
        <v>21</v>
      </c>
      <c r="L97" t="s">
        <v>36</v>
      </c>
      <c r="M97" t="s">
        <v>402</v>
      </c>
      <c r="N97" t="s">
        <v>38</v>
      </c>
      <c r="O97" t="s">
        <v>402</v>
      </c>
      <c r="P97" t="s">
        <v>38</v>
      </c>
    </row>
    <row r="98" spans="1:16">
      <c r="A98" t="s">
        <v>403</v>
      </c>
      <c r="B98" t="s">
        <v>404</v>
      </c>
      <c r="C98" s="1">
        <v>45126</v>
      </c>
      <c r="D98">
        <v>74</v>
      </c>
      <c r="F98" t="s">
        <v>63</v>
      </c>
      <c r="J98" t="s">
        <v>54</v>
      </c>
      <c r="K98" t="s">
        <v>21</v>
      </c>
      <c r="M98" t="s">
        <v>405</v>
      </c>
      <c r="N98" t="s">
        <v>38</v>
      </c>
      <c r="O98" t="s">
        <v>405</v>
      </c>
      <c r="P98" t="s">
        <v>70</v>
      </c>
    </row>
    <row r="99" spans="1:16">
      <c r="A99" t="s">
        <v>406</v>
      </c>
      <c r="B99" t="s">
        <v>407</v>
      </c>
      <c r="C99" s="1">
        <v>45126</v>
      </c>
      <c r="D99">
        <v>55</v>
      </c>
      <c r="E99" t="s">
        <v>27</v>
      </c>
      <c r="F99" t="s">
        <v>408</v>
      </c>
      <c r="J99" t="s">
        <v>409</v>
      </c>
      <c r="K99" t="s">
        <v>21</v>
      </c>
      <c r="M99" t="s">
        <v>410</v>
      </c>
      <c r="N99" t="s">
        <v>271</v>
      </c>
      <c r="O99" t="s">
        <v>410</v>
      </c>
      <c r="P99" t="s">
        <v>271</v>
      </c>
    </row>
    <row r="100" spans="1:16">
      <c r="A100" t="s">
        <v>411</v>
      </c>
      <c r="B100" t="s">
        <v>412</v>
      </c>
      <c r="C100" s="1">
        <v>45126</v>
      </c>
      <c r="D100">
        <v>46</v>
      </c>
      <c r="E100" t="s">
        <v>27</v>
      </c>
      <c r="F100" t="s">
        <v>97</v>
      </c>
      <c r="J100" t="s">
        <v>98</v>
      </c>
      <c r="K100" t="s">
        <v>21</v>
      </c>
      <c r="M100" t="s">
        <v>413</v>
      </c>
      <c r="N100" t="s">
        <v>30</v>
      </c>
      <c r="O100" t="s">
        <v>43</v>
      </c>
      <c r="P100" t="s">
        <v>44</v>
      </c>
    </row>
    <row r="101" spans="1:16">
      <c r="A101" t="s">
        <v>414</v>
      </c>
      <c r="B101" t="s">
        <v>415</v>
      </c>
      <c r="C101" s="1">
        <v>45126</v>
      </c>
      <c r="D101">
        <v>65</v>
      </c>
      <c r="E101" t="s">
        <v>18</v>
      </c>
      <c r="F101" t="s">
        <v>339</v>
      </c>
      <c r="J101" t="s">
        <v>416</v>
      </c>
      <c r="K101" t="s">
        <v>21</v>
      </c>
      <c r="L101" t="s">
        <v>36</v>
      </c>
      <c r="M101" t="s">
        <v>417</v>
      </c>
      <c r="N101" t="s">
        <v>38</v>
      </c>
      <c r="O101" t="s">
        <v>417</v>
      </c>
      <c r="P101" t="s">
        <v>38</v>
      </c>
    </row>
    <row r="102" spans="1:16">
      <c r="A102" t="s">
        <v>418</v>
      </c>
      <c r="B102" t="s">
        <v>419</v>
      </c>
      <c r="C102" s="1">
        <v>45126</v>
      </c>
      <c r="D102">
        <v>40</v>
      </c>
      <c r="E102" t="s">
        <v>18</v>
      </c>
      <c r="F102" t="s">
        <v>54</v>
      </c>
      <c r="J102" t="s">
        <v>98</v>
      </c>
      <c r="K102" t="s">
        <v>21</v>
      </c>
      <c r="M102" t="s">
        <v>420</v>
      </c>
      <c r="N102" t="s">
        <v>30</v>
      </c>
      <c r="O102" t="s">
        <v>420</v>
      </c>
      <c r="P102" t="s">
        <v>30</v>
      </c>
    </row>
    <row r="103" spans="1:16">
      <c r="A103" t="s">
        <v>421</v>
      </c>
      <c r="B103" t="s">
        <v>422</v>
      </c>
      <c r="C103" s="1">
        <v>45126</v>
      </c>
      <c r="D103">
        <v>36</v>
      </c>
      <c r="E103" t="s">
        <v>33</v>
      </c>
      <c r="F103" t="s">
        <v>54</v>
      </c>
      <c r="J103" t="s">
        <v>199</v>
      </c>
      <c r="K103" t="s">
        <v>21</v>
      </c>
      <c r="M103" t="s">
        <v>423</v>
      </c>
      <c r="N103" t="s">
        <v>30</v>
      </c>
      <c r="O103" t="s">
        <v>423</v>
      </c>
      <c r="P103" t="s">
        <v>30</v>
      </c>
    </row>
    <row r="104" spans="1:16">
      <c r="A104" t="s">
        <v>424</v>
      </c>
      <c r="B104" t="s">
        <v>425</v>
      </c>
      <c r="C104" s="1">
        <v>45126</v>
      </c>
      <c r="D104">
        <v>77</v>
      </c>
      <c r="E104" t="s">
        <v>33</v>
      </c>
      <c r="F104" t="s">
        <v>28</v>
      </c>
      <c r="J104" t="s">
        <v>54</v>
      </c>
      <c r="K104" t="s">
        <v>21</v>
      </c>
      <c r="L104" t="s">
        <v>36</v>
      </c>
      <c r="M104" t="s">
        <v>426</v>
      </c>
      <c r="N104" t="s">
        <v>38</v>
      </c>
      <c r="O104" t="s">
        <v>426</v>
      </c>
      <c r="P104" t="s">
        <v>38</v>
      </c>
    </row>
    <row r="105" spans="1:16">
      <c r="A105" t="s">
        <v>427</v>
      </c>
      <c r="B105" t="s">
        <v>428</v>
      </c>
      <c r="C105" s="1">
        <v>45126</v>
      </c>
      <c r="D105">
        <v>58</v>
      </c>
      <c r="E105" t="s">
        <v>33</v>
      </c>
      <c r="F105" t="s">
        <v>54</v>
      </c>
      <c r="J105" t="s">
        <v>379</v>
      </c>
      <c r="K105" t="s">
        <v>21</v>
      </c>
      <c r="M105" t="s">
        <v>429</v>
      </c>
      <c r="N105" t="s">
        <v>30</v>
      </c>
      <c r="O105" t="s">
        <v>429</v>
      </c>
      <c r="P105" t="s">
        <v>30</v>
      </c>
    </row>
    <row r="106" spans="1:16">
      <c r="A106" t="s">
        <v>430</v>
      </c>
      <c r="B106" t="s">
        <v>431</v>
      </c>
      <c r="C106" s="1">
        <v>45126</v>
      </c>
      <c r="D106">
        <v>59</v>
      </c>
      <c r="E106" t="s">
        <v>18</v>
      </c>
      <c r="F106" t="s">
        <v>172</v>
      </c>
      <c r="J106" t="s">
        <v>54</v>
      </c>
      <c r="K106" t="s">
        <v>21</v>
      </c>
      <c r="N106" t="s">
        <v>30</v>
      </c>
      <c r="P106" t="s">
        <v>30</v>
      </c>
    </row>
    <row r="107" spans="1:16">
      <c r="A107" t="s">
        <v>432</v>
      </c>
      <c r="B107" t="s">
        <v>433</v>
      </c>
      <c r="C107" s="1">
        <v>45126</v>
      </c>
      <c r="D107">
        <v>47</v>
      </c>
      <c r="E107" t="s">
        <v>18</v>
      </c>
      <c r="F107" t="s">
        <v>163</v>
      </c>
      <c r="J107" t="s">
        <v>434</v>
      </c>
      <c r="K107" t="s">
        <v>21</v>
      </c>
      <c r="M107" t="s">
        <v>435</v>
      </c>
      <c r="N107" t="s">
        <v>30</v>
      </c>
      <c r="O107" t="s">
        <v>435</v>
      </c>
      <c r="P107" t="s">
        <v>44</v>
      </c>
    </row>
    <row r="108" spans="1:16">
      <c r="A108" t="s">
        <v>436</v>
      </c>
      <c r="B108" t="s">
        <v>437</v>
      </c>
      <c r="C108" s="1">
        <v>45126</v>
      </c>
      <c r="D108">
        <v>75</v>
      </c>
      <c r="E108" t="s">
        <v>33</v>
      </c>
      <c r="F108" t="s">
        <v>227</v>
      </c>
      <c r="J108" t="s">
        <v>54</v>
      </c>
      <c r="K108" t="s">
        <v>21</v>
      </c>
      <c r="L108" t="s">
        <v>36</v>
      </c>
      <c r="M108" t="s">
        <v>438</v>
      </c>
      <c r="N108" t="s">
        <v>38</v>
      </c>
      <c r="O108" t="s">
        <v>438</v>
      </c>
      <c r="P108" t="s">
        <v>38</v>
      </c>
    </row>
    <row r="109" spans="1:16">
      <c r="A109" t="s">
        <v>439</v>
      </c>
      <c r="B109" t="s">
        <v>440</v>
      </c>
      <c r="C109" s="1">
        <v>45126</v>
      </c>
      <c r="D109">
        <v>30</v>
      </c>
      <c r="E109" t="s">
        <v>33</v>
      </c>
      <c r="F109" t="s">
        <v>441</v>
      </c>
      <c r="J109" t="s">
        <v>54</v>
      </c>
      <c r="K109" t="s">
        <v>21</v>
      </c>
      <c r="M109" t="s">
        <v>442</v>
      </c>
      <c r="N109" t="s">
        <v>30</v>
      </c>
      <c r="O109" t="s">
        <v>442</v>
      </c>
      <c r="P109" t="s">
        <v>30</v>
      </c>
    </row>
    <row r="110" spans="1:16">
      <c r="A110" t="s">
        <v>443</v>
      </c>
      <c r="B110" t="s">
        <v>444</v>
      </c>
      <c r="C110" s="1">
        <v>45127</v>
      </c>
      <c r="D110">
        <v>53</v>
      </c>
      <c r="E110" t="s">
        <v>18</v>
      </c>
      <c r="F110" t="s">
        <v>339</v>
      </c>
      <c r="J110" t="s">
        <v>54</v>
      </c>
      <c r="K110" t="s">
        <v>21</v>
      </c>
      <c r="M110" t="s">
        <v>445</v>
      </c>
      <c r="N110" t="s">
        <v>30</v>
      </c>
      <c r="O110" t="s">
        <v>445</v>
      </c>
      <c r="P110" t="s">
        <v>30</v>
      </c>
    </row>
    <row r="111" spans="1:16">
      <c r="A111" t="s">
        <v>446</v>
      </c>
      <c r="B111" t="s">
        <v>447</v>
      </c>
      <c r="C111" s="1">
        <v>45127</v>
      </c>
      <c r="D111">
        <v>79</v>
      </c>
      <c r="E111" t="s">
        <v>33</v>
      </c>
      <c r="F111" t="s">
        <v>28</v>
      </c>
      <c r="J111" t="s">
        <v>448</v>
      </c>
      <c r="K111" t="s">
        <v>21</v>
      </c>
      <c r="M111" t="s">
        <v>449</v>
      </c>
      <c r="N111" t="s">
        <v>65</v>
      </c>
      <c r="O111" t="s">
        <v>449</v>
      </c>
      <c r="P111" t="s">
        <v>65</v>
      </c>
    </row>
    <row r="112" spans="1:16">
      <c r="A112" t="s">
        <v>450</v>
      </c>
      <c r="B112" t="s">
        <v>451</v>
      </c>
      <c r="C112" s="1">
        <v>45127</v>
      </c>
      <c r="D112">
        <v>72</v>
      </c>
      <c r="E112" t="s">
        <v>112</v>
      </c>
      <c r="F112" t="s">
        <v>452</v>
      </c>
      <c r="G112" t="s">
        <v>453</v>
      </c>
      <c r="J112" t="s">
        <v>54</v>
      </c>
      <c r="K112" t="s">
        <v>21</v>
      </c>
      <c r="L112" t="s">
        <v>36</v>
      </c>
      <c r="M112" t="s">
        <v>454</v>
      </c>
      <c r="N112" t="s">
        <v>38</v>
      </c>
      <c r="O112" t="s">
        <v>454</v>
      </c>
      <c r="P112" t="s">
        <v>38</v>
      </c>
    </row>
    <row r="113" spans="1:16">
      <c r="A113" t="s">
        <v>455</v>
      </c>
      <c r="B113" t="s">
        <v>456</v>
      </c>
      <c r="C113" s="1">
        <v>45127</v>
      </c>
      <c r="D113">
        <v>58</v>
      </c>
      <c r="E113" t="s">
        <v>33</v>
      </c>
      <c r="F113" t="s">
        <v>68</v>
      </c>
      <c r="J113" t="s">
        <v>54</v>
      </c>
      <c r="K113" t="s">
        <v>21</v>
      </c>
      <c r="M113" t="s">
        <v>457</v>
      </c>
      <c r="N113" t="s">
        <v>458</v>
      </c>
      <c r="O113" t="s">
        <v>457</v>
      </c>
      <c r="P113" t="s">
        <v>458</v>
      </c>
    </row>
    <row r="114" spans="1:16">
      <c r="A114" t="s">
        <v>459</v>
      </c>
      <c r="B114" t="s">
        <v>460</v>
      </c>
      <c r="C114" s="1">
        <v>45127</v>
      </c>
      <c r="D114">
        <v>68</v>
      </c>
      <c r="E114" t="s">
        <v>33</v>
      </c>
      <c r="F114" t="s">
        <v>461</v>
      </c>
      <c r="G114" t="s">
        <v>54</v>
      </c>
      <c r="K114" t="s">
        <v>21</v>
      </c>
      <c r="L114" t="s">
        <v>36</v>
      </c>
      <c r="M114" t="s">
        <v>462</v>
      </c>
      <c r="N114" t="s">
        <v>30</v>
      </c>
      <c r="O114" t="s">
        <v>462</v>
      </c>
      <c r="P114" t="s">
        <v>30</v>
      </c>
    </row>
    <row r="115" spans="1:16">
      <c r="A115" t="s">
        <v>463</v>
      </c>
      <c r="B115" t="s">
        <v>464</v>
      </c>
      <c r="C115" s="1">
        <v>45127</v>
      </c>
      <c r="D115">
        <v>51</v>
      </c>
      <c r="E115" t="s">
        <v>33</v>
      </c>
      <c r="F115" t="s">
        <v>172</v>
      </c>
      <c r="J115" t="s">
        <v>54</v>
      </c>
      <c r="K115" t="s">
        <v>21</v>
      </c>
      <c r="M115" t="s">
        <v>465</v>
      </c>
      <c r="N115" t="s">
        <v>65</v>
      </c>
      <c r="O115" t="s">
        <v>465</v>
      </c>
      <c r="P115" t="s">
        <v>65</v>
      </c>
    </row>
    <row r="116" spans="1:16">
      <c r="A116" t="s">
        <v>466</v>
      </c>
      <c r="B116" t="s">
        <v>467</v>
      </c>
      <c r="C116" s="1">
        <v>45127</v>
      </c>
      <c r="D116">
        <v>72</v>
      </c>
      <c r="E116" t="s">
        <v>18</v>
      </c>
      <c r="F116" t="s">
        <v>54</v>
      </c>
      <c r="J116" t="s">
        <v>468</v>
      </c>
      <c r="K116" t="s">
        <v>21</v>
      </c>
      <c r="L116" t="s">
        <v>36</v>
      </c>
      <c r="M116" t="s">
        <v>469</v>
      </c>
      <c r="N116" t="s">
        <v>38</v>
      </c>
      <c r="O116" t="s">
        <v>469</v>
      </c>
      <c r="P116" t="s">
        <v>38</v>
      </c>
    </row>
    <row r="117" spans="1:16">
      <c r="A117" t="s">
        <v>470</v>
      </c>
      <c r="B117" t="s">
        <v>471</v>
      </c>
      <c r="C117" s="1">
        <v>45127</v>
      </c>
      <c r="D117">
        <v>53</v>
      </c>
      <c r="E117" t="s">
        <v>33</v>
      </c>
      <c r="F117" t="s">
        <v>97</v>
      </c>
      <c r="J117" t="s">
        <v>472</v>
      </c>
      <c r="K117" t="s">
        <v>21</v>
      </c>
      <c r="N117" t="s">
        <v>30</v>
      </c>
      <c r="O117" t="s">
        <v>127</v>
      </c>
      <c r="P117" t="s">
        <v>51</v>
      </c>
    </row>
    <row r="118" spans="1:16">
      <c r="A118" t="s">
        <v>473</v>
      </c>
      <c r="B118" t="s">
        <v>474</v>
      </c>
      <c r="C118" s="1">
        <v>45127</v>
      </c>
      <c r="D118">
        <v>81</v>
      </c>
      <c r="E118" t="s">
        <v>33</v>
      </c>
      <c r="F118" t="s">
        <v>73</v>
      </c>
      <c r="G118" t="s">
        <v>80</v>
      </c>
      <c r="J118" t="s">
        <v>54</v>
      </c>
      <c r="K118" t="s">
        <v>21</v>
      </c>
      <c r="L118" t="s">
        <v>36</v>
      </c>
      <c r="M118" t="s">
        <v>475</v>
      </c>
      <c r="N118" t="s">
        <v>38</v>
      </c>
      <c r="O118" t="s">
        <v>475</v>
      </c>
      <c r="P118" t="s">
        <v>38</v>
      </c>
    </row>
    <row r="119" spans="1:16">
      <c r="A119" t="s">
        <v>476</v>
      </c>
      <c r="B119" t="s">
        <v>477</v>
      </c>
      <c r="C119" s="1">
        <v>45127</v>
      </c>
      <c r="D119">
        <v>36</v>
      </c>
      <c r="E119" t="s">
        <v>33</v>
      </c>
      <c r="F119" t="s">
        <v>97</v>
      </c>
      <c r="J119" t="s">
        <v>177</v>
      </c>
      <c r="K119" t="s">
        <v>21</v>
      </c>
      <c r="N119" t="s">
        <v>208</v>
      </c>
      <c r="O119" t="s">
        <v>478</v>
      </c>
      <c r="P119" t="s">
        <v>109</v>
      </c>
    </row>
    <row r="120" spans="1:16">
      <c r="A120" t="s">
        <v>479</v>
      </c>
      <c r="B120" t="s">
        <v>480</v>
      </c>
      <c r="C120" s="1">
        <v>45127</v>
      </c>
      <c r="D120">
        <v>80</v>
      </c>
      <c r="E120" t="s">
        <v>18</v>
      </c>
      <c r="F120" t="s">
        <v>28</v>
      </c>
      <c r="J120" t="s">
        <v>54</v>
      </c>
      <c r="K120" t="s">
        <v>21</v>
      </c>
      <c r="L120" t="s">
        <v>36</v>
      </c>
      <c r="M120" t="s">
        <v>481</v>
      </c>
      <c r="N120" t="s">
        <v>38</v>
      </c>
      <c r="O120" t="s">
        <v>481</v>
      </c>
      <c r="P120" t="s">
        <v>38</v>
      </c>
    </row>
    <row r="121" spans="1:16">
      <c r="A121" t="s">
        <v>482</v>
      </c>
      <c r="B121" t="s">
        <v>483</v>
      </c>
      <c r="C121" s="1">
        <v>45129</v>
      </c>
      <c r="D121">
        <v>51</v>
      </c>
      <c r="E121" t="s">
        <v>33</v>
      </c>
      <c r="F121" t="s">
        <v>41</v>
      </c>
      <c r="J121" t="s">
        <v>54</v>
      </c>
      <c r="K121" t="s">
        <v>21</v>
      </c>
      <c r="L121" t="s">
        <v>36</v>
      </c>
      <c r="M121" t="s">
        <v>250</v>
      </c>
      <c r="N121" t="s">
        <v>30</v>
      </c>
    </row>
    <row r="122" spans="1:16">
      <c r="A122" t="s">
        <v>484</v>
      </c>
      <c r="B122" t="s">
        <v>485</v>
      </c>
      <c r="C122" s="1">
        <v>45127</v>
      </c>
      <c r="D122">
        <v>33</v>
      </c>
      <c r="E122" t="s">
        <v>33</v>
      </c>
      <c r="F122" t="s">
        <v>339</v>
      </c>
      <c r="J122" t="s">
        <v>54</v>
      </c>
      <c r="K122" t="s">
        <v>21</v>
      </c>
      <c r="M122" t="s">
        <v>486</v>
      </c>
      <c r="N122" t="s">
        <v>30</v>
      </c>
      <c r="O122" t="s">
        <v>486</v>
      </c>
      <c r="P122" t="s">
        <v>30</v>
      </c>
    </row>
    <row r="123" spans="1:16">
      <c r="A123" t="s">
        <v>487</v>
      </c>
      <c r="B123" t="s">
        <v>488</v>
      </c>
      <c r="C123" s="1">
        <v>45127</v>
      </c>
      <c r="D123">
        <v>57</v>
      </c>
      <c r="E123" t="s">
        <v>33</v>
      </c>
      <c r="F123" t="s">
        <v>54</v>
      </c>
      <c r="K123" t="s">
        <v>21</v>
      </c>
      <c r="M123" t="s">
        <v>489</v>
      </c>
      <c r="N123" t="s">
        <v>30</v>
      </c>
      <c r="O123" t="s">
        <v>489</v>
      </c>
      <c r="P123" t="s">
        <v>30</v>
      </c>
    </row>
    <row r="124" spans="1:16">
      <c r="A124" t="s">
        <v>490</v>
      </c>
      <c r="B124" t="s">
        <v>491</v>
      </c>
      <c r="C124" s="1">
        <v>45127</v>
      </c>
      <c r="D124">
        <v>66</v>
      </c>
      <c r="E124" t="s">
        <v>33</v>
      </c>
      <c r="F124" t="s">
        <v>492</v>
      </c>
      <c r="J124" t="s">
        <v>493</v>
      </c>
      <c r="K124" t="s">
        <v>21</v>
      </c>
      <c r="L124" t="s">
        <v>36</v>
      </c>
      <c r="M124" t="s">
        <v>494</v>
      </c>
      <c r="N124" t="s">
        <v>38</v>
      </c>
      <c r="O124" t="s">
        <v>494</v>
      </c>
      <c r="P124" t="s">
        <v>38</v>
      </c>
    </row>
    <row r="125" spans="1:16">
      <c r="A125" t="s">
        <v>495</v>
      </c>
      <c r="B125" t="s">
        <v>496</v>
      </c>
      <c r="C125" s="1">
        <v>45127</v>
      </c>
      <c r="D125">
        <v>56</v>
      </c>
      <c r="E125" t="s">
        <v>18</v>
      </c>
      <c r="F125" t="s">
        <v>54</v>
      </c>
      <c r="K125" t="s">
        <v>21</v>
      </c>
      <c r="N125" t="s">
        <v>30</v>
      </c>
      <c r="P125" t="s">
        <v>30</v>
      </c>
    </row>
    <row r="126" spans="1:16">
      <c r="A126" t="s">
        <v>497</v>
      </c>
      <c r="B126" t="s">
        <v>498</v>
      </c>
      <c r="C126" s="1">
        <v>45127</v>
      </c>
      <c r="D126">
        <v>43</v>
      </c>
      <c r="E126" t="s">
        <v>18</v>
      </c>
      <c r="F126" t="s">
        <v>499</v>
      </c>
      <c r="J126" t="s">
        <v>54</v>
      </c>
      <c r="K126" t="s">
        <v>21</v>
      </c>
      <c r="M126" t="s">
        <v>500</v>
      </c>
      <c r="N126" t="s">
        <v>30</v>
      </c>
      <c r="O126" t="s">
        <v>500</v>
      </c>
      <c r="P126" t="s">
        <v>30</v>
      </c>
    </row>
    <row r="127" spans="1:16">
      <c r="A127" t="s">
        <v>501</v>
      </c>
      <c r="B127" t="s">
        <v>502</v>
      </c>
      <c r="C127" s="1">
        <v>45127</v>
      </c>
      <c r="D127">
        <v>55</v>
      </c>
      <c r="E127" t="s">
        <v>27</v>
      </c>
      <c r="F127" t="s">
        <v>503</v>
      </c>
      <c r="J127" t="s">
        <v>504</v>
      </c>
      <c r="K127" t="s">
        <v>21</v>
      </c>
      <c r="M127" t="s">
        <v>505</v>
      </c>
      <c r="N127" t="s">
        <v>30</v>
      </c>
      <c r="O127" t="s">
        <v>43</v>
      </c>
      <c r="P127" t="s">
        <v>44</v>
      </c>
    </row>
    <row r="128" spans="1:16">
      <c r="A128" t="s">
        <v>506</v>
      </c>
      <c r="B128" t="s">
        <v>507</v>
      </c>
      <c r="C128" s="1">
        <v>45127</v>
      </c>
      <c r="D128">
        <v>58</v>
      </c>
      <c r="E128" t="s">
        <v>18</v>
      </c>
      <c r="F128" t="s">
        <v>54</v>
      </c>
      <c r="J128" t="s">
        <v>379</v>
      </c>
      <c r="K128" t="s">
        <v>21</v>
      </c>
      <c r="M128" t="s">
        <v>508</v>
      </c>
      <c r="N128" t="s">
        <v>30</v>
      </c>
      <c r="O128" t="s">
        <v>508</v>
      </c>
      <c r="P128" t="s">
        <v>30</v>
      </c>
    </row>
    <row r="129" spans="1:16">
      <c r="A129" t="s">
        <v>509</v>
      </c>
      <c r="B129" t="s">
        <v>510</v>
      </c>
      <c r="C129" s="1">
        <v>45127</v>
      </c>
      <c r="D129">
        <v>67</v>
      </c>
      <c r="E129" t="s">
        <v>33</v>
      </c>
      <c r="F129" t="s">
        <v>172</v>
      </c>
      <c r="J129" t="s">
        <v>54</v>
      </c>
      <c r="K129" t="s">
        <v>21</v>
      </c>
      <c r="L129" t="s">
        <v>36</v>
      </c>
      <c r="M129" t="s">
        <v>511</v>
      </c>
      <c r="N129" t="s">
        <v>38</v>
      </c>
      <c r="O129" t="s">
        <v>511</v>
      </c>
      <c r="P129" t="s">
        <v>38</v>
      </c>
    </row>
    <row r="130" spans="1:16">
      <c r="A130" t="s">
        <v>512</v>
      </c>
      <c r="B130" t="s">
        <v>513</v>
      </c>
      <c r="C130" s="1">
        <v>45127</v>
      </c>
      <c r="D130">
        <v>87</v>
      </c>
      <c r="E130" t="s">
        <v>18</v>
      </c>
      <c r="F130" t="s">
        <v>28</v>
      </c>
      <c r="J130" t="s">
        <v>54</v>
      </c>
      <c r="K130" t="s">
        <v>21</v>
      </c>
      <c r="L130" t="s">
        <v>36</v>
      </c>
      <c r="M130" t="s">
        <v>514</v>
      </c>
      <c r="N130" t="s">
        <v>70</v>
      </c>
      <c r="O130" t="s">
        <v>514</v>
      </c>
      <c r="P130" t="s">
        <v>70</v>
      </c>
    </row>
    <row r="131" spans="1:16">
      <c r="A131" t="s">
        <v>515</v>
      </c>
      <c r="B131" t="s">
        <v>516</v>
      </c>
      <c r="C131" s="1">
        <v>45127</v>
      </c>
      <c r="D131">
        <v>83</v>
      </c>
      <c r="E131" t="s">
        <v>18</v>
      </c>
      <c r="F131" t="s">
        <v>28</v>
      </c>
      <c r="J131" t="s">
        <v>54</v>
      </c>
      <c r="K131" t="s">
        <v>21</v>
      </c>
      <c r="L131" t="s">
        <v>36</v>
      </c>
      <c r="M131" t="s">
        <v>517</v>
      </c>
      <c r="N131" t="s">
        <v>38</v>
      </c>
      <c r="O131" t="s">
        <v>517</v>
      </c>
      <c r="P131" t="s">
        <v>38</v>
      </c>
    </row>
    <row r="132" spans="1:16">
      <c r="A132" t="s">
        <v>518</v>
      </c>
      <c r="B132" t="s">
        <v>519</v>
      </c>
      <c r="C132" s="1">
        <v>45127</v>
      </c>
      <c r="D132">
        <v>54</v>
      </c>
      <c r="E132" t="s">
        <v>33</v>
      </c>
      <c r="F132" t="s">
        <v>97</v>
      </c>
      <c r="J132" t="s">
        <v>98</v>
      </c>
      <c r="K132" t="s">
        <v>21</v>
      </c>
      <c r="M132" t="s">
        <v>520</v>
      </c>
      <c r="N132" t="s">
        <v>30</v>
      </c>
      <c r="O132" t="s">
        <v>127</v>
      </c>
      <c r="P132" t="s">
        <v>44</v>
      </c>
    </row>
    <row r="133" spans="1:16">
      <c r="A133" t="s">
        <v>521</v>
      </c>
      <c r="B133" t="s">
        <v>522</v>
      </c>
      <c r="C133" s="1">
        <v>45128</v>
      </c>
      <c r="D133">
        <v>54</v>
      </c>
      <c r="E133" t="s">
        <v>33</v>
      </c>
      <c r="F133" t="s">
        <v>172</v>
      </c>
      <c r="J133" t="s">
        <v>97</v>
      </c>
      <c r="K133" t="s">
        <v>21</v>
      </c>
      <c r="M133" t="s">
        <v>523</v>
      </c>
      <c r="N133" t="s">
        <v>30</v>
      </c>
      <c r="O133" t="s">
        <v>99</v>
      </c>
      <c r="P133" t="s">
        <v>51</v>
      </c>
    </row>
    <row r="134" spans="1:16">
      <c r="A134" t="s">
        <v>524</v>
      </c>
      <c r="B134" t="s">
        <v>525</v>
      </c>
      <c r="C134" s="1">
        <v>45128</v>
      </c>
      <c r="D134">
        <v>56</v>
      </c>
      <c r="E134" t="s">
        <v>33</v>
      </c>
      <c r="F134" t="s">
        <v>54</v>
      </c>
      <c r="K134" t="s">
        <v>21</v>
      </c>
      <c r="M134" t="s">
        <v>526</v>
      </c>
      <c r="N134" t="s">
        <v>30</v>
      </c>
      <c r="O134" t="s">
        <v>526</v>
      </c>
      <c r="P134" t="s">
        <v>30</v>
      </c>
    </row>
    <row r="135" spans="1:16">
      <c r="A135" t="s">
        <v>527</v>
      </c>
      <c r="B135" t="s">
        <v>528</v>
      </c>
      <c r="C135" s="1">
        <v>45128</v>
      </c>
      <c r="D135">
        <v>85</v>
      </c>
      <c r="E135" t="s">
        <v>33</v>
      </c>
      <c r="F135" t="s">
        <v>63</v>
      </c>
      <c r="J135" t="s">
        <v>54</v>
      </c>
      <c r="K135" t="s">
        <v>21</v>
      </c>
      <c r="L135" t="s">
        <v>36</v>
      </c>
      <c r="M135" t="s">
        <v>529</v>
      </c>
      <c r="O135" t="s">
        <v>529</v>
      </c>
      <c r="P135" t="s">
        <v>132</v>
      </c>
    </row>
    <row r="136" spans="1:16">
      <c r="A136" t="s">
        <v>530</v>
      </c>
      <c r="B136" t="s">
        <v>531</v>
      </c>
      <c r="C136" s="1">
        <v>45128</v>
      </c>
      <c r="D136">
        <v>61</v>
      </c>
      <c r="E136" t="s">
        <v>18</v>
      </c>
      <c r="F136" t="s">
        <v>28</v>
      </c>
      <c r="J136" t="s">
        <v>532</v>
      </c>
      <c r="K136" t="s">
        <v>21</v>
      </c>
      <c r="L136" t="s">
        <v>36</v>
      </c>
      <c r="M136" t="s">
        <v>533</v>
      </c>
      <c r="N136" t="s">
        <v>38</v>
      </c>
      <c r="O136" t="s">
        <v>533</v>
      </c>
      <c r="P136" t="s">
        <v>38</v>
      </c>
    </row>
    <row r="137" spans="1:16">
      <c r="A137" t="s">
        <v>534</v>
      </c>
      <c r="B137" t="s">
        <v>535</v>
      </c>
      <c r="C137" s="1">
        <v>45128</v>
      </c>
      <c r="D137">
        <v>63</v>
      </c>
      <c r="E137" t="s">
        <v>33</v>
      </c>
      <c r="F137" t="s">
        <v>54</v>
      </c>
      <c r="J137" t="s">
        <v>536</v>
      </c>
      <c r="K137" t="s">
        <v>21</v>
      </c>
      <c r="N137" t="s">
        <v>30</v>
      </c>
      <c r="P137" t="s">
        <v>30</v>
      </c>
    </row>
    <row r="138" spans="1:16">
      <c r="A138" t="s">
        <v>537</v>
      </c>
      <c r="B138" t="s">
        <v>538</v>
      </c>
      <c r="C138" s="1">
        <v>45128</v>
      </c>
      <c r="D138">
        <v>44</v>
      </c>
      <c r="E138" t="s">
        <v>33</v>
      </c>
      <c r="F138" t="s">
        <v>503</v>
      </c>
      <c r="J138" t="s">
        <v>163</v>
      </c>
      <c r="K138" t="s">
        <v>21</v>
      </c>
      <c r="M138" t="s">
        <v>539</v>
      </c>
      <c r="N138" t="s">
        <v>30</v>
      </c>
      <c r="O138" t="s">
        <v>435</v>
      </c>
      <c r="P138" t="s">
        <v>44</v>
      </c>
    </row>
    <row r="139" spans="1:16">
      <c r="A139" t="s">
        <v>540</v>
      </c>
      <c r="B139" t="s">
        <v>541</v>
      </c>
      <c r="C139" s="1">
        <v>45128</v>
      </c>
      <c r="D139">
        <v>88</v>
      </c>
      <c r="E139" t="s">
        <v>33</v>
      </c>
      <c r="F139" t="s">
        <v>54</v>
      </c>
      <c r="J139" t="s">
        <v>542</v>
      </c>
      <c r="K139" t="s">
        <v>21</v>
      </c>
      <c r="L139" t="s">
        <v>36</v>
      </c>
      <c r="M139" t="s">
        <v>543</v>
      </c>
      <c r="N139" t="s">
        <v>38</v>
      </c>
      <c r="O139" t="s">
        <v>543</v>
      </c>
      <c r="P139" t="s">
        <v>38</v>
      </c>
    </row>
    <row r="140" spans="1:16">
      <c r="A140" t="s">
        <v>544</v>
      </c>
      <c r="B140" t="s">
        <v>545</v>
      </c>
      <c r="C140" s="1">
        <v>45128</v>
      </c>
      <c r="D140">
        <v>43</v>
      </c>
      <c r="E140" t="s">
        <v>27</v>
      </c>
      <c r="F140" t="s">
        <v>54</v>
      </c>
      <c r="J140" t="s">
        <v>492</v>
      </c>
      <c r="K140" t="s">
        <v>21</v>
      </c>
      <c r="L140" t="s">
        <v>36</v>
      </c>
      <c r="M140" t="s">
        <v>546</v>
      </c>
      <c r="N140" t="s">
        <v>38</v>
      </c>
      <c r="O140" t="s">
        <v>546</v>
      </c>
      <c r="P140" t="s">
        <v>38</v>
      </c>
    </row>
    <row r="141" spans="1:16">
      <c r="A141" t="s">
        <v>547</v>
      </c>
      <c r="B141" t="s">
        <v>548</v>
      </c>
      <c r="C141" s="1">
        <v>45128</v>
      </c>
      <c r="D141">
        <v>93</v>
      </c>
      <c r="E141" t="s">
        <v>27</v>
      </c>
      <c r="F141" t="s">
        <v>163</v>
      </c>
      <c r="J141" t="s">
        <v>549</v>
      </c>
      <c r="K141" t="s">
        <v>21</v>
      </c>
      <c r="O141" t="s">
        <v>99</v>
      </c>
      <c r="P141" t="s">
        <v>44</v>
      </c>
    </row>
    <row r="142" spans="1:16">
      <c r="A142" t="s">
        <v>550</v>
      </c>
      <c r="B142" t="s">
        <v>551</v>
      </c>
      <c r="C142" s="1">
        <v>45128</v>
      </c>
      <c r="D142">
        <v>70</v>
      </c>
      <c r="E142" t="s">
        <v>33</v>
      </c>
      <c r="F142" t="s">
        <v>97</v>
      </c>
      <c r="J142" t="s">
        <v>468</v>
      </c>
      <c r="K142" t="s">
        <v>21</v>
      </c>
      <c r="L142" t="s">
        <v>36</v>
      </c>
      <c r="M142" t="s">
        <v>552</v>
      </c>
      <c r="N142" t="s">
        <v>38</v>
      </c>
      <c r="O142" t="s">
        <v>99</v>
      </c>
      <c r="P142" t="s">
        <v>44</v>
      </c>
    </row>
    <row r="143" spans="1:16">
      <c r="A143" t="s">
        <v>553</v>
      </c>
      <c r="B143" t="s">
        <v>554</v>
      </c>
      <c r="C143" s="1">
        <v>45128</v>
      </c>
      <c r="D143">
        <v>71</v>
      </c>
      <c r="E143" t="s">
        <v>18</v>
      </c>
      <c r="F143" t="s">
        <v>54</v>
      </c>
      <c r="K143" t="s">
        <v>21</v>
      </c>
      <c r="M143" t="s">
        <v>555</v>
      </c>
      <c r="N143" t="s">
        <v>65</v>
      </c>
      <c r="O143" t="s">
        <v>555</v>
      </c>
      <c r="P143" t="s">
        <v>65</v>
      </c>
    </row>
    <row r="144" spans="1:16">
      <c r="A144" t="s">
        <v>556</v>
      </c>
      <c r="B144" t="s">
        <v>557</v>
      </c>
      <c r="C144" s="1">
        <v>45128</v>
      </c>
      <c r="D144">
        <v>67</v>
      </c>
      <c r="E144" t="s">
        <v>18</v>
      </c>
      <c r="F144" t="s">
        <v>558</v>
      </c>
      <c r="J144" t="s">
        <v>54</v>
      </c>
      <c r="K144" t="s">
        <v>21</v>
      </c>
      <c r="L144" t="s">
        <v>36</v>
      </c>
      <c r="M144" t="s">
        <v>559</v>
      </c>
      <c r="N144" t="s">
        <v>38</v>
      </c>
      <c r="O144" t="s">
        <v>559</v>
      </c>
      <c r="P144" t="s">
        <v>38</v>
      </c>
    </row>
    <row r="145" spans="1:16">
      <c r="A145" t="s">
        <v>560</v>
      </c>
      <c r="B145" t="s">
        <v>561</v>
      </c>
      <c r="C145" s="1">
        <v>45128</v>
      </c>
      <c r="D145">
        <v>37</v>
      </c>
      <c r="E145" t="s">
        <v>18</v>
      </c>
      <c r="F145" t="s">
        <v>54</v>
      </c>
      <c r="J145" t="s">
        <v>379</v>
      </c>
      <c r="K145" t="s">
        <v>21</v>
      </c>
      <c r="M145" t="s">
        <v>562</v>
      </c>
      <c r="N145" t="s">
        <v>30</v>
      </c>
      <c r="O145" t="s">
        <v>99</v>
      </c>
      <c r="P145" t="s">
        <v>44</v>
      </c>
    </row>
    <row r="146" spans="1:16">
      <c r="A146" t="s">
        <v>563</v>
      </c>
      <c r="B146" t="s">
        <v>564</v>
      </c>
      <c r="C146" s="1">
        <v>45128</v>
      </c>
      <c r="D146">
        <v>66</v>
      </c>
      <c r="E146" t="s">
        <v>18</v>
      </c>
      <c r="F146" t="s">
        <v>163</v>
      </c>
      <c r="K146" t="s">
        <v>21</v>
      </c>
      <c r="N146" t="s">
        <v>30</v>
      </c>
      <c r="O146" t="s">
        <v>43</v>
      </c>
      <c r="P146" t="s">
        <v>44</v>
      </c>
    </row>
    <row r="147" spans="1:16">
      <c r="A147" t="s">
        <v>565</v>
      </c>
      <c r="B147" t="s">
        <v>566</v>
      </c>
      <c r="C147" s="1">
        <v>45129</v>
      </c>
      <c r="D147">
        <v>60</v>
      </c>
      <c r="E147" t="s">
        <v>33</v>
      </c>
      <c r="F147" t="s">
        <v>54</v>
      </c>
      <c r="J147" t="s">
        <v>379</v>
      </c>
      <c r="K147" t="s">
        <v>21</v>
      </c>
      <c r="M147" t="s">
        <v>567</v>
      </c>
      <c r="N147" t="s">
        <v>65</v>
      </c>
      <c r="O147" t="s">
        <v>567</v>
      </c>
      <c r="P147" t="s">
        <v>65</v>
      </c>
    </row>
    <row r="148" spans="1:16">
      <c r="A148" t="s">
        <v>568</v>
      </c>
      <c r="B148" t="s">
        <v>569</v>
      </c>
      <c r="C148" s="1">
        <v>45129</v>
      </c>
      <c r="D148">
        <v>52</v>
      </c>
      <c r="E148" t="s">
        <v>33</v>
      </c>
      <c r="F148" t="s">
        <v>570</v>
      </c>
      <c r="G148" t="s">
        <v>571</v>
      </c>
      <c r="J148" t="s">
        <v>54</v>
      </c>
      <c r="K148" t="s">
        <v>21</v>
      </c>
      <c r="M148" t="s">
        <v>572</v>
      </c>
      <c r="N148" t="s">
        <v>30</v>
      </c>
      <c r="O148" t="s">
        <v>572</v>
      </c>
      <c r="P148" t="s">
        <v>30</v>
      </c>
    </row>
    <row r="149" spans="1:16">
      <c r="A149" t="s">
        <v>573</v>
      </c>
      <c r="B149" t="s">
        <v>574</v>
      </c>
      <c r="C149" s="1">
        <v>45129</v>
      </c>
      <c r="D149">
        <v>59</v>
      </c>
      <c r="E149" t="s">
        <v>33</v>
      </c>
      <c r="F149" t="s">
        <v>54</v>
      </c>
      <c r="K149" t="s">
        <v>21</v>
      </c>
      <c r="L149" t="s">
        <v>36</v>
      </c>
      <c r="M149" t="s">
        <v>575</v>
      </c>
      <c r="N149" t="s">
        <v>38</v>
      </c>
      <c r="O149" t="s">
        <v>575</v>
      </c>
      <c r="P149" t="s">
        <v>38</v>
      </c>
    </row>
    <row r="150" spans="1:16">
      <c r="A150" t="s">
        <v>576</v>
      </c>
      <c r="B150" t="s">
        <v>577</v>
      </c>
      <c r="C150" s="1">
        <v>45129</v>
      </c>
      <c r="D150">
        <v>66</v>
      </c>
      <c r="E150" t="s">
        <v>27</v>
      </c>
      <c r="F150" t="s">
        <v>578</v>
      </c>
      <c r="G150" t="s">
        <v>199</v>
      </c>
      <c r="J150" t="s">
        <v>54</v>
      </c>
      <c r="K150" t="s">
        <v>21</v>
      </c>
      <c r="M150" t="s">
        <v>579</v>
      </c>
      <c r="N150" t="s">
        <v>30</v>
      </c>
      <c r="O150" t="s">
        <v>579</v>
      </c>
      <c r="P150" t="s">
        <v>30</v>
      </c>
    </row>
    <row r="151" spans="1:16">
      <c r="A151" t="s">
        <v>580</v>
      </c>
      <c r="B151" t="s">
        <v>581</v>
      </c>
      <c r="C151" s="1">
        <v>45129</v>
      </c>
      <c r="D151">
        <v>62</v>
      </c>
      <c r="E151" t="s">
        <v>27</v>
      </c>
      <c r="F151" t="s">
        <v>582</v>
      </c>
      <c r="J151" t="s">
        <v>54</v>
      </c>
      <c r="K151" t="s">
        <v>21</v>
      </c>
      <c r="L151" t="s">
        <v>36</v>
      </c>
      <c r="M151" t="s">
        <v>583</v>
      </c>
      <c r="N151" t="s">
        <v>30</v>
      </c>
      <c r="O151" t="s">
        <v>583</v>
      </c>
      <c r="P151" t="s">
        <v>30</v>
      </c>
    </row>
    <row r="152" spans="1:16">
      <c r="A152" t="s">
        <v>584</v>
      </c>
      <c r="B152" t="s">
        <v>585</v>
      </c>
      <c r="C152" s="1">
        <v>45129</v>
      </c>
      <c r="D152">
        <v>49</v>
      </c>
      <c r="E152" t="s">
        <v>18</v>
      </c>
      <c r="F152" t="s">
        <v>172</v>
      </c>
      <c r="J152" t="s">
        <v>97</v>
      </c>
      <c r="K152" t="s">
        <v>21</v>
      </c>
      <c r="M152" t="s">
        <v>586</v>
      </c>
      <c r="N152" t="s">
        <v>132</v>
      </c>
      <c r="O152" t="s">
        <v>99</v>
      </c>
      <c r="P152" t="s">
        <v>44</v>
      </c>
    </row>
    <row r="153" spans="1:16">
      <c r="A153" t="s">
        <v>587</v>
      </c>
      <c r="B153" t="s">
        <v>588</v>
      </c>
      <c r="C153" s="1">
        <v>45129</v>
      </c>
      <c r="D153">
        <v>54</v>
      </c>
      <c r="E153" t="s">
        <v>33</v>
      </c>
      <c r="F153" t="s">
        <v>172</v>
      </c>
      <c r="J153" t="s">
        <v>97</v>
      </c>
      <c r="K153" t="s">
        <v>21</v>
      </c>
      <c r="M153" t="s">
        <v>589</v>
      </c>
      <c r="N153" t="s">
        <v>132</v>
      </c>
      <c r="O153" t="s">
        <v>99</v>
      </c>
      <c r="P153" t="s">
        <v>44</v>
      </c>
    </row>
    <row r="154" spans="1:16">
      <c r="A154" t="s">
        <v>590</v>
      </c>
      <c r="B154" t="s">
        <v>591</v>
      </c>
      <c r="C154" s="1">
        <v>45129</v>
      </c>
      <c r="D154">
        <v>65</v>
      </c>
      <c r="E154" t="s">
        <v>33</v>
      </c>
      <c r="F154" t="s">
        <v>592</v>
      </c>
      <c r="J154" t="s">
        <v>593</v>
      </c>
      <c r="K154" t="s">
        <v>21</v>
      </c>
      <c r="N154" t="s">
        <v>30</v>
      </c>
      <c r="P154" t="s">
        <v>30</v>
      </c>
    </row>
    <row r="155" spans="1:16">
      <c r="A155" t="s">
        <v>594</v>
      </c>
      <c r="B155" t="s">
        <v>595</v>
      </c>
      <c r="C155" s="1">
        <v>45129</v>
      </c>
      <c r="D155">
        <v>51</v>
      </c>
      <c r="E155" t="s">
        <v>33</v>
      </c>
      <c r="F155" t="s">
        <v>227</v>
      </c>
      <c r="J155" t="s">
        <v>596</v>
      </c>
      <c r="K155" t="s">
        <v>21</v>
      </c>
      <c r="L155" t="s">
        <v>36</v>
      </c>
      <c r="M155" t="s">
        <v>597</v>
      </c>
      <c r="N155" t="s">
        <v>38</v>
      </c>
      <c r="O155" t="s">
        <v>597</v>
      </c>
      <c r="P155" t="s">
        <v>38</v>
      </c>
    </row>
    <row r="156" spans="1:16">
      <c r="A156" t="s">
        <v>598</v>
      </c>
      <c r="B156" t="s">
        <v>599</v>
      </c>
      <c r="C156" s="1">
        <v>45129</v>
      </c>
      <c r="D156">
        <v>34</v>
      </c>
      <c r="E156" t="s">
        <v>18</v>
      </c>
      <c r="F156" t="s">
        <v>54</v>
      </c>
      <c r="K156" t="s">
        <v>21</v>
      </c>
      <c r="L156" t="s">
        <v>36</v>
      </c>
      <c r="N156" t="s">
        <v>30</v>
      </c>
      <c r="P156" t="s">
        <v>30</v>
      </c>
    </row>
    <row r="157" spans="1:16">
      <c r="A157" t="s">
        <v>600</v>
      </c>
      <c r="B157" t="s">
        <v>601</v>
      </c>
      <c r="C157" s="1">
        <v>45129</v>
      </c>
      <c r="D157">
        <v>29</v>
      </c>
      <c r="E157" t="s">
        <v>27</v>
      </c>
      <c r="F157" t="s">
        <v>54</v>
      </c>
      <c r="K157" t="s">
        <v>21</v>
      </c>
      <c r="L157" t="s">
        <v>36</v>
      </c>
      <c r="N157" t="s">
        <v>30</v>
      </c>
      <c r="P157" t="s">
        <v>30</v>
      </c>
    </row>
    <row r="158" spans="1:16">
      <c r="A158" t="s">
        <v>602</v>
      </c>
      <c r="B158" t="s">
        <v>603</v>
      </c>
      <c r="C158" s="1">
        <v>45129</v>
      </c>
      <c r="D158">
        <v>43</v>
      </c>
      <c r="E158" t="s">
        <v>27</v>
      </c>
      <c r="F158" t="s">
        <v>499</v>
      </c>
      <c r="J158" t="s">
        <v>54</v>
      </c>
      <c r="K158" t="s">
        <v>21</v>
      </c>
      <c r="N158" t="s">
        <v>30</v>
      </c>
      <c r="O158" t="s">
        <v>89</v>
      </c>
      <c r="P158" t="s">
        <v>44</v>
      </c>
    </row>
    <row r="159" spans="1:16">
      <c r="A159" t="s">
        <v>604</v>
      </c>
      <c r="B159" t="s">
        <v>605</v>
      </c>
      <c r="C159" s="1">
        <v>45129</v>
      </c>
      <c r="D159">
        <v>75</v>
      </c>
      <c r="E159" t="s">
        <v>33</v>
      </c>
      <c r="F159" t="s">
        <v>54</v>
      </c>
      <c r="J159" t="s">
        <v>606</v>
      </c>
      <c r="K159" t="s">
        <v>21</v>
      </c>
      <c r="N159" t="s">
        <v>30</v>
      </c>
      <c r="P159" t="s">
        <v>30</v>
      </c>
    </row>
    <row r="160" spans="1:16">
      <c r="A160" t="s">
        <v>607</v>
      </c>
      <c r="B160" t="s">
        <v>608</v>
      </c>
      <c r="C160" s="1">
        <v>45129</v>
      </c>
      <c r="D160">
        <v>59</v>
      </c>
      <c r="E160" t="s">
        <v>27</v>
      </c>
      <c r="F160" t="s">
        <v>609</v>
      </c>
      <c r="J160" t="s">
        <v>54</v>
      </c>
      <c r="K160" t="s">
        <v>21</v>
      </c>
      <c r="M160" t="s">
        <v>610</v>
      </c>
      <c r="N160" t="s">
        <v>30</v>
      </c>
      <c r="O160" t="s">
        <v>610</v>
      </c>
      <c r="P160" t="s">
        <v>30</v>
      </c>
    </row>
    <row r="161" spans="1:16">
      <c r="A161" t="s">
        <v>611</v>
      </c>
      <c r="B161" t="s">
        <v>612</v>
      </c>
      <c r="C161" s="1">
        <v>45129</v>
      </c>
      <c r="D161">
        <v>73</v>
      </c>
      <c r="E161" t="s">
        <v>613</v>
      </c>
      <c r="F161" t="s">
        <v>614</v>
      </c>
      <c r="G161" t="s">
        <v>615</v>
      </c>
      <c r="K161" t="s">
        <v>21</v>
      </c>
      <c r="L161" t="s">
        <v>36</v>
      </c>
      <c r="M161" t="s">
        <v>616</v>
      </c>
      <c r="N161" t="s">
        <v>38</v>
      </c>
      <c r="O161" t="s">
        <v>616</v>
      </c>
      <c r="P161" t="s">
        <v>38</v>
      </c>
    </row>
    <row r="162" spans="1:16">
      <c r="A162" t="s">
        <v>617</v>
      </c>
      <c r="B162" t="s">
        <v>618</v>
      </c>
      <c r="C162" s="1">
        <v>45130</v>
      </c>
      <c r="D162">
        <v>38</v>
      </c>
      <c r="E162" t="s">
        <v>33</v>
      </c>
      <c r="F162" t="s">
        <v>619</v>
      </c>
      <c r="G162" t="s">
        <v>620</v>
      </c>
      <c r="K162" t="s">
        <v>21</v>
      </c>
      <c r="M162" t="s">
        <v>621</v>
      </c>
      <c r="N162" t="s">
        <v>30</v>
      </c>
      <c r="O162" t="s">
        <v>621</v>
      </c>
      <c r="P162" t="s">
        <v>30</v>
      </c>
    </row>
    <row r="163" spans="1:16">
      <c r="A163" t="s">
        <v>622</v>
      </c>
      <c r="B163" t="s">
        <v>623</v>
      </c>
      <c r="C163" s="1">
        <v>45130</v>
      </c>
      <c r="D163">
        <v>51</v>
      </c>
      <c r="E163" t="s">
        <v>33</v>
      </c>
      <c r="F163" t="s">
        <v>624</v>
      </c>
      <c r="J163" t="s">
        <v>307</v>
      </c>
      <c r="K163" t="s">
        <v>21</v>
      </c>
      <c r="M163" t="s">
        <v>625</v>
      </c>
      <c r="N163" t="s">
        <v>24</v>
      </c>
      <c r="O163" t="s">
        <v>625</v>
      </c>
      <c r="P163" t="s">
        <v>24</v>
      </c>
    </row>
    <row r="164" spans="1:16">
      <c r="A164" t="s">
        <v>626</v>
      </c>
      <c r="B164" t="s">
        <v>627</v>
      </c>
      <c r="C164" s="1">
        <v>45130</v>
      </c>
      <c r="D164">
        <v>36</v>
      </c>
      <c r="E164" t="s">
        <v>18</v>
      </c>
      <c r="F164" t="s">
        <v>172</v>
      </c>
      <c r="J164" t="s">
        <v>54</v>
      </c>
      <c r="K164" t="s">
        <v>21</v>
      </c>
      <c r="N164" t="s">
        <v>70</v>
      </c>
      <c r="P164" t="s">
        <v>70</v>
      </c>
    </row>
    <row r="165" spans="1:16">
      <c r="A165" t="s">
        <v>628</v>
      </c>
      <c r="B165" t="s">
        <v>629</v>
      </c>
      <c r="C165" s="1">
        <v>45130</v>
      </c>
      <c r="D165">
        <v>53</v>
      </c>
      <c r="E165" t="s">
        <v>33</v>
      </c>
      <c r="F165" t="s">
        <v>172</v>
      </c>
      <c r="J165" t="s">
        <v>54</v>
      </c>
      <c r="K165" t="s">
        <v>21</v>
      </c>
      <c r="N165" t="s">
        <v>30</v>
      </c>
      <c r="P165" t="s">
        <v>30</v>
      </c>
    </row>
    <row r="166" spans="1:16">
      <c r="A166" t="s">
        <v>630</v>
      </c>
      <c r="B166" t="s">
        <v>631</v>
      </c>
      <c r="C166" s="1">
        <v>45130</v>
      </c>
      <c r="D166">
        <v>44</v>
      </c>
      <c r="E166" t="s">
        <v>18</v>
      </c>
      <c r="F166" t="s">
        <v>172</v>
      </c>
      <c r="J166" t="s">
        <v>54</v>
      </c>
      <c r="K166" t="s">
        <v>21</v>
      </c>
      <c r="L166" t="s">
        <v>36</v>
      </c>
      <c r="M166" t="s">
        <v>632</v>
      </c>
      <c r="N166" t="s">
        <v>38</v>
      </c>
      <c r="O166" t="s">
        <v>632</v>
      </c>
      <c r="P166" t="s">
        <v>38</v>
      </c>
    </row>
    <row r="167" spans="1:16">
      <c r="A167" t="s">
        <v>633</v>
      </c>
      <c r="B167" t="s">
        <v>634</v>
      </c>
      <c r="C167" s="1">
        <v>45130</v>
      </c>
      <c r="D167">
        <v>80</v>
      </c>
      <c r="E167" t="s">
        <v>33</v>
      </c>
      <c r="F167" t="s">
        <v>54</v>
      </c>
      <c r="J167" t="s">
        <v>635</v>
      </c>
      <c r="K167" t="s">
        <v>21</v>
      </c>
      <c r="N167" t="s">
        <v>30</v>
      </c>
      <c r="P167" t="s">
        <v>30</v>
      </c>
    </row>
    <row r="168" spans="1:16">
      <c r="A168" t="s">
        <v>636</v>
      </c>
      <c r="B168" t="s">
        <v>637</v>
      </c>
      <c r="C168" s="1">
        <v>45130</v>
      </c>
      <c r="D168">
        <v>72</v>
      </c>
      <c r="E168" t="s">
        <v>33</v>
      </c>
      <c r="F168" t="s">
        <v>638</v>
      </c>
      <c r="G168" t="s">
        <v>615</v>
      </c>
      <c r="H168" t="s">
        <v>639</v>
      </c>
      <c r="J168" t="s">
        <v>640</v>
      </c>
      <c r="K168" t="s">
        <v>21</v>
      </c>
      <c r="L168" t="s">
        <v>36</v>
      </c>
      <c r="M168" t="s">
        <v>641</v>
      </c>
      <c r="N168" t="s">
        <v>38</v>
      </c>
      <c r="O168" t="s">
        <v>641</v>
      </c>
      <c r="P168" t="s">
        <v>38</v>
      </c>
    </row>
    <row r="169" spans="1:16">
      <c r="A169" t="s">
        <v>642</v>
      </c>
      <c r="B169" t="s">
        <v>643</v>
      </c>
      <c r="C169" s="1">
        <v>45130</v>
      </c>
      <c r="D169">
        <v>69</v>
      </c>
      <c r="E169" t="s">
        <v>33</v>
      </c>
      <c r="F169" t="s">
        <v>172</v>
      </c>
      <c r="J169" t="s">
        <v>54</v>
      </c>
      <c r="K169" t="s">
        <v>21</v>
      </c>
      <c r="L169" t="s">
        <v>36</v>
      </c>
      <c r="M169" t="s">
        <v>644</v>
      </c>
      <c r="N169" t="s">
        <v>38</v>
      </c>
      <c r="O169" t="s">
        <v>644</v>
      </c>
      <c r="P169" t="s">
        <v>38</v>
      </c>
    </row>
    <row r="170" spans="1:16">
      <c r="A170" t="s">
        <v>645</v>
      </c>
      <c r="B170" t="s">
        <v>646</v>
      </c>
      <c r="C170" s="1">
        <v>45130</v>
      </c>
      <c r="D170">
        <v>55</v>
      </c>
      <c r="E170" t="s">
        <v>106</v>
      </c>
      <c r="F170" t="s">
        <v>97</v>
      </c>
      <c r="J170" t="s">
        <v>98</v>
      </c>
      <c r="K170" t="s">
        <v>21</v>
      </c>
      <c r="M170" t="s">
        <v>647</v>
      </c>
      <c r="N170" t="s">
        <v>30</v>
      </c>
      <c r="O170" t="s">
        <v>43</v>
      </c>
      <c r="P170" t="s">
        <v>44</v>
      </c>
    </row>
    <row r="171" spans="1:16">
      <c r="A171" t="s">
        <v>648</v>
      </c>
      <c r="B171" t="s">
        <v>649</v>
      </c>
      <c r="C171" s="1">
        <v>45130</v>
      </c>
      <c r="D171">
        <v>66</v>
      </c>
      <c r="E171" t="s">
        <v>18</v>
      </c>
      <c r="F171" t="s">
        <v>54</v>
      </c>
      <c r="J171" t="s">
        <v>34</v>
      </c>
      <c r="K171" t="s">
        <v>21</v>
      </c>
      <c r="M171" t="s">
        <v>650</v>
      </c>
      <c r="N171" t="s">
        <v>30</v>
      </c>
      <c r="O171" t="s">
        <v>650</v>
      </c>
      <c r="P171" t="s">
        <v>30</v>
      </c>
    </row>
    <row r="172" spans="1:16">
      <c r="A172" t="s">
        <v>651</v>
      </c>
      <c r="B172" t="s">
        <v>652</v>
      </c>
      <c r="C172" s="1">
        <v>45130</v>
      </c>
      <c r="D172">
        <v>31</v>
      </c>
      <c r="E172" t="s">
        <v>18</v>
      </c>
      <c r="F172" t="s">
        <v>54</v>
      </c>
      <c r="K172" t="s">
        <v>21</v>
      </c>
      <c r="M172" t="s">
        <v>653</v>
      </c>
      <c r="N172" t="s">
        <v>30</v>
      </c>
      <c r="O172" t="s">
        <v>653</v>
      </c>
      <c r="P172" t="s">
        <v>30</v>
      </c>
    </row>
    <row r="173" spans="1:16">
      <c r="A173" t="s">
        <v>654</v>
      </c>
      <c r="B173" t="s">
        <v>655</v>
      </c>
      <c r="C173" s="1">
        <v>45130</v>
      </c>
      <c r="D173">
        <v>64</v>
      </c>
      <c r="E173" t="s">
        <v>112</v>
      </c>
      <c r="F173" t="s">
        <v>54</v>
      </c>
      <c r="J173" t="s">
        <v>656</v>
      </c>
      <c r="K173" t="s">
        <v>21</v>
      </c>
      <c r="M173" t="s">
        <v>657</v>
      </c>
      <c r="N173" t="s">
        <v>30</v>
      </c>
      <c r="O173" t="s">
        <v>657</v>
      </c>
      <c r="P173" t="s">
        <v>30</v>
      </c>
    </row>
    <row r="174" spans="1:16">
      <c r="A174" t="s">
        <v>658</v>
      </c>
      <c r="B174" t="s">
        <v>659</v>
      </c>
      <c r="C174" s="1">
        <v>45131</v>
      </c>
      <c r="D174">
        <v>57</v>
      </c>
      <c r="E174" t="s">
        <v>33</v>
      </c>
      <c r="F174" t="s">
        <v>660</v>
      </c>
      <c r="G174" t="s">
        <v>661</v>
      </c>
      <c r="J174" t="s">
        <v>662</v>
      </c>
      <c r="K174" t="s">
        <v>21</v>
      </c>
      <c r="M174" t="s">
        <v>250</v>
      </c>
      <c r="N174" t="s">
        <v>30</v>
      </c>
      <c r="O174" t="s">
        <v>99</v>
      </c>
      <c r="P174" t="s">
        <v>51</v>
      </c>
    </row>
    <row r="175" spans="1:16">
      <c r="A175" t="s">
        <v>663</v>
      </c>
      <c r="B175" t="s">
        <v>664</v>
      </c>
      <c r="C175" s="1">
        <v>45131</v>
      </c>
      <c r="D175">
        <v>60</v>
      </c>
      <c r="E175" t="s">
        <v>18</v>
      </c>
      <c r="F175" t="s">
        <v>54</v>
      </c>
      <c r="J175" t="s">
        <v>665</v>
      </c>
      <c r="K175" t="s">
        <v>21</v>
      </c>
      <c r="N175" t="s">
        <v>30</v>
      </c>
      <c r="P175" t="s">
        <v>30</v>
      </c>
    </row>
    <row r="176" spans="1:16">
      <c r="A176" t="s">
        <v>666</v>
      </c>
      <c r="B176" t="s">
        <v>667</v>
      </c>
      <c r="C176" s="1">
        <v>45131</v>
      </c>
      <c r="D176">
        <v>49</v>
      </c>
      <c r="E176" t="s">
        <v>18</v>
      </c>
      <c r="F176" t="s">
        <v>54</v>
      </c>
      <c r="J176" t="s">
        <v>668</v>
      </c>
      <c r="K176" t="s">
        <v>21</v>
      </c>
      <c r="L176" t="s">
        <v>36</v>
      </c>
      <c r="M176" t="s">
        <v>669</v>
      </c>
      <c r="N176" t="s">
        <v>38</v>
      </c>
      <c r="O176" t="s">
        <v>669</v>
      </c>
      <c r="P176" t="s">
        <v>38</v>
      </c>
    </row>
    <row r="177" spans="1:16">
      <c r="A177" t="s">
        <v>670</v>
      </c>
      <c r="B177" t="s">
        <v>671</v>
      </c>
      <c r="C177" s="1">
        <v>45131</v>
      </c>
      <c r="D177">
        <v>35</v>
      </c>
      <c r="E177" t="s">
        <v>18</v>
      </c>
      <c r="F177" t="s">
        <v>499</v>
      </c>
      <c r="J177" t="s">
        <v>54</v>
      </c>
      <c r="K177" t="s">
        <v>21</v>
      </c>
      <c r="N177" t="s">
        <v>30</v>
      </c>
      <c r="P177" t="s">
        <v>30</v>
      </c>
    </row>
    <row r="178" spans="1:16">
      <c r="A178" t="s">
        <v>672</v>
      </c>
      <c r="B178" t="s">
        <v>673</v>
      </c>
      <c r="C178" s="1">
        <v>45131</v>
      </c>
      <c r="D178">
        <v>72</v>
      </c>
      <c r="E178" t="s">
        <v>18</v>
      </c>
      <c r="F178" t="s">
        <v>674</v>
      </c>
      <c r="J178" t="s">
        <v>54</v>
      </c>
      <c r="K178" t="s">
        <v>21</v>
      </c>
      <c r="L178" t="s">
        <v>36</v>
      </c>
      <c r="M178" t="s">
        <v>675</v>
      </c>
      <c r="N178" t="s">
        <v>38</v>
      </c>
      <c r="O178" t="s">
        <v>675</v>
      </c>
      <c r="P178" t="s">
        <v>38</v>
      </c>
    </row>
    <row r="179" spans="1:16">
      <c r="A179" t="s">
        <v>676</v>
      </c>
      <c r="B179" t="s">
        <v>677</v>
      </c>
      <c r="C179" s="1">
        <v>45131</v>
      </c>
      <c r="D179">
        <v>62</v>
      </c>
      <c r="E179" t="s">
        <v>18</v>
      </c>
      <c r="F179" t="s">
        <v>54</v>
      </c>
      <c r="J179" t="s">
        <v>34</v>
      </c>
      <c r="K179" t="s">
        <v>21</v>
      </c>
      <c r="N179" t="s">
        <v>30</v>
      </c>
      <c r="O179" t="s">
        <v>678</v>
      </c>
      <c r="P179" t="s">
        <v>30</v>
      </c>
    </row>
    <row r="180" spans="1:16">
      <c r="A180" t="s">
        <v>679</v>
      </c>
      <c r="B180" t="s">
        <v>680</v>
      </c>
      <c r="C180" s="1">
        <v>45131</v>
      </c>
      <c r="D180">
        <v>29</v>
      </c>
      <c r="E180" t="s">
        <v>33</v>
      </c>
      <c r="F180" t="s">
        <v>97</v>
      </c>
      <c r="J180" t="s">
        <v>681</v>
      </c>
      <c r="K180" t="s">
        <v>21</v>
      </c>
      <c r="M180" t="s">
        <v>682</v>
      </c>
      <c r="N180" t="s">
        <v>30</v>
      </c>
      <c r="O180" t="s">
        <v>99</v>
      </c>
      <c r="P180" t="s">
        <v>44</v>
      </c>
    </row>
    <row r="181" spans="1:16">
      <c r="A181" t="s">
        <v>683</v>
      </c>
      <c r="B181" t="s">
        <v>684</v>
      </c>
      <c r="C181" s="1">
        <v>45131</v>
      </c>
      <c r="D181">
        <v>48</v>
      </c>
      <c r="E181" t="s">
        <v>33</v>
      </c>
      <c r="F181" t="s">
        <v>97</v>
      </c>
      <c r="J181" t="s">
        <v>685</v>
      </c>
      <c r="K181" t="s">
        <v>21</v>
      </c>
      <c r="N181" t="s">
        <v>30</v>
      </c>
      <c r="O181" t="s">
        <v>43</v>
      </c>
      <c r="P181" t="s">
        <v>44</v>
      </c>
    </row>
    <row r="182" spans="1:16">
      <c r="A182" t="s">
        <v>686</v>
      </c>
      <c r="B182" t="s">
        <v>687</v>
      </c>
      <c r="C182" s="1">
        <v>45131</v>
      </c>
      <c r="D182">
        <v>41</v>
      </c>
      <c r="E182" t="s">
        <v>33</v>
      </c>
      <c r="F182" t="s">
        <v>54</v>
      </c>
      <c r="J182" t="s">
        <v>98</v>
      </c>
      <c r="K182" t="s">
        <v>21</v>
      </c>
      <c r="M182" t="s">
        <v>688</v>
      </c>
      <c r="N182" t="s">
        <v>30</v>
      </c>
      <c r="O182" t="s">
        <v>688</v>
      </c>
      <c r="P182" t="s">
        <v>30</v>
      </c>
    </row>
    <row r="183" spans="1:16">
      <c r="A183" t="s">
        <v>689</v>
      </c>
      <c r="B183" t="s">
        <v>690</v>
      </c>
      <c r="C183" s="1">
        <v>45131</v>
      </c>
      <c r="D183">
        <v>82</v>
      </c>
      <c r="E183" t="s">
        <v>33</v>
      </c>
      <c r="F183" t="s">
        <v>638</v>
      </c>
      <c r="G183" t="s">
        <v>54</v>
      </c>
      <c r="J183" t="s">
        <v>691</v>
      </c>
      <c r="K183" t="s">
        <v>21</v>
      </c>
      <c r="L183" t="s">
        <v>36</v>
      </c>
      <c r="M183" t="s">
        <v>692</v>
      </c>
      <c r="N183" t="s">
        <v>38</v>
      </c>
      <c r="O183" t="s">
        <v>692</v>
      </c>
      <c r="P183" t="s">
        <v>38</v>
      </c>
    </row>
    <row r="184" spans="1:16">
      <c r="A184" t="s">
        <v>693</v>
      </c>
      <c r="B184" t="s">
        <v>694</v>
      </c>
      <c r="C184" s="1">
        <v>45131</v>
      </c>
      <c r="D184">
        <v>49</v>
      </c>
      <c r="E184" t="s">
        <v>33</v>
      </c>
      <c r="F184" t="s">
        <v>54</v>
      </c>
      <c r="J184" t="s">
        <v>695</v>
      </c>
      <c r="K184" t="s">
        <v>21</v>
      </c>
      <c r="M184" t="s">
        <v>696</v>
      </c>
      <c r="N184" t="s">
        <v>30</v>
      </c>
      <c r="O184" t="s">
        <v>696</v>
      </c>
      <c r="P184" t="s">
        <v>30</v>
      </c>
    </row>
    <row r="185" spans="1:16">
      <c r="A185" t="s">
        <v>697</v>
      </c>
      <c r="B185" t="s">
        <v>698</v>
      </c>
      <c r="C185" s="1">
        <v>45131</v>
      </c>
      <c r="D185">
        <v>78</v>
      </c>
      <c r="E185" t="s">
        <v>27</v>
      </c>
      <c r="F185" t="s">
        <v>28</v>
      </c>
      <c r="J185" t="s">
        <v>699</v>
      </c>
      <c r="K185" t="s">
        <v>21</v>
      </c>
      <c r="L185" t="s">
        <v>36</v>
      </c>
      <c r="M185" t="s">
        <v>700</v>
      </c>
      <c r="N185" t="s">
        <v>38</v>
      </c>
      <c r="O185" t="s">
        <v>700</v>
      </c>
      <c r="P185" t="s">
        <v>38</v>
      </c>
    </row>
    <row r="186" spans="1:16">
      <c r="A186" t="s">
        <v>701</v>
      </c>
      <c r="B186" t="s">
        <v>702</v>
      </c>
      <c r="C186" s="1">
        <v>45131</v>
      </c>
      <c r="D186">
        <v>73</v>
      </c>
      <c r="E186" t="s">
        <v>27</v>
      </c>
      <c r="F186" t="s">
        <v>28</v>
      </c>
      <c r="J186" t="s">
        <v>307</v>
      </c>
      <c r="K186" t="s">
        <v>21</v>
      </c>
      <c r="L186" t="s">
        <v>36</v>
      </c>
      <c r="M186" t="s">
        <v>703</v>
      </c>
      <c r="N186" t="s">
        <v>38</v>
      </c>
      <c r="O186" t="s">
        <v>703</v>
      </c>
      <c r="P186" t="s">
        <v>38</v>
      </c>
    </row>
    <row r="187" spans="1:16">
      <c r="A187" t="s">
        <v>704</v>
      </c>
      <c r="B187" t="s">
        <v>705</v>
      </c>
      <c r="C187" s="1">
        <v>45131</v>
      </c>
      <c r="D187">
        <v>37</v>
      </c>
      <c r="E187" t="s">
        <v>106</v>
      </c>
      <c r="F187" t="s">
        <v>54</v>
      </c>
      <c r="K187" t="s">
        <v>21</v>
      </c>
      <c r="M187" t="s">
        <v>706</v>
      </c>
      <c r="N187" t="s">
        <v>30</v>
      </c>
      <c r="O187" t="s">
        <v>706</v>
      </c>
      <c r="P187" t="s">
        <v>30</v>
      </c>
    </row>
    <row r="188" spans="1:16">
      <c r="A188" t="s">
        <v>707</v>
      </c>
      <c r="B188" t="s">
        <v>708</v>
      </c>
      <c r="C188" s="1">
        <v>45132</v>
      </c>
      <c r="D188">
        <v>33</v>
      </c>
      <c r="E188" t="s">
        <v>27</v>
      </c>
      <c r="F188" t="s">
        <v>339</v>
      </c>
      <c r="J188" t="s">
        <v>54</v>
      </c>
      <c r="K188" t="s">
        <v>21</v>
      </c>
      <c r="M188" t="s">
        <v>709</v>
      </c>
      <c r="N188" t="s">
        <v>30</v>
      </c>
      <c r="O188" t="s">
        <v>709</v>
      </c>
      <c r="P188" t="s">
        <v>30</v>
      </c>
    </row>
    <row r="189" spans="1:16">
      <c r="A189" t="s">
        <v>710</v>
      </c>
      <c r="B189" t="s">
        <v>711</v>
      </c>
      <c r="C189" s="1">
        <v>45132</v>
      </c>
      <c r="D189">
        <v>41</v>
      </c>
      <c r="E189" t="s">
        <v>112</v>
      </c>
      <c r="F189" t="s">
        <v>97</v>
      </c>
      <c r="J189" t="s">
        <v>712</v>
      </c>
      <c r="K189" t="s">
        <v>21</v>
      </c>
      <c r="L189" t="s">
        <v>36</v>
      </c>
      <c r="M189" t="s">
        <v>713</v>
      </c>
      <c r="N189" t="s">
        <v>38</v>
      </c>
      <c r="O189" t="s">
        <v>99</v>
      </c>
      <c r="P189" t="s">
        <v>44</v>
      </c>
    </row>
    <row r="190" spans="1:16">
      <c r="A190" t="s">
        <v>714</v>
      </c>
      <c r="B190" t="s">
        <v>715</v>
      </c>
      <c r="C190" s="1">
        <v>45132</v>
      </c>
      <c r="D190">
        <v>68</v>
      </c>
      <c r="E190" t="s">
        <v>33</v>
      </c>
      <c r="F190" t="s">
        <v>41</v>
      </c>
      <c r="J190" t="s">
        <v>159</v>
      </c>
      <c r="K190" t="s">
        <v>21</v>
      </c>
      <c r="M190" t="s">
        <v>716</v>
      </c>
      <c r="N190" t="s">
        <v>30</v>
      </c>
      <c r="O190" t="s">
        <v>716</v>
      </c>
      <c r="P190" t="s">
        <v>30</v>
      </c>
    </row>
    <row r="191" spans="1:16">
      <c r="A191" t="s">
        <v>717</v>
      </c>
      <c r="B191" t="s">
        <v>718</v>
      </c>
      <c r="C191" s="1">
        <v>45132</v>
      </c>
      <c r="D191">
        <v>52</v>
      </c>
      <c r="E191" t="s">
        <v>18</v>
      </c>
      <c r="F191" t="s">
        <v>54</v>
      </c>
      <c r="J191" t="s">
        <v>719</v>
      </c>
      <c r="K191" t="s">
        <v>21</v>
      </c>
      <c r="N191" t="s">
        <v>30</v>
      </c>
      <c r="P191" t="s">
        <v>30</v>
      </c>
    </row>
    <row r="192" spans="1:16">
      <c r="A192" t="s">
        <v>720</v>
      </c>
      <c r="B192" t="s">
        <v>721</v>
      </c>
      <c r="C192" s="1">
        <v>45132</v>
      </c>
      <c r="D192">
        <v>52</v>
      </c>
      <c r="E192" t="s">
        <v>33</v>
      </c>
      <c r="F192" t="s">
        <v>503</v>
      </c>
      <c r="J192" t="s">
        <v>54</v>
      </c>
      <c r="K192" t="s">
        <v>21</v>
      </c>
      <c r="L192" t="s">
        <v>36</v>
      </c>
      <c r="N192" t="s">
        <v>30</v>
      </c>
      <c r="P192" t="s">
        <v>30</v>
      </c>
    </row>
    <row r="193" spans="1:16">
      <c r="A193" t="s">
        <v>722</v>
      </c>
      <c r="B193" t="s">
        <v>723</v>
      </c>
      <c r="C193" s="1">
        <v>45132</v>
      </c>
      <c r="D193">
        <v>42</v>
      </c>
      <c r="E193" t="s">
        <v>33</v>
      </c>
      <c r="F193" t="s">
        <v>41</v>
      </c>
      <c r="J193" t="s">
        <v>724</v>
      </c>
      <c r="K193" t="s">
        <v>21</v>
      </c>
      <c r="M193" t="s">
        <v>725</v>
      </c>
      <c r="N193" t="s">
        <v>726</v>
      </c>
      <c r="O193" t="s">
        <v>725</v>
      </c>
      <c r="P193" t="s">
        <v>726</v>
      </c>
    </row>
    <row r="194" spans="1:16">
      <c r="A194" t="s">
        <v>727</v>
      </c>
      <c r="B194" t="s">
        <v>728</v>
      </c>
      <c r="C194" s="1">
        <v>45133</v>
      </c>
      <c r="D194">
        <v>34</v>
      </c>
      <c r="E194" t="s">
        <v>27</v>
      </c>
      <c r="F194" t="s">
        <v>54</v>
      </c>
      <c r="J194" t="s">
        <v>379</v>
      </c>
      <c r="K194" t="s">
        <v>21</v>
      </c>
      <c r="M194" t="s">
        <v>729</v>
      </c>
      <c r="N194" t="s">
        <v>30</v>
      </c>
      <c r="O194" t="s">
        <v>729</v>
      </c>
      <c r="P194" t="s">
        <v>30</v>
      </c>
    </row>
    <row r="195" spans="1:16">
      <c r="A195" t="s">
        <v>730</v>
      </c>
      <c r="B195" t="s">
        <v>731</v>
      </c>
      <c r="C195" s="1">
        <v>45133</v>
      </c>
      <c r="D195">
        <v>45</v>
      </c>
      <c r="E195" t="s">
        <v>33</v>
      </c>
      <c r="F195" t="s">
        <v>503</v>
      </c>
      <c r="J195" t="s">
        <v>54</v>
      </c>
      <c r="K195" t="s">
        <v>21</v>
      </c>
      <c r="M195" t="s">
        <v>732</v>
      </c>
      <c r="N195" t="s">
        <v>30</v>
      </c>
      <c r="O195" t="s">
        <v>732</v>
      </c>
      <c r="P195" t="s">
        <v>30</v>
      </c>
    </row>
    <row r="196" spans="1:16">
      <c r="A196" t="s">
        <v>733</v>
      </c>
      <c r="B196" t="s">
        <v>734</v>
      </c>
      <c r="C196" s="1">
        <v>45133</v>
      </c>
      <c r="D196">
        <v>66</v>
      </c>
      <c r="E196" t="s">
        <v>33</v>
      </c>
      <c r="F196" t="s">
        <v>503</v>
      </c>
      <c r="J196" t="s">
        <v>54</v>
      </c>
      <c r="K196" t="s">
        <v>21</v>
      </c>
      <c r="M196" t="s">
        <v>735</v>
      </c>
      <c r="N196" t="s">
        <v>30</v>
      </c>
      <c r="O196" t="s">
        <v>735</v>
      </c>
      <c r="P196" t="s">
        <v>30</v>
      </c>
    </row>
    <row r="197" spans="1:16">
      <c r="A197" t="s">
        <v>736</v>
      </c>
      <c r="B197" t="s">
        <v>737</v>
      </c>
      <c r="C197" s="1">
        <v>45133</v>
      </c>
      <c r="D197">
        <v>38</v>
      </c>
      <c r="E197" t="s">
        <v>27</v>
      </c>
      <c r="F197" t="s">
        <v>738</v>
      </c>
      <c r="J197" t="s">
        <v>54</v>
      </c>
      <c r="K197" t="s">
        <v>21</v>
      </c>
      <c r="N197" t="s">
        <v>30</v>
      </c>
      <c r="P197" t="s">
        <v>30</v>
      </c>
    </row>
    <row r="198" spans="1:16">
      <c r="A198" t="s">
        <v>739</v>
      </c>
      <c r="B198" t="s">
        <v>740</v>
      </c>
      <c r="C198" s="1">
        <v>45133</v>
      </c>
      <c r="D198">
        <v>83</v>
      </c>
      <c r="E198" t="s">
        <v>18</v>
      </c>
      <c r="F198" t="s">
        <v>227</v>
      </c>
      <c r="J198" t="s">
        <v>54</v>
      </c>
      <c r="K198" t="s">
        <v>21</v>
      </c>
      <c r="L198" t="s">
        <v>36</v>
      </c>
      <c r="M198" t="s">
        <v>741</v>
      </c>
      <c r="N198" t="s">
        <v>38</v>
      </c>
      <c r="O198" t="s">
        <v>741</v>
      </c>
      <c r="P198" t="s">
        <v>38</v>
      </c>
    </row>
    <row r="199" spans="1:16">
      <c r="A199" t="s">
        <v>742</v>
      </c>
      <c r="B199" t="s">
        <v>743</v>
      </c>
      <c r="C199" s="1">
        <v>45133</v>
      </c>
      <c r="D199">
        <v>52</v>
      </c>
      <c r="E199" t="s">
        <v>18</v>
      </c>
      <c r="F199" t="s">
        <v>339</v>
      </c>
      <c r="J199" t="s">
        <v>54</v>
      </c>
      <c r="K199" t="s">
        <v>21</v>
      </c>
      <c r="L199" t="s">
        <v>36</v>
      </c>
      <c r="M199" t="s">
        <v>744</v>
      </c>
      <c r="N199" t="s">
        <v>30</v>
      </c>
      <c r="O199" t="s">
        <v>744</v>
      </c>
      <c r="P199" t="s">
        <v>30</v>
      </c>
    </row>
    <row r="200" spans="1:16">
      <c r="A200" t="s">
        <v>745</v>
      </c>
      <c r="B200" t="s">
        <v>746</v>
      </c>
      <c r="C200" s="1">
        <v>45133</v>
      </c>
      <c r="D200">
        <v>51</v>
      </c>
      <c r="E200" t="s">
        <v>27</v>
      </c>
      <c r="F200" t="s">
        <v>339</v>
      </c>
      <c r="J200" t="s">
        <v>54</v>
      </c>
      <c r="K200" t="s">
        <v>21</v>
      </c>
      <c r="N200" t="s">
        <v>30</v>
      </c>
      <c r="P200" t="s">
        <v>30</v>
      </c>
    </row>
    <row r="201" spans="1:16">
      <c r="A201" t="s">
        <v>747</v>
      </c>
      <c r="B201" t="s">
        <v>748</v>
      </c>
      <c r="C201" s="1">
        <v>45133</v>
      </c>
      <c r="D201">
        <v>30</v>
      </c>
      <c r="E201" t="s">
        <v>18</v>
      </c>
      <c r="F201" t="s">
        <v>339</v>
      </c>
      <c r="J201" t="s">
        <v>54</v>
      </c>
      <c r="K201" t="s">
        <v>21</v>
      </c>
      <c r="M201" t="s">
        <v>749</v>
      </c>
      <c r="N201" t="s">
        <v>30</v>
      </c>
      <c r="O201" t="s">
        <v>99</v>
      </c>
      <c r="P201" t="s">
        <v>44</v>
      </c>
    </row>
    <row r="202" spans="1:16">
      <c r="A202" t="s">
        <v>750</v>
      </c>
      <c r="B202" t="s">
        <v>751</v>
      </c>
      <c r="C202" s="1">
        <v>45133</v>
      </c>
      <c r="D202">
        <v>26</v>
      </c>
      <c r="E202" t="s">
        <v>106</v>
      </c>
      <c r="F202" t="s">
        <v>54</v>
      </c>
      <c r="J202" t="s">
        <v>752</v>
      </c>
      <c r="K202" t="s">
        <v>21</v>
      </c>
      <c r="O202" t="s">
        <v>50</v>
      </c>
      <c r="P202" t="s">
        <v>44</v>
      </c>
    </row>
    <row r="203" spans="1:16">
      <c r="A203" t="s">
        <v>753</v>
      </c>
      <c r="B203" t="s">
        <v>754</v>
      </c>
      <c r="C203" s="1">
        <v>45133</v>
      </c>
      <c r="D203">
        <v>72</v>
      </c>
      <c r="E203" t="s">
        <v>33</v>
      </c>
      <c r="F203" t="s">
        <v>80</v>
      </c>
      <c r="G203" t="s">
        <v>28</v>
      </c>
      <c r="J203" t="s">
        <v>755</v>
      </c>
      <c r="K203" t="s">
        <v>21</v>
      </c>
      <c r="L203" t="s">
        <v>36</v>
      </c>
      <c r="M203" t="s">
        <v>756</v>
      </c>
      <c r="N203" t="s">
        <v>70</v>
      </c>
      <c r="O203" t="s">
        <v>756</v>
      </c>
      <c r="P203" t="s">
        <v>70</v>
      </c>
    </row>
    <row r="204" spans="1:16">
      <c r="A204" t="s">
        <v>757</v>
      </c>
      <c r="B204" t="s">
        <v>758</v>
      </c>
      <c r="C204" s="1">
        <v>45133</v>
      </c>
      <c r="D204">
        <v>60</v>
      </c>
      <c r="E204" t="s">
        <v>106</v>
      </c>
      <c r="F204" t="s">
        <v>97</v>
      </c>
      <c r="J204" t="s">
        <v>166</v>
      </c>
      <c r="K204" t="s">
        <v>21</v>
      </c>
      <c r="M204" t="s">
        <v>759</v>
      </c>
      <c r="N204" t="s">
        <v>30</v>
      </c>
      <c r="O204" t="s">
        <v>43</v>
      </c>
      <c r="P204" t="s">
        <v>44</v>
      </c>
    </row>
    <row r="205" spans="1:16">
      <c r="A205" t="s">
        <v>760</v>
      </c>
      <c r="B205" t="s">
        <v>761</v>
      </c>
      <c r="C205" s="1">
        <v>45134</v>
      </c>
      <c r="D205">
        <v>56</v>
      </c>
      <c r="E205" t="s">
        <v>33</v>
      </c>
      <c r="F205" t="s">
        <v>54</v>
      </c>
      <c r="J205" t="s">
        <v>98</v>
      </c>
      <c r="K205" t="s">
        <v>21</v>
      </c>
      <c r="M205" t="s">
        <v>762</v>
      </c>
      <c r="N205" t="s">
        <v>30</v>
      </c>
      <c r="O205" t="s">
        <v>762</v>
      </c>
      <c r="P205" t="s">
        <v>30</v>
      </c>
    </row>
    <row r="206" spans="1:16">
      <c r="A206" t="s">
        <v>763</v>
      </c>
      <c r="B206" t="s">
        <v>764</v>
      </c>
      <c r="C206" s="1">
        <v>45134</v>
      </c>
      <c r="D206">
        <v>30</v>
      </c>
      <c r="E206" t="s">
        <v>33</v>
      </c>
      <c r="F206" t="s">
        <v>97</v>
      </c>
      <c r="J206" t="s">
        <v>765</v>
      </c>
      <c r="K206" t="s">
        <v>21</v>
      </c>
      <c r="M206" t="s">
        <v>766</v>
      </c>
      <c r="N206" t="s">
        <v>30</v>
      </c>
      <c r="O206" t="s">
        <v>43</v>
      </c>
      <c r="P206" t="s">
        <v>44</v>
      </c>
    </row>
    <row r="207" spans="1:16">
      <c r="A207" t="s">
        <v>767</v>
      </c>
      <c r="B207" t="s">
        <v>768</v>
      </c>
      <c r="C207" s="1">
        <v>45134</v>
      </c>
      <c r="D207">
        <v>66</v>
      </c>
      <c r="E207" t="s">
        <v>33</v>
      </c>
      <c r="F207" t="s">
        <v>54</v>
      </c>
      <c r="J207" t="s">
        <v>769</v>
      </c>
      <c r="K207" t="s">
        <v>21</v>
      </c>
      <c r="N207" t="s">
        <v>30</v>
      </c>
      <c r="P207" t="s">
        <v>30</v>
      </c>
    </row>
    <row r="208" spans="1:16">
      <c r="A208" t="s">
        <v>770</v>
      </c>
      <c r="B208" t="s">
        <v>771</v>
      </c>
      <c r="C208" s="1">
        <v>45134</v>
      </c>
      <c r="D208">
        <v>55</v>
      </c>
      <c r="E208" t="s">
        <v>33</v>
      </c>
      <c r="F208" t="s">
        <v>54</v>
      </c>
      <c r="J208" t="s">
        <v>227</v>
      </c>
      <c r="K208" t="s">
        <v>21</v>
      </c>
      <c r="L208" t="s">
        <v>36</v>
      </c>
      <c r="M208" t="s">
        <v>772</v>
      </c>
      <c r="N208" t="s">
        <v>38</v>
      </c>
      <c r="O208" t="s">
        <v>772</v>
      </c>
      <c r="P208" t="s">
        <v>38</v>
      </c>
    </row>
    <row r="209" spans="1:16">
      <c r="A209" t="s">
        <v>773</v>
      </c>
      <c r="B209" t="s">
        <v>774</v>
      </c>
      <c r="C209" s="1">
        <v>45134</v>
      </c>
      <c r="D209">
        <v>60</v>
      </c>
      <c r="E209" t="s">
        <v>33</v>
      </c>
      <c r="F209" t="s">
        <v>97</v>
      </c>
      <c r="J209" t="s">
        <v>379</v>
      </c>
      <c r="K209" t="s">
        <v>21</v>
      </c>
      <c r="M209" t="s">
        <v>775</v>
      </c>
      <c r="N209" t="s">
        <v>30</v>
      </c>
      <c r="O209" t="s">
        <v>435</v>
      </c>
      <c r="P209" t="s">
        <v>51</v>
      </c>
    </row>
    <row r="210" spans="1:16">
      <c r="A210" t="s">
        <v>776</v>
      </c>
      <c r="B210" t="s">
        <v>777</v>
      </c>
      <c r="C210" s="1">
        <v>45134</v>
      </c>
      <c r="D210">
        <v>71</v>
      </c>
      <c r="E210" t="s">
        <v>778</v>
      </c>
      <c r="F210" t="s">
        <v>54</v>
      </c>
      <c r="J210" t="s">
        <v>227</v>
      </c>
      <c r="K210" t="s">
        <v>21</v>
      </c>
      <c r="L210" t="s">
        <v>36</v>
      </c>
      <c r="M210" t="s">
        <v>779</v>
      </c>
      <c r="N210" t="s">
        <v>38</v>
      </c>
      <c r="O210" t="s">
        <v>779</v>
      </c>
      <c r="P210" t="s">
        <v>38</v>
      </c>
    </row>
    <row r="211" spans="1:16">
      <c r="A211" t="s">
        <v>780</v>
      </c>
      <c r="B211" t="s">
        <v>781</v>
      </c>
      <c r="C211" s="1">
        <v>45135</v>
      </c>
      <c r="D211">
        <v>47</v>
      </c>
      <c r="E211" t="s">
        <v>112</v>
      </c>
      <c r="F211" t="s">
        <v>54</v>
      </c>
      <c r="J211" t="s">
        <v>782</v>
      </c>
      <c r="K211" t="s">
        <v>21</v>
      </c>
      <c r="M211" t="s">
        <v>783</v>
      </c>
      <c r="N211" t="s">
        <v>70</v>
      </c>
      <c r="O211" t="s">
        <v>783</v>
      </c>
      <c r="P211" t="s">
        <v>70</v>
      </c>
    </row>
    <row r="212" spans="1:16">
      <c r="A212" t="s">
        <v>784</v>
      </c>
      <c r="B212" t="s">
        <v>785</v>
      </c>
      <c r="C212" s="1">
        <v>45134</v>
      </c>
      <c r="D212">
        <v>27</v>
      </c>
      <c r="E212" t="s">
        <v>33</v>
      </c>
      <c r="F212" t="s">
        <v>339</v>
      </c>
      <c r="J212" t="s">
        <v>54</v>
      </c>
      <c r="K212" t="s">
        <v>21</v>
      </c>
      <c r="M212" t="s">
        <v>786</v>
      </c>
      <c r="N212" t="s">
        <v>30</v>
      </c>
      <c r="O212" t="s">
        <v>786</v>
      </c>
      <c r="P212" t="s">
        <v>30</v>
      </c>
    </row>
    <row r="213" spans="1:16">
      <c r="A213" t="s">
        <v>787</v>
      </c>
      <c r="B213" t="s">
        <v>788</v>
      </c>
      <c r="C213" s="1">
        <v>45135</v>
      </c>
      <c r="D213">
        <v>56</v>
      </c>
      <c r="E213" t="s">
        <v>27</v>
      </c>
      <c r="F213" t="s">
        <v>54</v>
      </c>
      <c r="J213" t="s">
        <v>789</v>
      </c>
      <c r="K213" t="s">
        <v>21</v>
      </c>
      <c r="M213" t="s">
        <v>790</v>
      </c>
      <c r="N213" t="s">
        <v>24</v>
      </c>
      <c r="O213" t="s">
        <v>790</v>
      </c>
      <c r="P213" t="s">
        <v>24</v>
      </c>
    </row>
    <row r="214" spans="1:16">
      <c r="A214" t="s">
        <v>791</v>
      </c>
      <c r="B214" t="s">
        <v>792</v>
      </c>
      <c r="C214" s="1">
        <v>45135</v>
      </c>
      <c r="D214">
        <v>64</v>
      </c>
      <c r="E214" t="s">
        <v>18</v>
      </c>
      <c r="F214" t="s">
        <v>54</v>
      </c>
      <c r="J214" t="s">
        <v>793</v>
      </c>
      <c r="K214" t="s">
        <v>21</v>
      </c>
      <c r="L214" t="s">
        <v>36</v>
      </c>
      <c r="M214" t="s">
        <v>794</v>
      </c>
      <c r="N214" t="s">
        <v>38</v>
      </c>
      <c r="O214" t="s">
        <v>794</v>
      </c>
      <c r="P214" t="s">
        <v>38</v>
      </c>
    </row>
    <row r="215" spans="1:16">
      <c r="A215" t="s">
        <v>795</v>
      </c>
      <c r="B215" t="s">
        <v>796</v>
      </c>
      <c r="C215" s="1">
        <v>45135</v>
      </c>
      <c r="D215">
        <v>31</v>
      </c>
      <c r="E215" t="s">
        <v>27</v>
      </c>
      <c r="F215" t="s">
        <v>135</v>
      </c>
      <c r="J215" t="s">
        <v>35</v>
      </c>
      <c r="K215" t="s">
        <v>21</v>
      </c>
      <c r="M215" t="s">
        <v>797</v>
      </c>
      <c r="N215" t="s">
        <v>30</v>
      </c>
      <c r="O215" t="s">
        <v>797</v>
      </c>
      <c r="P215" t="s">
        <v>30</v>
      </c>
    </row>
    <row r="216" spans="1:16">
      <c r="A216" t="s">
        <v>798</v>
      </c>
      <c r="B216" t="s">
        <v>799</v>
      </c>
      <c r="C216" s="1">
        <v>45135</v>
      </c>
      <c r="D216">
        <v>56</v>
      </c>
      <c r="E216" t="s">
        <v>112</v>
      </c>
      <c r="F216" t="s">
        <v>54</v>
      </c>
      <c r="J216" t="s">
        <v>800</v>
      </c>
      <c r="K216" t="s">
        <v>21</v>
      </c>
      <c r="M216" t="s">
        <v>801</v>
      </c>
      <c r="N216" t="s">
        <v>30</v>
      </c>
      <c r="O216" t="s">
        <v>801</v>
      </c>
      <c r="P216" t="s">
        <v>30</v>
      </c>
    </row>
    <row r="217" spans="1:16">
      <c r="A217" t="s">
        <v>802</v>
      </c>
      <c r="B217" t="s">
        <v>803</v>
      </c>
      <c r="C217" s="1">
        <v>45135</v>
      </c>
      <c r="D217">
        <v>72</v>
      </c>
      <c r="E217" t="s">
        <v>33</v>
      </c>
      <c r="F217" t="s">
        <v>54</v>
      </c>
      <c r="J217" t="s">
        <v>804</v>
      </c>
      <c r="K217" t="s">
        <v>21</v>
      </c>
      <c r="L217" t="s">
        <v>36</v>
      </c>
      <c r="M217" t="s">
        <v>805</v>
      </c>
      <c r="N217" t="s">
        <v>38</v>
      </c>
      <c r="O217" t="s">
        <v>805</v>
      </c>
      <c r="P217" t="s">
        <v>38</v>
      </c>
    </row>
    <row r="218" spans="1:16">
      <c r="A218" t="s">
        <v>806</v>
      </c>
      <c r="B218" t="s">
        <v>807</v>
      </c>
      <c r="C218" s="1">
        <v>45129</v>
      </c>
      <c r="D218">
        <v>53</v>
      </c>
      <c r="E218" t="s">
        <v>27</v>
      </c>
      <c r="F218" t="s">
        <v>163</v>
      </c>
      <c r="K218" t="s">
        <v>21</v>
      </c>
      <c r="L218" t="s">
        <v>36</v>
      </c>
      <c r="M218" t="s">
        <v>250</v>
      </c>
      <c r="N218" t="s">
        <v>30</v>
      </c>
      <c r="O218" t="s">
        <v>369</v>
      </c>
      <c r="P218" t="s">
        <v>228</v>
      </c>
    </row>
    <row r="219" spans="1:16">
      <c r="A219" t="s">
        <v>808</v>
      </c>
      <c r="B219" t="s">
        <v>809</v>
      </c>
      <c r="C219" s="1">
        <v>45135</v>
      </c>
      <c r="D219">
        <v>71</v>
      </c>
      <c r="E219" t="s">
        <v>33</v>
      </c>
      <c r="F219" t="s">
        <v>54</v>
      </c>
      <c r="J219" t="s">
        <v>810</v>
      </c>
      <c r="K219" t="s">
        <v>21</v>
      </c>
      <c r="L219" t="s">
        <v>36</v>
      </c>
      <c r="M219" t="s">
        <v>811</v>
      </c>
      <c r="N219" t="s">
        <v>38</v>
      </c>
      <c r="O219" t="s">
        <v>811</v>
      </c>
      <c r="P219" t="s">
        <v>38</v>
      </c>
    </row>
    <row r="220" spans="1:16">
      <c r="A220" t="s">
        <v>812</v>
      </c>
      <c r="B220" t="s">
        <v>813</v>
      </c>
      <c r="C220" s="1">
        <v>45135</v>
      </c>
      <c r="D220">
        <v>62</v>
      </c>
      <c r="E220" t="s">
        <v>33</v>
      </c>
      <c r="F220" t="s">
        <v>135</v>
      </c>
      <c r="J220" t="s">
        <v>35</v>
      </c>
      <c r="K220" t="s">
        <v>21</v>
      </c>
      <c r="M220" t="s">
        <v>43</v>
      </c>
      <c r="N220" t="s">
        <v>30</v>
      </c>
      <c r="O220" t="s">
        <v>43</v>
      </c>
      <c r="P220" t="s">
        <v>51</v>
      </c>
    </row>
    <row r="221" spans="1:16">
      <c r="A221" t="s">
        <v>814</v>
      </c>
      <c r="B221" t="s">
        <v>815</v>
      </c>
      <c r="C221" s="1">
        <v>45135</v>
      </c>
      <c r="D221">
        <v>49</v>
      </c>
      <c r="E221" t="s">
        <v>33</v>
      </c>
      <c r="F221" t="s">
        <v>816</v>
      </c>
      <c r="J221" t="s">
        <v>35</v>
      </c>
      <c r="K221" t="s">
        <v>21</v>
      </c>
      <c r="M221" t="s">
        <v>817</v>
      </c>
      <c r="N221" t="s">
        <v>30</v>
      </c>
      <c r="O221" t="s">
        <v>817</v>
      </c>
      <c r="P221" t="s">
        <v>30</v>
      </c>
    </row>
    <row r="222" spans="1:16">
      <c r="A222" t="s">
        <v>818</v>
      </c>
      <c r="B222" t="s">
        <v>819</v>
      </c>
      <c r="C222" s="1">
        <v>45135</v>
      </c>
      <c r="D222">
        <v>76</v>
      </c>
      <c r="E222" t="s">
        <v>33</v>
      </c>
      <c r="F222" t="s">
        <v>54</v>
      </c>
      <c r="J222" t="s">
        <v>820</v>
      </c>
      <c r="K222" t="s">
        <v>21</v>
      </c>
      <c r="L222" t="s">
        <v>36</v>
      </c>
      <c r="M222" t="s">
        <v>821</v>
      </c>
      <c r="N222" t="s">
        <v>30</v>
      </c>
      <c r="O222" t="s">
        <v>821</v>
      </c>
      <c r="P222" t="s">
        <v>30</v>
      </c>
    </row>
    <row r="223" spans="1:16">
      <c r="A223" t="s">
        <v>822</v>
      </c>
      <c r="B223" t="s">
        <v>823</v>
      </c>
      <c r="C223" s="1">
        <v>45135</v>
      </c>
      <c r="D223">
        <v>32</v>
      </c>
      <c r="E223" t="s">
        <v>33</v>
      </c>
      <c r="F223" t="s">
        <v>54</v>
      </c>
      <c r="J223" t="s">
        <v>468</v>
      </c>
      <c r="K223" t="s">
        <v>21</v>
      </c>
      <c r="L223" t="s">
        <v>36</v>
      </c>
      <c r="M223" t="s">
        <v>824</v>
      </c>
      <c r="N223" t="s">
        <v>271</v>
      </c>
      <c r="O223" t="s">
        <v>824</v>
      </c>
      <c r="P223" t="s">
        <v>271</v>
      </c>
    </row>
    <row r="224" spans="1:16">
      <c r="A224" t="s">
        <v>825</v>
      </c>
      <c r="B224" t="s">
        <v>826</v>
      </c>
      <c r="C224" s="1">
        <v>45135</v>
      </c>
      <c r="D224">
        <v>68</v>
      </c>
      <c r="E224" t="s">
        <v>33</v>
      </c>
      <c r="F224" t="s">
        <v>135</v>
      </c>
      <c r="J224" t="s">
        <v>35</v>
      </c>
      <c r="K224" t="s">
        <v>21</v>
      </c>
      <c r="M224" t="s">
        <v>827</v>
      </c>
      <c r="N224" t="s">
        <v>30</v>
      </c>
      <c r="O224" t="s">
        <v>827</v>
      </c>
      <c r="P224" t="s">
        <v>30</v>
      </c>
    </row>
    <row r="225" spans="1:16">
      <c r="A225" t="s">
        <v>828</v>
      </c>
      <c r="B225" t="s">
        <v>829</v>
      </c>
      <c r="C225" s="1">
        <v>45136</v>
      </c>
      <c r="D225">
        <v>43</v>
      </c>
      <c r="F225" t="s">
        <v>830</v>
      </c>
      <c r="J225" t="s">
        <v>831</v>
      </c>
      <c r="K225" t="s">
        <v>21</v>
      </c>
      <c r="M225" t="s">
        <v>832</v>
      </c>
      <c r="N225" t="s">
        <v>30</v>
      </c>
      <c r="O225" t="s">
        <v>832</v>
      </c>
      <c r="P225" t="s">
        <v>30</v>
      </c>
    </row>
    <row r="226" spans="1:16">
      <c r="A226" t="s">
        <v>833</v>
      </c>
      <c r="B226" t="s">
        <v>834</v>
      </c>
      <c r="C226" s="1">
        <v>45136</v>
      </c>
      <c r="D226">
        <v>57</v>
      </c>
      <c r="E226" t="s">
        <v>33</v>
      </c>
      <c r="F226" t="s">
        <v>54</v>
      </c>
      <c r="J226" t="s">
        <v>34</v>
      </c>
      <c r="K226" t="s">
        <v>21</v>
      </c>
      <c r="M226" t="s">
        <v>835</v>
      </c>
      <c r="N226" t="s">
        <v>30</v>
      </c>
      <c r="O226" t="s">
        <v>835</v>
      </c>
      <c r="P226" t="s">
        <v>30</v>
      </c>
    </row>
    <row r="227" spans="1:16">
      <c r="A227" t="s">
        <v>836</v>
      </c>
      <c r="B227" t="s">
        <v>837</v>
      </c>
      <c r="C227" s="1">
        <v>45136</v>
      </c>
      <c r="D227">
        <v>62</v>
      </c>
      <c r="E227" t="s">
        <v>18</v>
      </c>
      <c r="F227" t="s">
        <v>54</v>
      </c>
      <c r="K227" t="s">
        <v>21</v>
      </c>
      <c r="M227" t="s">
        <v>838</v>
      </c>
      <c r="N227" t="s">
        <v>30</v>
      </c>
      <c r="O227" t="s">
        <v>838</v>
      </c>
      <c r="P227" t="s">
        <v>30</v>
      </c>
    </row>
    <row r="228" spans="1:16">
      <c r="A228" t="s">
        <v>839</v>
      </c>
      <c r="B228" t="s">
        <v>840</v>
      </c>
      <c r="C228" s="1">
        <v>45136</v>
      </c>
      <c r="D228">
        <v>78</v>
      </c>
      <c r="E228" t="s">
        <v>841</v>
      </c>
      <c r="F228" t="s">
        <v>114</v>
      </c>
      <c r="K228" t="s">
        <v>21</v>
      </c>
      <c r="L228" t="s">
        <v>36</v>
      </c>
      <c r="M228" t="s">
        <v>842</v>
      </c>
      <c r="N228" t="s">
        <v>38</v>
      </c>
      <c r="O228" t="s">
        <v>842</v>
      </c>
      <c r="P228" t="s">
        <v>38</v>
      </c>
    </row>
    <row r="229" spans="1:16">
      <c r="A229" t="s">
        <v>843</v>
      </c>
      <c r="B229" t="s">
        <v>844</v>
      </c>
      <c r="C229" s="1">
        <v>45136</v>
      </c>
      <c r="D229">
        <v>79</v>
      </c>
      <c r="E229" t="s">
        <v>33</v>
      </c>
      <c r="F229" t="s">
        <v>54</v>
      </c>
      <c r="J229" t="s">
        <v>793</v>
      </c>
      <c r="K229" t="s">
        <v>21</v>
      </c>
      <c r="L229" t="s">
        <v>36</v>
      </c>
      <c r="M229" t="s">
        <v>845</v>
      </c>
      <c r="N229" t="s">
        <v>38</v>
      </c>
      <c r="O229" t="s">
        <v>845</v>
      </c>
      <c r="P229" t="s">
        <v>38</v>
      </c>
    </row>
    <row r="230" spans="1:16">
      <c r="A230" t="s">
        <v>846</v>
      </c>
      <c r="B230" t="s">
        <v>847</v>
      </c>
      <c r="C230" s="1">
        <v>45136</v>
      </c>
      <c r="D230">
        <v>56</v>
      </c>
      <c r="E230" t="s">
        <v>33</v>
      </c>
      <c r="F230" t="s">
        <v>35</v>
      </c>
      <c r="K230" t="s">
        <v>21</v>
      </c>
      <c r="N230" t="s">
        <v>30</v>
      </c>
      <c r="O230" t="s">
        <v>89</v>
      </c>
      <c r="P230" t="s">
        <v>44</v>
      </c>
    </row>
    <row r="231" spans="1:16">
      <c r="A231" t="s">
        <v>848</v>
      </c>
      <c r="B231" t="s">
        <v>849</v>
      </c>
      <c r="C231" s="1">
        <v>45136</v>
      </c>
      <c r="D231">
        <v>72</v>
      </c>
      <c r="E231" t="s">
        <v>33</v>
      </c>
      <c r="F231" t="s">
        <v>35</v>
      </c>
      <c r="J231" t="s">
        <v>850</v>
      </c>
      <c r="K231" t="s">
        <v>21</v>
      </c>
      <c r="M231" t="s">
        <v>851</v>
      </c>
      <c r="N231" t="s">
        <v>30</v>
      </c>
      <c r="O231" t="s">
        <v>851</v>
      </c>
      <c r="P231" t="s">
        <v>30</v>
      </c>
    </row>
    <row r="232" spans="1:16">
      <c r="A232" t="s">
        <v>852</v>
      </c>
      <c r="B232" t="s">
        <v>853</v>
      </c>
      <c r="C232" s="1">
        <v>45136</v>
      </c>
      <c r="D232">
        <v>45</v>
      </c>
      <c r="E232" t="s">
        <v>106</v>
      </c>
      <c r="F232" t="s">
        <v>97</v>
      </c>
      <c r="J232" t="s">
        <v>854</v>
      </c>
      <c r="K232" t="s">
        <v>21</v>
      </c>
      <c r="N232" t="s">
        <v>30</v>
      </c>
      <c r="O232" t="s">
        <v>50</v>
      </c>
      <c r="P232" t="s">
        <v>855</v>
      </c>
    </row>
    <row r="233" spans="1:16">
      <c r="A233" t="s">
        <v>856</v>
      </c>
      <c r="B233" t="s">
        <v>857</v>
      </c>
      <c r="C233" s="1">
        <v>45136</v>
      </c>
      <c r="D233">
        <v>45</v>
      </c>
      <c r="E233" t="s">
        <v>33</v>
      </c>
      <c r="F233" t="s">
        <v>97</v>
      </c>
      <c r="K233" t="s">
        <v>21</v>
      </c>
      <c r="O233" t="s">
        <v>99</v>
      </c>
      <c r="P233" t="s">
        <v>51</v>
      </c>
    </row>
    <row r="234" spans="1:16">
      <c r="A234" t="s">
        <v>858</v>
      </c>
      <c r="B234" t="s">
        <v>859</v>
      </c>
      <c r="C234" s="1">
        <v>45136</v>
      </c>
      <c r="D234">
        <v>53</v>
      </c>
      <c r="E234" t="s">
        <v>33</v>
      </c>
      <c r="F234" t="s">
        <v>35</v>
      </c>
      <c r="J234" t="s">
        <v>860</v>
      </c>
      <c r="K234" t="s">
        <v>21</v>
      </c>
      <c r="M234" t="s">
        <v>861</v>
      </c>
      <c r="N234" t="s">
        <v>30</v>
      </c>
      <c r="O234" t="s">
        <v>861</v>
      </c>
      <c r="P234" t="s">
        <v>30</v>
      </c>
    </row>
    <row r="235" spans="1:16">
      <c r="A235" t="s">
        <v>862</v>
      </c>
      <c r="B235" t="s">
        <v>863</v>
      </c>
      <c r="C235" s="1">
        <v>45137</v>
      </c>
      <c r="D235">
        <v>52</v>
      </c>
      <c r="E235" t="s">
        <v>106</v>
      </c>
      <c r="F235" t="s">
        <v>54</v>
      </c>
      <c r="J235" t="s">
        <v>864</v>
      </c>
      <c r="K235" t="s">
        <v>21</v>
      </c>
      <c r="L235" t="s">
        <v>36</v>
      </c>
      <c r="M235" t="s">
        <v>865</v>
      </c>
      <c r="N235" t="s">
        <v>38</v>
      </c>
      <c r="O235" t="s">
        <v>865</v>
      </c>
      <c r="P235" t="s">
        <v>38</v>
      </c>
    </row>
    <row r="236" spans="1:16">
      <c r="A236" t="s">
        <v>866</v>
      </c>
      <c r="B236" t="s">
        <v>867</v>
      </c>
      <c r="C236" s="1">
        <v>45137</v>
      </c>
      <c r="D236">
        <v>50</v>
      </c>
      <c r="E236" t="s">
        <v>33</v>
      </c>
      <c r="F236" t="s">
        <v>54</v>
      </c>
      <c r="K236" t="s">
        <v>21</v>
      </c>
      <c r="M236" t="s">
        <v>868</v>
      </c>
      <c r="N236" t="s">
        <v>30</v>
      </c>
      <c r="O236" t="s">
        <v>868</v>
      </c>
      <c r="P236" t="s">
        <v>30</v>
      </c>
    </row>
    <row r="237" spans="1:16">
      <c r="A237" t="s">
        <v>869</v>
      </c>
      <c r="B237" t="s">
        <v>870</v>
      </c>
      <c r="C237" s="1">
        <v>45137</v>
      </c>
      <c r="D237">
        <v>43</v>
      </c>
      <c r="E237" t="s">
        <v>33</v>
      </c>
      <c r="F237" t="s">
        <v>135</v>
      </c>
      <c r="J237" t="s">
        <v>35</v>
      </c>
      <c r="K237" t="s">
        <v>21</v>
      </c>
      <c r="M237" t="s">
        <v>871</v>
      </c>
      <c r="N237" t="s">
        <v>30</v>
      </c>
      <c r="O237" t="s">
        <v>871</v>
      </c>
      <c r="P237" t="s">
        <v>30</v>
      </c>
    </row>
    <row r="238" spans="1:16">
      <c r="A238" t="s">
        <v>872</v>
      </c>
      <c r="B238" t="s">
        <v>873</v>
      </c>
      <c r="C238" s="1">
        <v>45137</v>
      </c>
      <c r="D238">
        <v>79</v>
      </c>
      <c r="E238" t="s">
        <v>33</v>
      </c>
      <c r="F238" t="s">
        <v>54</v>
      </c>
      <c r="J238" t="s">
        <v>874</v>
      </c>
      <c r="K238" t="s">
        <v>21</v>
      </c>
      <c r="L238" t="s">
        <v>36</v>
      </c>
      <c r="M238" t="s">
        <v>875</v>
      </c>
      <c r="N238" t="s">
        <v>38</v>
      </c>
      <c r="O238" t="s">
        <v>875</v>
      </c>
      <c r="P238" t="s">
        <v>38</v>
      </c>
    </row>
    <row r="239" spans="1:16">
      <c r="A239" t="s">
        <v>876</v>
      </c>
      <c r="B239" t="s">
        <v>877</v>
      </c>
      <c r="C239" s="1">
        <v>45137</v>
      </c>
      <c r="D239">
        <v>33</v>
      </c>
      <c r="E239" t="s">
        <v>18</v>
      </c>
      <c r="F239" t="s">
        <v>54</v>
      </c>
      <c r="J239" t="s">
        <v>800</v>
      </c>
      <c r="K239" t="s">
        <v>21</v>
      </c>
      <c r="M239" t="s">
        <v>878</v>
      </c>
      <c r="N239" t="s">
        <v>30</v>
      </c>
      <c r="O239" t="s">
        <v>878</v>
      </c>
      <c r="P239" t="s">
        <v>30</v>
      </c>
    </row>
    <row r="240" spans="1:16">
      <c r="A240" t="s">
        <v>879</v>
      </c>
      <c r="B240" t="s">
        <v>880</v>
      </c>
      <c r="C240" s="1">
        <v>45138</v>
      </c>
      <c r="D240">
        <v>41</v>
      </c>
      <c r="E240" t="s">
        <v>33</v>
      </c>
      <c r="F240" t="s">
        <v>97</v>
      </c>
      <c r="J240" t="s">
        <v>223</v>
      </c>
      <c r="K240" t="s">
        <v>21</v>
      </c>
      <c r="N240" t="s">
        <v>30</v>
      </c>
      <c r="O240" t="s">
        <v>99</v>
      </c>
      <c r="P240" t="s">
        <v>44</v>
      </c>
    </row>
    <row r="241" spans="1:16">
      <c r="A241" t="s">
        <v>881</v>
      </c>
      <c r="B241" t="s">
        <v>882</v>
      </c>
      <c r="C241" s="1">
        <v>45138</v>
      </c>
      <c r="D241">
        <v>64</v>
      </c>
      <c r="E241" t="s">
        <v>18</v>
      </c>
      <c r="F241" t="s">
        <v>54</v>
      </c>
      <c r="J241" t="s">
        <v>223</v>
      </c>
      <c r="K241" t="s">
        <v>21</v>
      </c>
      <c r="N241" t="s">
        <v>30</v>
      </c>
      <c r="P241" t="s">
        <v>30</v>
      </c>
    </row>
    <row r="242" spans="1:16">
      <c r="A242" t="s">
        <v>883</v>
      </c>
      <c r="B242" t="s">
        <v>884</v>
      </c>
      <c r="C242" s="1">
        <v>45138</v>
      </c>
      <c r="D242">
        <v>41</v>
      </c>
      <c r="E242" t="s">
        <v>33</v>
      </c>
      <c r="F242" t="s">
        <v>135</v>
      </c>
      <c r="J242" t="s">
        <v>35</v>
      </c>
      <c r="K242" t="s">
        <v>21</v>
      </c>
      <c r="M242" t="s">
        <v>885</v>
      </c>
      <c r="N242" t="s">
        <v>30</v>
      </c>
      <c r="O242" t="s">
        <v>885</v>
      </c>
      <c r="P242" t="s">
        <v>30</v>
      </c>
    </row>
    <row r="243" spans="1:16">
      <c r="A243" t="s">
        <v>886</v>
      </c>
      <c r="B243" t="s">
        <v>887</v>
      </c>
      <c r="C243" s="1">
        <v>45138</v>
      </c>
      <c r="D243">
        <v>75</v>
      </c>
      <c r="E243" t="s">
        <v>33</v>
      </c>
      <c r="F243" t="s">
        <v>54</v>
      </c>
      <c r="K243" t="s">
        <v>21</v>
      </c>
      <c r="L243" t="s">
        <v>36</v>
      </c>
      <c r="M243" t="s">
        <v>888</v>
      </c>
      <c r="N243" t="s">
        <v>38</v>
      </c>
      <c r="O243" t="s">
        <v>888</v>
      </c>
      <c r="P243" t="s">
        <v>38</v>
      </c>
    </row>
    <row r="244" spans="1:16">
      <c r="A244" t="s">
        <v>889</v>
      </c>
      <c r="B244" t="s">
        <v>890</v>
      </c>
      <c r="C244" s="1">
        <v>45139</v>
      </c>
      <c r="D244">
        <v>39</v>
      </c>
      <c r="E244" t="s">
        <v>33</v>
      </c>
      <c r="F244" t="s">
        <v>97</v>
      </c>
      <c r="J244" t="s">
        <v>503</v>
      </c>
      <c r="K244" t="s">
        <v>21</v>
      </c>
      <c r="N244" t="s">
        <v>30</v>
      </c>
      <c r="O244" t="s">
        <v>127</v>
      </c>
      <c r="P244" t="s">
        <v>51</v>
      </c>
    </row>
    <row r="245" spans="1:16">
      <c r="A245" t="s">
        <v>891</v>
      </c>
      <c r="B245" t="s">
        <v>892</v>
      </c>
      <c r="C245" s="1">
        <v>45139</v>
      </c>
      <c r="D245">
        <v>78</v>
      </c>
      <c r="E245" t="s">
        <v>112</v>
      </c>
      <c r="F245" t="s">
        <v>227</v>
      </c>
      <c r="J245" t="s">
        <v>54</v>
      </c>
      <c r="K245" t="s">
        <v>21</v>
      </c>
      <c r="L245" t="s">
        <v>36</v>
      </c>
      <c r="M245" t="s">
        <v>893</v>
      </c>
      <c r="N245" t="s">
        <v>38</v>
      </c>
      <c r="O245" t="s">
        <v>893</v>
      </c>
      <c r="P245" t="s">
        <v>38</v>
      </c>
    </row>
    <row r="246" spans="1:16">
      <c r="A246" t="s">
        <v>894</v>
      </c>
      <c r="B246" t="s">
        <v>895</v>
      </c>
      <c r="C246" s="1">
        <v>45140</v>
      </c>
      <c r="D246">
        <v>81</v>
      </c>
      <c r="E246" t="s">
        <v>18</v>
      </c>
      <c r="F246" t="s">
        <v>54</v>
      </c>
      <c r="K246" t="s">
        <v>21</v>
      </c>
      <c r="L246" t="s">
        <v>36</v>
      </c>
      <c r="M246" t="s">
        <v>896</v>
      </c>
      <c r="N246" t="s">
        <v>38</v>
      </c>
      <c r="O246" t="s">
        <v>896</v>
      </c>
      <c r="P246" t="s">
        <v>38</v>
      </c>
    </row>
    <row r="247" spans="1:16">
      <c r="A247" t="s">
        <v>897</v>
      </c>
      <c r="B247" t="s">
        <v>898</v>
      </c>
      <c r="C247" s="1">
        <v>45140</v>
      </c>
      <c r="D247">
        <v>67</v>
      </c>
      <c r="E247" t="s">
        <v>33</v>
      </c>
      <c r="F247" t="s">
        <v>54</v>
      </c>
      <c r="J247" t="s">
        <v>98</v>
      </c>
      <c r="K247" t="s">
        <v>21</v>
      </c>
      <c r="L247" t="s">
        <v>36</v>
      </c>
      <c r="M247" t="s">
        <v>899</v>
      </c>
      <c r="N247" t="s">
        <v>38</v>
      </c>
      <c r="O247" t="s">
        <v>899</v>
      </c>
      <c r="P247" t="s">
        <v>38</v>
      </c>
    </row>
    <row r="248" spans="1:16">
      <c r="A248" t="s">
        <v>900</v>
      </c>
      <c r="B248" t="s">
        <v>901</v>
      </c>
      <c r="C248" s="1">
        <v>45140</v>
      </c>
      <c r="D248">
        <v>68</v>
      </c>
      <c r="F248" t="s">
        <v>54</v>
      </c>
      <c r="J248" t="s">
        <v>223</v>
      </c>
      <c r="K248" t="s">
        <v>21</v>
      </c>
      <c r="M248" t="s">
        <v>902</v>
      </c>
      <c r="N248" t="s">
        <v>30</v>
      </c>
      <c r="O248" t="s">
        <v>902</v>
      </c>
      <c r="P248" t="s">
        <v>30</v>
      </c>
    </row>
    <row r="249" spans="1:16">
      <c r="A249" t="s">
        <v>903</v>
      </c>
      <c r="B249" t="s">
        <v>904</v>
      </c>
      <c r="C249" s="1">
        <v>45140</v>
      </c>
      <c r="D249">
        <v>36</v>
      </c>
      <c r="E249" t="s">
        <v>841</v>
      </c>
      <c r="F249" t="s">
        <v>172</v>
      </c>
      <c r="J249" t="s">
        <v>54</v>
      </c>
      <c r="K249" t="s">
        <v>21</v>
      </c>
      <c r="M249" t="s">
        <v>905</v>
      </c>
      <c r="N249" t="s">
        <v>30</v>
      </c>
      <c r="O249" t="s">
        <v>905</v>
      </c>
      <c r="P249" t="s">
        <v>30</v>
      </c>
    </row>
    <row r="250" spans="1:16">
      <c r="A250" t="s">
        <v>906</v>
      </c>
      <c r="B250" t="s">
        <v>907</v>
      </c>
      <c r="C250" s="1">
        <v>45141</v>
      </c>
      <c r="D250">
        <v>82</v>
      </c>
      <c r="E250" t="s">
        <v>33</v>
      </c>
      <c r="F250" t="s">
        <v>54</v>
      </c>
      <c r="J250" t="s">
        <v>874</v>
      </c>
      <c r="K250" t="s">
        <v>21</v>
      </c>
      <c r="L250" t="s">
        <v>36</v>
      </c>
      <c r="M250" t="s">
        <v>908</v>
      </c>
      <c r="N250" t="s">
        <v>38</v>
      </c>
      <c r="O250" t="s">
        <v>908</v>
      </c>
      <c r="P250" t="s">
        <v>38</v>
      </c>
    </row>
    <row r="251" spans="1:16">
      <c r="A251" t="s">
        <v>909</v>
      </c>
      <c r="B251" t="s">
        <v>910</v>
      </c>
      <c r="C251" s="1">
        <v>45142</v>
      </c>
      <c r="D251">
        <v>74</v>
      </c>
      <c r="E251" t="s">
        <v>33</v>
      </c>
      <c r="F251" t="s">
        <v>54</v>
      </c>
      <c r="K251" t="s">
        <v>21</v>
      </c>
      <c r="L251" t="s">
        <v>36</v>
      </c>
      <c r="M251" t="s">
        <v>911</v>
      </c>
      <c r="N251" t="s">
        <v>38</v>
      </c>
      <c r="O251" t="s">
        <v>911</v>
      </c>
      <c r="P251" t="s">
        <v>38</v>
      </c>
    </row>
    <row r="252" spans="1:16">
      <c r="A252" t="s">
        <v>912</v>
      </c>
      <c r="B252" t="s">
        <v>913</v>
      </c>
      <c r="C252" s="1">
        <v>45142</v>
      </c>
      <c r="D252">
        <v>46</v>
      </c>
      <c r="E252" t="s">
        <v>33</v>
      </c>
      <c r="F252" t="s">
        <v>54</v>
      </c>
      <c r="K252" t="s">
        <v>21</v>
      </c>
      <c r="L252" t="s">
        <v>36</v>
      </c>
      <c r="M252" t="s">
        <v>911</v>
      </c>
      <c r="N252" t="s">
        <v>38</v>
      </c>
      <c r="O252" t="s">
        <v>911</v>
      </c>
      <c r="P252" t="s">
        <v>38</v>
      </c>
    </row>
    <row r="253" spans="1:16">
      <c r="A253" t="s">
        <v>914</v>
      </c>
      <c r="B253" t="s">
        <v>915</v>
      </c>
      <c r="C253" s="1">
        <v>45142</v>
      </c>
      <c r="D253">
        <v>53</v>
      </c>
      <c r="E253" t="s">
        <v>33</v>
      </c>
      <c r="F253" t="s">
        <v>916</v>
      </c>
      <c r="J253" t="s">
        <v>917</v>
      </c>
      <c r="K253" t="s">
        <v>21</v>
      </c>
      <c r="L253" t="s">
        <v>36</v>
      </c>
      <c r="M253" t="s">
        <v>918</v>
      </c>
      <c r="N253" t="s">
        <v>30</v>
      </c>
      <c r="O253" t="s">
        <v>50</v>
      </c>
      <c r="P253" t="s">
        <v>228</v>
      </c>
    </row>
    <row r="254" spans="1:16">
      <c r="A254" t="s">
        <v>919</v>
      </c>
      <c r="B254" t="s">
        <v>920</v>
      </c>
      <c r="C254" s="1">
        <v>45142</v>
      </c>
      <c r="D254">
        <v>80</v>
      </c>
      <c r="E254" t="s">
        <v>33</v>
      </c>
      <c r="F254" t="s">
        <v>28</v>
      </c>
      <c r="J254" t="s">
        <v>921</v>
      </c>
      <c r="K254" t="s">
        <v>21</v>
      </c>
      <c r="L254" t="s">
        <v>36</v>
      </c>
      <c r="M254" t="s">
        <v>922</v>
      </c>
      <c r="N254" t="s">
        <v>38</v>
      </c>
      <c r="O254" t="s">
        <v>922</v>
      </c>
      <c r="P254" t="s">
        <v>38</v>
      </c>
    </row>
    <row r="255" spans="1:16">
      <c r="A255" t="s">
        <v>923</v>
      </c>
      <c r="B255" t="s">
        <v>924</v>
      </c>
      <c r="C255" s="1">
        <v>45143</v>
      </c>
      <c r="D255">
        <v>47</v>
      </c>
      <c r="E255" t="s">
        <v>18</v>
      </c>
      <c r="F255" t="s">
        <v>339</v>
      </c>
      <c r="J255" t="s">
        <v>54</v>
      </c>
      <c r="K255" t="s">
        <v>21</v>
      </c>
      <c r="N255" t="s">
        <v>30</v>
      </c>
      <c r="P255" t="s">
        <v>30</v>
      </c>
    </row>
    <row r="256" spans="1:16">
      <c r="A256" t="s">
        <v>925</v>
      </c>
      <c r="B256" t="s">
        <v>926</v>
      </c>
      <c r="C256" s="1">
        <v>45144</v>
      </c>
      <c r="D256">
        <v>74</v>
      </c>
      <c r="E256" t="s">
        <v>33</v>
      </c>
      <c r="F256" t="s">
        <v>63</v>
      </c>
      <c r="J256" t="s">
        <v>54</v>
      </c>
      <c r="K256" t="s">
        <v>21</v>
      </c>
      <c r="L256" t="s">
        <v>36</v>
      </c>
      <c r="M256" t="s">
        <v>927</v>
      </c>
      <c r="N256" t="s">
        <v>30</v>
      </c>
      <c r="O256" t="s">
        <v>927</v>
      </c>
      <c r="P256" t="s">
        <v>30</v>
      </c>
    </row>
    <row r="257" spans="1:16">
      <c r="A257" t="s">
        <v>928</v>
      </c>
      <c r="B257" t="s">
        <v>929</v>
      </c>
      <c r="C257" s="1">
        <v>45143</v>
      </c>
      <c r="D257">
        <v>74</v>
      </c>
      <c r="E257" t="s">
        <v>33</v>
      </c>
      <c r="F257" t="s">
        <v>227</v>
      </c>
      <c r="J257" t="s">
        <v>185</v>
      </c>
      <c r="K257" t="s">
        <v>21</v>
      </c>
      <c r="L257" t="s">
        <v>36</v>
      </c>
      <c r="M257" t="s">
        <v>930</v>
      </c>
      <c r="N257" t="s">
        <v>38</v>
      </c>
      <c r="O257" t="s">
        <v>930</v>
      </c>
      <c r="P257" t="s">
        <v>38</v>
      </c>
    </row>
    <row r="258" spans="1:16">
      <c r="A258" t="s">
        <v>931</v>
      </c>
      <c r="B258" t="s">
        <v>932</v>
      </c>
      <c r="C258" s="1">
        <v>45143</v>
      </c>
      <c r="D258">
        <v>48</v>
      </c>
      <c r="E258" t="s">
        <v>106</v>
      </c>
      <c r="F258" t="s">
        <v>34</v>
      </c>
      <c r="J258" t="s">
        <v>54</v>
      </c>
      <c r="K258" t="s">
        <v>21</v>
      </c>
      <c r="M258" t="s">
        <v>933</v>
      </c>
      <c r="N258" t="s">
        <v>30</v>
      </c>
      <c r="O258" t="s">
        <v>933</v>
      </c>
      <c r="P258" t="s">
        <v>30</v>
      </c>
    </row>
    <row r="259" spans="1:16">
      <c r="A259" t="s">
        <v>934</v>
      </c>
      <c r="B259" t="s">
        <v>935</v>
      </c>
      <c r="C259" s="1">
        <v>45144</v>
      </c>
      <c r="D259">
        <v>46</v>
      </c>
      <c r="E259" t="s">
        <v>33</v>
      </c>
      <c r="F259" t="s">
        <v>34</v>
      </c>
      <c r="J259" t="s">
        <v>54</v>
      </c>
      <c r="K259" t="s">
        <v>21</v>
      </c>
      <c r="N259" t="s">
        <v>208</v>
      </c>
      <c r="P259" t="s">
        <v>208</v>
      </c>
    </row>
    <row r="260" spans="1:16">
      <c r="A260" t="s">
        <v>936</v>
      </c>
      <c r="B260" t="s">
        <v>937</v>
      </c>
      <c r="C260" s="1">
        <v>45145</v>
      </c>
      <c r="D260">
        <v>50</v>
      </c>
      <c r="E260" t="s">
        <v>33</v>
      </c>
      <c r="F260" t="s">
        <v>54</v>
      </c>
      <c r="J260" t="s">
        <v>938</v>
      </c>
      <c r="K260" t="s">
        <v>21</v>
      </c>
      <c r="M260" t="s">
        <v>939</v>
      </c>
      <c r="N260" t="s">
        <v>30</v>
      </c>
      <c r="O260" t="s">
        <v>939</v>
      </c>
      <c r="P260" t="s">
        <v>70</v>
      </c>
    </row>
    <row r="261" spans="1:16">
      <c r="A261" t="s">
        <v>940</v>
      </c>
      <c r="B261" t="s">
        <v>941</v>
      </c>
      <c r="C261" s="1">
        <v>45146</v>
      </c>
      <c r="D261">
        <v>42</v>
      </c>
      <c r="E261" t="s">
        <v>33</v>
      </c>
      <c r="F261" t="s">
        <v>54</v>
      </c>
      <c r="J261" t="s">
        <v>408</v>
      </c>
      <c r="K261" t="s">
        <v>21</v>
      </c>
      <c r="M261" t="s">
        <v>942</v>
      </c>
      <c r="N261" t="s">
        <v>30</v>
      </c>
      <c r="O261" t="s">
        <v>942</v>
      </c>
      <c r="P261" t="s">
        <v>30</v>
      </c>
    </row>
    <row r="262" spans="1:16">
      <c r="A262" t="s">
        <v>943</v>
      </c>
      <c r="B262" t="s">
        <v>944</v>
      </c>
      <c r="C262" s="1">
        <v>45146</v>
      </c>
      <c r="D262">
        <v>55</v>
      </c>
      <c r="E262" t="s">
        <v>33</v>
      </c>
      <c r="F262" t="s">
        <v>54</v>
      </c>
      <c r="J262" t="s">
        <v>945</v>
      </c>
      <c r="K262" t="s">
        <v>21</v>
      </c>
      <c r="L262" t="s">
        <v>36</v>
      </c>
      <c r="M262" t="s">
        <v>946</v>
      </c>
      <c r="N262" t="s">
        <v>38</v>
      </c>
      <c r="O262" t="s">
        <v>947</v>
      </c>
      <c r="P262" t="s">
        <v>44</v>
      </c>
    </row>
    <row r="263" spans="1:16">
      <c r="A263" t="s">
        <v>948</v>
      </c>
      <c r="B263" t="s">
        <v>949</v>
      </c>
      <c r="C263" s="1">
        <v>45134</v>
      </c>
      <c r="D263">
        <v>73</v>
      </c>
      <c r="E263" t="s">
        <v>33</v>
      </c>
      <c r="F263" t="s">
        <v>97</v>
      </c>
      <c r="J263" t="s">
        <v>950</v>
      </c>
      <c r="K263" t="s">
        <v>21</v>
      </c>
      <c r="L263" t="s">
        <v>36</v>
      </c>
      <c r="M263" t="s">
        <v>951</v>
      </c>
      <c r="N263" t="s">
        <v>38</v>
      </c>
      <c r="O263" t="s">
        <v>99</v>
      </c>
      <c r="P263" t="s">
        <v>228</v>
      </c>
    </row>
    <row r="264" spans="1:16">
      <c r="A264" t="s">
        <v>952</v>
      </c>
      <c r="B264" t="s">
        <v>953</v>
      </c>
      <c r="C264" s="1">
        <v>45146</v>
      </c>
      <c r="D264">
        <v>62</v>
      </c>
      <c r="E264" t="s">
        <v>33</v>
      </c>
      <c r="F264" t="s">
        <v>48</v>
      </c>
      <c r="J264" t="s">
        <v>954</v>
      </c>
      <c r="K264" t="s">
        <v>21</v>
      </c>
      <c r="N264" t="s">
        <v>726</v>
      </c>
      <c r="P264" t="s">
        <v>726</v>
      </c>
    </row>
    <row r="265" spans="1:16">
      <c r="A265" t="s">
        <v>955</v>
      </c>
      <c r="B265" t="s">
        <v>956</v>
      </c>
      <c r="C265" s="1">
        <v>45146</v>
      </c>
      <c r="D265">
        <v>41</v>
      </c>
      <c r="E265" t="s">
        <v>33</v>
      </c>
      <c r="F265" t="s">
        <v>54</v>
      </c>
      <c r="J265" t="s">
        <v>957</v>
      </c>
      <c r="K265" t="s">
        <v>21</v>
      </c>
      <c r="L265" t="s">
        <v>36</v>
      </c>
      <c r="M265" t="s">
        <v>958</v>
      </c>
      <c r="N265" t="s">
        <v>38</v>
      </c>
      <c r="O265" t="s">
        <v>958</v>
      </c>
      <c r="P265" t="s">
        <v>38</v>
      </c>
    </row>
    <row r="266" spans="1:16">
      <c r="A266" t="s">
        <v>959</v>
      </c>
      <c r="B266" t="s">
        <v>960</v>
      </c>
      <c r="C266" s="1">
        <v>45147</v>
      </c>
      <c r="D266">
        <v>54</v>
      </c>
      <c r="E266" t="s">
        <v>18</v>
      </c>
      <c r="F266" t="s">
        <v>54</v>
      </c>
      <c r="J266" t="s">
        <v>34</v>
      </c>
      <c r="K266" t="s">
        <v>21</v>
      </c>
      <c r="M266" t="s">
        <v>961</v>
      </c>
      <c r="N266" t="s">
        <v>30</v>
      </c>
      <c r="O266" t="s">
        <v>961</v>
      </c>
      <c r="P266" t="s">
        <v>30</v>
      </c>
    </row>
    <row r="267" spans="1:16">
      <c r="A267" t="s">
        <v>962</v>
      </c>
      <c r="B267" t="s">
        <v>963</v>
      </c>
      <c r="C267" s="1">
        <v>45148</v>
      </c>
      <c r="D267">
        <v>75</v>
      </c>
      <c r="E267" t="s">
        <v>33</v>
      </c>
      <c r="F267" t="s">
        <v>54</v>
      </c>
      <c r="J267" t="s">
        <v>227</v>
      </c>
      <c r="K267" t="s">
        <v>21</v>
      </c>
      <c r="M267" t="s">
        <v>964</v>
      </c>
      <c r="N267" t="s">
        <v>30</v>
      </c>
      <c r="O267" t="s">
        <v>964</v>
      </c>
      <c r="P267" t="s">
        <v>30</v>
      </c>
    </row>
    <row r="268" spans="1:16">
      <c r="A268" t="s">
        <v>965</v>
      </c>
      <c r="B268" t="s">
        <v>966</v>
      </c>
      <c r="C268" s="1">
        <v>45148</v>
      </c>
      <c r="D268">
        <v>67</v>
      </c>
      <c r="E268" t="s">
        <v>33</v>
      </c>
      <c r="F268" t="s">
        <v>54</v>
      </c>
      <c r="J268" t="s">
        <v>181</v>
      </c>
      <c r="K268" t="s">
        <v>21</v>
      </c>
      <c r="L268" t="s">
        <v>36</v>
      </c>
      <c r="M268" t="s">
        <v>967</v>
      </c>
      <c r="N268" t="s">
        <v>38</v>
      </c>
      <c r="O268" t="s">
        <v>967</v>
      </c>
      <c r="P268" t="s">
        <v>38</v>
      </c>
    </row>
    <row r="269" spans="1:16">
      <c r="A269" t="s">
        <v>968</v>
      </c>
      <c r="B269" t="s">
        <v>969</v>
      </c>
      <c r="C269" s="1">
        <v>45149</v>
      </c>
      <c r="D269">
        <v>46</v>
      </c>
      <c r="E269" t="s">
        <v>27</v>
      </c>
      <c r="F269" t="s">
        <v>54</v>
      </c>
      <c r="J269" t="s">
        <v>970</v>
      </c>
      <c r="K269" t="s">
        <v>21</v>
      </c>
      <c r="M269" t="s">
        <v>971</v>
      </c>
      <c r="N269" t="s">
        <v>30</v>
      </c>
      <c r="O269" t="s">
        <v>971</v>
      </c>
      <c r="P269" t="s">
        <v>30</v>
      </c>
    </row>
    <row r="270" spans="1:16">
      <c r="A270" t="s">
        <v>972</v>
      </c>
      <c r="B270" t="s">
        <v>973</v>
      </c>
      <c r="C270" s="1">
        <v>45150</v>
      </c>
      <c r="D270">
        <v>52</v>
      </c>
      <c r="E270" t="s">
        <v>18</v>
      </c>
      <c r="F270" t="s">
        <v>54</v>
      </c>
      <c r="J270" t="s">
        <v>974</v>
      </c>
      <c r="K270" t="s">
        <v>21</v>
      </c>
      <c r="M270" t="s">
        <v>975</v>
      </c>
      <c r="N270" t="s">
        <v>30</v>
      </c>
      <c r="O270" t="s">
        <v>975</v>
      </c>
      <c r="P270" t="s">
        <v>30</v>
      </c>
    </row>
    <row r="271" spans="1:16">
      <c r="A271" t="s">
        <v>976</v>
      </c>
      <c r="B271" t="s">
        <v>977</v>
      </c>
      <c r="C271" s="1">
        <v>45151</v>
      </c>
      <c r="D271">
        <v>26</v>
      </c>
      <c r="E271" t="s">
        <v>33</v>
      </c>
      <c r="F271" t="s">
        <v>503</v>
      </c>
      <c r="J271" t="s">
        <v>54</v>
      </c>
      <c r="K271" t="s">
        <v>21</v>
      </c>
      <c r="M271" t="s">
        <v>978</v>
      </c>
      <c r="N271" t="s">
        <v>30</v>
      </c>
      <c r="O271" t="s">
        <v>978</v>
      </c>
      <c r="P271" t="s">
        <v>30</v>
      </c>
    </row>
    <row r="272" spans="1:16">
      <c r="A272" t="s">
        <v>979</v>
      </c>
      <c r="B272" t="s">
        <v>980</v>
      </c>
      <c r="C272" s="1">
        <v>45151</v>
      </c>
      <c r="D272">
        <v>39</v>
      </c>
      <c r="E272" t="s">
        <v>33</v>
      </c>
      <c r="F272" t="s">
        <v>981</v>
      </c>
      <c r="J272" t="s">
        <v>54</v>
      </c>
      <c r="K272" t="s">
        <v>21</v>
      </c>
      <c r="M272" t="s">
        <v>982</v>
      </c>
      <c r="N272" t="s">
        <v>30</v>
      </c>
      <c r="O272" t="s">
        <v>982</v>
      </c>
      <c r="P272" t="s">
        <v>30</v>
      </c>
    </row>
    <row r="273" spans="1:16">
      <c r="A273" t="s">
        <v>983</v>
      </c>
      <c r="B273" t="s">
        <v>984</v>
      </c>
      <c r="C273" s="1">
        <v>45152</v>
      </c>
      <c r="D273">
        <v>67</v>
      </c>
      <c r="E273" t="s">
        <v>18</v>
      </c>
      <c r="F273" t="s">
        <v>28</v>
      </c>
      <c r="J273" t="s">
        <v>54</v>
      </c>
      <c r="K273" t="s">
        <v>21</v>
      </c>
      <c r="L273" t="s">
        <v>36</v>
      </c>
      <c r="M273" t="s">
        <v>985</v>
      </c>
      <c r="N273" t="s">
        <v>38</v>
      </c>
      <c r="O273" t="s">
        <v>985</v>
      </c>
      <c r="P273" t="s">
        <v>38</v>
      </c>
    </row>
    <row r="274" spans="1:16">
      <c r="A274" t="s">
        <v>986</v>
      </c>
      <c r="B274" t="s">
        <v>987</v>
      </c>
      <c r="C274" s="1">
        <v>45153</v>
      </c>
      <c r="D274">
        <v>41</v>
      </c>
      <c r="E274" t="s">
        <v>33</v>
      </c>
      <c r="F274" t="s">
        <v>988</v>
      </c>
      <c r="J274" t="s">
        <v>54</v>
      </c>
      <c r="K274" t="s">
        <v>21</v>
      </c>
      <c r="M274" t="s">
        <v>989</v>
      </c>
      <c r="N274" t="s">
        <v>24</v>
      </c>
      <c r="O274" t="s">
        <v>989</v>
      </c>
      <c r="P274" t="s">
        <v>24</v>
      </c>
    </row>
    <row r="275" spans="1:16">
      <c r="A275" t="s">
        <v>990</v>
      </c>
      <c r="B275" t="s">
        <v>991</v>
      </c>
      <c r="C275" s="1">
        <v>45153</v>
      </c>
      <c r="D275">
        <v>62</v>
      </c>
      <c r="E275" t="s">
        <v>33</v>
      </c>
      <c r="F275" t="s">
        <v>63</v>
      </c>
      <c r="J275" t="s">
        <v>992</v>
      </c>
      <c r="K275" t="s">
        <v>21</v>
      </c>
      <c r="L275" t="s">
        <v>36</v>
      </c>
      <c r="M275" t="s">
        <v>993</v>
      </c>
      <c r="N275" t="s">
        <v>38</v>
      </c>
      <c r="O275" t="s">
        <v>993</v>
      </c>
      <c r="P275" t="s">
        <v>38</v>
      </c>
    </row>
    <row r="276" spans="1:16">
      <c r="A276" t="s">
        <v>994</v>
      </c>
      <c r="B276" t="s">
        <v>995</v>
      </c>
      <c r="C276" s="1">
        <v>45153</v>
      </c>
      <c r="D276">
        <v>54</v>
      </c>
      <c r="E276" t="s">
        <v>33</v>
      </c>
      <c r="F276" t="s">
        <v>54</v>
      </c>
      <c r="K276" t="s">
        <v>21</v>
      </c>
      <c r="L276" t="s">
        <v>36</v>
      </c>
      <c r="M276" t="s">
        <v>996</v>
      </c>
      <c r="N276" t="s">
        <v>38</v>
      </c>
      <c r="O276" t="s">
        <v>996</v>
      </c>
      <c r="P276" t="s">
        <v>38</v>
      </c>
    </row>
    <row r="277" spans="1:16">
      <c r="A277" t="s">
        <v>997</v>
      </c>
      <c r="B277" t="s">
        <v>998</v>
      </c>
      <c r="C277" s="1">
        <v>45154</v>
      </c>
      <c r="D277">
        <v>62</v>
      </c>
      <c r="E277" t="s">
        <v>112</v>
      </c>
      <c r="F277" t="s">
        <v>54</v>
      </c>
      <c r="K277" t="s">
        <v>21</v>
      </c>
      <c r="L277" t="s">
        <v>36</v>
      </c>
      <c r="M277" t="s">
        <v>999</v>
      </c>
      <c r="N277" t="s">
        <v>38</v>
      </c>
      <c r="O277" t="s">
        <v>999</v>
      </c>
      <c r="P277" t="s">
        <v>38</v>
      </c>
    </row>
    <row r="278" spans="1:16">
      <c r="A278" t="s">
        <v>1000</v>
      </c>
      <c r="B278" t="s">
        <v>1001</v>
      </c>
      <c r="C278" s="1">
        <v>45154</v>
      </c>
      <c r="D278">
        <v>61</v>
      </c>
      <c r="E278" t="s">
        <v>33</v>
      </c>
      <c r="F278" t="s">
        <v>339</v>
      </c>
      <c r="J278" t="s">
        <v>1002</v>
      </c>
      <c r="K278" t="s">
        <v>21</v>
      </c>
      <c r="L278" t="s">
        <v>36</v>
      </c>
      <c r="M278" t="s">
        <v>1003</v>
      </c>
      <c r="N278" t="s">
        <v>24</v>
      </c>
      <c r="O278" t="s">
        <v>1003</v>
      </c>
      <c r="P278" t="s">
        <v>24</v>
      </c>
    </row>
    <row r="279" spans="1:16">
      <c r="A279" t="s">
        <v>1004</v>
      </c>
      <c r="B279" t="s">
        <v>1005</v>
      </c>
      <c r="C279" s="1">
        <v>45154</v>
      </c>
      <c r="D279">
        <v>61</v>
      </c>
      <c r="E279" t="s">
        <v>27</v>
      </c>
      <c r="F279" t="s">
        <v>281</v>
      </c>
      <c r="J279" t="s">
        <v>159</v>
      </c>
      <c r="K279" t="s">
        <v>21</v>
      </c>
      <c r="L279" t="s">
        <v>36</v>
      </c>
      <c r="M279" t="s">
        <v>1006</v>
      </c>
      <c r="N279" t="s">
        <v>38</v>
      </c>
      <c r="O279" t="s">
        <v>1006</v>
      </c>
      <c r="P279" t="s">
        <v>38</v>
      </c>
    </row>
    <row r="280" spans="1:16">
      <c r="A280" t="s">
        <v>1007</v>
      </c>
      <c r="B280" t="s">
        <v>1008</v>
      </c>
      <c r="C280" s="1">
        <v>45165</v>
      </c>
      <c r="D280">
        <v>59</v>
      </c>
      <c r="E280" t="s">
        <v>33</v>
      </c>
      <c r="F280" t="s">
        <v>1009</v>
      </c>
      <c r="G280" t="s">
        <v>63</v>
      </c>
      <c r="J280" t="s">
        <v>185</v>
      </c>
      <c r="K280" t="s">
        <v>21</v>
      </c>
      <c r="L280" t="s">
        <v>36</v>
      </c>
      <c r="M280" t="s">
        <v>1010</v>
      </c>
      <c r="N280" t="s">
        <v>38</v>
      </c>
      <c r="O280" t="s">
        <v>1010</v>
      </c>
      <c r="P280" t="s">
        <v>38</v>
      </c>
    </row>
    <row r="281" spans="1:16">
      <c r="A281" t="s">
        <v>1011</v>
      </c>
      <c r="B281" t="s">
        <v>1012</v>
      </c>
      <c r="C281" s="1">
        <v>45166</v>
      </c>
      <c r="D281">
        <v>39</v>
      </c>
      <c r="E281" t="s">
        <v>33</v>
      </c>
      <c r="F281" t="s">
        <v>54</v>
      </c>
      <c r="J281" t="s">
        <v>800</v>
      </c>
      <c r="K281" t="s">
        <v>21</v>
      </c>
      <c r="M281" t="s">
        <v>1013</v>
      </c>
      <c r="N281" t="s">
        <v>30</v>
      </c>
      <c r="O281" t="s">
        <v>1013</v>
      </c>
      <c r="P281" t="s">
        <v>30</v>
      </c>
    </row>
    <row r="282" spans="1:16">
      <c r="A282" t="s">
        <v>1014</v>
      </c>
      <c r="B282" t="s">
        <v>1015</v>
      </c>
      <c r="C282" s="1">
        <v>45166</v>
      </c>
      <c r="D282">
        <v>65</v>
      </c>
      <c r="E282" t="s">
        <v>33</v>
      </c>
      <c r="F282" t="s">
        <v>54</v>
      </c>
      <c r="J282" t="s">
        <v>1016</v>
      </c>
      <c r="K282" t="s">
        <v>21</v>
      </c>
      <c r="M282" t="s">
        <v>1017</v>
      </c>
      <c r="N282" t="s">
        <v>30</v>
      </c>
      <c r="O282" t="s">
        <v>1017</v>
      </c>
      <c r="P282" t="s">
        <v>70</v>
      </c>
    </row>
    <row r="283" spans="1:16">
      <c r="A283" t="s">
        <v>1018</v>
      </c>
      <c r="B283" t="s">
        <v>1019</v>
      </c>
      <c r="C283" s="1">
        <v>45167</v>
      </c>
      <c r="D283">
        <v>78</v>
      </c>
      <c r="E283" t="s">
        <v>33</v>
      </c>
      <c r="F283" t="s">
        <v>63</v>
      </c>
      <c r="J283" t="s">
        <v>1020</v>
      </c>
      <c r="K283" t="s">
        <v>21</v>
      </c>
      <c r="L283" t="s">
        <v>36</v>
      </c>
      <c r="M283" t="s">
        <v>1021</v>
      </c>
      <c r="N283" t="s">
        <v>38</v>
      </c>
      <c r="O283" t="s">
        <v>1021</v>
      </c>
      <c r="P283" t="s">
        <v>38</v>
      </c>
    </row>
    <row r="284" spans="1:16">
      <c r="A284" t="s">
        <v>1022</v>
      </c>
      <c r="B284" t="s">
        <v>1023</v>
      </c>
      <c r="C284" s="1">
        <v>45168</v>
      </c>
      <c r="D284">
        <v>39</v>
      </c>
      <c r="E284" t="s">
        <v>33</v>
      </c>
      <c r="F284" t="s">
        <v>97</v>
      </c>
      <c r="J284" t="s">
        <v>800</v>
      </c>
      <c r="K284" t="s">
        <v>21</v>
      </c>
      <c r="N284" t="s">
        <v>30</v>
      </c>
      <c r="O284" t="s">
        <v>127</v>
      </c>
      <c r="P284" t="s">
        <v>44</v>
      </c>
    </row>
    <row r="285" spans="1:16">
      <c r="A285" t="s">
        <v>1024</v>
      </c>
      <c r="B285" t="s">
        <v>1025</v>
      </c>
      <c r="C285" s="1">
        <v>45168</v>
      </c>
      <c r="D285">
        <v>43</v>
      </c>
      <c r="E285" t="s">
        <v>18</v>
      </c>
      <c r="F285" t="s">
        <v>97</v>
      </c>
      <c r="J285" t="s">
        <v>800</v>
      </c>
      <c r="K285" t="s">
        <v>21</v>
      </c>
      <c r="N285" t="s">
        <v>30</v>
      </c>
      <c r="O285" t="s">
        <v>127</v>
      </c>
      <c r="P285" t="s">
        <v>228</v>
      </c>
    </row>
    <row r="286" spans="1:16">
      <c r="A286" t="s">
        <v>1026</v>
      </c>
      <c r="B286" t="s">
        <v>1027</v>
      </c>
      <c r="C286" s="1">
        <v>45169</v>
      </c>
      <c r="D286">
        <v>77</v>
      </c>
      <c r="E286" t="s">
        <v>33</v>
      </c>
      <c r="F286" t="s">
        <v>1028</v>
      </c>
      <c r="J286" t="s">
        <v>54</v>
      </c>
      <c r="K286" t="s">
        <v>21</v>
      </c>
      <c r="L286" t="s">
        <v>36</v>
      </c>
      <c r="M286" t="s">
        <v>1029</v>
      </c>
      <c r="N286" t="s">
        <v>38</v>
      </c>
      <c r="O286" t="s">
        <v>1029</v>
      </c>
      <c r="P286" t="s">
        <v>38</v>
      </c>
    </row>
    <row r="287" spans="1:16">
      <c r="A287" t="s">
        <v>1030</v>
      </c>
      <c r="B287" t="s">
        <v>1031</v>
      </c>
      <c r="C287" s="1">
        <v>45169</v>
      </c>
      <c r="D287">
        <v>55</v>
      </c>
      <c r="E287" t="s">
        <v>33</v>
      </c>
      <c r="F287" t="s">
        <v>54</v>
      </c>
      <c r="J287" t="s">
        <v>1032</v>
      </c>
      <c r="K287" t="s">
        <v>21</v>
      </c>
      <c r="M287" t="s">
        <v>1033</v>
      </c>
      <c r="N287" t="s">
        <v>30</v>
      </c>
      <c r="O287" t="s">
        <v>1033</v>
      </c>
      <c r="P287" t="s">
        <v>30</v>
      </c>
    </row>
    <row r="288" spans="1:16">
      <c r="A288" t="s">
        <v>1034</v>
      </c>
      <c r="B288" t="s">
        <v>1035</v>
      </c>
      <c r="C288" s="1">
        <v>45169</v>
      </c>
      <c r="D288">
        <v>44</v>
      </c>
      <c r="E288" t="s">
        <v>18</v>
      </c>
      <c r="F288" t="s">
        <v>1036</v>
      </c>
      <c r="J288" t="s">
        <v>1037</v>
      </c>
      <c r="K288" t="s">
        <v>21</v>
      </c>
      <c r="N288" t="s">
        <v>208</v>
      </c>
      <c r="O288" t="s">
        <v>99</v>
      </c>
      <c r="P288" t="s">
        <v>44</v>
      </c>
    </row>
    <row r="289" spans="1:16">
      <c r="A289" t="s">
        <v>1038</v>
      </c>
      <c r="B289" t="s">
        <v>1039</v>
      </c>
      <c r="C289" s="1">
        <v>45172</v>
      </c>
      <c r="D289">
        <v>71</v>
      </c>
      <c r="E289" t="s">
        <v>298</v>
      </c>
      <c r="F289" t="s">
        <v>163</v>
      </c>
      <c r="J289" t="s">
        <v>1040</v>
      </c>
      <c r="K289" t="s">
        <v>21</v>
      </c>
      <c r="M289" t="s">
        <v>1041</v>
      </c>
      <c r="N289" t="s">
        <v>1042</v>
      </c>
      <c r="O289" t="s">
        <v>99</v>
      </c>
      <c r="P289" t="s">
        <v>51</v>
      </c>
    </row>
    <row r="290" spans="1:16">
      <c r="A290" t="s">
        <v>1043</v>
      </c>
      <c r="B290" t="s">
        <v>1044</v>
      </c>
      <c r="C290" s="1">
        <v>45172</v>
      </c>
      <c r="D290">
        <v>52</v>
      </c>
      <c r="E290" t="s">
        <v>33</v>
      </c>
      <c r="F290" t="s">
        <v>34</v>
      </c>
      <c r="J290" t="s">
        <v>1045</v>
      </c>
      <c r="K290" t="s">
        <v>21</v>
      </c>
      <c r="M290" t="s">
        <v>1046</v>
      </c>
      <c r="N290" t="s">
        <v>30</v>
      </c>
      <c r="O290" t="s">
        <v>1046</v>
      </c>
      <c r="P290" t="s">
        <v>30</v>
      </c>
    </row>
    <row r="291" spans="1:16">
      <c r="A291" t="s">
        <v>1047</v>
      </c>
      <c r="B291" t="s">
        <v>1048</v>
      </c>
      <c r="C291" s="1">
        <v>45175</v>
      </c>
      <c r="D291">
        <v>56</v>
      </c>
      <c r="E291" t="s">
        <v>33</v>
      </c>
      <c r="F291" t="s">
        <v>1049</v>
      </c>
      <c r="J291" t="s">
        <v>1050</v>
      </c>
      <c r="K291" t="s">
        <v>21</v>
      </c>
      <c r="L291" t="s">
        <v>36</v>
      </c>
      <c r="N291" t="s">
        <v>30</v>
      </c>
      <c r="O291" t="s">
        <v>99</v>
      </c>
      <c r="P291" t="s">
        <v>855</v>
      </c>
    </row>
    <row r="292" spans="1:16">
      <c r="A292" t="s">
        <v>1051</v>
      </c>
      <c r="B292" t="s">
        <v>1052</v>
      </c>
      <c r="C292" s="1">
        <v>45178</v>
      </c>
      <c r="D292">
        <v>71</v>
      </c>
      <c r="E292" t="s">
        <v>33</v>
      </c>
      <c r="F292" t="s">
        <v>54</v>
      </c>
      <c r="J292" t="s">
        <v>199</v>
      </c>
      <c r="K292" t="s">
        <v>21</v>
      </c>
      <c r="M292" t="s">
        <v>1053</v>
      </c>
      <c r="N292" t="s">
        <v>30</v>
      </c>
      <c r="O292" t="s">
        <v>1053</v>
      </c>
      <c r="P292" t="s">
        <v>30</v>
      </c>
    </row>
    <row r="293" spans="1:16">
      <c r="A293" t="s">
        <v>1054</v>
      </c>
      <c r="B293" t="s">
        <v>1055</v>
      </c>
      <c r="C293" s="1">
        <v>45182</v>
      </c>
      <c r="D293">
        <v>54</v>
      </c>
      <c r="E293" t="s">
        <v>33</v>
      </c>
      <c r="F293" t="s">
        <v>54</v>
      </c>
      <c r="K293" t="s">
        <v>21</v>
      </c>
      <c r="L293" t="s">
        <v>36</v>
      </c>
      <c r="M293" t="s">
        <v>1056</v>
      </c>
      <c r="N293" t="s">
        <v>30</v>
      </c>
      <c r="O293" t="s">
        <v>1056</v>
      </c>
      <c r="P293" t="s">
        <v>30</v>
      </c>
    </row>
    <row r="294" spans="1:16">
      <c r="A294" t="s">
        <v>1057</v>
      </c>
      <c r="B294" t="s">
        <v>1058</v>
      </c>
      <c r="C294" s="1">
        <v>45189</v>
      </c>
      <c r="D294">
        <v>28</v>
      </c>
      <c r="E294" t="s">
        <v>33</v>
      </c>
      <c r="F294" t="s">
        <v>1059</v>
      </c>
      <c r="J294" t="s">
        <v>54</v>
      </c>
      <c r="K294" t="s">
        <v>21</v>
      </c>
      <c r="L294" t="s">
        <v>36</v>
      </c>
      <c r="M294" t="s">
        <v>1060</v>
      </c>
      <c r="N294" t="s">
        <v>38</v>
      </c>
      <c r="O294" t="s">
        <v>99</v>
      </c>
      <c r="P294" t="s">
        <v>51</v>
      </c>
    </row>
    <row r="295" spans="1:16">
      <c r="A295" t="s">
        <v>1061</v>
      </c>
      <c r="B295" t="s">
        <v>1062</v>
      </c>
      <c r="C295" s="1">
        <v>45184</v>
      </c>
      <c r="D295">
        <v>30</v>
      </c>
      <c r="E295" t="s">
        <v>33</v>
      </c>
      <c r="F295" t="s">
        <v>1063</v>
      </c>
      <c r="J295" t="s">
        <v>35</v>
      </c>
      <c r="K295" t="s">
        <v>21</v>
      </c>
      <c r="L295" t="s">
        <v>36</v>
      </c>
      <c r="M295" t="s">
        <v>1064</v>
      </c>
      <c r="N295" t="s">
        <v>65</v>
      </c>
      <c r="O295" t="s">
        <v>1064</v>
      </c>
      <c r="P295" t="s">
        <v>65</v>
      </c>
    </row>
    <row r="296" spans="1:16">
      <c r="A296" t="s">
        <v>1065</v>
      </c>
      <c r="B296" t="s">
        <v>1066</v>
      </c>
      <c r="C296" s="1">
        <v>45146</v>
      </c>
      <c r="D296">
        <v>57</v>
      </c>
      <c r="E296" t="s">
        <v>18</v>
      </c>
      <c r="F296" t="s">
        <v>1036</v>
      </c>
      <c r="J296" t="s">
        <v>54</v>
      </c>
      <c r="K296" t="s">
        <v>21</v>
      </c>
      <c r="N296" t="s">
        <v>30</v>
      </c>
      <c r="O296" t="s">
        <v>50</v>
      </c>
      <c r="P296" t="s">
        <v>44</v>
      </c>
    </row>
    <row r="297" spans="1:16">
      <c r="A297" t="s">
        <v>1067</v>
      </c>
      <c r="B297" t="s">
        <v>1068</v>
      </c>
      <c r="C297" s="1">
        <v>45197</v>
      </c>
      <c r="D297">
        <v>69</v>
      </c>
      <c r="E297" t="s">
        <v>841</v>
      </c>
      <c r="F297" t="s">
        <v>1069</v>
      </c>
      <c r="G297" t="s">
        <v>28</v>
      </c>
      <c r="J297" t="s">
        <v>1070</v>
      </c>
      <c r="K297" t="s">
        <v>232</v>
      </c>
      <c r="L297" t="s">
        <v>1071</v>
      </c>
      <c r="M297" t="s">
        <v>1072</v>
      </c>
      <c r="N297" t="s">
        <v>1073</v>
      </c>
      <c r="O297" t="s">
        <v>1072</v>
      </c>
      <c r="P297" t="s">
        <v>1073</v>
      </c>
    </row>
    <row r="298" spans="1:16">
      <c r="A298" t="s">
        <v>1074</v>
      </c>
      <c r="B298" t="s">
        <v>1075</v>
      </c>
      <c r="C298" s="1">
        <v>45185</v>
      </c>
      <c r="D298">
        <v>63</v>
      </c>
      <c r="E298" t="s">
        <v>778</v>
      </c>
      <c r="F298" t="s">
        <v>163</v>
      </c>
      <c r="J298" t="s">
        <v>1076</v>
      </c>
      <c r="K298" t="s">
        <v>21</v>
      </c>
      <c r="O298" t="s">
        <v>478</v>
      </c>
      <c r="P298" t="s">
        <v>1077</v>
      </c>
    </row>
    <row r="299" spans="1:16">
      <c r="A299" t="s">
        <v>1078</v>
      </c>
      <c r="B299" t="s">
        <v>1079</v>
      </c>
      <c r="C299" s="1">
        <v>45197</v>
      </c>
      <c r="D299">
        <v>78</v>
      </c>
      <c r="F299" t="s">
        <v>63</v>
      </c>
      <c r="J299" t="s">
        <v>448</v>
      </c>
      <c r="K299" t="s">
        <v>21</v>
      </c>
      <c r="L299" t="s">
        <v>1071</v>
      </c>
      <c r="M299" t="s">
        <v>1080</v>
      </c>
      <c r="N299" t="s">
        <v>1073</v>
      </c>
      <c r="O299" t="s">
        <v>1080</v>
      </c>
      <c r="P299" t="s">
        <v>1073</v>
      </c>
    </row>
    <row r="300" spans="1:16">
      <c r="A300" t="s">
        <v>1081</v>
      </c>
      <c r="B300" t="s">
        <v>1082</v>
      </c>
      <c r="C300" s="1">
        <v>45198</v>
      </c>
      <c r="D300">
        <v>77</v>
      </c>
      <c r="E300" t="s">
        <v>841</v>
      </c>
      <c r="F300" t="s">
        <v>1083</v>
      </c>
      <c r="G300" t="s">
        <v>28</v>
      </c>
      <c r="J300" t="s">
        <v>1084</v>
      </c>
      <c r="K300" t="s">
        <v>21</v>
      </c>
      <c r="L300" t="s">
        <v>1071</v>
      </c>
      <c r="M300" t="s">
        <v>1085</v>
      </c>
      <c r="N300" t="s">
        <v>1086</v>
      </c>
      <c r="O300" t="s">
        <v>1085</v>
      </c>
      <c r="P300" t="s">
        <v>1086</v>
      </c>
    </row>
    <row r="301" spans="1:16">
      <c r="A301" t="s">
        <v>1087</v>
      </c>
      <c r="B301" t="s">
        <v>1088</v>
      </c>
      <c r="C301" s="1">
        <v>45215</v>
      </c>
      <c r="D301">
        <v>76</v>
      </c>
      <c r="E301" t="s">
        <v>841</v>
      </c>
      <c r="F301" t="s">
        <v>1089</v>
      </c>
      <c r="J301" t="s">
        <v>1090</v>
      </c>
      <c r="K301" t="s">
        <v>232</v>
      </c>
      <c r="L301" t="s">
        <v>1071</v>
      </c>
      <c r="M301" t="s">
        <v>1091</v>
      </c>
      <c r="N301" t="s">
        <v>1073</v>
      </c>
      <c r="O301" t="s">
        <v>1091</v>
      </c>
      <c r="P301" t="s">
        <v>1073</v>
      </c>
    </row>
    <row r="302" spans="1:16">
      <c r="A302" t="s">
        <v>1092</v>
      </c>
      <c r="B302" t="s">
        <v>1093</v>
      </c>
      <c r="C302" s="1">
        <v>45254</v>
      </c>
      <c r="D302">
        <v>50</v>
      </c>
      <c r="E302" t="s">
        <v>841</v>
      </c>
      <c r="F302" t="s">
        <v>1094</v>
      </c>
      <c r="J302" t="s">
        <v>1095</v>
      </c>
      <c r="K302" t="s">
        <v>21</v>
      </c>
      <c r="L302" t="s">
        <v>1071</v>
      </c>
      <c r="O302" t="s">
        <v>1096</v>
      </c>
      <c r="P302" t="s">
        <v>1097</v>
      </c>
    </row>
    <row r="303" spans="1:16">
      <c r="C303" s="1"/>
    </row>
    <row r="304" spans="1:16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  <row r="584" spans="3:3">
      <c r="C584" s="1"/>
    </row>
    <row r="585" spans="3:3">
      <c r="C585" s="1"/>
    </row>
    <row r="586" spans="3:3">
      <c r="C586" s="1"/>
    </row>
    <row r="587" spans="3:3">
      <c r="C587" s="1"/>
    </row>
    <row r="588" spans="3:3">
      <c r="C588" s="1"/>
    </row>
    <row r="589" spans="3:3">
      <c r="C589" s="1"/>
    </row>
    <row r="590" spans="3:3">
      <c r="C590" s="1"/>
    </row>
    <row r="591" spans="3:3">
      <c r="C591" s="1"/>
    </row>
    <row r="592" spans="3:3">
      <c r="C592" s="1"/>
    </row>
    <row r="593" spans="3:3">
      <c r="C593" s="1"/>
    </row>
    <row r="594" spans="3:3">
      <c r="C594" s="1"/>
    </row>
    <row r="595" spans="3:3">
      <c r="C595" s="1"/>
    </row>
    <row r="596" spans="3:3">
      <c r="C596" s="1"/>
    </row>
    <row r="597" spans="3:3">
      <c r="C597" s="1"/>
    </row>
    <row r="598" spans="3:3">
      <c r="C598" s="1"/>
    </row>
    <row r="599" spans="3:3">
      <c r="C599" s="1"/>
    </row>
    <row r="600" spans="3:3">
      <c r="C600" s="1"/>
    </row>
    <row r="601" spans="3:3">
      <c r="C601" s="1"/>
    </row>
    <row r="602" spans="3:3">
      <c r="C602" s="1"/>
    </row>
    <row r="603" spans="3:3">
      <c r="C603" s="1"/>
    </row>
    <row r="604" spans="3:3">
      <c r="C604" s="1"/>
    </row>
    <row r="605" spans="3:3">
      <c r="C605" s="1"/>
    </row>
    <row r="606" spans="3:3">
      <c r="C606" s="1"/>
    </row>
    <row r="607" spans="3:3">
      <c r="C607" s="1"/>
    </row>
    <row r="608" spans="3:3">
      <c r="C608" s="1"/>
    </row>
    <row r="609" spans="3:3">
      <c r="C609" s="1"/>
    </row>
    <row r="610" spans="3:3">
      <c r="C610" s="1"/>
    </row>
    <row r="611" spans="3:3">
      <c r="C611" s="1"/>
    </row>
    <row r="612" spans="3:3">
      <c r="C612" s="1"/>
    </row>
    <row r="613" spans="3:3">
      <c r="C613" s="1"/>
    </row>
    <row r="614" spans="3:3">
      <c r="C614" s="1"/>
    </row>
    <row r="615" spans="3:3">
      <c r="C615" s="1"/>
    </row>
    <row r="616" spans="3:3">
      <c r="C616" s="1"/>
    </row>
    <row r="617" spans="3:3">
      <c r="C617" s="1"/>
    </row>
    <row r="618" spans="3:3">
      <c r="C618" s="1"/>
    </row>
    <row r="619" spans="3:3">
      <c r="C619" s="1"/>
    </row>
    <row r="620" spans="3:3">
      <c r="C620" s="1"/>
    </row>
    <row r="621" spans="3:3">
      <c r="C621" s="1"/>
    </row>
    <row r="622" spans="3:3">
      <c r="C622" s="1"/>
    </row>
    <row r="623" spans="3:3">
      <c r="C623" s="1"/>
    </row>
    <row r="624" spans="3:3">
      <c r="C624" s="1"/>
    </row>
    <row r="625" spans="3:3">
      <c r="C625" s="1"/>
    </row>
    <row r="626" spans="3:3">
      <c r="C626" s="1"/>
    </row>
    <row r="627" spans="3:3">
      <c r="C627" s="1"/>
    </row>
    <row r="628" spans="3:3">
      <c r="C628" s="1"/>
    </row>
    <row r="629" spans="3:3">
      <c r="C629" s="1"/>
    </row>
    <row r="630" spans="3:3">
      <c r="C630" s="1"/>
    </row>
    <row r="631" spans="3:3">
      <c r="C631" s="1"/>
    </row>
    <row r="632" spans="3:3">
      <c r="C632" s="1"/>
    </row>
    <row r="633" spans="3:3">
      <c r="C633" s="1"/>
    </row>
    <row r="634" spans="3:3">
      <c r="C634" s="1"/>
    </row>
    <row r="635" spans="3:3">
      <c r="C635" s="1"/>
    </row>
    <row r="636" spans="3:3">
      <c r="C636" s="1"/>
    </row>
    <row r="637" spans="3:3">
      <c r="C637" s="1"/>
    </row>
    <row r="638" spans="3:3">
      <c r="C638" s="1"/>
    </row>
    <row r="639" spans="3:3">
      <c r="C639" s="1"/>
    </row>
    <row r="640" spans="3:3">
      <c r="C640" s="1"/>
    </row>
    <row r="641" spans="3:3">
      <c r="C641" s="1"/>
    </row>
    <row r="642" spans="3:3">
      <c r="C642" s="1"/>
    </row>
    <row r="643" spans="3:3">
      <c r="C643" s="1"/>
    </row>
    <row r="644" spans="3:3">
      <c r="C644" s="1"/>
    </row>
    <row r="645" spans="3:3">
      <c r="C645" s="1"/>
    </row>
    <row r="646" spans="3:3">
      <c r="C646" s="1"/>
    </row>
    <row r="647" spans="3:3">
      <c r="C647" s="1"/>
    </row>
    <row r="648" spans="3:3">
      <c r="C648" s="1"/>
    </row>
    <row r="649" spans="3:3">
      <c r="C649" s="1"/>
    </row>
    <row r="650" spans="3:3">
      <c r="C650" s="1"/>
    </row>
    <row r="651" spans="3:3">
      <c r="C651" s="1"/>
    </row>
    <row r="652" spans="3:3">
      <c r="C652" s="1"/>
    </row>
    <row r="653" spans="3:3">
      <c r="C653" s="1"/>
    </row>
    <row r="654" spans="3:3">
      <c r="C654" s="1"/>
    </row>
    <row r="655" spans="3:3">
      <c r="C655" s="1"/>
    </row>
    <row r="656" spans="3:3">
      <c r="C656" s="1"/>
    </row>
    <row r="657" spans="3:3">
      <c r="C657" s="1"/>
    </row>
    <row r="658" spans="3:3">
      <c r="C658" s="1"/>
    </row>
    <row r="659" spans="3:3">
      <c r="C659" s="1"/>
    </row>
    <row r="660" spans="3:3">
      <c r="C660" s="1"/>
    </row>
    <row r="661" spans="3:3">
      <c r="C661" s="1"/>
    </row>
    <row r="662" spans="3:3">
      <c r="C662" s="1"/>
    </row>
    <row r="663" spans="3:3">
      <c r="C663" s="1"/>
    </row>
    <row r="664" spans="3:3">
      <c r="C664" s="1"/>
    </row>
    <row r="665" spans="3:3">
      <c r="C665" s="1"/>
    </row>
    <row r="666" spans="3:3">
      <c r="C666" s="1"/>
    </row>
    <row r="667" spans="3:3">
      <c r="C667" s="1"/>
    </row>
    <row r="668" spans="3:3">
      <c r="C668" s="1"/>
    </row>
    <row r="669" spans="3:3">
      <c r="C669" s="1"/>
    </row>
    <row r="670" spans="3:3">
      <c r="C670" s="1"/>
    </row>
    <row r="671" spans="3:3">
      <c r="C671" s="1"/>
    </row>
    <row r="672" spans="3:3">
      <c r="C672" s="1"/>
    </row>
    <row r="673" spans="3:3">
      <c r="C673" s="1"/>
    </row>
    <row r="674" spans="3:3">
      <c r="C674" s="1"/>
    </row>
    <row r="675" spans="3:3">
      <c r="C675" s="1"/>
    </row>
    <row r="676" spans="3:3">
      <c r="C676" s="1"/>
    </row>
    <row r="677" spans="3:3">
      <c r="C677" s="1"/>
    </row>
    <row r="678" spans="3:3">
      <c r="C678" s="1"/>
    </row>
    <row r="679" spans="3:3">
      <c r="C679" s="1"/>
    </row>
    <row r="680" spans="3:3">
      <c r="C680" s="1"/>
    </row>
    <row r="681" spans="3:3">
      <c r="C681" s="1"/>
    </row>
    <row r="682" spans="3:3">
      <c r="C682" s="1"/>
    </row>
    <row r="683" spans="3:3">
      <c r="C683" s="1"/>
    </row>
    <row r="684" spans="3:3">
      <c r="C684" s="1"/>
    </row>
    <row r="685" spans="3:3">
      <c r="C685" s="1"/>
    </row>
    <row r="686" spans="3:3">
      <c r="C686" s="1"/>
    </row>
    <row r="687" spans="3:3">
      <c r="C687" s="1"/>
    </row>
    <row r="688" spans="3:3">
      <c r="C688" s="1"/>
    </row>
    <row r="689" spans="3:3">
      <c r="C689" s="1"/>
    </row>
    <row r="690" spans="3:3">
      <c r="C690" s="1"/>
    </row>
    <row r="691" spans="3:3">
      <c r="C691" s="1"/>
    </row>
    <row r="692" spans="3:3">
      <c r="C692" s="1"/>
    </row>
    <row r="693" spans="3:3">
      <c r="C693" s="1"/>
    </row>
    <row r="694" spans="3:3">
      <c r="C694" s="1"/>
    </row>
    <row r="695" spans="3:3">
      <c r="C695" s="1"/>
    </row>
    <row r="696" spans="3:3">
      <c r="C696" s="1"/>
    </row>
    <row r="697" spans="3:3">
      <c r="C697" s="1"/>
    </row>
    <row r="698" spans="3:3">
      <c r="C698" s="1"/>
    </row>
    <row r="699" spans="3:3">
      <c r="C699" s="1"/>
    </row>
    <row r="700" spans="3:3">
      <c r="C700" s="1"/>
    </row>
    <row r="701" spans="3:3">
      <c r="C701" s="1"/>
    </row>
    <row r="702" spans="3:3">
      <c r="C702" s="1"/>
    </row>
    <row r="703" spans="3:3">
      <c r="C703" s="1"/>
    </row>
    <row r="704" spans="3:3">
      <c r="C704" s="1"/>
    </row>
    <row r="705" spans="3:3">
      <c r="C705" s="1"/>
    </row>
    <row r="706" spans="3:3">
      <c r="C706" s="1"/>
    </row>
    <row r="707" spans="3:3">
      <c r="C707" s="1"/>
    </row>
    <row r="708" spans="3:3">
      <c r="C708" s="1"/>
    </row>
    <row r="709" spans="3:3">
      <c r="C709" s="1"/>
    </row>
    <row r="710" spans="3:3">
      <c r="C710" s="1"/>
    </row>
    <row r="711" spans="3:3">
      <c r="C711" s="1"/>
    </row>
    <row r="712" spans="3:3">
      <c r="C712" s="1"/>
    </row>
    <row r="713" spans="3:3">
      <c r="C713" s="1"/>
    </row>
    <row r="714" spans="3:3">
      <c r="C714" s="1"/>
    </row>
    <row r="715" spans="3:3">
      <c r="C715" s="1"/>
    </row>
    <row r="716" spans="3:3">
      <c r="C716" s="1"/>
    </row>
    <row r="717" spans="3:3">
      <c r="C717" s="1"/>
    </row>
    <row r="718" spans="3:3">
      <c r="C718" s="1"/>
    </row>
    <row r="719" spans="3:3">
      <c r="C719" s="1"/>
    </row>
    <row r="720" spans="3:3">
      <c r="C720" s="1"/>
    </row>
    <row r="721" spans="3:3">
      <c r="C721" s="1"/>
    </row>
    <row r="722" spans="3:3">
      <c r="C722" s="1"/>
    </row>
    <row r="723" spans="3:3">
      <c r="C723" s="1"/>
    </row>
    <row r="724" spans="3:3">
      <c r="C724" s="1"/>
    </row>
    <row r="725" spans="3:3">
      <c r="C725" s="1"/>
    </row>
    <row r="726" spans="3:3">
      <c r="C726" s="1"/>
    </row>
    <row r="727" spans="3:3">
      <c r="C727" s="1"/>
    </row>
    <row r="728" spans="3:3">
      <c r="C728" s="1"/>
    </row>
    <row r="729" spans="3:3">
      <c r="C729" s="1"/>
    </row>
    <row r="730" spans="3:3">
      <c r="C730" s="1"/>
    </row>
    <row r="731" spans="3:3">
      <c r="C731" s="1"/>
    </row>
    <row r="732" spans="3:3">
      <c r="C732" s="1"/>
    </row>
    <row r="733" spans="3:3">
      <c r="C733" s="1"/>
    </row>
    <row r="734" spans="3:3">
      <c r="C734" s="1"/>
    </row>
    <row r="735" spans="3:3">
      <c r="C735" s="1"/>
    </row>
    <row r="736" spans="3:3">
      <c r="C736" s="1"/>
    </row>
    <row r="737" spans="3:3">
      <c r="C737" s="1"/>
    </row>
    <row r="738" spans="3:3">
      <c r="C738" s="1"/>
    </row>
    <row r="739" spans="3:3">
      <c r="C739" s="1"/>
    </row>
    <row r="740" spans="3:3">
      <c r="C740" s="1"/>
    </row>
    <row r="741" spans="3:3">
      <c r="C741" s="1"/>
    </row>
    <row r="742" spans="3:3">
      <c r="C742" s="1"/>
    </row>
    <row r="743" spans="3:3">
      <c r="C743" s="1"/>
    </row>
    <row r="744" spans="3:3">
      <c r="C744" s="1"/>
    </row>
    <row r="745" spans="3:3">
      <c r="C745" s="1"/>
    </row>
    <row r="746" spans="3:3">
      <c r="C746" s="1"/>
    </row>
    <row r="747" spans="3:3">
      <c r="C747" s="1"/>
    </row>
    <row r="748" spans="3:3">
      <c r="C748" s="1"/>
    </row>
    <row r="749" spans="3:3">
      <c r="C749" s="1"/>
    </row>
    <row r="750" spans="3:3">
      <c r="C750" s="1"/>
    </row>
    <row r="751" spans="3:3">
      <c r="C751" s="1"/>
    </row>
    <row r="752" spans="3:3">
      <c r="C752" s="1"/>
    </row>
    <row r="753" spans="3:3">
      <c r="C753" s="1"/>
    </row>
    <row r="754" spans="3:3">
      <c r="C754" s="1"/>
    </row>
    <row r="755" spans="3:3">
      <c r="C755" s="1"/>
    </row>
    <row r="756" spans="3:3">
      <c r="C756" s="1"/>
    </row>
    <row r="757" spans="3:3">
      <c r="C757" s="1"/>
    </row>
    <row r="758" spans="3:3">
      <c r="C758" s="1"/>
    </row>
    <row r="759" spans="3:3">
      <c r="C759" s="1"/>
    </row>
    <row r="760" spans="3:3">
      <c r="C760" s="1"/>
    </row>
    <row r="761" spans="3:3">
      <c r="C761" s="1"/>
    </row>
    <row r="762" spans="3:3">
      <c r="C762" s="1"/>
    </row>
    <row r="763" spans="3:3">
      <c r="C763" s="1"/>
    </row>
    <row r="764" spans="3:3">
      <c r="C764" s="1"/>
    </row>
    <row r="765" spans="3:3">
      <c r="C765" s="1"/>
    </row>
    <row r="766" spans="3:3">
      <c r="C766" s="1"/>
    </row>
    <row r="767" spans="3:3">
      <c r="C767" s="1"/>
    </row>
    <row r="768" spans="3:3">
      <c r="C768" s="1"/>
    </row>
    <row r="769" spans="3:3">
      <c r="C769" s="1"/>
    </row>
    <row r="770" spans="3:3">
      <c r="C770" s="1"/>
    </row>
    <row r="771" spans="3:3">
      <c r="C771" s="1"/>
    </row>
    <row r="772" spans="3:3">
      <c r="C772" s="1"/>
    </row>
    <row r="773" spans="3:3">
      <c r="C773" s="1"/>
    </row>
    <row r="774" spans="3:3">
      <c r="C774" s="1"/>
    </row>
    <row r="775" spans="3:3">
      <c r="C775" s="1"/>
    </row>
    <row r="776" spans="3:3">
      <c r="C776" s="1"/>
    </row>
    <row r="777" spans="3:3">
      <c r="C777" s="1"/>
    </row>
    <row r="778" spans="3:3">
      <c r="C778" s="1"/>
    </row>
    <row r="779" spans="3:3">
      <c r="C779" s="1"/>
    </row>
    <row r="780" spans="3:3">
      <c r="C780" s="1"/>
    </row>
    <row r="781" spans="3:3">
      <c r="C781" s="1"/>
    </row>
    <row r="782" spans="3:3">
      <c r="C782" s="1"/>
    </row>
    <row r="783" spans="3:3">
      <c r="C783" s="1"/>
    </row>
    <row r="784" spans="3:3">
      <c r="C784" s="1"/>
    </row>
    <row r="785" spans="3:3">
      <c r="C785" s="1"/>
    </row>
    <row r="786" spans="3:3">
      <c r="C786" s="1"/>
    </row>
    <row r="787" spans="3:3">
      <c r="C787" s="1"/>
    </row>
    <row r="788" spans="3:3">
      <c r="C788" s="1"/>
    </row>
    <row r="789" spans="3:3">
      <c r="C789" s="1"/>
    </row>
    <row r="790" spans="3:3">
      <c r="C790" s="1"/>
    </row>
    <row r="791" spans="3:3">
      <c r="C791" s="1"/>
    </row>
    <row r="792" spans="3:3">
      <c r="C792" s="1"/>
    </row>
    <row r="793" spans="3:3">
      <c r="C793" s="1"/>
    </row>
    <row r="794" spans="3:3">
      <c r="C794" s="1"/>
    </row>
    <row r="795" spans="3:3">
      <c r="C795" s="1"/>
    </row>
    <row r="796" spans="3:3">
      <c r="C796" s="1"/>
    </row>
    <row r="797" spans="3:3">
      <c r="C797" s="1"/>
    </row>
    <row r="798" spans="3:3">
      <c r="C798" s="1"/>
    </row>
    <row r="799" spans="3:3">
      <c r="C799" s="1"/>
    </row>
    <row r="800" spans="3:3">
      <c r="C800" s="1"/>
    </row>
    <row r="801" spans="3:3">
      <c r="C801" s="1"/>
    </row>
    <row r="802" spans="3:3">
      <c r="C802" s="1"/>
    </row>
    <row r="803" spans="3:3">
      <c r="C803" s="1"/>
    </row>
    <row r="804" spans="3:3">
      <c r="C804" s="1"/>
    </row>
    <row r="805" spans="3:3">
      <c r="C805" s="1"/>
    </row>
    <row r="806" spans="3:3">
      <c r="C806" s="1"/>
    </row>
    <row r="807" spans="3:3">
      <c r="C807" s="1"/>
    </row>
    <row r="808" spans="3:3">
      <c r="C808" s="1"/>
    </row>
    <row r="809" spans="3:3">
      <c r="C809" s="1"/>
    </row>
    <row r="810" spans="3:3">
      <c r="C810" s="1"/>
    </row>
    <row r="811" spans="3:3">
      <c r="C811" s="1"/>
    </row>
    <row r="812" spans="3:3">
      <c r="C812" s="1"/>
    </row>
    <row r="813" spans="3:3">
      <c r="C813" s="1"/>
    </row>
    <row r="814" spans="3:3">
      <c r="C814" s="1"/>
    </row>
    <row r="815" spans="3:3">
      <c r="C815" s="1"/>
    </row>
    <row r="816" spans="3:3">
      <c r="C816" s="1"/>
    </row>
    <row r="817" spans="3:3">
      <c r="C817" s="1"/>
    </row>
    <row r="818" spans="3:3">
      <c r="C818" s="1"/>
    </row>
    <row r="819" spans="3:3">
      <c r="C819" s="1"/>
    </row>
    <row r="820" spans="3:3">
      <c r="C820" s="1"/>
    </row>
    <row r="821" spans="3:3">
      <c r="C821" s="1"/>
    </row>
    <row r="822" spans="3:3">
      <c r="C822" s="1"/>
    </row>
    <row r="823" spans="3:3">
      <c r="C823" s="1"/>
    </row>
    <row r="824" spans="3:3">
      <c r="C824" s="1"/>
    </row>
    <row r="825" spans="3:3">
      <c r="C825" s="1"/>
    </row>
    <row r="826" spans="3:3">
      <c r="C826" s="1"/>
    </row>
    <row r="827" spans="3:3">
      <c r="C827" s="1"/>
    </row>
    <row r="828" spans="3:3">
      <c r="C828" s="1"/>
    </row>
    <row r="829" spans="3:3">
      <c r="C829" s="1"/>
    </row>
    <row r="830" spans="3:3">
      <c r="C830" s="1"/>
    </row>
    <row r="831" spans="3:3">
      <c r="C831" s="1"/>
    </row>
    <row r="832" spans="3:3">
      <c r="C832" s="1"/>
    </row>
    <row r="833" spans="3:3">
      <c r="C833" s="1"/>
    </row>
    <row r="834" spans="3:3">
      <c r="C834" s="1"/>
    </row>
    <row r="835" spans="3:3">
      <c r="C835" s="1"/>
    </row>
    <row r="836" spans="3:3">
      <c r="C836" s="1"/>
    </row>
    <row r="837" spans="3:3">
      <c r="C837" s="1"/>
    </row>
    <row r="838" spans="3:3">
      <c r="C838" s="1"/>
    </row>
    <row r="839" spans="3:3">
      <c r="C839" s="1"/>
    </row>
    <row r="840" spans="3:3">
      <c r="C840" s="1"/>
    </row>
    <row r="841" spans="3:3">
      <c r="C841" s="1"/>
    </row>
    <row r="842" spans="3:3">
      <c r="C842" s="1"/>
    </row>
    <row r="843" spans="3:3">
      <c r="C843" s="1"/>
    </row>
    <row r="844" spans="3:3">
      <c r="C844" s="1"/>
    </row>
    <row r="845" spans="3:3">
      <c r="C845" s="1"/>
    </row>
    <row r="846" spans="3:3">
      <c r="C846" s="1"/>
    </row>
    <row r="847" spans="3:3">
      <c r="C847" s="1"/>
    </row>
    <row r="848" spans="3:3">
      <c r="C848" s="1"/>
    </row>
    <row r="849" spans="3:3">
      <c r="C849" s="1"/>
    </row>
    <row r="850" spans="3:3">
      <c r="C850" s="1"/>
    </row>
    <row r="851" spans="3:3">
      <c r="C851" s="1"/>
    </row>
    <row r="852" spans="3:3">
      <c r="C852" s="1"/>
    </row>
    <row r="853" spans="3:3">
      <c r="C853" s="1"/>
    </row>
    <row r="854" spans="3:3">
      <c r="C854" s="1"/>
    </row>
    <row r="855" spans="3:3">
      <c r="C855" s="1"/>
    </row>
    <row r="856" spans="3:3">
      <c r="C856" s="1"/>
    </row>
    <row r="857" spans="3:3">
      <c r="C857" s="1"/>
    </row>
    <row r="858" spans="3:3">
      <c r="C858" s="1"/>
    </row>
    <row r="859" spans="3:3">
      <c r="C859" s="1"/>
    </row>
    <row r="860" spans="3:3">
      <c r="C860" s="1"/>
    </row>
    <row r="861" spans="3:3">
      <c r="C861" s="1"/>
    </row>
    <row r="862" spans="3:3">
      <c r="C862" s="1"/>
    </row>
    <row r="863" spans="3:3">
      <c r="C863" s="1"/>
    </row>
    <row r="864" spans="3:3">
      <c r="C864" s="1"/>
    </row>
    <row r="865" spans="3:3">
      <c r="C865" s="1"/>
    </row>
    <row r="866" spans="3:3">
      <c r="C866" s="1"/>
    </row>
    <row r="867" spans="3:3">
      <c r="C867" s="1"/>
    </row>
    <row r="868" spans="3:3">
      <c r="C868" s="1"/>
    </row>
    <row r="869" spans="3:3">
      <c r="C869" s="1"/>
    </row>
    <row r="870" spans="3:3">
      <c r="C870" s="1"/>
    </row>
    <row r="871" spans="3:3">
      <c r="C871" s="1"/>
    </row>
    <row r="872" spans="3:3">
      <c r="C872" s="1"/>
    </row>
    <row r="873" spans="3:3">
      <c r="C873" s="1"/>
    </row>
    <row r="874" spans="3:3">
      <c r="C874" s="1"/>
    </row>
    <row r="875" spans="3:3">
      <c r="C875" s="1"/>
    </row>
    <row r="876" spans="3:3">
      <c r="C876" s="1"/>
    </row>
    <row r="877" spans="3:3">
      <c r="C877" s="1"/>
    </row>
    <row r="878" spans="3:3">
      <c r="C878" s="1"/>
    </row>
    <row r="879" spans="3:3">
      <c r="C879" s="1"/>
    </row>
    <row r="880" spans="3:3">
      <c r="C880" s="1"/>
    </row>
    <row r="881" spans="3:3">
      <c r="C881" s="1"/>
    </row>
    <row r="882" spans="3:3">
      <c r="C882" s="1"/>
    </row>
    <row r="883" spans="3:3">
      <c r="C883" s="1"/>
    </row>
    <row r="884" spans="3:3">
      <c r="C884" s="1"/>
    </row>
    <row r="885" spans="3:3">
      <c r="C885" s="1"/>
    </row>
    <row r="886" spans="3:3">
      <c r="C886" s="1"/>
    </row>
    <row r="887" spans="3:3">
      <c r="C887" s="1"/>
    </row>
    <row r="888" spans="3:3">
      <c r="C888" s="1"/>
    </row>
    <row r="889" spans="3:3">
      <c r="C889" s="1"/>
    </row>
    <row r="890" spans="3:3">
      <c r="C890" s="1"/>
    </row>
    <row r="891" spans="3:3">
      <c r="C891" s="1"/>
    </row>
    <row r="892" spans="3:3">
      <c r="C892" s="1"/>
    </row>
    <row r="893" spans="3:3">
      <c r="C893" s="1"/>
    </row>
    <row r="894" spans="3:3">
      <c r="C894" s="1"/>
    </row>
    <row r="895" spans="3:3">
      <c r="C895" s="1"/>
    </row>
    <row r="896" spans="3:3">
      <c r="C896" s="1"/>
    </row>
    <row r="897" spans="3:3">
      <c r="C897" s="1"/>
    </row>
    <row r="898" spans="3:3">
      <c r="C898" s="1"/>
    </row>
    <row r="899" spans="3:3">
      <c r="C899" s="1"/>
    </row>
    <row r="900" spans="3:3">
      <c r="C900" s="1"/>
    </row>
    <row r="901" spans="3:3">
      <c r="C901" s="1"/>
    </row>
    <row r="902" spans="3:3">
      <c r="C902" s="1"/>
    </row>
    <row r="903" spans="3:3">
      <c r="C903" s="1"/>
    </row>
    <row r="904" spans="3:3">
      <c r="C904" s="1"/>
    </row>
    <row r="905" spans="3:3">
      <c r="C905" s="1"/>
    </row>
    <row r="906" spans="3:3">
      <c r="C906" s="1"/>
    </row>
    <row r="907" spans="3:3">
      <c r="C907" s="1"/>
    </row>
    <row r="908" spans="3:3">
      <c r="C908" s="1"/>
    </row>
    <row r="909" spans="3:3">
      <c r="C909" s="1"/>
    </row>
    <row r="910" spans="3:3">
      <c r="C910" s="1"/>
    </row>
    <row r="911" spans="3:3">
      <c r="C911" s="1"/>
    </row>
    <row r="912" spans="3:3">
      <c r="C912" s="1"/>
    </row>
    <row r="913" spans="3:3">
      <c r="C913" s="1"/>
    </row>
    <row r="914" spans="3:3">
      <c r="C914" s="1"/>
    </row>
    <row r="915" spans="3:3">
      <c r="C915" s="1"/>
    </row>
    <row r="916" spans="3:3">
      <c r="C916" s="1"/>
    </row>
    <row r="917" spans="3:3">
      <c r="C917" s="1"/>
    </row>
    <row r="918" spans="3:3">
      <c r="C918" s="1"/>
    </row>
    <row r="919" spans="3:3">
      <c r="C919" s="1"/>
    </row>
    <row r="920" spans="3:3">
      <c r="C920" s="1"/>
    </row>
    <row r="921" spans="3:3">
      <c r="C921" s="1"/>
    </row>
    <row r="922" spans="3:3">
      <c r="C922" s="1"/>
    </row>
    <row r="923" spans="3:3">
      <c r="C923" s="1"/>
    </row>
    <row r="924" spans="3:3">
      <c r="C924" s="1"/>
    </row>
    <row r="925" spans="3:3">
      <c r="C925" s="1"/>
    </row>
    <row r="926" spans="3:3">
      <c r="C926" s="1"/>
    </row>
    <row r="927" spans="3:3">
      <c r="C927" s="1"/>
    </row>
    <row r="928" spans="3:3">
      <c r="C928" s="1"/>
    </row>
    <row r="929" spans="3:3">
      <c r="C929" s="1"/>
    </row>
    <row r="930" spans="3:3">
      <c r="C930" s="1"/>
    </row>
    <row r="931" spans="3:3">
      <c r="C931" s="1"/>
    </row>
    <row r="932" spans="3:3">
      <c r="C932" s="1"/>
    </row>
    <row r="933" spans="3:3">
      <c r="C933" s="1"/>
    </row>
    <row r="934" spans="3:3">
      <c r="C934" s="1"/>
    </row>
    <row r="935" spans="3:3">
      <c r="C935" s="1"/>
    </row>
    <row r="936" spans="3:3">
      <c r="C936" s="1"/>
    </row>
    <row r="937" spans="3:3">
      <c r="C937" s="1"/>
    </row>
    <row r="938" spans="3:3">
      <c r="C938" s="1"/>
    </row>
    <row r="939" spans="3:3">
      <c r="C939" s="1"/>
    </row>
    <row r="940" spans="3:3">
      <c r="C940" s="1"/>
    </row>
    <row r="941" spans="3:3">
      <c r="C941" s="1"/>
    </row>
    <row r="942" spans="3:3">
      <c r="C942" s="1"/>
    </row>
    <row r="943" spans="3:3">
      <c r="C943" s="1"/>
    </row>
    <row r="944" spans="3:3">
      <c r="C944" s="1"/>
    </row>
    <row r="945" spans="3:3">
      <c r="C945" s="1"/>
    </row>
    <row r="946" spans="3:3">
      <c r="C946" s="1"/>
    </row>
    <row r="947" spans="3:3">
      <c r="C947" s="1"/>
    </row>
    <row r="948" spans="3:3">
      <c r="C948" s="1"/>
    </row>
    <row r="949" spans="3:3">
      <c r="C949" s="1"/>
    </row>
    <row r="950" spans="3:3">
      <c r="C950" s="1"/>
    </row>
    <row r="951" spans="3:3">
      <c r="C951" s="1"/>
    </row>
    <row r="952" spans="3:3">
      <c r="C952" s="1"/>
    </row>
    <row r="953" spans="3:3">
      <c r="C953" s="1"/>
    </row>
    <row r="954" spans="3:3">
      <c r="C954" s="1"/>
    </row>
    <row r="955" spans="3:3">
      <c r="C955" s="1"/>
    </row>
    <row r="956" spans="3:3">
      <c r="C956" s="1"/>
    </row>
    <row r="957" spans="3:3">
      <c r="C957" s="1"/>
    </row>
    <row r="958" spans="3:3">
      <c r="C958" s="1"/>
    </row>
    <row r="959" spans="3:3">
      <c r="C959" s="1"/>
    </row>
    <row r="960" spans="3:3">
      <c r="C960" s="1"/>
    </row>
    <row r="961" spans="3:3">
      <c r="C961" s="1"/>
    </row>
    <row r="962" spans="3:3">
      <c r="C962" s="1"/>
    </row>
    <row r="963" spans="3:3">
      <c r="C963" s="1"/>
    </row>
    <row r="964" spans="3:3">
      <c r="C964" s="1"/>
    </row>
    <row r="965" spans="3:3">
      <c r="C965" s="1"/>
    </row>
    <row r="966" spans="3:3">
      <c r="C966" s="1"/>
    </row>
    <row r="967" spans="3:3">
      <c r="C967" s="1"/>
    </row>
    <row r="968" spans="3:3">
      <c r="C968" s="1"/>
    </row>
    <row r="969" spans="3:3">
      <c r="C969" s="1"/>
    </row>
    <row r="970" spans="3:3">
      <c r="C970" s="1"/>
    </row>
    <row r="971" spans="3:3">
      <c r="C971" s="1"/>
    </row>
    <row r="972" spans="3:3">
      <c r="C972" s="1"/>
    </row>
    <row r="973" spans="3:3">
      <c r="C973" s="1"/>
    </row>
    <row r="974" spans="3:3">
      <c r="C974" s="1"/>
    </row>
    <row r="975" spans="3:3">
      <c r="C975" s="1"/>
    </row>
    <row r="976" spans="3:3">
      <c r="C976" s="1"/>
    </row>
    <row r="977" spans="3:3">
      <c r="C977" s="1"/>
    </row>
    <row r="978" spans="3:3">
      <c r="C978" s="1"/>
    </row>
    <row r="979" spans="3:3">
      <c r="C979" s="1"/>
    </row>
    <row r="980" spans="3:3">
      <c r="C980" s="1"/>
    </row>
    <row r="981" spans="3:3">
      <c r="C981" s="1"/>
    </row>
    <row r="982" spans="3:3">
      <c r="C982" s="1"/>
    </row>
    <row r="983" spans="3:3">
      <c r="C983" s="1"/>
    </row>
    <row r="984" spans="3:3">
      <c r="C984" s="1"/>
    </row>
    <row r="985" spans="3:3">
      <c r="C985" s="1"/>
    </row>
    <row r="986" spans="3:3">
      <c r="C986" s="1"/>
    </row>
    <row r="987" spans="3:3">
      <c r="C987" s="1"/>
    </row>
    <row r="988" spans="3:3">
      <c r="C988" s="1"/>
    </row>
    <row r="989" spans="3:3">
      <c r="C989" s="1"/>
    </row>
    <row r="990" spans="3:3">
      <c r="C990" s="1"/>
    </row>
    <row r="991" spans="3:3">
      <c r="C991" s="1"/>
    </row>
    <row r="992" spans="3:3">
      <c r="C992" s="1"/>
    </row>
    <row r="993" spans="3:3">
      <c r="C993" s="1"/>
    </row>
    <row r="994" spans="3:3">
      <c r="C994" s="1"/>
    </row>
    <row r="995" spans="3:3">
      <c r="C995" s="1"/>
    </row>
    <row r="996" spans="3:3">
      <c r="C996" s="1"/>
    </row>
    <row r="997" spans="3:3">
      <c r="C997" s="1"/>
    </row>
    <row r="998" spans="3:3">
      <c r="C998" s="1"/>
    </row>
    <row r="999" spans="3:3">
      <c r="C999" s="1"/>
    </row>
    <row r="1000" spans="3:3">
      <c r="C1000" s="1"/>
    </row>
    <row r="1001" spans="3:3">
      <c r="C1001" s="1"/>
    </row>
    <row r="1002" spans="3:3">
      <c r="C1002" s="1"/>
    </row>
    <row r="1003" spans="3:3">
      <c r="C1003" s="1"/>
    </row>
    <row r="1004" spans="3:3">
      <c r="C1004" s="1"/>
    </row>
    <row r="1005" spans="3:3">
      <c r="C1005" s="1"/>
    </row>
    <row r="1006" spans="3:3">
      <c r="C1006" s="1"/>
    </row>
    <row r="1007" spans="3:3">
      <c r="C1007" s="1"/>
    </row>
    <row r="1008" spans="3:3">
      <c r="C1008" s="1"/>
    </row>
    <row r="1009" spans="3:3">
      <c r="C1009" s="1"/>
    </row>
    <row r="1010" spans="3:3">
      <c r="C1010" s="1"/>
    </row>
    <row r="1011" spans="3:3">
      <c r="C1011" s="1"/>
    </row>
    <row r="1012" spans="3:3">
      <c r="C1012" s="1"/>
    </row>
    <row r="1013" spans="3:3">
      <c r="C1013" s="1"/>
    </row>
    <row r="1014" spans="3:3">
      <c r="C1014" s="1"/>
    </row>
    <row r="1015" spans="3:3">
      <c r="C1015" s="1"/>
    </row>
    <row r="1016" spans="3:3">
      <c r="C1016" s="1"/>
    </row>
    <row r="1017" spans="3:3">
      <c r="C1017" s="1"/>
    </row>
    <row r="1018" spans="3:3">
      <c r="C1018" s="1"/>
    </row>
    <row r="1019" spans="3:3">
      <c r="C1019" s="1"/>
    </row>
    <row r="1020" spans="3:3">
      <c r="C1020" s="1"/>
    </row>
    <row r="1021" spans="3:3">
      <c r="C1021" s="1"/>
    </row>
    <row r="1022" spans="3:3">
      <c r="C1022" s="1"/>
    </row>
    <row r="1023" spans="3:3">
      <c r="C1023" s="1"/>
    </row>
    <row r="1024" spans="3:3">
      <c r="C1024" s="1"/>
    </row>
    <row r="1025" spans="3:3">
      <c r="C1025" s="1"/>
    </row>
    <row r="1026" spans="3:3">
      <c r="C1026" s="1"/>
    </row>
    <row r="1027" spans="3:3">
      <c r="C1027" s="1"/>
    </row>
    <row r="1028" spans="3:3">
      <c r="C1028" s="1"/>
    </row>
    <row r="1029" spans="3:3">
      <c r="C1029" s="1"/>
    </row>
    <row r="1030" spans="3:3">
      <c r="C1030" s="1"/>
    </row>
    <row r="1031" spans="3:3">
      <c r="C1031" s="1"/>
    </row>
    <row r="1032" spans="3:3">
      <c r="C1032" s="1"/>
    </row>
    <row r="1033" spans="3:3">
      <c r="C1033" s="1"/>
    </row>
    <row r="1034" spans="3:3">
      <c r="C1034" s="1"/>
    </row>
    <row r="1035" spans="3:3">
      <c r="C1035" s="1"/>
    </row>
    <row r="1036" spans="3:3">
      <c r="C1036" s="1"/>
    </row>
    <row r="1037" spans="3:3">
      <c r="C1037" s="1"/>
    </row>
    <row r="1038" spans="3:3">
      <c r="C1038" s="1"/>
    </row>
    <row r="1039" spans="3:3">
      <c r="C1039" s="1"/>
    </row>
    <row r="1040" spans="3:3">
      <c r="C1040" s="1"/>
    </row>
    <row r="1041" spans="3:3">
      <c r="C1041" s="1"/>
    </row>
    <row r="1042" spans="3:3">
      <c r="C1042" s="1"/>
    </row>
    <row r="1043" spans="3:3">
      <c r="C1043" s="1"/>
    </row>
    <row r="1044" spans="3:3">
      <c r="C1044" s="1"/>
    </row>
    <row r="1045" spans="3:3">
      <c r="C1045" s="1"/>
    </row>
    <row r="1046" spans="3:3">
      <c r="C1046" s="1"/>
    </row>
    <row r="1047" spans="3:3">
      <c r="C1047" s="1"/>
    </row>
    <row r="1048" spans="3:3">
      <c r="C1048" s="1"/>
    </row>
    <row r="1049" spans="3:3">
      <c r="C1049" s="1"/>
    </row>
    <row r="1050" spans="3:3">
      <c r="C1050" s="1"/>
    </row>
    <row r="1051" spans="3:3">
      <c r="C1051" s="1"/>
    </row>
    <row r="1052" spans="3:3">
      <c r="C1052" s="1"/>
    </row>
    <row r="1053" spans="3:3">
      <c r="C1053" s="1"/>
    </row>
    <row r="1054" spans="3:3">
      <c r="C1054" s="1"/>
    </row>
    <row r="1055" spans="3:3">
      <c r="C1055" s="1"/>
    </row>
    <row r="1056" spans="3:3">
      <c r="C1056" s="1"/>
    </row>
    <row r="1057" spans="3:3">
      <c r="C1057" s="1"/>
    </row>
    <row r="1058" spans="3:3">
      <c r="C1058" s="1"/>
    </row>
    <row r="1059" spans="3:3">
      <c r="C1059" s="1"/>
    </row>
    <row r="1060" spans="3:3">
      <c r="C1060" s="1"/>
    </row>
    <row r="1061" spans="3:3">
      <c r="C1061" s="1"/>
    </row>
    <row r="1062" spans="3:3">
      <c r="C1062" s="1"/>
    </row>
    <row r="1063" spans="3:3">
      <c r="C1063" s="1"/>
    </row>
    <row r="1064" spans="3:3">
      <c r="C1064" s="1"/>
    </row>
    <row r="1065" spans="3:3">
      <c r="C1065" s="1"/>
    </row>
    <row r="1066" spans="3:3">
      <c r="C1066" s="1"/>
    </row>
    <row r="1067" spans="3:3">
      <c r="C1067" s="1"/>
    </row>
    <row r="1068" spans="3:3">
      <c r="C1068" s="1"/>
    </row>
    <row r="1069" spans="3:3">
      <c r="C1069" s="1"/>
    </row>
    <row r="1070" spans="3:3">
      <c r="C1070" s="1"/>
    </row>
    <row r="1071" spans="3:3">
      <c r="C1071" s="1"/>
    </row>
    <row r="1072" spans="3:3">
      <c r="C1072" s="1"/>
    </row>
    <row r="1073" spans="3:3">
      <c r="C1073" s="1"/>
    </row>
    <row r="1074" spans="3:3">
      <c r="C1074" s="1"/>
    </row>
    <row r="1075" spans="3:3">
      <c r="C1075" s="1"/>
    </row>
    <row r="1076" spans="3:3">
      <c r="C1076" s="1"/>
    </row>
    <row r="1077" spans="3:3">
      <c r="C1077" s="1"/>
    </row>
    <row r="1078" spans="3:3">
      <c r="C1078" s="1"/>
    </row>
    <row r="1079" spans="3:3">
      <c r="C1079" s="1"/>
    </row>
    <row r="1080" spans="3:3">
      <c r="C1080" s="1"/>
    </row>
    <row r="1081" spans="3:3">
      <c r="C1081" s="1"/>
    </row>
    <row r="1082" spans="3:3">
      <c r="C1082" s="1"/>
    </row>
    <row r="1083" spans="3:3">
      <c r="C1083" s="1"/>
    </row>
    <row r="1084" spans="3:3">
      <c r="C1084" s="1"/>
    </row>
    <row r="1085" spans="3:3">
      <c r="C1085" s="1"/>
    </row>
    <row r="1086" spans="3:3">
      <c r="C1086" s="1"/>
    </row>
    <row r="1087" spans="3:3">
      <c r="C1087" s="1"/>
    </row>
    <row r="1088" spans="3:3">
      <c r="C1088" s="1"/>
    </row>
    <row r="1089" spans="3:3">
      <c r="C1089" s="1"/>
    </row>
    <row r="1090" spans="3:3">
      <c r="C1090" s="1"/>
    </row>
    <row r="1091" spans="3:3">
      <c r="C1091" s="1"/>
    </row>
    <row r="1092" spans="3:3">
      <c r="C1092" s="1"/>
    </row>
    <row r="1093" spans="3:3">
      <c r="C1093" s="1"/>
    </row>
    <row r="1094" spans="3:3">
      <c r="C1094" s="1"/>
    </row>
    <row r="1095" spans="3:3">
      <c r="C1095" s="1"/>
    </row>
    <row r="1096" spans="3:3">
      <c r="C1096" s="1"/>
    </row>
    <row r="1097" spans="3:3">
      <c r="C1097" s="1"/>
    </row>
    <row r="1098" spans="3:3">
      <c r="C1098" s="1"/>
    </row>
    <row r="1099" spans="3:3">
      <c r="C1099" s="1"/>
    </row>
    <row r="1100" spans="3:3">
      <c r="C1100" s="1"/>
    </row>
    <row r="1101" spans="3:3">
      <c r="C1101" s="1"/>
    </row>
    <row r="1102" spans="3:3">
      <c r="C1102" s="1"/>
    </row>
    <row r="1103" spans="3:3">
      <c r="C1103" s="1"/>
    </row>
    <row r="1104" spans="3:3">
      <c r="C1104" s="1"/>
    </row>
    <row r="1105" spans="3:3">
      <c r="C1105" s="1"/>
    </row>
    <row r="1106" spans="3:3">
      <c r="C1106" s="1"/>
    </row>
    <row r="1107" spans="3:3">
      <c r="C1107" s="1"/>
    </row>
    <row r="1108" spans="3:3">
      <c r="C1108" s="1"/>
    </row>
    <row r="1109" spans="3:3">
      <c r="C1109" s="1"/>
    </row>
    <row r="1110" spans="3:3">
      <c r="C1110" s="1"/>
    </row>
    <row r="1111" spans="3:3">
      <c r="C1111" s="1"/>
    </row>
    <row r="1112" spans="3:3">
      <c r="C1112" s="1"/>
    </row>
    <row r="1113" spans="3:3">
      <c r="C1113" s="1"/>
    </row>
    <row r="1114" spans="3:3">
      <c r="C1114" s="1"/>
    </row>
    <row r="1115" spans="3:3">
      <c r="C1115" s="1"/>
    </row>
    <row r="1116" spans="3:3">
      <c r="C1116" s="1"/>
    </row>
    <row r="1117" spans="3:3">
      <c r="C1117" s="1"/>
    </row>
    <row r="1118" spans="3:3">
      <c r="C1118" s="1"/>
    </row>
    <row r="1119" spans="3:3">
      <c r="C1119" s="1"/>
    </row>
    <row r="1120" spans="3:3">
      <c r="C1120" s="1"/>
    </row>
    <row r="1121" spans="3:3">
      <c r="C1121" s="1"/>
    </row>
    <row r="1122" spans="3:3">
      <c r="C1122" s="1"/>
    </row>
    <row r="1123" spans="3:3">
      <c r="C1123" s="1"/>
    </row>
    <row r="1124" spans="3:3">
      <c r="C1124" s="1"/>
    </row>
    <row r="1125" spans="3:3">
      <c r="C1125" s="1"/>
    </row>
    <row r="1126" spans="3:3">
      <c r="C1126" s="1"/>
    </row>
    <row r="1127" spans="3:3">
      <c r="C1127" s="1"/>
    </row>
    <row r="1128" spans="3:3">
      <c r="C1128" s="1"/>
    </row>
    <row r="1129" spans="3:3">
      <c r="C1129" s="1"/>
    </row>
    <row r="1130" spans="3:3">
      <c r="C1130" s="1"/>
    </row>
    <row r="1131" spans="3:3">
      <c r="C1131" s="1"/>
    </row>
    <row r="1132" spans="3:3">
      <c r="C1132" s="1"/>
    </row>
    <row r="1133" spans="3:3">
      <c r="C1133" s="1"/>
    </row>
    <row r="1134" spans="3:3">
      <c r="C1134" s="1"/>
    </row>
    <row r="1135" spans="3:3">
      <c r="C1135" s="1"/>
    </row>
    <row r="1136" spans="3:3">
      <c r="C1136" s="1"/>
    </row>
    <row r="1137" spans="3:3">
      <c r="C1137" s="1"/>
    </row>
    <row r="1138" spans="3:3">
      <c r="C1138" s="1"/>
    </row>
    <row r="1139" spans="3:3">
      <c r="C1139" s="1"/>
    </row>
    <row r="1140" spans="3:3">
      <c r="C1140" s="1"/>
    </row>
    <row r="1141" spans="3:3">
      <c r="C1141" s="1"/>
    </row>
    <row r="1142" spans="3:3">
      <c r="C1142" s="1"/>
    </row>
    <row r="1143" spans="3:3">
      <c r="C1143" s="1"/>
    </row>
    <row r="1144" spans="3:3">
      <c r="C1144" s="1"/>
    </row>
    <row r="1145" spans="3:3">
      <c r="C1145" s="1"/>
    </row>
    <row r="1146" spans="3:3">
      <c r="C1146" s="1"/>
    </row>
    <row r="1147" spans="3:3">
      <c r="C1147" s="1"/>
    </row>
    <row r="1148" spans="3:3">
      <c r="C1148" s="1"/>
    </row>
    <row r="1149" spans="3:3">
      <c r="C1149" s="1"/>
    </row>
    <row r="1150" spans="3:3">
      <c r="C1150" s="1"/>
    </row>
    <row r="1151" spans="3:3">
      <c r="C1151" s="1"/>
    </row>
    <row r="1152" spans="3:3">
      <c r="C1152" s="1"/>
    </row>
    <row r="1153" spans="3:3">
      <c r="C1153" s="1"/>
    </row>
    <row r="1154" spans="3:3">
      <c r="C1154" s="1"/>
    </row>
    <row r="1155" spans="3:3">
      <c r="C1155" s="1"/>
    </row>
    <row r="1156" spans="3:3">
      <c r="C1156" s="1"/>
    </row>
    <row r="1157" spans="3:3">
      <c r="C1157" s="1"/>
    </row>
    <row r="1158" spans="3:3">
      <c r="C1158" s="1"/>
    </row>
    <row r="1159" spans="3:3">
      <c r="C1159" s="1"/>
    </row>
    <row r="1160" spans="3:3">
      <c r="C1160" s="1"/>
    </row>
    <row r="1161" spans="3:3">
      <c r="C1161" s="1"/>
    </row>
    <row r="1162" spans="3:3">
      <c r="C1162" s="1"/>
    </row>
    <row r="1163" spans="3:3">
      <c r="C1163" s="1"/>
    </row>
    <row r="1164" spans="3:3">
      <c r="C1164" s="1"/>
    </row>
    <row r="1165" spans="3:3">
      <c r="C1165" s="1"/>
    </row>
    <row r="1166" spans="3:3">
      <c r="C1166" s="1"/>
    </row>
    <row r="1167" spans="3:3">
      <c r="C1167" s="1"/>
    </row>
    <row r="1168" spans="3:3">
      <c r="C1168" s="1"/>
    </row>
    <row r="1169" spans="3:3">
      <c r="C1169" s="1"/>
    </row>
    <row r="1170" spans="3:3">
      <c r="C1170" s="1"/>
    </row>
    <row r="1171" spans="3:3">
      <c r="C1171" s="1"/>
    </row>
    <row r="1172" spans="3:3">
      <c r="C1172" s="1"/>
    </row>
    <row r="1173" spans="3:3">
      <c r="C1173" s="1"/>
    </row>
    <row r="1174" spans="3:3">
      <c r="C1174" s="1"/>
    </row>
    <row r="1175" spans="3:3">
      <c r="C1175" s="1"/>
    </row>
    <row r="1176" spans="3:3">
      <c r="C1176" s="1"/>
    </row>
    <row r="1177" spans="3:3">
      <c r="C1177" s="1"/>
    </row>
    <row r="1178" spans="3:3">
      <c r="C1178" s="1"/>
    </row>
    <row r="1179" spans="3:3">
      <c r="C1179" s="1"/>
    </row>
    <row r="1180" spans="3:3">
      <c r="C1180" s="1"/>
    </row>
    <row r="1181" spans="3:3">
      <c r="C1181" s="1"/>
    </row>
    <row r="1182" spans="3:3">
      <c r="C1182" s="1"/>
    </row>
    <row r="1183" spans="3:3">
      <c r="C1183" s="1"/>
    </row>
    <row r="1184" spans="3:3">
      <c r="C1184" s="1"/>
    </row>
    <row r="1185" spans="3:3">
      <c r="C1185" s="1"/>
    </row>
    <row r="1186" spans="3:3">
      <c r="C1186" s="1"/>
    </row>
    <row r="1187" spans="3:3">
      <c r="C1187" s="1"/>
    </row>
    <row r="1188" spans="3:3">
      <c r="C1188" s="1"/>
    </row>
    <row r="1189" spans="3:3">
      <c r="C1189" s="1"/>
    </row>
    <row r="1190" spans="3:3">
      <c r="C1190" s="1"/>
    </row>
    <row r="1191" spans="3:3">
      <c r="C1191" s="1"/>
    </row>
    <row r="1192" spans="3:3">
      <c r="C1192" s="1"/>
    </row>
    <row r="1193" spans="3:3">
      <c r="C1193" s="1"/>
    </row>
    <row r="1194" spans="3:3">
      <c r="C1194" s="1"/>
    </row>
    <row r="1195" spans="3:3">
      <c r="C1195" s="1"/>
    </row>
    <row r="1196" spans="3:3">
      <c r="C1196" s="1"/>
    </row>
    <row r="1197" spans="3:3">
      <c r="C1197" s="1"/>
    </row>
    <row r="1198" spans="3:3">
      <c r="C1198" s="1"/>
    </row>
    <row r="1199" spans="3:3">
      <c r="C1199" s="1"/>
    </row>
    <row r="1200" spans="3:3">
      <c r="C1200" s="1"/>
    </row>
    <row r="1201" spans="3:3">
      <c r="C1201" s="1"/>
    </row>
    <row r="1202" spans="3:3">
      <c r="C1202" s="1"/>
    </row>
    <row r="1203" spans="3:3">
      <c r="C1203" s="1"/>
    </row>
    <row r="1204" spans="3:3">
      <c r="C1204" s="1"/>
    </row>
    <row r="1205" spans="3:3">
      <c r="C1205" s="1"/>
    </row>
    <row r="1206" spans="3:3">
      <c r="C1206" s="1"/>
    </row>
    <row r="1207" spans="3:3">
      <c r="C1207" s="1"/>
    </row>
    <row r="1208" spans="3:3">
      <c r="C1208" s="1"/>
    </row>
    <row r="1209" spans="3:3">
      <c r="C1209" s="1"/>
    </row>
    <row r="1210" spans="3:3">
      <c r="C1210" s="1"/>
    </row>
    <row r="1211" spans="3:3">
      <c r="C1211" s="1"/>
    </row>
    <row r="1212" spans="3:3">
      <c r="C1212" s="1"/>
    </row>
    <row r="1213" spans="3:3">
      <c r="C1213" s="1"/>
    </row>
    <row r="1214" spans="3:3">
      <c r="C1214" s="1"/>
    </row>
    <row r="1215" spans="3:3">
      <c r="C1215" s="1"/>
    </row>
    <row r="1216" spans="3:3">
      <c r="C1216" s="1"/>
    </row>
    <row r="1217" spans="3:3">
      <c r="C1217" s="1"/>
    </row>
    <row r="1218" spans="3:3">
      <c r="C1218" s="1"/>
    </row>
    <row r="1219" spans="3:3">
      <c r="C1219" s="1"/>
    </row>
    <row r="1220" spans="3:3">
      <c r="C1220" s="1"/>
    </row>
    <row r="1221" spans="3:3">
      <c r="C1221" s="1"/>
    </row>
    <row r="1222" spans="3:3">
      <c r="C1222" s="1"/>
    </row>
    <row r="1223" spans="3:3">
      <c r="C1223" s="1"/>
    </row>
    <row r="1224" spans="3:3">
      <c r="C1224" s="1"/>
    </row>
    <row r="1225" spans="3:3">
      <c r="C1225" s="1"/>
    </row>
    <row r="1226" spans="3:3">
      <c r="C1226" s="1"/>
    </row>
    <row r="1227" spans="3:3">
      <c r="C1227" s="1"/>
    </row>
    <row r="1228" spans="3:3">
      <c r="C1228" s="1"/>
    </row>
    <row r="1229" spans="3:3">
      <c r="C1229" s="1"/>
    </row>
    <row r="1230" spans="3:3">
      <c r="C1230" s="1"/>
    </row>
    <row r="1231" spans="3:3">
      <c r="C1231" s="1"/>
    </row>
    <row r="1232" spans="3:3">
      <c r="C1232" s="1"/>
    </row>
    <row r="1233" spans="3:3">
      <c r="C1233" s="1"/>
    </row>
    <row r="1234" spans="3:3">
      <c r="C1234" s="1"/>
    </row>
    <row r="1235" spans="3:3">
      <c r="C1235" s="1"/>
    </row>
    <row r="1236" spans="3:3">
      <c r="C1236" s="1"/>
    </row>
    <row r="1237" spans="3:3">
      <c r="C1237" s="1"/>
    </row>
    <row r="1238" spans="3:3">
      <c r="C1238" s="1"/>
    </row>
    <row r="1239" spans="3:3">
      <c r="C1239" s="1"/>
    </row>
    <row r="1240" spans="3:3">
      <c r="C1240" s="1"/>
    </row>
    <row r="1241" spans="3:3">
      <c r="C1241" s="1"/>
    </row>
    <row r="1242" spans="3:3">
      <c r="C1242" s="1"/>
    </row>
    <row r="1243" spans="3:3">
      <c r="C1243" s="1"/>
    </row>
    <row r="1244" spans="3:3">
      <c r="C1244" s="1"/>
    </row>
    <row r="1245" spans="3:3">
      <c r="C1245" s="1"/>
    </row>
    <row r="1246" spans="3:3">
      <c r="C1246" s="1"/>
    </row>
    <row r="1247" spans="3:3">
      <c r="C1247" s="1"/>
    </row>
    <row r="1248" spans="3:3">
      <c r="C1248" s="1"/>
    </row>
    <row r="1249" spans="3:3">
      <c r="C1249" s="1"/>
    </row>
    <row r="1250" spans="3:3">
      <c r="C1250" s="1"/>
    </row>
    <row r="1251" spans="3:3">
      <c r="C1251" s="1"/>
    </row>
    <row r="1252" spans="3:3">
      <c r="C1252" s="1"/>
    </row>
    <row r="1253" spans="3:3">
      <c r="C1253" s="1"/>
    </row>
    <row r="1254" spans="3:3">
      <c r="C1254" s="1"/>
    </row>
    <row r="1255" spans="3:3">
      <c r="C1255" s="1"/>
    </row>
    <row r="1256" spans="3:3">
      <c r="C1256" s="1"/>
    </row>
    <row r="1257" spans="3:3">
      <c r="C1257" s="1"/>
    </row>
    <row r="1258" spans="3:3">
      <c r="C1258" s="1"/>
    </row>
    <row r="1259" spans="3:3">
      <c r="C1259" s="1"/>
    </row>
    <row r="1260" spans="3:3">
      <c r="C1260" s="1"/>
    </row>
    <row r="1261" spans="3:3">
      <c r="C1261" s="1"/>
    </row>
    <row r="1262" spans="3:3">
      <c r="C1262" s="1"/>
    </row>
    <row r="1263" spans="3:3">
      <c r="C1263" s="1"/>
    </row>
    <row r="1264" spans="3:3">
      <c r="C1264" s="1"/>
    </row>
    <row r="1265" spans="3:3">
      <c r="C1265" s="1"/>
    </row>
    <row r="1266" spans="3:3">
      <c r="C1266" s="1"/>
    </row>
    <row r="1267" spans="3:3">
      <c r="C1267" s="1"/>
    </row>
    <row r="1268" spans="3:3">
      <c r="C1268" s="1"/>
    </row>
    <row r="1269" spans="3:3">
      <c r="C1269" s="1"/>
    </row>
    <row r="1270" spans="3:3">
      <c r="C1270" s="1"/>
    </row>
    <row r="1271" spans="3:3">
      <c r="C1271" s="1"/>
    </row>
    <row r="1272" spans="3:3">
      <c r="C1272" s="1"/>
    </row>
    <row r="1273" spans="3:3">
      <c r="C1273" s="1"/>
    </row>
    <row r="1274" spans="3:3">
      <c r="C1274" s="1"/>
    </row>
    <row r="1275" spans="3:3">
      <c r="C1275" s="1"/>
    </row>
    <row r="1276" spans="3:3">
      <c r="C1276" s="1"/>
    </row>
    <row r="1277" spans="3:3">
      <c r="C1277" s="1"/>
    </row>
    <row r="1278" spans="3:3">
      <c r="C1278" s="1"/>
    </row>
    <row r="1279" spans="3:3">
      <c r="C1279" s="1"/>
    </row>
    <row r="1280" spans="3:3">
      <c r="C1280" s="1"/>
    </row>
    <row r="1281" spans="3:3">
      <c r="C1281" s="1"/>
    </row>
    <row r="1282" spans="3:3">
      <c r="C1282" s="1"/>
    </row>
    <row r="1283" spans="3:3">
      <c r="C1283" s="1"/>
    </row>
    <row r="1284" spans="3:3">
      <c r="C1284" s="1"/>
    </row>
    <row r="1285" spans="3:3">
      <c r="C1285" s="1"/>
    </row>
    <row r="1286" spans="3:3">
      <c r="C1286" s="1"/>
    </row>
    <row r="1287" spans="3:3">
      <c r="C1287" s="1"/>
    </row>
    <row r="1288" spans="3:3">
      <c r="C1288" s="1"/>
    </row>
    <row r="1289" spans="3:3">
      <c r="C1289" s="1"/>
    </row>
    <row r="1290" spans="3:3">
      <c r="C1290" s="1"/>
    </row>
    <row r="1291" spans="3:3">
      <c r="C1291" s="1"/>
    </row>
    <row r="1292" spans="3:3">
      <c r="C1292" s="1"/>
    </row>
    <row r="1293" spans="3:3">
      <c r="C1293" s="1"/>
    </row>
    <row r="1294" spans="3:3">
      <c r="C1294" s="1"/>
    </row>
    <row r="1295" spans="3:3">
      <c r="C1295" s="1"/>
    </row>
    <row r="1296" spans="3:3">
      <c r="C1296" s="1"/>
    </row>
    <row r="1297" spans="3:3">
      <c r="C1297" s="1"/>
    </row>
    <row r="1298" spans="3:3">
      <c r="C1298" s="1"/>
    </row>
    <row r="1299" spans="3:3">
      <c r="C1299" s="1"/>
    </row>
    <row r="1300" spans="3:3">
      <c r="C1300" s="1"/>
    </row>
    <row r="1301" spans="3:3">
      <c r="C1301" s="1"/>
    </row>
    <row r="1302" spans="3:3">
      <c r="C1302" s="1"/>
    </row>
    <row r="1303" spans="3:3">
      <c r="C1303" s="1"/>
    </row>
    <row r="1304" spans="3:3">
      <c r="C1304" s="1"/>
    </row>
    <row r="1305" spans="3:3">
      <c r="C1305" s="1"/>
    </row>
    <row r="1306" spans="3:3">
      <c r="C1306" s="1"/>
    </row>
    <row r="1307" spans="3:3">
      <c r="C1307" s="1"/>
    </row>
    <row r="1308" spans="3:3">
      <c r="C1308" s="1"/>
    </row>
    <row r="1309" spans="3:3">
      <c r="C1309" s="1"/>
    </row>
    <row r="1310" spans="3:3">
      <c r="C1310" s="1"/>
    </row>
    <row r="1311" spans="3:3">
      <c r="C1311" s="1"/>
    </row>
    <row r="1312" spans="3:3">
      <c r="C1312" s="1"/>
    </row>
    <row r="1313" spans="3:3">
      <c r="C1313" s="1"/>
    </row>
    <row r="1314" spans="3:3">
      <c r="C1314" s="1"/>
    </row>
    <row r="1315" spans="3:3">
      <c r="C1315" s="1"/>
    </row>
    <row r="1316" spans="3:3">
      <c r="C1316" s="1"/>
    </row>
    <row r="1317" spans="3:3">
      <c r="C1317" s="1"/>
    </row>
    <row r="1318" spans="3:3">
      <c r="C1318" s="1"/>
    </row>
    <row r="1319" spans="3:3">
      <c r="C1319" s="1"/>
    </row>
    <row r="1320" spans="3:3">
      <c r="C1320" s="1"/>
    </row>
    <row r="1321" spans="3:3">
      <c r="C1321" s="1"/>
    </row>
    <row r="1322" spans="3:3">
      <c r="C1322" s="1"/>
    </row>
    <row r="1323" spans="3:3">
      <c r="C1323" s="1"/>
    </row>
    <row r="1324" spans="3:3">
      <c r="C1324" s="1"/>
    </row>
    <row r="1325" spans="3:3">
      <c r="C1325" s="1"/>
    </row>
    <row r="1326" spans="3:3">
      <c r="C1326" s="1"/>
    </row>
    <row r="1327" spans="3:3">
      <c r="C1327" s="1"/>
    </row>
    <row r="1328" spans="3:3">
      <c r="C1328" s="1"/>
    </row>
    <row r="1329" spans="3:3">
      <c r="C1329" s="1"/>
    </row>
    <row r="1330" spans="3:3">
      <c r="C1330" s="1"/>
    </row>
    <row r="1331" spans="3:3">
      <c r="C1331" s="1"/>
    </row>
    <row r="1332" spans="3:3">
      <c r="C133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0400-AC9F-4390-8B64-C1C08425314C}">
  <dimension ref="A1:P164"/>
  <sheetViews>
    <sheetView topLeftCell="K138" workbookViewId="0">
      <selection sqref="A1:P164"/>
    </sheetView>
  </sheetViews>
  <sheetFormatPr defaultRowHeight="13.8"/>
  <cols>
    <col min="1" max="1" width="10.69921875" bestFit="1" customWidth="1"/>
    <col min="2" max="2" width="26.59765625" bestFit="1" customWidth="1"/>
    <col min="3" max="3" width="12.69921875" bestFit="1" customWidth="1"/>
    <col min="4" max="4" width="4.09765625" bestFit="1" customWidth="1"/>
    <col min="5" max="5" width="14.8984375" bestFit="1" customWidth="1"/>
    <col min="6" max="6" width="66" bestFit="1" customWidth="1"/>
    <col min="7" max="7" width="45.69921875" bestFit="1" customWidth="1"/>
    <col min="8" max="8" width="61.3984375" bestFit="1" customWidth="1"/>
    <col min="9" max="9" width="16" bestFit="1" customWidth="1"/>
    <col min="10" max="10" width="89.3984375" bestFit="1" customWidth="1"/>
    <col min="11" max="11" width="15.59765625" bestFit="1" customWidth="1"/>
    <col min="12" max="12" width="17" bestFit="1" customWidth="1"/>
    <col min="13" max="13" width="39.3984375" bestFit="1" customWidth="1"/>
    <col min="14" max="14" width="25.69921875" bestFit="1" customWidth="1"/>
    <col min="15" max="15" width="39.3984375" bestFit="1" customWidth="1"/>
    <col min="16" max="16" width="25.69921875" bestFit="1" customWidth="1"/>
  </cols>
  <sheetData>
    <row r="1" spans="1:1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1098</v>
      </c>
      <c r="B2" t="s">
        <v>1099</v>
      </c>
      <c r="C2" s="1">
        <v>44597</v>
      </c>
      <c r="D2">
        <v>51</v>
      </c>
      <c r="E2" t="s">
        <v>106</v>
      </c>
      <c r="F2" t="s">
        <v>1100</v>
      </c>
      <c r="J2" t="s">
        <v>1101</v>
      </c>
      <c r="K2" t="s">
        <v>21</v>
      </c>
      <c r="L2" t="s">
        <v>36</v>
      </c>
      <c r="M2" t="s">
        <v>1102</v>
      </c>
      <c r="N2" t="s">
        <v>38</v>
      </c>
      <c r="O2" t="s">
        <v>478</v>
      </c>
      <c r="P2" t="s">
        <v>109</v>
      </c>
    </row>
    <row r="3" spans="1:16">
      <c r="A3" t="s">
        <v>1103</v>
      </c>
      <c r="B3" t="s">
        <v>1104</v>
      </c>
      <c r="C3" s="1">
        <v>44696</v>
      </c>
      <c r="D3">
        <v>62</v>
      </c>
      <c r="E3" t="s">
        <v>33</v>
      </c>
      <c r="F3" t="s">
        <v>468</v>
      </c>
      <c r="J3" t="s">
        <v>54</v>
      </c>
      <c r="K3" t="s">
        <v>21</v>
      </c>
      <c r="L3" t="s">
        <v>36</v>
      </c>
      <c r="M3" t="s">
        <v>1105</v>
      </c>
      <c r="N3" t="s">
        <v>70</v>
      </c>
      <c r="O3" t="s">
        <v>1105</v>
      </c>
      <c r="P3" t="s">
        <v>70</v>
      </c>
    </row>
    <row r="4" spans="1:16">
      <c r="A4" t="s">
        <v>1106</v>
      </c>
      <c r="B4" t="s">
        <v>1107</v>
      </c>
      <c r="C4" s="1">
        <v>44697</v>
      </c>
      <c r="D4">
        <v>63</v>
      </c>
      <c r="E4" t="s">
        <v>106</v>
      </c>
      <c r="F4" t="s">
        <v>172</v>
      </c>
      <c r="J4" t="s">
        <v>97</v>
      </c>
      <c r="K4" t="s">
        <v>21</v>
      </c>
      <c r="M4" t="s">
        <v>1108</v>
      </c>
      <c r="N4" t="s">
        <v>208</v>
      </c>
      <c r="O4" t="s">
        <v>1109</v>
      </c>
      <c r="P4" t="s">
        <v>44</v>
      </c>
    </row>
    <row r="5" spans="1:16">
      <c r="A5" t="s">
        <v>1110</v>
      </c>
      <c r="B5" t="s">
        <v>1111</v>
      </c>
      <c r="C5" s="1">
        <v>44697</v>
      </c>
      <c r="D5">
        <v>57</v>
      </c>
      <c r="E5" t="s">
        <v>33</v>
      </c>
      <c r="F5" t="s">
        <v>97</v>
      </c>
      <c r="G5" t="s">
        <v>620</v>
      </c>
      <c r="J5" t="s">
        <v>1112</v>
      </c>
      <c r="K5" t="s">
        <v>21</v>
      </c>
      <c r="L5" t="s">
        <v>36</v>
      </c>
      <c r="M5" t="s">
        <v>1113</v>
      </c>
      <c r="N5" t="s">
        <v>38</v>
      </c>
      <c r="O5" t="s">
        <v>50</v>
      </c>
      <c r="P5" t="s">
        <v>44</v>
      </c>
    </row>
    <row r="6" spans="1:16">
      <c r="A6" t="s">
        <v>1114</v>
      </c>
      <c r="B6" t="s">
        <v>1115</v>
      </c>
      <c r="C6" s="1">
        <v>44700</v>
      </c>
      <c r="D6">
        <v>70</v>
      </c>
      <c r="E6" t="s">
        <v>18</v>
      </c>
      <c r="F6" t="s">
        <v>97</v>
      </c>
      <c r="J6" t="s">
        <v>166</v>
      </c>
      <c r="K6" t="s">
        <v>21</v>
      </c>
      <c r="N6" t="s">
        <v>30</v>
      </c>
      <c r="O6" t="s">
        <v>127</v>
      </c>
      <c r="P6" t="s">
        <v>44</v>
      </c>
    </row>
    <row r="7" spans="1:16">
      <c r="A7" t="s">
        <v>1116</v>
      </c>
      <c r="B7" t="s">
        <v>1117</v>
      </c>
      <c r="C7" s="1">
        <v>44701</v>
      </c>
      <c r="D7">
        <v>69</v>
      </c>
      <c r="E7" t="s">
        <v>33</v>
      </c>
      <c r="F7" t="s">
        <v>28</v>
      </c>
      <c r="J7" t="s">
        <v>54</v>
      </c>
      <c r="K7" t="s">
        <v>21</v>
      </c>
      <c r="L7" t="s">
        <v>36</v>
      </c>
      <c r="M7" t="s">
        <v>1118</v>
      </c>
      <c r="N7" t="s">
        <v>38</v>
      </c>
      <c r="O7" t="s">
        <v>1118</v>
      </c>
      <c r="P7" t="s">
        <v>38</v>
      </c>
    </row>
    <row r="8" spans="1:16">
      <c r="A8" t="s">
        <v>1119</v>
      </c>
      <c r="B8" t="s">
        <v>1120</v>
      </c>
      <c r="C8" s="1">
        <v>44705</v>
      </c>
      <c r="D8">
        <v>40</v>
      </c>
      <c r="E8" t="s">
        <v>33</v>
      </c>
      <c r="F8" t="s">
        <v>172</v>
      </c>
      <c r="J8" t="s">
        <v>54</v>
      </c>
      <c r="K8" t="s">
        <v>21</v>
      </c>
      <c r="M8" t="s">
        <v>1121</v>
      </c>
      <c r="N8" t="s">
        <v>30</v>
      </c>
      <c r="O8" t="s">
        <v>1121</v>
      </c>
      <c r="P8" t="s">
        <v>30</v>
      </c>
    </row>
    <row r="9" spans="1:16">
      <c r="A9" t="s">
        <v>1122</v>
      </c>
      <c r="B9" t="s">
        <v>1123</v>
      </c>
      <c r="C9" s="1">
        <v>44707</v>
      </c>
      <c r="D9">
        <v>46</v>
      </c>
      <c r="E9" t="s">
        <v>33</v>
      </c>
      <c r="F9" t="s">
        <v>1124</v>
      </c>
      <c r="J9" t="s">
        <v>1125</v>
      </c>
      <c r="K9" t="s">
        <v>21</v>
      </c>
      <c r="M9" t="s">
        <v>1126</v>
      </c>
      <c r="N9" t="s">
        <v>30</v>
      </c>
      <c r="O9" t="s">
        <v>1127</v>
      </c>
      <c r="P9" t="s">
        <v>44</v>
      </c>
    </row>
    <row r="10" spans="1:16">
      <c r="A10" t="s">
        <v>1128</v>
      </c>
      <c r="B10" t="s">
        <v>1129</v>
      </c>
      <c r="C10" s="1">
        <v>44712</v>
      </c>
      <c r="D10">
        <v>61</v>
      </c>
      <c r="E10" t="s">
        <v>33</v>
      </c>
      <c r="F10" t="s">
        <v>461</v>
      </c>
      <c r="G10" t="s">
        <v>54</v>
      </c>
      <c r="K10" t="s">
        <v>21</v>
      </c>
      <c r="M10" t="s">
        <v>1130</v>
      </c>
      <c r="N10" t="s">
        <v>30</v>
      </c>
      <c r="O10" t="s">
        <v>1130</v>
      </c>
      <c r="P10" t="s">
        <v>30</v>
      </c>
    </row>
    <row r="11" spans="1:16">
      <c r="A11" t="s">
        <v>1131</v>
      </c>
      <c r="B11" t="s">
        <v>1132</v>
      </c>
      <c r="C11" s="1">
        <v>44714</v>
      </c>
      <c r="D11">
        <v>55</v>
      </c>
      <c r="E11" t="s">
        <v>18</v>
      </c>
      <c r="F11" t="s">
        <v>1124</v>
      </c>
      <c r="J11" t="s">
        <v>1133</v>
      </c>
      <c r="K11" t="s">
        <v>21</v>
      </c>
      <c r="M11" t="s">
        <v>1134</v>
      </c>
      <c r="N11" t="s">
        <v>30</v>
      </c>
      <c r="O11" t="s">
        <v>1134</v>
      </c>
      <c r="P11" t="s">
        <v>30</v>
      </c>
    </row>
    <row r="12" spans="1:16">
      <c r="A12" t="s">
        <v>1135</v>
      </c>
      <c r="B12" t="s">
        <v>1136</v>
      </c>
      <c r="C12" s="1">
        <v>44718</v>
      </c>
      <c r="D12">
        <v>58</v>
      </c>
      <c r="E12" t="s">
        <v>18</v>
      </c>
      <c r="F12" t="s">
        <v>172</v>
      </c>
      <c r="J12" t="s">
        <v>54</v>
      </c>
      <c r="K12" t="s">
        <v>21</v>
      </c>
      <c r="M12" t="s">
        <v>1137</v>
      </c>
      <c r="N12" t="s">
        <v>30</v>
      </c>
      <c r="O12" t="s">
        <v>1137</v>
      </c>
      <c r="P12" t="s">
        <v>30</v>
      </c>
    </row>
    <row r="13" spans="1:16">
      <c r="A13" t="s">
        <v>1138</v>
      </c>
      <c r="B13" t="s">
        <v>1139</v>
      </c>
      <c r="C13" s="1">
        <v>44719</v>
      </c>
      <c r="D13">
        <v>47</v>
      </c>
      <c r="E13" t="s">
        <v>18</v>
      </c>
      <c r="F13" t="s">
        <v>172</v>
      </c>
      <c r="J13" t="s">
        <v>54</v>
      </c>
      <c r="K13" t="s">
        <v>21</v>
      </c>
      <c r="N13" t="s">
        <v>30</v>
      </c>
      <c r="P13" t="s">
        <v>30</v>
      </c>
    </row>
    <row r="14" spans="1:16">
      <c r="A14" t="s">
        <v>1140</v>
      </c>
      <c r="B14" t="s">
        <v>1141</v>
      </c>
      <c r="C14" s="1">
        <v>44720</v>
      </c>
      <c r="D14">
        <v>89</v>
      </c>
      <c r="E14" t="s">
        <v>112</v>
      </c>
      <c r="F14" t="s">
        <v>63</v>
      </c>
      <c r="J14" t="s">
        <v>54</v>
      </c>
      <c r="K14" t="s">
        <v>21</v>
      </c>
      <c r="L14" t="s">
        <v>36</v>
      </c>
      <c r="M14" t="s">
        <v>1142</v>
      </c>
      <c r="N14" t="s">
        <v>70</v>
      </c>
      <c r="O14" t="s">
        <v>1142</v>
      </c>
      <c r="P14" t="s">
        <v>70</v>
      </c>
    </row>
    <row r="15" spans="1:16">
      <c r="A15" t="s">
        <v>1143</v>
      </c>
      <c r="B15" t="s">
        <v>1144</v>
      </c>
      <c r="C15" s="1">
        <v>44720</v>
      </c>
      <c r="D15">
        <v>77</v>
      </c>
      <c r="E15" t="s">
        <v>33</v>
      </c>
      <c r="F15" t="s">
        <v>281</v>
      </c>
      <c r="J15" t="s">
        <v>48</v>
      </c>
      <c r="K15" t="s">
        <v>21</v>
      </c>
      <c r="L15" t="s">
        <v>36</v>
      </c>
      <c r="M15" t="s">
        <v>1145</v>
      </c>
      <c r="N15" t="s">
        <v>38</v>
      </c>
      <c r="O15" t="s">
        <v>1145</v>
      </c>
      <c r="P15" t="s">
        <v>70</v>
      </c>
    </row>
    <row r="16" spans="1:16">
      <c r="A16" t="s">
        <v>1146</v>
      </c>
      <c r="B16" t="s">
        <v>1147</v>
      </c>
      <c r="C16" s="1">
        <v>44721</v>
      </c>
      <c r="D16">
        <v>39</v>
      </c>
      <c r="E16" t="s">
        <v>33</v>
      </c>
      <c r="F16" t="s">
        <v>1148</v>
      </c>
      <c r="J16" t="s">
        <v>54</v>
      </c>
      <c r="K16" t="s">
        <v>21</v>
      </c>
      <c r="L16" t="s">
        <v>36</v>
      </c>
      <c r="M16" t="s">
        <v>1149</v>
      </c>
      <c r="N16" t="s">
        <v>38</v>
      </c>
      <c r="O16" t="s">
        <v>1149</v>
      </c>
      <c r="P16" t="s">
        <v>38</v>
      </c>
    </row>
    <row r="17" spans="1:16">
      <c r="A17" t="s">
        <v>1150</v>
      </c>
      <c r="B17" t="s">
        <v>1151</v>
      </c>
      <c r="C17" s="1">
        <v>44721</v>
      </c>
      <c r="D17">
        <v>57</v>
      </c>
      <c r="E17" t="s">
        <v>33</v>
      </c>
      <c r="F17" t="s">
        <v>63</v>
      </c>
      <c r="J17" t="s">
        <v>54</v>
      </c>
      <c r="K17" t="s">
        <v>21</v>
      </c>
      <c r="N17" t="s">
        <v>30</v>
      </c>
      <c r="P17" t="s">
        <v>30</v>
      </c>
    </row>
    <row r="18" spans="1:16">
      <c r="A18" t="s">
        <v>1152</v>
      </c>
      <c r="B18" t="s">
        <v>1153</v>
      </c>
      <c r="C18" s="1">
        <v>44722</v>
      </c>
      <c r="D18">
        <v>46</v>
      </c>
      <c r="E18" t="s">
        <v>18</v>
      </c>
      <c r="F18" t="s">
        <v>1154</v>
      </c>
      <c r="J18" t="s">
        <v>1155</v>
      </c>
      <c r="K18" t="s">
        <v>21</v>
      </c>
      <c r="L18" t="s">
        <v>36</v>
      </c>
      <c r="M18" t="s">
        <v>250</v>
      </c>
      <c r="O18" t="s">
        <v>99</v>
      </c>
      <c r="P18" t="s">
        <v>44</v>
      </c>
    </row>
    <row r="19" spans="1:16">
      <c r="A19" t="s">
        <v>1156</v>
      </c>
      <c r="B19" t="s">
        <v>1157</v>
      </c>
      <c r="C19" s="1">
        <v>44723</v>
      </c>
      <c r="D19">
        <v>33</v>
      </c>
      <c r="E19" t="s">
        <v>33</v>
      </c>
      <c r="F19" t="s">
        <v>172</v>
      </c>
      <c r="J19" t="s">
        <v>54</v>
      </c>
      <c r="K19" t="s">
        <v>21</v>
      </c>
      <c r="M19" t="s">
        <v>1158</v>
      </c>
      <c r="N19" t="s">
        <v>30</v>
      </c>
      <c r="O19" t="s">
        <v>1159</v>
      </c>
      <c r="P19" t="s">
        <v>51</v>
      </c>
    </row>
    <row r="20" spans="1:16">
      <c r="A20" t="s">
        <v>1160</v>
      </c>
      <c r="B20" t="s">
        <v>1161</v>
      </c>
      <c r="C20" s="1">
        <v>44723</v>
      </c>
      <c r="D20">
        <v>48</v>
      </c>
      <c r="E20" t="s">
        <v>33</v>
      </c>
      <c r="F20" t="s">
        <v>54</v>
      </c>
      <c r="J20" t="s">
        <v>1162</v>
      </c>
      <c r="K20" t="s">
        <v>21</v>
      </c>
      <c r="M20" t="s">
        <v>1163</v>
      </c>
      <c r="N20" t="s">
        <v>30</v>
      </c>
      <c r="O20" t="s">
        <v>1163</v>
      </c>
      <c r="P20" t="s">
        <v>30</v>
      </c>
    </row>
    <row r="21" spans="1:16">
      <c r="A21" t="s">
        <v>1164</v>
      </c>
      <c r="B21" t="s">
        <v>1165</v>
      </c>
      <c r="C21" s="1">
        <v>44723</v>
      </c>
      <c r="D21">
        <v>59</v>
      </c>
      <c r="E21" t="s">
        <v>33</v>
      </c>
      <c r="F21" t="s">
        <v>981</v>
      </c>
      <c r="J21" t="s">
        <v>54</v>
      </c>
      <c r="K21" t="s">
        <v>21</v>
      </c>
      <c r="N21" t="s">
        <v>30</v>
      </c>
      <c r="P21" t="s">
        <v>30</v>
      </c>
    </row>
    <row r="22" spans="1:16">
      <c r="A22" t="s">
        <v>1166</v>
      </c>
      <c r="B22" t="s">
        <v>1167</v>
      </c>
      <c r="C22" s="1">
        <v>44723</v>
      </c>
      <c r="D22">
        <v>55</v>
      </c>
      <c r="E22" t="s">
        <v>33</v>
      </c>
      <c r="F22" t="s">
        <v>54</v>
      </c>
      <c r="J22" t="s">
        <v>1168</v>
      </c>
      <c r="K22" t="s">
        <v>21</v>
      </c>
      <c r="M22" t="s">
        <v>1169</v>
      </c>
      <c r="N22" t="s">
        <v>1042</v>
      </c>
      <c r="O22" t="s">
        <v>1169</v>
      </c>
      <c r="P22" t="s">
        <v>1042</v>
      </c>
    </row>
    <row r="23" spans="1:16">
      <c r="A23" t="s">
        <v>1170</v>
      </c>
      <c r="B23" t="s">
        <v>1171</v>
      </c>
      <c r="C23" s="1">
        <v>44723</v>
      </c>
      <c r="D23">
        <v>68</v>
      </c>
      <c r="E23" t="s">
        <v>33</v>
      </c>
      <c r="F23" t="s">
        <v>120</v>
      </c>
      <c r="J23" t="s">
        <v>1172</v>
      </c>
      <c r="K23" t="s">
        <v>21</v>
      </c>
      <c r="L23" t="s">
        <v>36</v>
      </c>
      <c r="M23" t="s">
        <v>1173</v>
      </c>
      <c r="N23" t="s">
        <v>30</v>
      </c>
      <c r="O23" t="s">
        <v>1173</v>
      </c>
      <c r="P23" t="s">
        <v>30</v>
      </c>
    </row>
    <row r="24" spans="1:16">
      <c r="A24" t="s">
        <v>1174</v>
      </c>
      <c r="B24" t="s">
        <v>1175</v>
      </c>
      <c r="C24" s="1">
        <v>44723</v>
      </c>
      <c r="D24">
        <v>60</v>
      </c>
      <c r="E24" t="s">
        <v>33</v>
      </c>
      <c r="F24" t="s">
        <v>97</v>
      </c>
      <c r="G24" t="s">
        <v>1176</v>
      </c>
      <c r="K24" t="s">
        <v>21</v>
      </c>
      <c r="M24" t="s">
        <v>1177</v>
      </c>
      <c r="N24" t="s">
        <v>24</v>
      </c>
      <c r="O24" t="s">
        <v>99</v>
      </c>
      <c r="P24" t="s">
        <v>44</v>
      </c>
    </row>
    <row r="25" spans="1:16">
      <c r="A25" t="s">
        <v>1178</v>
      </c>
      <c r="B25" t="s">
        <v>1179</v>
      </c>
      <c r="C25" s="1">
        <v>44724</v>
      </c>
      <c r="D25">
        <v>58</v>
      </c>
      <c r="E25" t="s">
        <v>33</v>
      </c>
      <c r="F25" t="s">
        <v>54</v>
      </c>
      <c r="J25" t="s">
        <v>63</v>
      </c>
      <c r="K25" t="s">
        <v>21</v>
      </c>
      <c r="M25" t="s">
        <v>1180</v>
      </c>
      <c r="N25" t="s">
        <v>30</v>
      </c>
      <c r="O25" t="s">
        <v>1181</v>
      </c>
      <c r="P25" t="s">
        <v>30</v>
      </c>
    </row>
    <row r="26" spans="1:16">
      <c r="A26" t="s">
        <v>1182</v>
      </c>
      <c r="B26" t="s">
        <v>1183</v>
      </c>
      <c r="C26" s="1">
        <v>44724</v>
      </c>
      <c r="D26">
        <v>51</v>
      </c>
      <c r="E26" t="s">
        <v>18</v>
      </c>
      <c r="F26" t="s">
        <v>1184</v>
      </c>
      <c r="G26" t="s">
        <v>1185</v>
      </c>
      <c r="H26" t="s">
        <v>1186</v>
      </c>
      <c r="K26" t="s">
        <v>21</v>
      </c>
      <c r="M26" t="s">
        <v>1187</v>
      </c>
      <c r="N26" t="s">
        <v>30</v>
      </c>
      <c r="O26" t="s">
        <v>127</v>
      </c>
      <c r="P26" t="s">
        <v>51</v>
      </c>
    </row>
    <row r="27" spans="1:16">
      <c r="A27" t="s">
        <v>1188</v>
      </c>
      <c r="B27" t="s">
        <v>1189</v>
      </c>
      <c r="C27" s="1">
        <v>44724</v>
      </c>
      <c r="D27">
        <v>52</v>
      </c>
      <c r="E27" t="s">
        <v>33</v>
      </c>
      <c r="F27" t="s">
        <v>54</v>
      </c>
      <c r="J27" t="s">
        <v>1190</v>
      </c>
      <c r="K27" t="s">
        <v>21</v>
      </c>
      <c r="M27" t="s">
        <v>1191</v>
      </c>
      <c r="N27" t="s">
        <v>30</v>
      </c>
      <c r="O27" t="s">
        <v>1191</v>
      </c>
      <c r="P27" t="s">
        <v>65</v>
      </c>
    </row>
    <row r="28" spans="1:16">
      <c r="A28" t="s">
        <v>1192</v>
      </c>
      <c r="B28" t="s">
        <v>1193</v>
      </c>
      <c r="C28" s="1">
        <v>44724</v>
      </c>
      <c r="D28">
        <v>33</v>
      </c>
      <c r="E28" t="s">
        <v>18</v>
      </c>
      <c r="F28" t="s">
        <v>339</v>
      </c>
      <c r="J28" t="s">
        <v>54</v>
      </c>
      <c r="K28" t="s">
        <v>21</v>
      </c>
      <c r="M28" t="s">
        <v>1194</v>
      </c>
      <c r="N28" t="s">
        <v>30</v>
      </c>
      <c r="O28" t="s">
        <v>1194</v>
      </c>
      <c r="P28" t="s">
        <v>30</v>
      </c>
    </row>
    <row r="29" spans="1:16">
      <c r="A29" t="s">
        <v>1195</v>
      </c>
      <c r="B29" t="s">
        <v>1196</v>
      </c>
      <c r="C29" s="1">
        <v>44725</v>
      </c>
      <c r="D29">
        <v>81</v>
      </c>
      <c r="E29" t="s">
        <v>18</v>
      </c>
      <c r="F29" t="s">
        <v>54</v>
      </c>
      <c r="J29" t="s">
        <v>181</v>
      </c>
      <c r="K29" t="s">
        <v>21</v>
      </c>
      <c r="L29" t="s">
        <v>36</v>
      </c>
      <c r="M29" t="s">
        <v>1197</v>
      </c>
      <c r="N29" t="s">
        <v>38</v>
      </c>
      <c r="O29" t="s">
        <v>1197</v>
      </c>
      <c r="P29" t="s">
        <v>38</v>
      </c>
    </row>
    <row r="30" spans="1:16">
      <c r="A30" t="s">
        <v>1198</v>
      </c>
      <c r="B30" t="s">
        <v>1199</v>
      </c>
      <c r="C30" s="1">
        <v>44725</v>
      </c>
      <c r="D30">
        <v>67</v>
      </c>
      <c r="E30" t="s">
        <v>18</v>
      </c>
      <c r="F30" t="s">
        <v>54</v>
      </c>
      <c r="J30" t="s">
        <v>468</v>
      </c>
      <c r="K30" t="s">
        <v>21</v>
      </c>
      <c r="L30" t="s">
        <v>36</v>
      </c>
      <c r="M30" t="s">
        <v>1200</v>
      </c>
      <c r="N30" t="s">
        <v>38</v>
      </c>
      <c r="O30" t="s">
        <v>1200</v>
      </c>
      <c r="P30" t="s">
        <v>38</v>
      </c>
    </row>
    <row r="31" spans="1:16">
      <c r="A31" t="s">
        <v>1201</v>
      </c>
      <c r="B31" t="s">
        <v>1202</v>
      </c>
      <c r="C31" s="1">
        <v>44726</v>
      </c>
      <c r="D31">
        <v>60</v>
      </c>
      <c r="E31" t="s">
        <v>33</v>
      </c>
      <c r="F31" t="s">
        <v>63</v>
      </c>
      <c r="J31" t="s">
        <v>1133</v>
      </c>
      <c r="K31" t="s">
        <v>21</v>
      </c>
      <c r="L31" t="s">
        <v>36</v>
      </c>
      <c r="M31" t="s">
        <v>1203</v>
      </c>
      <c r="N31" t="s">
        <v>38</v>
      </c>
      <c r="O31" t="s">
        <v>1203</v>
      </c>
      <c r="P31" t="s">
        <v>38</v>
      </c>
    </row>
    <row r="32" spans="1:16">
      <c r="A32" t="s">
        <v>1204</v>
      </c>
      <c r="B32" t="s">
        <v>1205</v>
      </c>
      <c r="C32" s="1">
        <v>44727</v>
      </c>
      <c r="D32">
        <v>58</v>
      </c>
      <c r="E32" t="s">
        <v>18</v>
      </c>
      <c r="F32" t="s">
        <v>54</v>
      </c>
      <c r="K32" t="s">
        <v>21</v>
      </c>
      <c r="M32" t="s">
        <v>1206</v>
      </c>
      <c r="N32" t="s">
        <v>30</v>
      </c>
      <c r="O32" t="s">
        <v>1206</v>
      </c>
      <c r="P32" t="s">
        <v>30</v>
      </c>
    </row>
    <row r="33" spans="1:16">
      <c r="A33" t="s">
        <v>1207</v>
      </c>
      <c r="B33" t="s">
        <v>1208</v>
      </c>
      <c r="C33" s="1">
        <v>44729</v>
      </c>
      <c r="D33">
        <v>47</v>
      </c>
      <c r="E33" t="s">
        <v>33</v>
      </c>
      <c r="F33" t="s">
        <v>34</v>
      </c>
      <c r="J33" t="s">
        <v>54</v>
      </c>
      <c r="K33" t="s">
        <v>21</v>
      </c>
      <c r="M33" t="s">
        <v>1209</v>
      </c>
      <c r="N33" t="s">
        <v>24</v>
      </c>
      <c r="O33" t="s">
        <v>369</v>
      </c>
      <c r="P33" t="s">
        <v>44</v>
      </c>
    </row>
    <row r="34" spans="1:16">
      <c r="A34" t="s">
        <v>1210</v>
      </c>
      <c r="B34" t="s">
        <v>1211</v>
      </c>
      <c r="C34" s="1">
        <v>44734</v>
      </c>
      <c r="D34">
        <v>75</v>
      </c>
      <c r="E34" t="s">
        <v>27</v>
      </c>
      <c r="F34" t="s">
        <v>54</v>
      </c>
      <c r="J34" t="s">
        <v>1212</v>
      </c>
      <c r="K34" t="s">
        <v>21</v>
      </c>
      <c r="L34" t="s">
        <v>36</v>
      </c>
      <c r="N34" t="s">
        <v>30</v>
      </c>
      <c r="P34" t="s">
        <v>30</v>
      </c>
    </row>
    <row r="35" spans="1:16">
      <c r="A35" t="s">
        <v>1213</v>
      </c>
      <c r="B35" t="s">
        <v>1214</v>
      </c>
      <c r="C35" s="1">
        <v>44736</v>
      </c>
      <c r="D35">
        <v>75</v>
      </c>
      <c r="E35" t="s">
        <v>33</v>
      </c>
      <c r="F35" t="s">
        <v>1215</v>
      </c>
      <c r="J35" t="s">
        <v>1216</v>
      </c>
      <c r="K35" t="s">
        <v>21</v>
      </c>
      <c r="L35" t="s">
        <v>36</v>
      </c>
      <c r="M35" t="s">
        <v>1217</v>
      </c>
      <c r="N35" t="s">
        <v>24</v>
      </c>
      <c r="O35" t="s">
        <v>1217</v>
      </c>
      <c r="P35" t="s">
        <v>24</v>
      </c>
    </row>
    <row r="36" spans="1:16">
      <c r="A36" t="s">
        <v>1218</v>
      </c>
      <c r="B36" t="s">
        <v>1219</v>
      </c>
      <c r="C36" s="1">
        <v>44737</v>
      </c>
      <c r="D36">
        <v>72</v>
      </c>
      <c r="E36" t="s">
        <v>33</v>
      </c>
      <c r="F36" t="s">
        <v>1220</v>
      </c>
      <c r="J36" t="s">
        <v>120</v>
      </c>
      <c r="K36" t="s">
        <v>21</v>
      </c>
      <c r="M36" t="s">
        <v>1221</v>
      </c>
      <c r="N36" t="s">
        <v>30</v>
      </c>
      <c r="O36" t="s">
        <v>150</v>
      </c>
      <c r="P36" t="s">
        <v>44</v>
      </c>
    </row>
    <row r="37" spans="1:16">
      <c r="A37" t="s">
        <v>1222</v>
      </c>
      <c r="B37" t="s">
        <v>1223</v>
      </c>
      <c r="C37" s="1">
        <v>44738</v>
      </c>
      <c r="D37">
        <v>46</v>
      </c>
      <c r="E37" t="s">
        <v>33</v>
      </c>
      <c r="F37" t="s">
        <v>97</v>
      </c>
      <c r="J37" t="s">
        <v>98</v>
      </c>
      <c r="K37" t="s">
        <v>21</v>
      </c>
      <c r="N37" t="s">
        <v>208</v>
      </c>
      <c r="O37" t="s">
        <v>369</v>
      </c>
      <c r="P37" t="s">
        <v>51</v>
      </c>
    </row>
    <row r="38" spans="1:16">
      <c r="A38" t="s">
        <v>1224</v>
      </c>
      <c r="B38" t="s">
        <v>1225</v>
      </c>
      <c r="C38" s="1">
        <v>44738</v>
      </c>
      <c r="D38">
        <v>59</v>
      </c>
      <c r="E38" t="s">
        <v>33</v>
      </c>
      <c r="F38" t="s">
        <v>54</v>
      </c>
      <c r="K38" t="s">
        <v>21</v>
      </c>
      <c r="M38" t="s">
        <v>1226</v>
      </c>
      <c r="N38" t="s">
        <v>30</v>
      </c>
      <c r="O38" t="s">
        <v>1226</v>
      </c>
      <c r="P38" t="s">
        <v>30</v>
      </c>
    </row>
    <row r="39" spans="1:16">
      <c r="A39" t="s">
        <v>1227</v>
      </c>
      <c r="B39" t="s">
        <v>1228</v>
      </c>
      <c r="C39" s="1">
        <v>44738</v>
      </c>
      <c r="D39">
        <v>55</v>
      </c>
      <c r="E39" t="s">
        <v>33</v>
      </c>
      <c r="F39" t="s">
        <v>28</v>
      </c>
      <c r="J39" t="s">
        <v>1229</v>
      </c>
      <c r="K39" t="s">
        <v>21</v>
      </c>
      <c r="L39" t="s">
        <v>36</v>
      </c>
      <c r="M39" t="s">
        <v>1230</v>
      </c>
      <c r="N39" t="s">
        <v>38</v>
      </c>
      <c r="O39" t="s">
        <v>1230</v>
      </c>
      <c r="P39" t="s">
        <v>38</v>
      </c>
    </row>
    <row r="40" spans="1:16">
      <c r="A40" t="s">
        <v>1231</v>
      </c>
      <c r="B40" t="s">
        <v>1232</v>
      </c>
      <c r="C40" s="1">
        <v>44739</v>
      </c>
      <c r="D40">
        <v>59</v>
      </c>
      <c r="E40" t="s">
        <v>18</v>
      </c>
      <c r="F40" t="s">
        <v>1233</v>
      </c>
      <c r="J40" t="s">
        <v>54</v>
      </c>
      <c r="K40" t="s">
        <v>21</v>
      </c>
      <c r="L40" t="s">
        <v>36</v>
      </c>
      <c r="M40" t="s">
        <v>1234</v>
      </c>
      <c r="N40" t="s">
        <v>38</v>
      </c>
      <c r="O40" t="s">
        <v>1234</v>
      </c>
      <c r="P40" t="s">
        <v>38</v>
      </c>
    </row>
    <row r="41" spans="1:16">
      <c r="A41" t="s">
        <v>1235</v>
      </c>
      <c r="B41" t="s">
        <v>1236</v>
      </c>
      <c r="C41" s="1">
        <v>44740</v>
      </c>
      <c r="D41">
        <v>34</v>
      </c>
      <c r="E41" t="s">
        <v>18</v>
      </c>
      <c r="F41" t="s">
        <v>1237</v>
      </c>
      <c r="G41" t="s">
        <v>620</v>
      </c>
      <c r="K41" t="s">
        <v>21</v>
      </c>
      <c r="M41" t="s">
        <v>1238</v>
      </c>
      <c r="N41" t="s">
        <v>30</v>
      </c>
      <c r="O41" t="s">
        <v>1238</v>
      </c>
      <c r="P41" t="s">
        <v>30</v>
      </c>
    </row>
    <row r="42" spans="1:16">
      <c r="A42" t="s">
        <v>1239</v>
      </c>
      <c r="B42" t="s">
        <v>1240</v>
      </c>
      <c r="C42" s="1">
        <v>44740</v>
      </c>
      <c r="D42">
        <v>76</v>
      </c>
      <c r="E42" t="s">
        <v>27</v>
      </c>
      <c r="F42" t="s">
        <v>674</v>
      </c>
      <c r="J42" t="s">
        <v>1241</v>
      </c>
      <c r="K42" t="s">
        <v>21</v>
      </c>
      <c r="L42" t="s">
        <v>36</v>
      </c>
      <c r="M42" t="s">
        <v>1242</v>
      </c>
      <c r="N42" t="s">
        <v>70</v>
      </c>
      <c r="O42" t="s">
        <v>1242</v>
      </c>
      <c r="P42" t="s">
        <v>70</v>
      </c>
    </row>
    <row r="43" spans="1:16">
      <c r="A43" t="s">
        <v>1243</v>
      </c>
      <c r="B43" t="s">
        <v>1244</v>
      </c>
      <c r="C43" s="1">
        <v>44741</v>
      </c>
      <c r="D43">
        <v>86</v>
      </c>
      <c r="E43" t="s">
        <v>112</v>
      </c>
      <c r="F43" t="s">
        <v>227</v>
      </c>
      <c r="J43" t="s">
        <v>1245</v>
      </c>
      <c r="K43" t="s">
        <v>21</v>
      </c>
      <c r="L43" t="s">
        <v>36</v>
      </c>
      <c r="M43" t="s">
        <v>1246</v>
      </c>
      <c r="N43" t="s">
        <v>70</v>
      </c>
      <c r="O43" t="s">
        <v>1246</v>
      </c>
      <c r="P43" t="s">
        <v>70</v>
      </c>
    </row>
    <row r="44" spans="1:16">
      <c r="A44" t="s">
        <v>1247</v>
      </c>
      <c r="B44" t="s">
        <v>1248</v>
      </c>
      <c r="C44" s="1">
        <v>44741</v>
      </c>
      <c r="D44">
        <v>48</v>
      </c>
      <c r="E44" t="s">
        <v>33</v>
      </c>
      <c r="F44" t="s">
        <v>1249</v>
      </c>
      <c r="J44" t="s">
        <v>1250</v>
      </c>
      <c r="K44" t="s">
        <v>21</v>
      </c>
      <c r="M44" t="s">
        <v>1251</v>
      </c>
      <c r="N44" t="s">
        <v>30</v>
      </c>
      <c r="O44" t="s">
        <v>1251</v>
      </c>
      <c r="P44" t="s">
        <v>30</v>
      </c>
    </row>
    <row r="45" spans="1:16">
      <c r="A45" t="s">
        <v>1252</v>
      </c>
      <c r="B45" t="s">
        <v>1253</v>
      </c>
      <c r="C45" s="1">
        <v>44742</v>
      </c>
      <c r="D45">
        <v>39</v>
      </c>
      <c r="E45" t="s">
        <v>18</v>
      </c>
      <c r="F45" t="s">
        <v>54</v>
      </c>
      <c r="J45" t="s">
        <v>1254</v>
      </c>
      <c r="K45" t="s">
        <v>21</v>
      </c>
      <c r="O45" t="s">
        <v>50</v>
      </c>
      <c r="P45" t="s">
        <v>855</v>
      </c>
    </row>
    <row r="46" spans="1:16">
      <c r="A46" t="s">
        <v>1255</v>
      </c>
      <c r="B46" t="s">
        <v>1256</v>
      </c>
      <c r="C46" s="1">
        <v>44742</v>
      </c>
      <c r="D46">
        <v>37</v>
      </c>
      <c r="E46" t="s">
        <v>27</v>
      </c>
      <c r="F46" t="s">
        <v>97</v>
      </c>
      <c r="G46" t="s">
        <v>1176</v>
      </c>
      <c r="J46" t="s">
        <v>1257</v>
      </c>
      <c r="K46" t="s">
        <v>21</v>
      </c>
      <c r="O46" t="s">
        <v>99</v>
      </c>
      <c r="P46" t="s">
        <v>51</v>
      </c>
    </row>
    <row r="47" spans="1:16">
      <c r="A47" t="s">
        <v>1258</v>
      </c>
      <c r="B47" t="s">
        <v>1259</v>
      </c>
      <c r="C47" s="1">
        <v>44743</v>
      </c>
      <c r="D47">
        <v>49</v>
      </c>
      <c r="E47" t="s">
        <v>33</v>
      </c>
      <c r="F47" t="s">
        <v>35</v>
      </c>
      <c r="K47" t="s">
        <v>21</v>
      </c>
      <c r="L47" t="s">
        <v>36</v>
      </c>
      <c r="M47" t="s">
        <v>1260</v>
      </c>
      <c r="N47" t="s">
        <v>65</v>
      </c>
      <c r="O47" t="s">
        <v>1260</v>
      </c>
      <c r="P47" t="s">
        <v>65</v>
      </c>
    </row>
    <row r="48" spans="1:16">
      <c r="A48" t="s">
        <v>1261</v>
      </c>
      <c r="B48" t="s">
        <v>1262</v>
      </c>
      <c r="C48" s="1">
        <v>44745</v>
      </c>
      <c r="D48">
        <v>76</v>
      </c>
      <c r="E48" t="s">
        <v>33</v>
      </c>
      <c r="F48" t="s">
        <v>54</v>
      </c>
      <c r="J48" t="s">
        <v>1263</v>
      </c>
      <c r="K48" t="s">
        <v>21</v>
      </c>
      <c r="L48" t="s">
        <v>36</v>
      </c>
      <c r="M48" t="s">
        <v>1264</v>
      </c>
      <c r="N48" t="s">
        <v>38</v>
      </c>
      <c r="O48" t="s">
        <v>1264</v>
      </c>
      <c r="P48" t="s">
        <v>38</v>
      </c>
    </row>
    <row r="49" spans="1:16">
      <c r="A49" t="s">
        <v>1265</v>
      </c>
      <c r="B49" t="s">
        <v>1266</v>
      </c>
      <c r="C49" s="1">
        <v>44746</v>
      </c>
      <c r="D49">
        <v>56</v>
      </c>
      <c r="E49" t="s">
        <v>33</v>
      </c>
      <c r="F49" t="s">
        <v>135</v>
      </c>
      <c r="J49" t="s">
        <v>1267</v>
      </c>
      <c r="K49" t="s">
        <v>21</v>
      </c>
      <c r="M49" t="s">
        <v>1268</v>
      </c>
      <c r="N49" t="s">
        <v>30</v>
      </c>
      <c r="O49" t="s">
        <v>1268</v>
      </c>
      <c r="P49" t="s">
        <v>30</v>
      </c>
    </row>
    <row r="50" spans="1:16">
      <c r="A50" t="s">
        <v>1269</v>
      </c>
      <c r="B50" t="s">
        <v>1270</v>
      </c>
      <c r="C50" s="1">
        <v>44747</v>
      </c>
      <c r="D50">
        <v>80</v>
      </c>
      <c r="E50" t="s">
        <v>33</v>
      </c>
      <c r="F50" t="s">
        <v>120</v>
      </c>
      <c r="J50" t="s">
        <v>1271</v>
      </c>
      <c r="K50" t="s">
        <v>21</v>
      </c>
      <c r="L50" t="s">
        <v>36</v>
      </c>
      <c r="M50" t="s">
        <v>1272</v>
      </c>
      <c r="N50" t="s">
        <v>38</v>
      </c>
      <c r="O50" t="s">
        <v>1272</v>
      </c>
      <c r="P50" t="s">
        <v>38</v>
      </c>
    </row>
    <row r="51" spans="1:16">
      <c r="A51" t="s">
        <v>1273</v>
      </c>
      <c r="B51" t="s">
        <v>1274</v>
      </c>
      <c r="C51" s="1">
        <v>44747</v>
      </c>
      <c r="D51">
        <v>52</v>
      </c>
      <c r="E51" t="s">
        <v>33</v>
      </c>
      <c r="F51" t="s">
        <v>181</v>
      </c>
      <c r="J51" t="s">
        <v>59</v>
      </c>
      <c r="K51" t="s">
        <v>21</v>
      </c>
      <c r="L51" t="s">
        <v>36</v>
      </c>
      <c r="M51" t="s">
        <v>1275</v>
      </c>
      <c r="N51" t="s">
        <v>30</v>
      </c>
      <c r="O51" t="s">
        <v>1275</v>
      </c>
      <c r="P51" t="s">
        <v>30</v>
      </c>
    </row>
    <row r="52" spans="1:16">
      <c r="A52" t="s">
        <v>1276</v>
      </c>
      <c r="B52" t="s">
        <v>1277</v>
      </c>
      <c r="C52" s="1">
        <v>44747</v>
      </c>
      <c r="D52">
        <v>69</v>
      </c>
      <c r="E52" t="s">
        <v>33</v>
      </c>
      <c r="F52" t="s">
        <v>492</v>
      </c>
      <c r="J52" t="s">
        <v>54</v>
      </c>
      <c r="K52" t="s">
        <v>21</v>
      </c>
      <c r="L52" t="s">
        <v>36</v>
      </c>
      <c r="M52" t="s">
        <v>1278</v>
      </c>
      <c r="N52" t="s">
        <v>38</v>
      </c>
      <c r="O52" t="s">
        <v>1278</v>
      </c>
      <c r="P52" t="s">
        <v>38</v>
      </c>
    </row>
    <row r="53" spans="1:16">
      <c r="A53" t="s">
        <v>1279</v>
      </c>
      <c r="B53" t="s">
        <v>1280</v>
      </c>
      <c r="C53" s="1">
        <v>44748</v>
      </c>
      <c r="D53">
        <v>35</v>
      </c>
      <c r="E53" t="s">
        <v>33</v>
      </c>
      <c r="F53" t="s">
        <v>1281</v>
      </c>
      <c r="J53" t="s">
        <v>54</v>
      </c>
      <c r="K53" t="s">
        <v>21</v>
      </c>
      <c r="M53" t="s">
        <v>1282</v>
      </c>
      <c r="N53" t="s">
        <v>24</v>
      </c>
      <c r="O53" t="s">
        <v>1282</v>
      </c>
      <c r="P53" t="s">
        <v>24</v>
      </c>
    </row>
    <row r="54" spans="1:16">
      <c r="A54" t="s">
        <v>1283</v>
      </c>
      <c r="B54" t="s">
        <v>1284</v>
      </c>
      <c r="C54" s="1">
        <v>44748</v>
      </c>
      <c r="D54">
        <v>57</v>
      </c>
      <c r="E54" t="s">
        <v>33</v>
      </c>
      <c r="F54" t="s">
        <v>54</v>
      </c>
      <c r="K54" t="s">
        <v>21</v>
      </c>
      <c r="L54" t="s">
        <v>22</v>
      </c>
      <c r="N54" t="s">
        <v>30</v>
      </c>
      <c r="P54" t="s">
        <v>30</v>
      </c>
    </row>
    <row r="55" spans="1:16">
      <c r="A55" t="s">
        <v>1285</v>
      </c>
      <c r="B55" t="s">
        <v>1286</v>
      </c>
      <c r="C55" s="1">
        <v>44749</v>
      </c>
      <c r="D55">
        <v>65</v>
      </c>
      <c r="E55" t="s">
        <v>33</v>
      </c>
      <c r="F55" t="s">
        <v>1249</v>
      </c>
      <c r="J55" t="s">
        <v>199</v>
      </c>
      <c r="K55" t="s">
        <v>21</v>
      </c>
      <c r="N55" t="s">
        <v>30</v>
      </c>
      <c r="P55" t="s">
        <v>30</v>
      </c>
    </row>
    <row r="56" spans="1:16">
      <c r="A56" t="s">
        <v>1287</v>
      </c>
      <c r="B56" t="s">
        <v>1288</v>
      </c>
      <c r="C56" s="1">
        <v>44749</v>
      </c>
      <c r="D56">
        <v>30</v>
      </c>
      <c r="E56" t="s">
        <v>18</v>
      </c>
      <c r="F56" t="s">
        <v>172</v>
      </c>
      <c r="J56" t="s">
        <v>54</v>
      </c>
      <c r="K56" t="s">
        <v>21</v>
      </c>
      <c r="M56" t="s">
        <v>1289</v>
      </c>
      <c r="N56" t="s">
        <v>30</v>
      </c>
      <c r="O56" t="s">
        <v>89</v>
      </c>
      <c r="P56" t="s">
        <v>44</v>
      </c>
    </row>
    <row r="57" spans="1:16">
      <c r="A57" t="s">
        <v>1290</v>
      </c>
      <c r="B57" t="s">
        <v>1291</v>
      </c>
      <c r="C57" s="1">
        <v>44749</v>
      </c>
      <c r="D57">
        <v>52</v>
      </c>
      <c r="E57" t="s">
        <v>33</v>
      </c>
      <c r="F57" t="s">
        <v>1292</v>
      </c>
      <c r="J57" t="s">
        <v>1293</v>
      </c>
      <c r="K57" t="s">
        <v>21</v>
      </c>
      <c r="L57" t="s">
        <v>36</v>
      </c>
      <c r="M57" t="s">
        <v>1294</v>
      </c>
      <c r="N57" t="s">
        <v>30</v>
      </c>
      <c r="O57" t="s">
        <v>1294</v>
      </c>
      <c r="P57" t="s">
        <v>30</v>
      </c>
    </row>
    <row r="58" spans="1:16">
      <c r="A58" t="s">
        <v>1295</v>
      </c>
      <c r="B58" t="s">
        <v>1296</v>
      </c>
      <c r="C58" s="1">
        <v>44749</v>
      </c>
      <c r="D58">
        <v>63</v>
      </c>
      <c r="E58" t="s">
        <v>33</v>
      </c>
      <c r="F58" t="s">
        <v>63</v>
      </c>
      <c r="J58" t="s">
        <v>54</v>
      </c>
      <c r="K58" t="s">
        <v>21</v>
      </c>
      <c r="M58" t="s">
        <v>1297</v>
      </c>
      <c r="N58" t="s">
        <v>271</v>
      </c>
      <c r="O58" t="s">
        <v>150</v>
      </c>
      <c r="P58" t="s">
        <v>44</v>
      </c>
    </row>
    <row r="59" spans="1:16">
      <c r="A59" t="s">
        <v>1298</v>
      </c>
      <c r="B59" t="s">
        <v>1299</v>
      </c>
      <c r="C59" s="1">
        <v>44749</v>
      </c>
      <c r="D59">
        <v>42</v>
      </c>
      <c r="E59" t="s">
        <v>613</v>
      </c>
      <c r="F59" t="s">
        <v>54</v>
      </c>
      <c r="J59" t="s">
        <v>503</v>
      </c>
      <c r="K59" t="s">
        <v>21</v>
      </c>
      <c r="M59" t="s">
        <v>1300</v>
      </c>
      <c r="N59" t="s">
        <v>70</v>
      </c>
      <c r="O59" t="s">
        <v>1300</v>
      </c>
      <c r="P59" t="s">
        <v>70</v>
      </c>
    </row>
    <row r="60" spans="1:16">
      <c r="A60" t="s">
        <v>1301</v>
      </c>
      <c r="B60" t="s">
        <v>1302</v>
      </c>
      <c r="C60" s="1">
        <v>44750</v>
      </c>
      <c r="D60">
        <v>30</v>
      </c>
      <c r="E60" t="s">
        <v>33</v>
      </c>
      <c r="F60" t="s">
        <v>1303</v>
      </c>
      <c r="G60" t="s">
        <v>97</v>
      </c>
      <c r="H60" t="s">
        <v>54</v>
      </c>
      <c r="J60" t="s">
        <v>1304</v>
      </c>
      <c r="K60" t="s">
        <v>21</v>
      </c>
      <c r="M60" t="s">
        <v>1305</v>
      </c>
      <c r="N60" t="s">
        <v>208</v>
      </c>
      <c r="O60" t="s">
        <v>127</v>
      </c>
      <c r="P60" t="s">
        <v>51</v>
      </c>
    </row>
    <row r="61" spans="1:16">
      <c r="A61" t="s">
        <v>1306</v>
      </c>
      <c r="B61" t="s">
        <v>1307</v>
      </c>
      <c r="C61" s="1">
        <v>44750</v>
      </c>
      <c r="D61">
        <v>52</v>
      </c>
      <c r="E61" t="s">
        <v>27</v>
      </c>
      <c r="F61" t="s">
        <v>54</v>
      </c>
      <c r="J61" t="s">
        <v>1308</v>
      </c>
      <c r="K61" t="s">
        <v>21</v>
      </c>
      <c r="L61" t="s">
        <v>36</v>
      </c>
      <c r="M61" t="s">
        <v>1309</v>
      </c>
      <c r="N61" t="s">
        <v>30</v>
      </c>
      <c r="O61" t="s">
        <v>1309</v>
      </c>
      <c r="P61" t="s">
        <v>30</v>
      </c>
    </row>
    <row r="62" spans="1:16">
      <c r="A62" t="s">
        <v>1310</v>
      </c>
      <c r="B62" t="s">
        <v>1311</v>
      </c>
      <c r="C62" s="1">
        <v>44750</v>
      </c>
      <c r="D62">
        <v>60</v>
      </c>
      <c r="E62" t="s">
        <v>33</v>
      </c>
      <c r="F62" t="s">
        <v>54</v>
      </c>
      <c r="J62" t="s">
        <v>1312</v>
      </c>
      <c r="K62" t="s">
        <v>21</v>
      </c>
      <c r="N62" t="s">
        <v>30</v>
      </c>
      <c r="P62" t="s">
        <v>30</v>
      </c>
    </row>
    <row r="63" spans="1:16">
      <c r="A63" t="s">
        <v>1313</v>
      </c>
      <c r="B63" t="s">
        <v>1314</v>
      </c>
      <c r="C63" s="1">
        <v>44751</v>
      </c>
      <c r="D63">
        <v>42</v>
      </c>
      <c r="E63" t="s">
        <v>27</v>
      </c>
      <c r="F63" t="s">
        <v>54</v>
      </c>
      <c r="J63" t="s">
        <v>503</v>
      </c>
      <c r="K63" t="s">
        <v>21</v>
      </c>
      <c r="M63" t="s">
        <v>1315</v>
      </c>
      <c r="N63" t="s">
        <v>70</v>
      </c>
      <c r="O63" t="s">
        <v>1315</v>
      </c>
      <c r="P63" t="s">
        <v>70</v>
      </c>
    </row>
    <row r="64" spans="1:16">
      <c r="A64" t="s">
        <v>1316</v>
      </c>
      <c r="B64" t="s">
        <v>1317</v>
      </c>
      <c r="C64" s="1">
        <v>44752</v>
      </c>
      <c r="D64">
        <v>48</v>
      </c>
      <c r="E64" t="s">
        <v>33</v>
      </c>
      <c r="F64" t="s">
        <v>172</v>
      </c>
      <c r="J64" t="s">
        <v>54</v>
      </c>
      <c r="K64" t="s">
        <v>21</v>
      </c>
      <c r="M64" t="s">
        <v>1318</v>
      </c>
      <c r="N64" t="s">
        <v>30</v>
      </c>
      <c r="O64" t="s">
        <v>1318</v>
      </c>
      <c r="P64" t="s">
        <v>30</v>
      </c>
    </row>
    <row r="65" spans="1:16">
      <c r="A65" t="s">
        <v>1319</v>
      </c>
      <c r="B65" t="s">
        <v>1320</v>
      </c>
      <c r="C65" s="1">
        <v>44752</v>
      </c>
      <c r="D65">
        <v>64</v>
      </c>
      <c r="E65" t="s">
        <v>18</v>
      </c>
      <c r="F65" t="s">
        <v>468</v>
      </c>
      <c r="J65" t="s">
        <v>282</v>
      </c>
      <c r="K65" t="s">
        <v>21</v>
      </c>
      <c r="L65" t="s">
        <v>36</v>
      </c>
      <c r="M65" t="s">
        <v>1321</v>
      </c>
      <c r="N65" t="s">
        <v>65</v>
      </c>
      <c r="O65" t="s">
        <v>1321</v>
      </c>
      <c r="P65" t="s">
        <v>65</v>
      </c>
    </row>
    <row r="66" spans="1:16">
      <c r="A66" t="s">
        <v>1322</v>
      </c>
      <c r="B66" t="s">
        <v>1323</v>
      </c>
      <c r="C66" s="1">
        <v>44753</v>
      </c>
      <c r="D66">
        <v>80</v>
      </c>
      <c r="E66" t="s">
        <v>112</v>
      </c>
      <c r="F66" t="s">
        <v>54</v>
      </c>
      <c r="K66" t="s">
        <v>21</v>
      </c>
      <c r="L66" t="s">
        <v>36</v>
      </c>
      <c r="N66" t="s">
        <v>30</v>
      </c>
      <c r="P66" t="s">
        <v>30</v>
      </c>
    </row>
    <row r="67" spans="1:16">
      <c r="A67" t="s">
        <v>1324</v>
      </c>
      <c r="B67" t="s">
        <v>1325</v>
      </c>
      <c r="C67" s="1">
        <v>44753</v>
      </c>
      <c r="D67">
        <v>40</v>
      </c>
      <c r="E67" t="s">
        <v>33</v>
      </c>
      <c r="F67" t="s">
        <v>135</v>
      </c>
      <c r="J67" t="s">
        <v>54</v>
      </c>
      <c r="K67" t="s">
        <v>21</v>
      </c>
      <c r="N67" t="s">
        <v>30</v>
      </c>
      <c r="P67" t="s">
        <v>30</v>
      </c>
    </row>
    <row r="68" spans="1:16">
      <c r="A68" t="s">
        <v>1326</v>
      </c>
      <c r="B68" t="s">
        <v>1327</v>
      </c>
      <c r="C68" s="1">
        <v>44753</v>
      </c>
      <c r="D68">
        <v>37</v>
      </c>
      <c r="E68" t="s">
        <v>27</v>
      </c>
      <c r="F68" t="s">
        <v>660</v>
      </c>
      <c r="J68" t="s">
        <v>98</v>
      </c>
      <c r="K68" t="s">
        <v>21</v>
      </c>
      <c r="L68" t="s">
        <v>1328</v>
      </c>
      <c r="M68" t="s">
        <v>1329</v>
      </c>
      <c r="N68" t="s">
        <v>30</v>
      </c>
      <c r="O68" t="s">
        <v>1330</v>
      </c>
      <c r="P68" t="s">
        <v>44</v>
      </c>
    </row>
    <row r="69" spans="1:16">
      <c r="A69" t="s">
        <v>1331</v>
      </c>
      <c r="B69" t="s">
        <v>1332</v>
      </c>
      <c r="C69" s="1">
        <v>44753</v>
      </c>
      <c r="D69">
        <v>72</v>
      </c>
      <c r="E69" t="s">
        <v>33</v>
      </c>
      <c r="F69" t="s">
        <v>339</v>
      </c>
      <c r="J69" t="s">
        <v>1333</v>
      </c>
      <c r="K69" t="s">
        <v>21</v>
      </c>
      <c r="M69" t="s">
        <v>1334</v>
      </c>
      <c r="N69" t="s">
        <v>30</v>
      </c>
      <c r="O69" t="s">
        <v>1334</v>
      </c>
      <c r="P69" t="s">
        <v>30</v>
      </c>
    </row>
    <row r="70" spans="1:16">
      <c r="A70" t="s">
        <v>1335</v>
      </c>
      <c r="B70" t="s">
        <v>1336</v>
      </c>
      <c r="C70" s="1">
        <v>44754</v>
      </c>
      <c r="D70">
        <v>66</v>
      </c>
      <c r="E70" t="s">
        <v>33</v>
      </c>
      <c r="F70" t="s">
        <v>54</v>
      </c>
      <c r="K70" t="s">
        <v>21</v>
      </c>
      <c r="M70" t="s">
        <v>1337</v>
      </c>
      <c r="N70" t="s">
        <v>30</v>
      </c>
      <c r="O70" t="s">
        <v>1337</v>
      </c>
      <c r="P70" t="s">
        <v>30</v>
      </c>
    </row>
    <row r="71" spans="1:16">
      <c r="A71" t="s">
        <v>1338</v>
      </c>
      <c r="B71" t="s">
        <v>1339</v>
      </c>
      <c r="C71" s="1">
        <v>44754</v>
      </c>
      <c r="D71">
        <v>58</v>
      </c>
      <c r="E71" t="s">
        <v>33</v>
      </c>
      <c r="F71" t="s">
        <v>54</v>
      </c>
      <c r="J71" t="s">
        <v>1340</v>
      </c>
      <c r="K71" t="s">
        <v>21</v>
      </c>
      <c r="M71" t="s">
        <v>1341</v>
      </c>
      <c r="N71" t="s">
        <v>65</v>
      </c>
      <c r="O71" t="s">
        <v>1341</v>
      </c>
      <c r="P71" t="s">
        <v>65</v>
      </c>
    </row>
    <row r="72" spans="1:16">
      <c r="A72" t="s">
        <v>1342</v>
      </c>
      <c r="B72" t="s">
        <v>1343</v>
      </c>
      <c r="C72" s="1">
        <v>44754</v>
      </c>
      <c r="D72">
        <v>48</v>
      </c>
      <c r="E72" t="s">
        <v>33</v>
      </c>
      <c r="F72" t="s">
        <v>1344</v>
      </c>
      <c r="J72" t="s">
        <v>63</v>
      </c>
      <c r="K72" t="s">
        <v>21</v>
      </c>
      <c r="M72" t="s">
        <v>1345</v>
      </c>
      <c r="N72" t="s">
        <v>30</v>
      </c>
      <c r="O72" t="s">
        <v>1345</v>
      </c>
      <c r="P72" t="s">
        <v>30</v>
      </c>
    </row>
    <row r="73" spans="1:16">
      <c r="A73" t="s">
        <v>1346</v>
      </c>
      <c r="B73" t="s">
        <v>1347</v>
      </c>
      <c r="C73" s="1">
        <v>44755</v>
      </c>
      <c r="D73">
        <v>63</v>
      </c>
      <c r="E73" t="s">
        <v>33</v>
      </c>
      <c r="F73" t="s">
        <v>172</v>
      </c>
      <c r="J73" t="s">
        <v>48</v>
      </c>
      <c r="K73" t="s">
        <v>21</v>
      </c>
      <c r="M73" t="s">
        <v>1348</v>
      </c>
      <c r="N73" t="s">
        <v>70</v>
      </c>
      <c r="O73" t="s">
        <v>1348</v>
      </c>
      <c r="P73" t="s">
        <v>70</v>
      </c>
    </row>
    <row r="74" spans="1:16">
      <c r="A74" t="s">
        <v>1349</v>
      </c>
      <c r="B74" t="s">
        <v>1350</v>
      </c>
      <c r="C74" s="1">
        <v>44756</v>
      </c>
      <c r="D74">
        <v>48</v>
      </c>
      <c r="E74" t="s">
        <v>18</v>
      </c>
      <c r="F74" t="s">
        <v>35</v>
      </c>
      <c r="K74" t="s">
        <v>21</v>
      </c>
      <c r="M74" t="s">
        <v>1351</v>
      </c>
      <c r="N74" t="s">
        <v>30</v>
      </c>
      <c r="O74" t="s">
        <v>1351</v>
      </c>
      <c r="P74" t="s">
        <v>30</v>
      </c>
    </row>
    <row r="75" spans="1:16">
      <c r="A75" t="s">
        <v>1352</v>
      </c>
      <c r="B75" t="s">
        <v>1353</v>
      </c>
      <c r="C75" s="1">
        <v>44756</v>
      </c>
      <c r="D75">
        <v>56</v>
      </c>
      <c r="E75" t="s">
        <v>33</v>
      </c>
      <c r="F75" t="s">
        <v>172</v>
      </c>
      <c r="J75" t="s">
        <v>54</v>
      </c>
      <c r="K75" t="s">
        <v>21</v>
      </c>
      <c r="M75" t="s">
        <v>1354</v>
      </c>
      <c r="N75" t="s">
        <v>30</v>
      </c>
      <c r="O75" t="s">
        <v>1354</v>
      </c>
      <c r="P75" t="s">
        <v>30</v>
      </c>
    </row>
    <row r="76" spans="1:16">
      <c r="A76" t="s">
        <v>1355</v>
      </c>
      <c r="B76" t="s">
        <v>1356</v>
      </c>
      <c r="C76" s="1">
        <v>44756</v>
      </c>
      <c r="D76">
        <v>41</v>
      </c>
      <c r="E76" t="s">
        <v>33</v>
      </c>
      <c r="F76" t="s">
        <v>135</v>
      </c>
      <c r="J76" t="s">
        <v>35</v>
      </c>
      <c r="K76" t="s">
        <v>21</v>
      </c>
      <c r="M76" t="s">
        <v>1357</v>
      </c>
      <c r="N76" t="s">
        <v>24</v>
      </c>
      <c r="O76" t="s">
        <v>435</v>
      </c>
      <c r="P76" t="s">
        <v>44</v>
      </c>
    </row>
    <row r="77" spans="1:16">
      <c r="A77" t="s">
        <v>1358</v>
      </c>
      <c r="B77" t="s">
        <v>1359</v>
      </c>
      <c r="C77" s="1">
        <v>44756</v>
      </c>
      <c r="D77">
        <v>56</v>
      </c>
      <c r="E77" t="s">
        <v>33</v>
      </c>
      <c r="F77" t="s">
        <v>34</v>
      </c>
      <c r="J77" t="s">
        <v>54</v>
      </c>
      <c r="K77" t="s">
        <v>21</v>
      </c>
      <c r="N77" t="s">
        <v>30</v>
      </c>
      <c r="P77" t="s">
        <v>30</v>
      </c>
    </row>
    <row r="78" spans="1:16">
      <c r="A78" t="s">
        <v>1360</v>
      </c>
      <c r="B78" t="s">
        <v>1361</v>
      </c>
      <c r="C78" s="1">
        <v>44757</v>
      </c>
      <c r="D78">
        <v>60</v>
      </c>
      <c r="E78" t="s">
        <v>33</v>
      </c>
      <c r="F78" t="s">
        <v>172</v>
      </c>
      <c r="J78" t="s">
        <v>1362</v>
      </c>
      <c r="K78" t="s">
        <v>21</v>
      </c>
      <c r="M78" t="s">
        <v>1363</v>
      </c>
      <c r="N78" t="s">
        <v>30</v>
      </c>
      <c r="O78" t="s">
        <v>1363</v>
      </c>
      <c r="P78" t="s">
        <v>30</v>
      </c>
    </row>
    <row r="79" spans="1:16">
      <c r="A79" t="s">
        <v>1364</v>
      </c>
      <c r="B79" t="s">
        <v>1365</v>
      </c>
      <c r="C79" s="1">
        <v>44759</v>
      </c>
      <c r="D79">
        <v>44</v>
      </c>
      <c r="E79" t="s">
        <v>33</v>
      </c>
      <c r="F79" t="s">
        <v>97</v>
      </c>
      <c r="J79" t="s">
        <v>379</v>
      </c>
      <c r="K79" t="s">
        <v>21</v>
      </c>
      <c r="M79" t="s">
        <v>1366</v>
      </c>
      <c r="N79" t="s">
        <v>30</v>
      </c>
      <c r="O79" t="s">
        <v>99</v>
      </c>
      <c r="P79" t="s">
        <v>44</v>
      </c>
    </row>
    <row r="80" spans="1:16">
      <c r="A80" t="s">
        <v>1367</v>
      </c>
      <c r="B80" t="s">
        <v>1368</v>
      </c>
      <c r="C80" s="1">
        <v>44759</v>
      </c>
      <c r="D80">
        <v>60</v>
      </c>
      <c r="E80" t="s">
        <v>33</v>
      </c>
      <c r="F80" t="s">
        <v>181</v>
      </c>
      <c r="J80" t="s">
        <v>54</v>
      </c>
      <c r="K80" t="s">
        <v>21</v>
      </c>
      <c r="L80" t="s">
        <v>36</v>
      </c>
      <c r="M80" t="s">
        <v>1369</v>
      </c>
      <c r="N80" t="s">
        <v>38</v>
      </c>
      <c r="O80" t="s">
        <v>1369</v>
      </c>
      <c r="P80" t="s">
        <v>38</v>
      </c>
    </row>
    <row r="81" spans="1:16">
      <c r="A81" t="s">
        <v>1370</v>
      </c>
      <c r="B81" t="s">
        <v>1371</v>
      </c>
      <c r="C81" s="1">
        <v>44760</v>
      </c>
      <c r="D81">
        <v>31</v>
      </c>
      <c r="E81" t="s">
        <v>33</v>
      </c>
      <c r="F81" t="s">
        <v>1372</v>
      </c>
      <c r="J81" t="s">
        <v>54</v>
      </c>
      <c r="K81" t="s">
        <v>21</v>
      </c>
      <c r="M81" t="s">
        <v>1373</v>
      </c>
      <c r="N81" t="s">
        <v>132</v>
      </c>
      <c r="O81" t="s">
        <v>1373</v>
      </c>
      <c r="P81" t="s">
        <v>132</v>
      </c>
    </row>
    <row r="82" spans="1:16">
      <c r="A82" t="s">
        <v>1374</v>
      </c>
      <c r="B82" t="s">
        <v>1375</v>
      </c>
      <c r="C82" s="1">
        <v>44760</v>
      </c>
      <c r="D82">
        <v>34</v>
      </c>
      <c r="E82" t="s">
        <v>18</v>
      </c>
      <c r="F82" t="s">
        <v>1376</v>
      </c>
      <c r="G82" t="s">
        <v>1185</v>
      </c>
      <c r="H82" t="s">
        <v>1377</v>
      </c>
      <c r="J82" t="s">
        <v>1378</v>
      </c>
      <c r="K82" t="s">
        <v>21</v>
      </c>
      <c r="L82" t="s">
        <v>36</v>
      </c>
      <c r="N82" t="s">
        <v>30</v>
      </c>
      <c r="O82" t="s">
        <v>43</v>
      </c>
      <c r="P82" t="s">
        <v>51</v>
      </c>
    </row>
    <row r="83" spans="1:16">
      <c r="A83" t="s">
        <v>1379</v>
      </c>
      <c r="B83" t="s">
        <v>1380</v>
      </c>
      <c r="C83" s="1">
        <v>44760</v>
      </c>
      <c r="D83">
        <v>75</v>
      </c>
      <c r="E83" t="s">
        <v>33</v>
      </c>
      <c r="F83" t="s">
        <v>181</v>
      </c>
      <c r="J83" t="s">
        <v>54</v>
      </c>
      <c r="K83" t="s">
        <v>21</v>
      </c>
      <c r="L83" t="s">
        <v>36</v>
      </c>
      <c r="M83" t="s">
        <v>1381</v>
      </c>
      <c r="N83" t="s">
        <v>38</v>
      </c>
      <c r="O83" t="s">
        <v>1381</v>
      </c>
      <c r="P83" t="s">
        <v>38</v>
      </c>
    </row>
    <row r="84" spans="1:16">
      <c r="A84" t="s">
        <v>1382</v>
      </c>
      <c r="B84" t="s">
        <v>1383</v>
      </c>
      <c r="C84" s="1">
        <v>44760</v>
      </c>
      <c r="D84">
        <v>45</v>
      </c>
      <c r="E84" t="s">
        <v>18</v>
      </c>
      <c r="F84" t="s">
        <v>54</v>
      </c>
      <c r="J84" t="s">
        <v>98</v>
      </c>
      <c r="K84" t="s">
        <v>21</v>
      </c>
      <c r="M84" t="s">
        <v>1384</v>
      </c>
      <c r="N84" t="s">
        <v>30</v>
      </c>
      <c r="O84" t="s">
        <v>1384</v>
      </c>
      <c r="P84" t="s">
        <v>30</v>
      </c>
    </row>
    <row r="85" spans="1:16">
      <c r="A85" t="s">
        <v>1385</v>
      </c>
      <c r="B85" t="s">
        <v>1386</v>
      </c>
      <c r="C85" s="1">
        <v>44760</v>
      </c>
      <c r="D85">
        <v>47</v>
      </c>
      <c r="E85" t="s">
        <v>33</v>
      </c>
      <c r="F85" t="s">
        <v>54</v>
      </c>
      <c r="G85" t="s">
        <v>661</v>
      </c>
      <c r="K85" t="s">
        <v>21</v>
      </c>
      <c r="N85" t="s">
        <v>30</v>
      </c>
      <c r="P85" t="s">
        <v>30</v>
      </c>
    </row>
    <row r="86" spans="1:16">
      <c r="A86" t="s">
        <v>1387</v>
      </c>
      <c r="B86" t="s">
        <v>1388</v>
      </c>
      <c r="C86" s="1">
        <v>44761</v>
      </c>
      <c r="D86">
        <v>92</v>
      </c>
      <c r="E86" t="s">
        <v>33</v>
      </c>
      <c r="F86" t="s">
        <v>54</v>
      </c>
      <c r="J86" t="s">
        <v>1389</v>
      </c>
      <c r="K86" t="s">
        <v>21</v>
      </c>
      <c r="L86" t="s">
        <v>36</v>
      </c>
      <c r="M86" t="s">
        <v>1390</v>
      </c>
      <c r="N86" t="s">
        <v>38</v>
      </c>
      <c r="O86" t="s">
        <v>1390</v>
      </c>
      <c r="P86" t="s">
        <v>38</v>
      </c>
    </row>
    <row r="87" spans="1:16">
      <c r="A87" t="s">
        <v>1391</v>
      </c>
      <c r="B87" t="s">
        <v>1392</v>
      </c>
      <c r="C87" s="1">
        <v>44761</v>
      </c>
      <c r="D87">
        <v>57</v>
      </c>
      <c r="E87" t="s">
        <v>27</v>
      </c>
      <c r="F87" t="s">
        <v>54</v>
      </c>
      <c r="J87" t="s">
        <v>1393</v>
      </c>
      <c r="K87" t="s">
        <v>21</v>
      </c>
      <c r="M87" t="s">
        <v>1394</v>
      </c>
      <c r="N87" t="s">
        <v>30</v>
      </c>
      <c r="O87" t="s">
        <v>1394</v>
      </c>
      <c r="P87" t="s">
        <v>30</v>
      </c>
    </row>
    <row r="88" spans="1:16">
      <c r="A88" t="s">
        <v>1395</v>
      </c>
      <c r="B88" t="s">
        <v>1396</v>
      </c>
      <c r="C88" s="1">
        <v>44762</v>
      </c>
      <c r="D88">
        <v>74</v>
      </c>
      <c r="E88" t="s">
        <v>33</v>
      </c>
      <c r="F88" t="s">
        <v>54</v>
      </c>
      <c r="J88" t="s">
        <v>1397</v>
      </c>
      <c r="K88" t="s">
        <v>21</v>
      </c>
      <c r="L88" t="s">
        <v>36</v>
      </c>
      <c r="M88" t="s">
        <v>1398</v>
      </c>
      <c r="N88" t="s">
        <v>30</v>
      </c>
      <c r="O88" t="s">
        <v>1398</v>
      </c>
      <c r="P88" t="s">
        <v>30</v>
      </c>
    </row>
    <row r="89" spans="1:16">
      <c r="A89" t="s">
        <v>1399</v>
      </c>
      <c r="B89" t="s">
        <v>1400</v>
      </c>
      <c r="C89" s="1">
        <v>44762</v>
      </c>
      <c r="D89">
        <v>76</v>
      </c>
      <c r="E89" t="s">
        <v>27</v>
      </c>
      <c r="F89" t="s">
        <v>1401</v>
      </c>
      <c r="J89" t="s">
        <v>28</v>
      </c>
      <c r="K89" t="s">
        <v>21</v>
      </c>
      <c r="M89" t="s">
        <v>1402</v>
      </c>
      <c r="N89" t="s">
        <v>30</v>
      </c>
      <c r="O89" t="s">
        <v>1402</v>
      </c>
      <c r="P89" t="s">
        <v>30</v>
      </c>
    </row>
    <row r="90" spans="1:16">
      <c r="A90" t="s">
        <v>1403</v>
      </c>
      <c r="B90" t="s">
        <v>1404</v>
      </c>
      <c r="C90" s="1">
        <v>44762</v>
      </c>
      <c r="D90">
        <v>36</v>
      </c>
      <c r="E90" t="s">
        <v>18</v>
      </c>
      <c r="F90" t="s">
        <v>34</v>
      </c>
      <c r="J90" t="s">
        <v>54</v>
      </c>
      <c r="K90" t="s">
        <v>21</v>
      </c>
      <c r="N90" t="s">
        <v>30</v>
      </c>
      <c r="P90" t="s">
        <v>30</v>
      </c>
    </row>
    <row r="91" spans="1:16">
      <c r="A91" t="s">
        <v>1405</v>
      </c>
      <c r="B91" t="s">
        <v>1406</v>
      </c>
      <c r="C91" s="1">
        <v>44762</v>
      </c>
      <c r="D91">
        <v>58</v>
      </c>
      <c r="E91" t="s">
        <v>106</v>
      </c>
      <c r="F91" t="s">
        <v>54</v>
      </c>
      <c r="J91" t="s">
        <v>98</v>
      </c>
      <c r="K91" t="s">
        <v>21</v>
      </c>
      <c r="M91" t="s">
        <v>1407</v>
      </c>
      <c r="N91" t="s">
        <v>30</v>
      </c>
      <c r="O91" t="s">
        <v>1407</v>
      </c>
      <c r="P91" t="s">
        <v>30</v>
      </c>
    </row>
    <row r="92" spans="1:16">
      <c r="A92" t="s">
        <v>1408</v>
      </c>
      <c r="B92" t="s">
        <v>1409</v>
      </c>
      <c r="C92" s="1">
        <v>44762</v>
      </c>
      <c r="D92">
        <v>52</v>
      </c>
      <c r="E92" t="s">
        <v>33</v>
      </c>
      <c r="F92" t="s">
        <v>1410</v>
      </c>
      <c r="J92" t="s">
        <v>1411</v>
      </c>
      <c r="K92" t="s">
        <v>21</v>
      </c>
      <c r="M92" t="s">
        <v>1412</v>
      </c>
      <c r="N92" t="s">
        <v>30</v>
      </c>
      <c r="O92" t="s">
        <v>1412</v>
      </c>
      <c r="P92" t="s">
        <v>30</v>
      </c>
    </row>
    <row r="93" spans="1:16">
      <c r="A93" t="s">
        <v>1413</v>
      </c>
      <c r="B93" t="s">
        <v>1414</v>
      </c>
      <c r="C93" s="1">
        <v>44762</v>
      </c>
      <c r="D93">
        <v>44</v>
      </c>
      <c r="E93" t="s">
        <v>33</v>
      </c>
      <c r="F93" t="s">
        <v>54</v>
      </c>
      <c r="J93" t="s">
        <v>468</v>
      </c>
      <c r="K93" t="s">
        <v>21</v>
      </c>
      <c r="M93" t="s">
        <v>1415</v>
      </c>
      <c r="N93" t="s">
        <v>30</v>
      </c>
      <c r="O93" t="s">
        <v>1415</v>
      </c>
      <c r="P93" t="s">
        <v>30</v>
      </c>
    </row>
    <row r="94" spans="1:16">
      <c r="A94" t="s">
        <v>1416</v>
      </c>
      <c r="B94" t="s">
        <v>1417</v>
      </c>
      <c r="C94" s="1">
        <v>44762</v>
      </c>
      <c r="D94">
        <v>71</v>
      </c>
      <c r="E94" t="s">
        <v>112</v>
      </c>
      <c r="F94" t="s">
        <v>63</v>
      </c>
      <c r="J94" t="s">
        <v>54</v>
      </c>
      <c r="K94" t="s">
        <v>21</v>
      </c>
      <c r="L94" t="s">
        <v>36</v>
      </c>
      <c r="M94" t="s">
        <v>1418</v>
      </c>
      <c r="N94" t="s">
        <v>38</v>
      </c>
      <c r="O94" t="s">
        <v>1418</v>
      </c>
      <c r="P94" t="s">
        <v>38</v>
      </c>
    </row>
    <row r="95" spans="1:16">
      <c r="A95" t="s">
        <v>1419</v>
      </c>
      <c r="B95" t="s">
        <v>1420</v>
      </c>
      <c r="C95" s="1">
        <v>44763</v>
      </c>
      <c r="D95">
        <v>58</v>
      </c>
      <c r="E95" t="s">
        <v>33</v>
      </c>
      <c r="F95" t="s">
        <v>54</v>
      </c>
      <c r="K95" t="s">
        <v>21</v>
      </c>
      <c r="N95" t="s">
        <v>30</v>
      </c>
      <c r="O95" t="s">
        <v>43</v>
      </c>
      <c r="P95" t="s">
        <v>44</v>
      </c>
    </row>
    <row r="96" spans="1:16">
      <c r="A96" t="s">
        <v>1421</v>
      </c>
      <c r="B96" t="s">
        <v>1422</v>
      </c>
      <c r="C96" s="1">
        <v>44763</v>
      </c>
      <c r="D96">
        <v>30</v>
      </c>
      <c r="E96" t="s">
        <v>33</v>
      </c>
      <c r="F96" t="s">
        <v>286</v>
      </c>
      <c r="J96" t="s">
        <v>1423</v>
      </c>
      <c r="K96" t="s">
        <v>21</v>
      </c>
      <c r="M96" t="s">
        <v>1424</v>
      </c>
      <c r="N96" t="s">
        <v>30</v>
      </c>
      <c r="O96" t="s">
        <v>99</v>
      </c>
      <c r="P96" t="s">
        <v>44</v>
      </c>
    </row>
    <row r="97" spans="1:16">
      <c r="A97" t="s">
        <v>1425</v>
      </c>
      <c r="B97" t="s">
        <v>1426</v>
      </c>
      <c r="C97" s="1">
        <v>44763</v>
      </c>
      <c r="D97">
        <v>36</v>
      </c>
      <c r="E97" t="s">
        <v>27</v>
      </c>
      <c r="F97" t="s">
        <v>172</v>
      </c>
      <c r="J97" t="s">
        <v>54</v>
      </c>
      <c r="K97" t="s">
        <v>21</v>
      </c>
      <c r="M97" t="s">
        <v>1427</v>
      </c>
      <c r="N97" t="s">
        <v>30</v>
      </c>
      <c r="O97" t="s">
        <v>1427</v>
      </c>
      <c r="P97" t="s">
        <v>30</v>
      </c>
    </row>
    <row r="98" spans="1:16">
      <c r="A98" t="s">
        <v>1428</v>
      </c>
      <c r="B98" t="s">
        <v>1429</v>
      </c>
      <c r="C98" s="1">
        <v>44764</v>
      </c>
      <c r="D98">
        <v>86</v>
      </c>
      <c r="E98" t="s">
        <v>33</v>
      </c>
      <c r="F98" t="s">
        <v>281</v>
      </c>
      <c r="J98" t="s">
        <v>54</v>
      </c>
      <c r="K98" t="s">
        <v>21</v>
      </c>
      <c r="L98" t="s">
        <v>36</v>
      </c>
      <c r="M98" t="s">
        <v>1430</v>
      </c>
      <c r="N98" t="s">
        <v>38</v>
      </c>
      <c r="O98" t="s">
        <v>1430</v>
      </c>
      <c r="P98" t="s">
        <v>38</v>
      </c>
    </row>
    <row r="99" spans="1:16">
      <c r="A99" t="s">
        <v>1431</v>
      </c>
      <c r="B99" t="s">
        <v>1432</v>
      </c>
      <c r="C99" s="1">
        <v>44764</v>
      </c>
      <c r="D99">
        <v>46</v>
      </c>
      <c r="E99" t="s">
        <v>18</v>
      </c>
      <c r="F99" t="s">
        <v>54</v>
      </c>
      <c r="J99" t="s">
        <v>1433</v>
      </c>
      <c r="K99" t="s">
        <v>21</v>
      </c>
      <c r="M99" t="s">
        <v>1434</v>
      </c>
      <c r="N99" t="s">
        <v>30</v>
      </c>
      <c r="O99" t="s">
        <v>1434</v>
      </c>
      <c r="P99" t="s">
        <v>30</v>
      </c>
    </row>
    <row r="100" spans="1:16">
      <c r="A100" t="s">
        <v>1435</v>
      </c>
      <c r="B100" t="s">
        <v>1436</v>
      </c>
      <c r="C100" s="1">
        <v>44764</v>
      </c>
      <c r="D100">
        <v>34</v>
      </c>
      <c r="E100" t="s">
        <v>33</v>
      </c>
      <c r="F100" t="s">
        <v>1437</v>
      </c>
      <c r="J100" t="s">
        <v>54</v>
      </c>
      <c r="K100" t="s">
        <v>21</v>
      </c>
      <c r="M100" t="s">
        <v>1438</v>
      </c>
      <c r="N100" t="s">
        <v>30</v>
      </c>
      <c r="O100" t="s">
        <v>1438</v>
      </c>
      <c r="P100" t="s">
        <v>30</v>
      </c>
    </row>
    <row r="101" spans="1:16">
      <c r="A101" t="s">
        <v>1439</v>
      </c>
      <c r="B101" t="s">
        <v>1440</v>
      </c>
      <c r="C101" s="1">
        <v>44764</v>
      </c>
      <c r="D101">
        <v>87</v>
      </c>
      <c r="E101" t="s">
        <v>112</v>
      </c>
      <c r="F101" t="s">
        <v>1441</v>
      </c>
      <c r="J101" t="s">
        <v>1442</v>
      </c>
      <c r="K101" t="s">
        <v>21</v>
      </c>
      <c r="L101" t="s">
        <v>36</v>
      </c>
      <c r="M101" t="s">
        <v>1443</v>
      </c>
      <c r="N101" t="s">
        <v>38</v>
      </c>
      <c r="O101" t="s">
        <v>1443</v>
      </c>
      <c r="P101" t="s">
        <v>38</v>
      </c>
    </row>
    <row r="102" spans="1:16">
      <c r="A102" t="s">
        <v>1444</v>
      </c>
      <c r="B102" t="s">
        <v>1445</v>
      </c>
      <c r="C102" s="1">
        <v>44764</v>
      </c>
      <c r="D102">
        <v>66</v>
      </c>
      <c r="E102" t="s">
        <v>33</v>
      </c>
      <c r="F102" t="s">
        <v>63</v>
      </c>
      <c r="J102" t="s">
        <v>1446</v>
      </c>
      <c r="K102" t="s">
        <v>21</v>
      </c>
      <c r="M102" t="s">
        <v>1447</v>
      </c>
      <c r="N102" t="s">
        <v>30</v>
      </c>
      <c r="O102" t="s">
        <v>1447</v>
      </c>
      <c r="P102" t="s">
        <v>30</v>
      </c>
    </row>
    <row r="103" spans="1:16">
      <c r="A103" t="s">
        <v>1448</v>
      </c>
      <c r="B103" t="s">
        <v>1449</v>
      </c>
      <c r="C103" s="1">
        <v>44765</v>
      </c>
      <c r="D103">
        <v>51</v>
      </c>
      <c r="E103" t="s">
        <v>33</v>
      </c>
      <c r="F103" t="s">
        <v>63</v>
      </c>
      <c r="J103" t="s">
        <v>1450</v>
      </c>
      <c r="K103" t="s">
        <v>21</v>
      </c>
      <c r="M103" t="s">
        <v>250</v>
      </c>
      <c r="N103" t="s">
        <v>30</v>
      </c>
      <c r="O103" t="s">
        <v>99</v>
      </c>
      <c r="P103" t="s">
        <v>51</v>
      </c>
    </row>
    <row r="104" spans="1:16">
      <c r="A104" t="s">
        <v>1451</v>
      </c>
      <c r="B104" t="s">
        <v>1452</v>
      </c>
      <c r="C104" s="1">
        <v>44765</v>
      </c>
      <c r="D104">
        <v>46</v>
      </c>
      <c r="E104" t="s">
        <v>33</v>
      </c>
      <c r="F104" t="s">
        <v>34</v>
      </c>
      <c r="J104" t="s">
        <v>48</v>
      </c>
      <c r="K104" t="s">
        <v>21</v>
      </c>
      <c r="M104" t="s">
        <v>1453</v>
      </c>
      <c r="N104" t="s">
        <v>30</v>
      </c>
      <c r="O104" t="s">
        <v>1453</v>
      </c>
      <c r="P104" t="s">
        <v>30</v>
      </c>
    </row>
    <row r="105" spans="1:16">
      <c r="A105" t="s">
        <v>1454</v>
      </c>
      <c r="B105" t="s">
        <v>1455</v>
      </c>
      <c r="C105" s="1">
        <v>44765</v>
      </c>
      <c r="D105">
        <v>38</v>
      </c>
      <c r="E105" t="s">
        <v>18</v>
      </c>
      <c r="F105" t="s">
        <v>54</v>
      </c>
      <c r="J105" t="s">
        <v>98</v>
      </c>
      <c r="K105" t="s">
        <v>21</v>
      </c>
      <c r="M105" t="s">
        <v>1456</v>
      </c>
      <c r="N105" t="s">
        <v>30</v>
      </c>
      <c r="O105" t="s">
        <v>1456</v>
      </c>
      <c r="P105" t="s">
        <v>30</v>
      </c>
    </row>
    <row r="106" spans="1:16">
      <c r="A106" t="s">
        <v>1457</v>
      </c>
      <c r="B106" t="s">
        <v>1458</v>
      </c>
      <c r="C106" s="1">
        <v>44767</v>
      </c>
      <c r="D106">
        <v>56</v>
      </c>
      <c r="E106" t="s">
        <v>18</v>
      </c>
      <c r="F106" t="s">
        <v>97</v>
      </c>
      <c r="J106" t="s">
        <v>1459</v>
      </c>
      <c r="K106" t="s">
        <v>21</v>
      </c>
      <c r="M106" t="s">
        <v>1460</v>
      </c>
      <c r="N106" t="s">
        <v>30</v>
      </c>
      <c r="O106" t="s">
        <v>50</v>
      </c>
      <c r="P106" t="s">
        <v>51</v>
      </c>
    </row>
    <row r="107" spans="1:16">
      <c r="A107" t="s">
        <v>1461</v>
      </c>
      <c r="B107" t="s">
        <v>1462</v>
      </c>
      <c r="C107" s="1">
        <v>44770</v>
      </c>
      <c r="D107">
        <v>40</v>
      </c>
      <c r="E107" t="s">
        <v>33</v>
      </c>
      <c r="F107" t="s">
        <v>1463</v>
      </c>
      <c r="K107" t="s">
        <v>21</v>
      </c>
      <c r="O107" t="s">
        <v>1464</v>
      </c>
      <c r="P107" t="s">
        <v>51</v>
      </c>
    </row>
    <row r="108" spans="1:16">
      <c r="A108" t="s">
        <v>1465</v>
      </c>
      <c r="B108" t="s">
        <v>1466</v>
      </c>
      <c r="C108" s="1">
        <v>44769</v>
      </c>
      <c r="D108">
        <v>62</v>
      </c>
      <c r="E108" t="s">
        <v>33</v>
      </c>
      <c r="F108" t="s">
        <v>339</v>
      </c>
      <c r="J108" t="s">
        <v>54</v>
      </c>
      <c r="K108" t="s">
        <v>21</v>
      </c>
      <c r="M108" t="s">
        <v>1467</v>
      </c>
      <c r="N108" t="s">
        <v>30</v>
      </c>
      <c r="O108" t="s">
        <v>50</v>
      </c>
      <c r="P108" t="s">
        <v>44</v>
      </c>
    </row>
    <row r="109" spans="1:16">
      <c r="A109" t="s">
        <v>1468</v>
      </c>
      <c r="B109" t="s">
        <v>1469</v>
      </c>
      <c r="C109" s="1">
        <v>44770</v>
      </c>
      <c r="D109">
        <v>67</v>
      </c>
      <c r="E109" t="s">
        <v>33</v>
      </c>
      <c r="F109" t="s">
        <v>54</v>
      </c>
      <c r="J109" t="s">
        <v>1470</v>
      </c>
      <c r="K109" t="s">
        <v>21</v>
      </c>
      <c r="M109" t="s">
        <v>1471</v>
      </c>
      <c r="N109" t="s">
        <v>30</v>
      </c>
      <c r="O109" t="s">
        <v>1471</v>
      </c>
      <c r="P109" t="s">
        <v>30</v>
      </c>
    </row>
    <row r="110" spans="1:16">
      <c r="A110" t="s">
        <v>1472</v>
      </c>
      <c r="B110" t="s">
        <v>1473</v>
      </c>
      <c r="C110" s="1">
        <v>44770</v>
      </c>
      <c r="D110">
        <v>42</v>
      </c>
      <c r="E110" t="s">
        <v>33</v>
      </c>
      <c r="F110" t="s">
        <v>114</v>
      </c>
      <c r="K110" t="s">
        <v>21</v>
      </c>
      <c r="N110" t="s">
        <v>30</v>
      </c>
      <c r="O110" t="s">
        <v>50</v>
      </c>
      <c r="P110" t="s">
        <v>51</v>
      </c>
    </row>
    <row r="111" spans="1:16">
      <c r="A111" t="s">
        <v>1474</v>
      </c>
      <c r="B111" t="s">
        <v>1475</v>
      </c>
      <c r="C111" s="1">
        <v>44773</v>
      </c>
      <c r="D111">
        <v>65</v>
      </c>
      <c r="E111" t="s">
        <v>18</v>
      </c>
      <c r="F111" t="s">
        <v>1476</v>
      </c>
      <c r="J111" t="s">
        <v>1477</v>
      </c>
      <c r="K111" t="s">
        <v>21</v>
      </c>
      <c r="L111" t="s">
        <v>36</v>
      </c>
      <c r="M111" t="s">
        <v>1478</v>
      </c>
      <c r="N111" t="s">
        <v>38</v>
      </c>
      <c r="O111" t="s">
        <v>1478</v>
      </c>
      <c r="P111" t="s">
        <v>38</v>
      </c>
    </row>
    <row r="112" spans="1:16">
      <c r="A112" t="s">
        <v>1479</v>
      </c>
      <c r="B112" t="s">
        <v>1480</v>
      </c>
      <c r="C112" s="1">
        <v>44773</v>
      </c>
      <c r="D112">
        <v>71</v>
      </c>
      <c r="E112" t="s">
        <v>33</v>
      </c>
      <c r="F112" t="s">
        <v>1476</v>
      </c>
      <c r="J112" t="s">
        <v>1481</v>
      </c>
      <c r="K112" t="s">
        <v>21</v>
      </c>
      <c r="L112" t="s">
        <v>36</v>
      </c>
      <c r="M112" t="s">
        <v>1482</v>
      </c>
      <c r="N112" t="s">
        <v>38</v>
      </c>
      <c r="O112" t="s">
        <v>1482</v>
      </c>
      <c r="P112" t="s">
        <v>38</v>
      </c>
    </row>
    <row r="113" spans="1:16">
      <c r="A113" t="s">
        <v>1483</v>
      </c>
      <c r="B113" t="s">
        <v>1484</v>
      </c>
      <c r="C113" s="1">
        <v>44775</v>
      </c>
      <c r="D113">
        <v>34</v>
      </c>
      <c r="E113" t="s">
        <v>33</v>
      </c>
      <c r="F113" t="s">
        <v>299</v>
      </c>
      <c r="J113" t="s">
        <v>1485</v>
      </c>
      <c r="K113" t="s">
        <v>21</v>
      </c>
      <c r="L113" t="s">
        <v>36</v>
      </c>
      <c r="M113" t="s">
        <v>1486</v>
      </c>
      <c r="N113" t="s">
        <v>30</v>
      </c>
      <c r="O113" t="s">
        <v>1486</v>
      </c>
      <c r="P113" t="s">
        <v>30</v>
      </c>
    </row>
    <row r="114" spans="1:16">
      <c r="A114" t="s">
        <v>1487</v>
      </c>
      <c r="B114" t="s">
        <v>1488</v>
      </c>
      <c r="C114" s="1">
        <v>44777</v>
      </c>
      <c r="D114">
        <v>83</v>
      </c>
      <c r="E114" t="s">
        <v>33</v>
      </c>
      <c r="F114" t="s">
        <v>63</v>
      </c>
      <c r="G114" t="s">
        <v>1489</v>
      </c>
      <c r="J114" t="s">
        <v>54</v>
      </c>
      <c r="K114" t="s">
        <v>21</v>
      </c>
      <c r="L114" t="s">
        <v>36</v>
      </c>
      <c r="M114" t="s">
        <v>1490</v>
      </c>
      <c r="N114" t="s">
        <v>38</v>
      </c>
      <c r="O114" t="s">
        <v>1490</v>
      </c>
      <c r="P114" t="s">
        <v>38</v>
      </c>
    </row>
    <row r="115" spans="1:16">
      <c r="A115" t="s">
        <v>1491</v>
      </c>
      <c r="B115" t="s">
        <v>1492</v>
      </c>
      <c r="C115" s="1">
        <v>44781</v>
      </c>
      <c r="D115">
        <v>59</v>
      </c>
      <c r="E115" t="s">
        <v>33</v>
      </c>
      <c r="F115" t="s">
        <v>54</v>
      </c>
      <c r="J115" t="s">
        <v>181</v>
      </c>
      <c r="K115" t="s">
        <v>21</v>
      </c>
      <c r="M115" t="s">
        <v>1493</v>
      </c>
      <c r="N115" t="s">
        <v>70</v>
      </c>
      <c r="O115" t="s">
        <v>1493</v>
      </c>
      <c r="P115" t="s">
        <v>70</v>
      </c>
    </row>
    <row r="116" spans="1:16">
      <c r="A116" t="s">
        <v>1494</v>
      </c>
      <c r="B116" t="s">
        <v>1495</v>
      </c>
      <c r="C116" s="1">
        <v>44781</v>
      </c>
      <c r="D116">
        <v>82</v>
      </c>
      <c r="E116" t="s">
        <v>112</v>
      </c>
      <c r="F116" t="s">
        <v>54</v>
      </c>
      <c r="J116" t="s">
        <v>181</v>
      </c>
      <c r="K116" t="s">
        <v>21</v>
      </c>
      <c r="L116" t="s">
        <v>36</v>
      </c>
      <c r="M116" t="s">
        <v>1496</v>
      </c>
      <c r="N116" t="s">
        <v>38</v>
      </c>
      <c r="O116" t="s">
        <v>1496</v>
      </c>
      <c r="P116" t="s">
        <v>38</v>
      </c>
    </row>
    <row r="117" spans="1:16">
      <c r="A117" t="s">
        <v>1497</v>
      </c>
      <c r="B117" t="s">
        <v>1498</v>
      </c>
      <c r="C117" s="1">
        <v>44781</v>
      </c>
      <c r="D117">
        <v>54</v>
      </c>
      <c r="E117" t="s">
        <v>27</v>
      </c>
      <c r="F117" t="s">
        <v>54</v>
      </c>
      <c r="J117" t="s">
        <v>503</v>
      </c>
      <c r="K117" t="s">
        <v>21</v>
      </c>
      <c r="M117" t="s">
        <v>1499</v>
      </c>
      <c r="N117" t="s">
        <v>30</v>
      </c>
      <c r="O117" t="s">
        <v>1499</v>
      </c>
      <c r="P117" t="s">
        <v>30</v>
      </c>
    </row>
    <row r="118" spans="1:16">
      <c r="A118" t="s">
        <v>1500</v>
      </c>
      <c r="B118" t="s">
        <v>1501</v>
      </c>
      <c r="C118" s="1">
        <v>44783</v>
      </c>
      <c r="D118">
        <v>54</v>
      </c>
      <c r="E118" t="s">
        <v>33</v>
      </c>
      <c r="F118" t="s">
        <v>54</v>
      </c>
      <c r="J118" t="s">
        <v>1502</v>
      </c>
      <c r="K118" t="s">
        <v>21</v>
      </c>
      <c r="M118" t="s">
        <v>1503</v>
      </c>
      <c r="N118" t="s">
        <v>30</v>
      </c>
      <c r="O118" t="s">
        <v>1503</v>
      </c>
      <c r="P118" t="s">
        <v>30</v>
      </c>
    </row>
    <row r="119" spans="1:16">
      <c r="A119" t="s">
        <v>1504</v>
      </c>
      <c r="B119" t="s">
        <v>1505</v>
      </c>
      <c r="C119" s="1">
        <v>44784</v>
      </c>
      <c r="D119">
        <v>84</v>
      </c>
      <c r="E119" t="s">
        <v>27</v>
      </c>
      <c r="F119" t="s">
        <v>63</v>
      </c>
      <c r="J119" t="s">
        <v>54</v>
      </c>
      <c r="K119" t="s">
        <v>21</v>
      </c>
      <c r="L119" t="s">
        <v>36</v>
      </c>
      <c r="M119" t="s">
        <v>1506</v>
      </c>
      <c r="N119" t="s">
        <v>38</v>
      </c>
      <c r="O119" t="s">
        <v>1506</v>
      </c>
      <c r="P119" t="s">
        <v>38</v>
      </c>
    </row>
    <row r="120" spans="1:16">
      <c r="A120" t="s">
        <v>1507</v>
      </c>
      <c r="B120" t="s">
        <v>1508</v>
      </c>
      <c r="C120" s="1">
        <v>44785</v>
      </c>
      <c r="D120">
        <v>29</v>
      </c>
      <c r="E120" t="s">
        <v>18</v>
      </c>
      <c r="F120" t="s">
        <v>97</v>
      </c>
      <c r="G120" t="s">
        <v>54</v>
      </c>
      <c r="J120" t="s">
        <v>1254</v>
      </c>
      <c r="K120" t="s">
        <v>21</v>
      </c>
      <c r="M120" t="s">
        <v>250</v>
      </c>
      <c r="N120" t="s">
        <v>30</v>
      </c>
      <c r="O120" t="s">
        <v>127</v>
      </c>
      <c r="P120" t="s">
        <v>51</v>
      </c>
    </row>
    <row r="121" spans="1:16">
      <c r="A121" t="s">
        <v>1509</v>
      </c>
      <c r="B121" t="s">
        <v>1510</v>
      </c>
      <c r="C121" s="1">
        <v>44788</v>
      </c>
      <c r="D121">
        <v>42</v>
      </c>
      <c r="E121" t="s">
        <v>33</v>
      </c>
      <c r="F121" t="s">
        <v>97</v>
      </c>
      <c r="J121" t="s">
        <v>1511</v>
      </c>
      <c r="K121" t="s">
        <v>21</v>
      </c>
      <c r="L121" t="s">
        <v>36</v>
      </c>
      <c r="M121" t="s">
        <v>1512</v>
      </c>
      <c r="N121" t="s">
        <v>726</v>
      </c>
      <c r="O121" t="s">
        <v>369</v>
      </c>
      <c r="P121" t="s">
        <v>51</v>
      </c>
    </row>
    <row r="122" spans="1:16">
      <c r="A122" t="s">
        <v>1513</v>
      </c>
      <c r="B122" t="s">
        <v>1514</v>
      </c>
      <c r="C122" s="1">
        <v>44789</v>
      </c>
      <c r="D122">
        <v>52</v>
      </c>
      <c r="E122" t="s">
        <v>33</v>
      </c>
      <c r="F122" t="s">
        <v>461</v>
      </c>
      <c r="G122" t="s">
        <v>54</v>
      </c>
      <c r="J122" t="s">
        <v>503</v>
      </c>
      <c r="K122" t="s">
        <v>21</v>
      </c>
      <c r="M122" t="s">
        <v>1515</v>
      </c>
      <c r="N122" t="s">
        <v>271</v>
      </c>
      <c r="O122" t="s">
        <v>1515</v>
      </c>
      <c r="P122" t="s">
        <v>271</v>
      </c>
    </row>
    <row r="123" spans="1:16">
      <c r="A123" t="s">
        <v>1516</v>
      </c>
      <c r="B123" t="s">
        <v>1517</v>
      </c>
      <c r="C123" s="1">
        <v>44790</v>
      </c>
      <c r="D123">
        <v>51</v>
      </c>
      <c r="E123" t="s">
        <v>18</v>
      </c>
      <c r="F123" t="s">
        <v>172</v>
      </c>
      <c r="J123" t="s">
        <v>1518</v>
      </c>
      <c r="K123" t="s">
        <v>21</v>
      </c>
      <c r="P123" t="s">
        <v>30</v>
      </c>
    </row>
    <row r="124" spans="1:16">
      <c r="A124" t="s">
        <v>1519</v>
      </c>
      <c r="B124" t="s">
        <v>1520</v>
      </c>
      <c r="C124" s="1">
        <v>44791</v>
      </c>
      <c r="D124">
        <v>28</v>
      </c>
      <c r="E124" t="s">
        <v>33</v>
      </c>
      <c r="F124" t="s">
        <v>172</v>
      </c>
      <c r="J124" t="s">
        <v>54</v>
      </c>
      <c r="K124" t="s">
        <v>21</v>
      </c>
      <c r="M124" t="s">
        <v>1521</v>
      </c>
      <c r="N124" t="s">
        <v>30</v>
      </c>
      <c r="O124" t="s">
        <v>1522</v>
      </c>
      <c r="P124" t="s">
        <v>30</v>
      </c>
    </row>
    <row r="125" spans="1:16">
      <c r="A125" t="s">
        <v>1523</v>
      </c>
      <c r="B125" t="s">
        <v>1524</v>
      </c>
      <c r="C125" s="1">
        <v>44792</v>
      </c>
      <c r="D125">
        <v>41</v>
      </c>
      <c r="E125" t="s">
        <v>18</v>
      </c>
      <c r="F125" t="s">
        <v>339</v>
      </c>
      <c r="J125" t="s">
        <v>1525</v>
      </c>
      <c r="K125" t="s">
        <v>21</v>
      </c>
      <c r="M125" t="s">
        <v>1526</v>
      </c>
      <c r="N125" t="s">
        <v>30</v>
      </c>
      <c r="O125" t="s">
        <v>43</v>
      </c>
      <c r="P125" t="s">
        <v>44</v>
      </c>
    </row>
    <row r="126" spans="1:16">
      <c r="A126" t="s">
        <v>1527</v>
      </c>
      <c r="B126" t="s">
        <v>1528</v>
      </c>
      <c r="C126" s="1">
        <v>44787</v>
      </c>
      <c r="D126">
        <v>67</v>
      </c>
      <c r="E126" t="s">
        <v>18</v>
      </c>
      <c r="F126" t="s">
        <v>1529</v>
      </c>
      <c r="G126" t="s">
        <v>1530</v>
      </c>
      <c r="J126" t="s">
        <v>1531</v>
      </c>
      <c r="K126" t="s">
        <v>21</v>
      </c>
      <c r="L126" t="s">
        <v>36</v>
      </c>
      <c r="M126" t="s">
        <v>1532</v>
      </c>
      <c r="N126" t="s">
        <v>30</v>
      </c>
      <c r="O126" t="s">
        <v>1533</v>
      </c>
      <c r="P126" t="s">
        <v>38</v>
      </c>
    </row>
    <row r="127" spans="1:16">
      <c r="A127" t="s">
        <v>1534</v>
      </c>
      <c r="B127" t="s">
        <v>1535</v>
      </c>
      <c r="C127" s="1">
        <v>44794</v>
      </c>
      <c r="D127">
        <v>49</v>
      </c>
      <c r="E127" t="s">
        <v>112</v>
      </c>
      <c r="F127" t="s">
        <v>97</v>
      </c>
      <c r="K127" t="s">
        <v>21</v>
      </c>
      <c r="M127" t="s">
        <v>1536</v>
      </c>
      <c r="N127" t="s">
        <v>65</v>
      </c>
      <c r="O127" t="s">
        <v>99</v>
      </c>
      <c r="P127" t="s">
        <v>44</v>
      </c>
    </row>
    <row r="128" spans="1:16">
      <c r="A128" t="s">
        <v>1537</v>
      </c>
      <c r="B128" t="s">
        <v>1538</v>
      </c>
      <c r="C128" s="1">
        <v>44795</v>
      </c>
      <c r="D128">
        <v>82</v>
      </c>
      <c r="E128" t="s">
        <v>33</v>
      </c>
      <c r="F128" t="s">
        <v>54</v>
      </c>
      <c r="J128" t="s">
        <v>1539</v>
      </c>
      <c r="K128" t="s">
        <v>21</v>
      </c>
      <c r="L128" t="s">
        <v>36</v>
      </c>
      <c r="M128" t="s">
        <v>1540</v>
      </c>
      <c r="N128" t="s">
        <v>38</v>
      </c>
      <c r="O128" t="s">
        <v>1540</v>
      </c>
      <c r="P128" t="s">
        <v>38</v>
      </c>
    </row>
    <row r="129" spans="1:16">
      <c r="A129" t="s">
        <v>1541</v>
      </c>
      <c r="B129" t="s">
        <v>1542</v>
      </c>
      <c r="C129" s="1">
        <v>44795</v>
      </c>
      <c r="D129">
        <v>62</v>
      </c>
      <c r="E129" t="s">
        <v>27</v>
      </c>
      <c r="F129" t="s">
        <v>1543</v>
      </c>
      <c r="J129" t="s">
        <v>1544</v>
      </c>
      <c r="K129" t="s">
        <v>21</v>
      </c>
      <c r="L129" t="s">
        <v>36</v>
      </c>
      <c r="O129" t="s">
        <v>50</v>
      </c>
      <c r="P129" t="s">
        <v>228</v>
      </c>
    </row>
    <row r="130" spans="1:16">
      <c r="A130" t="s">
        <v>1545</v>
      </c>
      <c r="B130" t="s">
        <v>1546</v>
      </c>
      <c r="C130" s="1">
        <v>44796</v>
      </c>
      <c r="D130">
        <v>58</v>
      </c>
      <c r="E130" t="s">
        <v>33</v>
      </c>
      <c r="F130" t="s">
        <v>1547</v>
      </c>
      <c r="J130" t="s">
        <v>54</v>
      </c>
      <c r="K130" t="s">
        <v>21</v>
      </c>
      <c r="M130" t="s">
        <v>1548</v>
      </c>
      <c r="N130" t="s">
        <v>331</v>
      </c>
      <c r="O130" t="s">
        <v>1548</v>
      </c>
      <c r="P130" t="s">
        <v>331</v>
      </c>
    </row>
    <row r="131" spans="1:16">
      <c r="A131" t="s">
        <v>1549</v>
      </c>
      <c r="B131" t="s">
        <v>1550</v>
      </c>
      <c r="C131" s="1">
        <v>44789</v>
      </c>
      <c r="D131">
        <v>39</v>
      </c>
      <c r="E131" t="s">
        <v>613</v>
      </c>
      <c r="F131" t="s">
        <v>1551</v>
      </c>
      <c r="J131" t="s">
        <v>1552</v>
      </c>
      <c r="K131" t="s">
        <v>21</v>
      </c>
      <c r="L131" t="s">
        <v>36</v>
      </c>
      <c r="M131" t="s">
        <v>250</v>
      </c>
      <c r="N131" t="s">
        <v>30</v>
      </c>
      <c r="O131" t="s">
        <v>1553</v>
      </c>
      <c r="P131" t="s">
        <v>109</v>
      </c>
    </row>
    <row r="132" spans="1:16">
      <c r="A132" t="s">
        <v>1554</v>
      </c>
      <c r="B132" t="s">
        <v>1555</v>
      </c>
      <c r="C132" s="1">
        <v>44797</v>
      </c>
      <c r="D132">
        <v>35</v>
      </c>
      <c r="E132" t="s">
        <v>18</v>
      </c>
      <c r="F132" t="s">
        <v>163</v>
      </c>
      <c r="K132" t="s">
        <v>21</v>
      </c>
      <c r="N132" t="s">
        <v>30</v>
      </c>
      <c r="P132" t="s">
        <v>30</v>
      </c>
    </row>
    <row r="133" spans="1:16">
      <c r="A133" t="s">
        <v>1556</v>
      </c>
      <c r="B133" t="s">
        <v>1557</v>
      </c>
      <c r="C133" s="1">
        <v>44798</v>
      </c>
      <c r="D133">
        <v>46</v>
      </c>
      <c r="E133" t="s">
        <v>33</v>
      </c>
      <c r="F133" t="s">
        <v>54</v>
      </c>
      <c r="J133" t="s">
        <v>281</v>
      </c>
      <c r="K133" t="s">
        <v>21</v>
      </c>
      <c r="M133" t="s">
        <v>1558</v>
      </c>
      <c r="N133" t="s">
        <v>30</v>
      </c>
      <c r="O133" t="s">
        <v>1558</v>
      </c>
      <c r="P133" t="s">
        <v>30</v>
      </c>
    </row>
    <row r="134" spans="1:16">
      <c r="A134" t="s">
        <v>1559</v>
      </c>
      <c r="B134" t="s">
        <v>1560</v>
      </c>
      <c r="C134" s="1">
        <v>44795</v>
      </c>
      <c r="D134">
        <v>75</v>
      </c>
      <c r="E134" t="s">
        <v>33</v>
      </c>
      <c r="F134" t="s">
        <v>97</v>
      </c>
      <c r="J134" t="s">
        <v>1561</v>
      </c>
      <c r="K134" t="s">
        <v>21</v>
      </c>
      <c r="L134" t="s">
        <v>36</v>
      </c>
      <c r="M134" t="s">
        <v>1562</v>
      </c>
      <c r="N134" t="s">
        <v>70</v>
      </c>
      <c r="O134" t="s">
        <v>99</v>
      </c>
      <c r="P134" t="s">
        <v>44</v>
      </c>
    </row>
    <row r="135" spans="1:16">
      <c r="A135" t="s">
        <v>1563</v>
      </c>
      <c r="B135" t="s">
        <v>1564</v>
      </c>
      <c r="C135" s="1">
        <v>44800</v>
      </c>
      <c r="D135">
        <v>53</v>
      </c>
      <c r="E135" t="s">
        <v>33</v>
      </c>
      <c r="F135" t="s">
        <v>172</v>
      </c>
      <c r="J135" t="s">
        <v>1565</v>
      </c>
      <c r="K135" t="s">
        <v>21</v>
      </c>
      <c r="M135" t="s">
        <v>1566</v>
      </c>
      <c r="N135" t="s">
        <v>30</v>
      </c>
      <c r="O135" t="s">
        <v>1566</v>
      </c>
      <c r="P135" t="s">
        <v>30</v>
      </c>
    </row>
    <row r="136" spans="1:16">
      <c r="A136" t="s">
        <v>1567</v>
      </c>
      <c r="B136" t="s">
        <v>1568</v>
      </c>
      <c r="C136" s="1">
        <v>44803</v>
      </c>
      <c r="D136">
        <v>41</v>
      </c>
      <c r="E136" t="s">
        <v>33</v>
      </c>
      <c r="F136" t="s">
        <v>172</v>
      </c>
      <c r="J136" t="s">
        <v>48</v>
      </c>
      <c r="K136" t="s">
        <v>21</v>
      </c>
      <c r="M136" t="s">
        <v>1569</v>
      </c>
      <c r="N136" t="s">
        <v>30</v>
      </c>
      <c r="O136" t="s">
        <v>1569</v>
      </c>
      <c r="P136" t="s">
        <v>30</v>
      </c>
    </row>
    <row r="137" spans="1:16">
      <c r="A137" t="s">
        <v>1570</v>
      </c>
      <c r="B137" t="s">
        <v>1571</v>
      </c>
      <c r="C137" s="1">
        <v>44805</v>
      </c>
      <c r="D137">
        <v>66</v>
      </c>
      <c r="E137" t="s">
        <v>18</v>
      </c>
      <c r="F137" t="s">
        <v>227</v>
      </c>
      <c r="J137" t="s">
        <v>54</v>
      </c>
      <c r="K137" t="s">
        <v>21</v>
      </c>
      <c r="M137" t="s">
        <v>1572</v>
      </c>
      <c r="N137" t="s">
        <v>30</v>
      </c>
      <c r="O137" t="s">
        <v>1572</v>
      </c>
      <c r="P137" t="s">
        <v>30</v>
      </c>
    </row>
    <row r="138" spans="1:16">
      <c r="A138" t="s">
        <v>1573</v>
      </c>
      <c r="B138" t="s">
        <v>1574</v>
      </c>
      <c r="C138" s="1">
        <v>44805</v>
      </c>
      <c r="D138">
        <v>55</v>
      </c>
      <c r="E138" t="s">
        <v>27</v>
      </c>
      <c r="F138" t="s">
        <v>54</v>
      </c>
      <c r="J138" t="s">
        <v>1124</v>
      </c>
      <c r="K138" t="s">
        <v>21</v>
      </c>
      <c r="M138" t="s">
        <v>1575</v>
      </c>
      <c r="N138" t="s">
        <v>30</v>
      </c>
      <c r="O138" t="s">
        <v>1575</v>
      </c>
      <c r="P138" t="s">
        <v>30</v>
      </c>
    </row>
    <row r="139" spans="1:16">
      <c r="A139" t="s">
        <v>1576</v>
      </c>
      <c r="B139" t="s">
        <v>1577</v>
      </c>
      <c r="C139" s="1">
        <v>44805</v>
      </c>
      <c r="D139">
        <v>73</v>
      </c>
      <c r="E139" t="s">
        <v>841</v>
      </c>
      <c r="F139" t="s">
        <v>54</v>
      </c>
      <c r="J139" t="s">
        <v>1578</v>
      </c>
      <c r="K139" t="s">
        <v>21</v>
      </c>
      <c r="L139" t="s">
        <v>36</v>
      </c>
      <c r="M139" t="s">
        <v>1579</v>
      </c>
      <c r="N139" t="s">
        <v>38</v>
      </c>
      <c r="O139" t="s">
        <v>1579</v>
      </c>
      <c r="P139" t="s">
        <v>38</v>
      </c>
    </row>
    <row r="140" spans="1:16">
      <c r="A140" t="s">
        <v>1580</v>
      </c>
      <c r="B140" t="s">
        <v>1581</v>
      </c>
      <c r="C140" s="1">
        <v>44806</v>
      </c>
      <c r="D140">
        <v>72</v>
      </c>
      <c r="E140" t="s">
        <v>33</v>
      </c>
      <c r="F140" t="s">
        <v>1582</v>
      </c>
      <c r="J140" t="s">
        <v>755</v>
      </c>
      <c r="K140" t="s">
        <v>21</v>
      </c>
      <c r="M140" t="s">
        <v>1583</v>
      </c>
      <c r="N140" t="s">
        <v>30</v>
      </c>
      <c r="O140" t="s">
        <v>1583</v>
      </c>
      <c r="P140" t="s">
        <v>30</v>
      </c>
    </row>
    <row r="141" spans="1:16">
      <c r="A141" t="s">
        <v>1584</v>
      </c>
      <c r="B141" t="s">
        <v>1585</v>
      </c>
      <c r="C141" s="1">
        <v>44806</v>
      </c>
      <c r="D141">
        <v>73</v>
      </c>
      <c r="E141" t="s">
        <v>33</v>
      </c>
      <c r="F141" t="s">
        <v>181</v>
      </c>
      <c r="J141" t="s">
        <v>1586</v>
      </c>
      <c r="K141" t="s">
        <v>21</v>
      </c>
      <c r="L141" t="s">
        <v>36</v>
      </c>
      <c r="M141" t="s">
        <v>1587</v>
      </c>
      <c r="N141" t="s">
        <v>38</v>
      </c>
      <c r="O141" t="s">
        <v>1587</v>
      </c>
      <c r="P141" t="s">
        <v>38</v>
      </c>
    </row>
    <row r="142" spans="1:16">
      <c r="A142" t="s">
        <v>1588</v>
      </c>
      <c r="B142" t="s">
        <v>1589</v>
      </c>
      <c r="C142" s="1">
        <v>44806</v>
      </c>
      <c r="D142">
        <v>83</v>
      </c>
      <c r="E142" t="s">
        <v>33</v>
      </c>
      <c r="F142" t="s">
        <v>227</v>
      </c>
      <c r="J142" t="s">
        <v>1590</v>
      </c>
      <c r="K142" t="s">
        <v>21</v>
      </c>
      <c r="L142" t="s">
        <v>36</v>
      </c>
      <c r="M142" t="s">
        <v>1591</v>
      </c>
      <c r="N142" t="s">
        <v>38</v>
      </c>
      <c r="O142" t="s">
        <v>1591</v>
      </c>
      <c r="P142" t="s">
        <v>38</v>
      </c>
    </row>
    <row r="143" spans="1:16">
      <c r="A143" t="s">
        <v>1592</v>
      </c>
      <c r="B143" t="s">
        <v>1593</v>
      </c>
      <c r="C143" s="1">
        <v>44806</v>
      </c>
      <c r="D143">
        <v>52</v>
      </c>
      <c r="E143" t="s">
        <v>33</v>
      </c>
      <c r="F143" t="s">
        <v>172</v>
      </c>
      <c r="J143" t="s">
        <v>54</v>
      </c>
      <c r="K143" t="s">
        <v>21</v>
      </c>
      <c r="N143" t="s">
        <v>70</v>
      </c>
      <c r="P143" t="s">
        <v>70</v>
      </c>
    </row>
    <row r="144" spans="1:16">
      <c r="A144" t="s">
        <v>1594</v>
      </c>
      <c r="B144" t="s">
        <v>1595</v>
      </c>
      <c r="C144" s="1">
        <v>44806</v>
      </c>
      <c r="D144">
        <v>54</v>
      </c>
      <c r="E144" t="s">
        <v>33</v>
      </c>
      <c r="F144" t="s">
        <v>172</v>
      </c>
      <c r="J144" t="s">
        <v>1596</v>
      </c>
      <c r="K144" t="s">
        <v>21</v>
      </c>
      <c r="M144" t="s">
        <v>1597</v>
      </c>
      <c r="N144" t="s">
        <v>30</v>
      </c>
      <c r="O144" t="s">
        <v>1597</v>
      </c>
      <c r="P144" t="s">
        <v>30</v>
      </c>
    </row>
    <row r="145" spans="1:16">
      <c r="A145" t="s">
        <v>1598</v>
      </c>
      <c r="B145" t="s">
        <v>1599</v>
      </c>
      <c r="C145" s="1">
        <v>44807</v>
      </c>
      <c r="D145">
        <v>54</v>
      </c>
      <c r="E145" t="s">
        <v>27</v>
      </c>
      <c r="F145" t="s">
        <v>339</v>
      </c>
      <c r="J145" t="s">
        <v>54</v>
      </c>
      <c r="K145" t="s">
        <v>21</v>
      </c>
      <c r="L145" t="s">
        <v>36</v>
      </c>
      <c r="M145" t="s">
        <v>1600</v>
      </c>
      <c r="N145" t="s">
        <v>271</v>
      </c>
      <c r="O145" t="s">
        <v>1600</v>
      </c>
      <c r="P145" t="s">
        <v>271</v>
      </c>
    </row>
    <row r="146" spans="1:16">
      <c r="A146" t="s">
        <v>1601</v>
      </c>
      <c r="B146" t="s">
        <v>1602</v>
      </c>
      <c r="C146" s="1">
        <v>44807</v>
      </c>
      <c r="D146">
        <v>62</v>
      </c>
      <c r="E146" t="s">
        <v>112</v>
      </c>
      <c r="F146" t="s">
        <v>339</v>
      </c>
      <c r="J146" t="s">
        <v>54</v>
      </c>
      <c r="K146" t="s">
        <v>21</v>
      </c>
      <c r="M146" t="s">
        <v>1603</v>
      </c>
      <c r="N146" t="s">
        <v>30</v>
      </c>
      <c r="O146" t="s">
        <v>1603</v>
      </c>
      <c r="P146" t="s">
        <v>30</v>
      </c>
    </row>
    <row r="147" spans="1:16">
      <c r="A147" t="s">
        <v>1604</v>
      </c>
      <c r="B147" t="s">
        <v>1605</v>
      </c>
      <c r="C147" s="1">
        <v>44808</v>
      </c>
      <c r="D147">
        <v>50</v>
      </c>
      <c r="E147" t="s">
        <v>18</v>
      </c>
      <c r="F147" t="s">
        <v>339</v>
      </c>
      <c r="J147" t="s">
        <v>416</v>
      </c>
      <c r="K147" t="s">
        <v>21</v>
      </c>
      <c r="M147" t="s">
        <v>1606</v>
      </c>
      <c r="N147" t="s">
        <v>30</v>
      </c>
      <c r="O147" t="s">
        <v>99</v>
      </c>
      <c r="P147" t="s">
        <v>44</v>
      </c>
    </row>
    <row r="148" spans="1:16">
      <c r="A148" t="s">
        <v>1607</v>
      </c>
      <c r="B148" t="s">
        <v>1608</v>
      </c>
      <c r="C148" s="1">
        <v>44808</v>
      </c>
      <c r="D148">
        <v>35</v>
      </c>
      <c r="E148" t="s">
        <v>33</v>
      </c>
      <c r="F148" t="s">
        <v>172</v>
      </c>
      <c r="J148" t="s">
        <v>54</v>
      </c>
      <c r="K148" t="s">
        <v>21</v>
      </c>
      <c r="M148" t="s">
        <v>1609</v>
      </c>
      <c r="N148" t="s">
        <v>65</v>
      </c>
      <c r="O148" t="s">
        <v>1609</v>
      </c>
      <c r="P148" t="s">
        <v>65</v>
      </c>
    </row>
    <row r="149" spans="1:16">
      <c r="A149" t="s">
        <v>1610</v>
      </c>
      <c r="B149" t="s">
        <v>1611</v>
      </c>
      <c r="C149" s="1">
        <v>44808</v>
      </c>
      <c r="D149">
        <v>53</v>
      </c>
      <c r="E149" t="s">
        <v>33</v>
      </c>
      <c r="F149" t="s">
        <v>54</v>
      </c>
      <c r="J149" t="s">
        <v>98</v>
      </c>
      <c r="K149" t="s">
        <v>21</v>
      </c>
      <c r="M149" t="s">
        <v>1612</v>
      </c>
      <c r="N149" t="s">
        <v>30</v>
      </c>
      <c r="O149" t="s">
        <v>1612</v>
      </c>
      <c r="P149" t="s">
        <v>30</v>
      </c>
    </row>
    <row r="150" spans="1:16">
      <c r="A150" t="s">
        <v>1613</v>
      </c>
      <c r="B150" t="s">
        <v>1614</v>
      </c>
      <c r="C150" s="1">
        <v>44808</v>
      </c>
      <c r="D150">
        <v>41</v>
      </c>
      <c r="E150" t="s">
        <v>27</v>
      </c>
      <c r="F150" t="s">
        <v>1615</v>
      </c>
      <c r="J150" t="s">
        <v>54</v>
      </c>
      <c r="K150" t="s">
        <v>21</v>
      </c>
      <c r="L150" t="s">
        <v>36</v>
      </c>
      <c r="M150" t="s">
        <v>1616</v>
      </c>
      <c r="N150" t="s">
        <v>65</v>
      </c>
      <c r="O150" t="s">
        <v>1616</v>
      </c>
      <c r="P150" t="s">
        <v>65</v>
      </c>
    </row>
    <row r="151" spans="1:16">
      <c r="A151" t="s">
        <v>1617</v>
      </c>
      <c r="B151" t="s">
        <v>1618</v>
      </c>
      <c r="C151" s="1">
        <v>44808</v>
      </c>
      <c r="D151">
        <v>56</v>
      </c>
      <c r="E151" t="s">
        <v>33</v>
      </c>
      <c r="F151" t="s">
        <v>97</v>
      </c>
      <c r="G151" t="s">
        <v>620</v>
      </c>
      <c r="J151" t="s">
        <v>1619</v>
      </c>
      <c r="K151" t="s">
        <v>21</v>
      </c>
      <c r="M151" t="s">
        <v>1620</v>
      </c>
      <c r="N151" t="s">
        <v>30</v>
      </c>
      <c r="O151" t="s">
        <v>99</v>
      </c>
      <c r="P151" t="s">
        <v>44</v>
      </c>
    </row>
    <row r="152" spans="1:16">
      <c r="A152" t="s">
        <v>1621</v>
      </c>
      <c r="B152" t="s">
        <v>1622</v>
      </c>
      <c r="C152" s="1">
        <v>44809</v>
      </c>
      <c r="D152">
        <v>59</v>
      </c>
      <c r="E152" t="s">
        <v>33</v>
      </c>
      <c r="F152" t="s">
        <v>1623</v>
      </c>
      <c r="G152" t="s">
        <v>1624</v>
      </c>
      <c r="J152" t="s">
        <v>1625</v>
      </c>
      <c r="K152" t="s">
        <v>21</v>
      </c>
      <c r="L152" t="s">
        <v>36</v>
      </c>
      <c r="M152" t="s">
        <v>1626</v>
      </c>
      <c r="N152" t="s">
        <v>30</v>
      </c>
      <c r="O152" t="s">
        <v>50</v>
      </c>
      <c r="P152" t="s">
        <v>228</v>
      </c>
    </row>
    <row r="153" spans="1:16">
      <c r="A153" t="s">
        <v>1627</v>
      </c>
      <c r="B153" t="s">
        <v>1628</v>
      </c>
      <c r="C153" s="1">
        <v>44810</v>
      </c>
      <c r="D153">
        <v>49</v>
      </c>
      <c r="E153" t="s">
        <v>33</v>
      </c>
      <c r="F153" t="s">
        <v>339</v>
      </c>
      <c r="J153" t="s">
        <v>54</v>
      </c>
      <c r="K153" t="s">
        <v>21</v>
      </c>
      <c r="M153" t="s">
        <v>1629</v>
      </c>
      <c r="N153" t="s">
        <v>30</v>
      </c>
      <c r="O153" t="s">
        <v>1629</v>
      </c>
      <c r="P153" t="s">
        <v>30</v>
      </c>
    </row>
    <row r="154" spans="1:16">
      <c r="A154" t="s">
        <v>1630</v>
      </c>
      <c r="B154" t="s">
        <v>1631</v>
      </c>
      <c r="C154" s="1">
        <v>44810</v>
      </c>
      <c r="D154">
        <v>48</v>
      </c>
      <c r="E154" t="s">
        <v>33</v>
      </c>
      <c r="F154" t="s">
        <v>135</v>
      </c>
      <c r="J154" t="s">
        <v>54</v>
      </c>
      <c r="K154" t="s">
        <v>21</v>
      </c>
      <c r="M154" t="s">
        <v>1632</v>
      </c>
      <c r="N154" t="s">
        <v>30</v>
      </c>
      <c r="O154" t="s">
        <v>1632</v>
      </c>
      <c r="P154" t="s">
        <v>30</v>
      </c>
    </row>
    <row r="155" spans="1:16">
      <c r="A155" t="s">
        <v>1633</v>
      </c>
      <c r="B155" t="s">
        <v>1634</v>
      </c>
      <c r="C155" s="1">
        <v>44812</v>
      </c>
      <c r="D155">
        <v>67</v>
      </c>
      <c r="E155" t="s">
        <v>33</v>
      </c>
      <c r="F155" t="s">
        <v>227</v>
      </c>
      <c r="J155" t="s">
        <v>1635</v>
      </c>
      <c r="K155" t="s">
        <v>21</v>
      </c>
      <c r="L155" t="s">
        <v>36</v>
      </c>
      <c r="M155" t="s">
        <v>1636</v>
      </c>
      <c r="N155" t="s">
        <v>38</v>
      </c>
      <c r="O155" t="s">
        <v>1636</v>
      </c>
      <c r="P155" t="s">
        <v>38</v>
      </c>
    </row>
    <row r="156" spans="1:16">
      <c r="A156" t="s">
        <v>1637</v>
      </c>
      <c r="B156" t="s">
        <v>1638</v>
      </c>
      <c r="C156" s="1">
        <v>44805</v>
      </c>
      <c r="D156">
        <v>36</v>
      </c>
      <c r="E156" t="s">
        <v>33</v>
      </c>
      <c r="F156" t="s">
        <v>1639</v>
      </c>
      <c r="J156" t="s">
        <v>54</v>
      </c>
      <c r="K156" t="s">
        <v>21</v>
      </c>
      <c r="M156" t="s">
        <v>250</v>
      </c>
      <c r="N156" t="s">
        <v>30</v>
      </c>
      <c r="O156" t="s">
        <v>99</v>
      </c>
      <c r="P156" t="s">
        <v>228</v>
      </c>
    </row>
    <row r="157" spans="1:16">
      <c r="A157" t="s">
        <v>1640</v>
      </c>
      <c r="B157" t="s">
        <v>1641</v>
      </c>
      <c r="C157" s="1">
        <v>44813</v>
      </c>
      <c r="D157">
        <v>53</v>
      </c>
      <c r="F157" t="s">
        <v>172</v>
      </c>
      <c r="J157" t="s">
        <v>1642</v>
      </c>
      <c r="K157" t="s">
        <v>21</v>
      </c>
      <c r="M157" t="s">
        <v>1643</v>
      </c>
      <c r="N157" t="s">
        <v>30</v>
      </c>
      <c r="O157" t="s">
        <v>1643</v>
      </c>
      <c r="P157" t="s">
        <v>30</v>
      </c>
    </row>
    <row r="158" spans="1:16">
      <c r="A158" t="s">
        <v>1644</v>
      </c>
      <c r="B158" t="s">
        <v>1645</v>
      </c>
      <c r="C158" s="1">
        <v>44813</v>
      </c>
      <c r="D158">
        <v>80</v>
      </c>
      <c r="E158" t="s">
        <v>33</v>
      </c>
      <c r="F158" t="s">
        <v>1646</v>
      </c>
      <c r="K158" t="s">
        <v>21</v>
      </c>
      <c r="L158" t="s">
        <v>36</v>
      </c>
      <c r="M158" t="s">
        <v>1647</v>
      </c>
      <c r="N158" t="s">
        <v>38</v>
      </c>
      <c r="O158" t="s">
        <v>1647</v>
      </c>
      <c r="P158" t="s">
        <v>38</v>
      </c>
    </row>
    <row r="159" spans="1:16">
      <c r="A159" t="s">
        <v>1648</v>
      </c>
      <c r="B159" t="s">
        <v>1649</v>
      </c>
      <c r="C159" s="1">
        <v>44813</v>
      </c>
      <c r="D159">
        <v>79</v>
      </c>
      <c r="E159" t="s">
        <v>33</v>
      </c>
      <c r="F159" t="s">
        <v>1646</v>
      </c>
      <c r="K159" t="s">
        <v>21</v>
      </c>
      <c r="L159" t="s">
        <v>36</v>
      </c>
      <c r="M159" t="s">
        <v>1647</v>
      </c>
      <c r="N159" t="s">
        <v>38</v>
      </c>
      <c r="O159" t="s">
        <v>1647</v>
      </c>
      <c r="P159" t="s">
        <v>38</v>
      </c>
    </row>
    <row r="160" spans="1:16">
      <c r="A160" t="s">
        <v>1650</v>
      </c>
      <c r="B160" t="s">
        <v>1651</v>
      </c>
      <c r="C160" s="1">
        <v>44814</v>
      </c>
      <c r="D160">
        <v>91</v>
      </c>
      <c r="E160" t="s">
        <v>18</v>
      </c>
      <c r="F160" t="s">
        <v>35</v>
      </c>
      <c r="J160" t="s">
        <v>1582</v>
      </c>
      <c r="K160" t="s">
        <v>21</v>
      </c>
      <c r="L160" t="s">
        <v>36</v>
      </c>
      <c r="M160" t="s">
        <v>1652</v>
      </c>
      <c r="N160" t="s">
        <v>38</v>
      </c>
      <c r="O160" t="s">
        <v>1653</v>
      </c>
      <c r="P160" t="s">
        <v>38</v>
      </c>
    </row>
    <row r="161" spans="1:16">
      <c r="A161" t="s">
        <v>1654</v>
      </c>
      <c r="B161" t="s">
        <v>1655</v>
      </c>
      <c r="C161" s="1">
        <v>44814</v>
      </c>
      <c r="D161">
        <v>66</v>
      </c>
      <c r="E161" t="s">
        <v>18</v>
      </c>
      <c r="F161" t="s">
        <v>35</v>
      </c>
      <c r="K161" t="s">
        <v>21</v>
      </c>
      <c r="L161" t="s">
        <v>36</v>
      </c>
      <c r="M161" t="s">
        <v>1652</v>
      </c>
      <c r="N161" t="s">
        <v>38</v>
      </c>
      <c r="O161" t="s">
        <v>1652</v>
      </c>
      <c r="P161" t="s">
        <v>38</v>
      </c>
    </row>
    <row r="162" spans="1:16">
      <c r="A162" t="s">
        <v>1656</v>
      </c>
      <c r="B162" t="s">
        <v>1657</v>
      </c>
      <c r="C162" s="1">
        <v>44815</v>
      </c>
      <c r="D162">
        <v>80</v>
      </c>
      <c r="E162" t="s">
        <v>33</v>
      </c>
      <c r="F162" t="s">
        <v>54</v>
      </c>
      <c r="K162" t="s">
        <v>21</v>
      </c>
      <c r="L162" t="s">
        <v>36</v>
      </c>
      <c r="O162" t="s">
        <v>99</v>
      </c>
      <c r="P162" t="s">
        <v>228</v>
      </c>
    </row>
    <row r="163" spans="1:16">
      <c r="A163" t="s">
        <v>1658</v>
      </c>
      <c r="B163" t="s">
        <v>1659</v>
      </c>
      <c r="C163" s="1">
        <v>44749</v>
      </c>
      <c r="D163">
        <v>59</v>
      </c>
      <c r="E163" t="s">
        <v>33</v>
      </c>
      <c r="F163" t="s">
        <v>1660</v>
      </c>
      <c r="J163" t="s">
        <v>1661</v>
      </c>
      <c r="K163" t="s">
        <v>21</v>
      </c>
      <c r="M163" t="s">
        <v>250</v>
      </c>
      <c r="N163" t="s">
        <v>70</v>
      </c>
      <c r="O163" t="s">
        <v>127</v>
      </c>
      <c r="P163" t="s">
        <v>228</v>
      </c>
    </row>
    <row r="164" spans="1:16">
      <c r="A164" t="s">
        <v>1662</v>
      </c>
      <c r="B164" t="s">
        <v>1663</v>
      </c>
      <c r="C164" s="1">
        <v>44863</v>
      </c>
      <c r="D164">
        <v>31</v>
      </c>
      <c r="E164" t="s">
        <v>106</v>
      </c>
      <c r="F164" t="s">
        <v>1664</v>
      </c>
      <c r="G164" t="s">
        <v>97</v>
      </c>
      <c r="H164" t="s">
        <v>1665</v>
      </c>
      <c r="K164" t="s">
        <v>21</v>
      </c>
      <c r="L164" t="s">
        <v>36</v>
      </c>
      <c r="M164" t="s">
        <v>1666</v>
      </c>
      <c r="N164" t="s">
        <v>38</v>
      </c>
      <c r="O164" t="s">
        <v>89</v>
      </c>
      <c r="P164" t="s">
        <v>51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702E-DB79-4C4E-A1C9-59E17605B0F3}">
  <dimension ref="A1:P232"/>
  <sheetViews>
    <sheetView topLeftCell="K212" workbookViewId="0">
      <selection sqref="A1:P232"/>
    </sheetView>
  </sheetViews>
  <sheetFormatPr defaultRowHeight="13.8"/>
  <cols>
    <col min="1" max="1" width="10.69921875" bestFit="1" customWidth="1"/>
    <col min="2" max="2" width="27.296875" bestFit="1" customWidth="1"/>
    <col min="3" max="3" width="12.69921875" bestFit="1" customWidth="1"/>
    <col min="4" max="4" width="4.09765625" bestFit="1" customWidth="1"/>
    <col min="5" max="5" width="15.59765625" bestFit="1" customWidth="1"/>
    <col min="6" max="6" width="73.296875" bestFit="1" customWidth="1"/>
    <col min="7" max="7" width="45.69921875" bestFit="1" customWidth="1"/>
    <col min="8" max="8" width="34.296875" bestFit="1" customWidth="1"/>
    <col min="9" max="9" width="16" bestFit="1" customWidth="1"/>
    <col min="10" max="10" width="96" bestFit="1" customWidth="1"/>
    <col min="11" max="11" width="15.59765625" bestFit="1" customWidth="1"/>
    <col min="12" max="12" width="17" bestFit="1" customWidth="1"/>
    <col min="13" max="13" width="40.09765625" bestFit="1" customWidth="1"/>
    <col min="14" max="14" width="20.296875" bestFit="1" customWidth="1"/>
    <col min="15" max="15" width="40.09765625" bestFit="1" customWidth="1"/>
    <col min="16" max="16" width="20.296875" bestFit="1" customWidth="1"/>
  </cols>
  <sheetData>
    <row r="1" spans="1:1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1667</v>
      </c>
      <c r="B2" t="s">
        <v>1668</v>
      </c>
      <c r="C2" s="1">
        <v>44305</v>
      </c>
      <c r="D2">
        <v>40</v>
      </c>
      <c r="E2" t="s">
        <v>33</v>
      </c>
      <c r="F2" t="s">
        <v>54</v>
      </c>
      <c r="K2" t="s">
        <v>21</v>
      </c>
      <c r="L2" t="s">
        <v>36</v>
      </c>
      <c r="M2" t="s">
        <v>1669</v>
      </c>
      <c r="N2" t="s">
        <v>38</v>
      </c>
      <c r="O2" t="s">
        <v>1669</v>
      </c>
      <c r="P2" t="s">
        <v>38</v>
      </c>
    </row>
    <row r="3" spans="1:16">
      <c r="A3" t="s">
        <v>1670</v>
      </c>
      <c r="B3" t="s">
        <v>1671</v>
      </c>
      <c r="C3" s="1">
        <v>44322</v>
      </c>
      <c r="D3">
        <v>57</v>
      </c>
      <c r="E3" t="s">
        <v>18</v>
      </c>
      <c r="F3" t="s">
        <v>1672</v>
      </c>
      <c r="G3" t="s">
        <v>97</v>
      </c>
      <c r="J3" t="s">
        <v>1673</v>
      </c>
      <c r="K3" t="s">
        <v>21</v>
      </c>
      <c r="N3" t="s">
        <v>208</v>
      </c>
      <c r="O3" t="s">
        <v>50</v>
      </c>
      <c r="P3" t="s">
        <v>44</v>
      </c>
    </row>
    <row r="4" spans="1:16">
      <c r="A4" t="s">
        <v>1674</v>
      </c>
      <c r="B4" t="s">
        <v>1675</v>
      </c>
      <c r="C4" s="1">
        <v>44331</v>
      </c>
      <c r="D4">
        <v>42</v>
      </c>
      <c r="E4" t="s">
        <v>18</v>
      </c>
      <c r="F4" t="s">
        <v>461</v>
      </c>
      <c r="J4" t="s">
        <v>1676</v>
      </c>
      <c r="K4" t="s">
        <v>21</v>
      </c>
      <c r="N4" t="s">
        <v>30</v>
      </c>
      <c r="P4" t="s">
        <v>30</v>
      </c>
    </row>
    <row r="5" spans="1:16">
      <c r="A5" t="s">
        <v>1677</v>
      </c>
      <c r="B5" t="s">
        <v>1678</v>
      </c>
      <c r="C5" s="1">
        <v>44343</v>
      </c>
      <c r="D5">
        <v>39</v>
      </c>
      <c r="E5" t="s">
        <v>27</v>
      </c>
      <c r="F5" t="s">
        <v>1679</v>
      </c>
      <c r="J5" t="s">
        <v>1680</v>
      </c>
      <c r="K5" t="s">
        <v>21</v>
      </c>
      <c r="M5" t="s">
        <v>250</v>
      </c>
      <c r="N5" t="s">
        <v>30</v>
      </c>
      <c r="O5" t="s">
        <v>43</v>
      </c>
      <c r="P5" t="s">
        <v>51</v>
      </c>
    </row>
    <row r="6" spans="1:16">
      <c r="A6" t="s">
        <v>1681</v>
      </c>
      <c r="B6" t="s">
        <v>1682</v>
      </c>
      <c r="C6" s="1">
        <v>44350</v>
      </c>
      <c r="D6">
        <v>57</v>
      </c>
      <c r="E6" t="s">
        <v>33</v>
      </c>
      <c r="F6" t="s">
        <v>461</v>
      </c>
      <c r="G6" t="s">
        <v>35</v>
      </c>
      <c r="J6" t="s">
        <v>199</v>
      </c>
      <c r="K6" t="s">
        <v>21</v>
      </c>
      <c r="M6" t="s">
        <v>1683</v>
      </c>
      <c r="N6" t="s">
        <v>30</v>
      </c>
      <c r="O6" t="s">
        <v>1683</v>
      </c>
      <c r="P6" t="s">
        <v>30</v>
      </c>
    </row>
    <row r="7" spans="1:16">
      <c r="A7" t="s">
        <v>1684</v>
      </c>
      <c r="B7" t="s">
        <v>1685</v>
      </c>
      <c r="C7" s="1">
        <v>44352</v>
      </c>
      <c r="D7">
        <v>74</v>
      </c>
      <c r="E7" t="s">
        <v>33</v>
      </c>
      <c r="F7" t="s">
        <v>28</v>
      </c>
      <c r="J7" t="s">
        <v>54</v>
      </c>
      <c r="K7" t="s">
        <v>21</v>
      </c>
      <c r="L7" t="s">
        <v>36</v>
      </c>
      <c r="M7" t="s">
        <v>1686</v>
      </c>
      <c r="N7" t="s">
        <v>38</v>
      </c>
      <c r="O7" t="s">
        <v>1686</v>
      </c>
      <c r="P7" t="s">
        <v>38</v>
      </c>
    </row>
    <row r="8" spans="1:16">
      <c r="A8" t="s">
        <v>1687</v>
      </c>
      <c r="B8" t="s">
        <v>1688</v>
      </c>
      <c r="C8" s="1">
        <v>44353</v>
      </c>
      <c r="D8">
        <v>55</v>
      </c>
      <c r="E8" t="s">
        <v>18</v>
      </c>
      <c r="F8" t="s">
        <v>35</v>
      </c>
      <c r="J8" t="s">
        <v>1254</v>
      </c>
      <c r="K8" t="s">
        <v>21</v>
      </c>
      <c r="M8" t="s">
        <v>1689</v>
      </c>
      <c r="N8" t="s">
        <v>132</v>
      </c>
      <c r="O8" t="s">
        <v>99</v>
      </c>
      <c r="P8" t="s">
        <v>44</v>
      </c>
    </row>
    <row r="9" spans="1:16">
      <c r="A9" t="s">
        <v>1690</v>
      </c>
      <c r="B9" t="s">
        <v>1691</v>
      </c>
      <c r="C9" s="1">
        <v>44353</v>
      </c>
      <c r="D9">
        <v>61</v>
      </c>
      <c r="E9" t="s">
        <v>33</v>
      </c>
      <c r="F9" t="s">
        <v>119</v>
      </c>
      <c r="J9" t="s">
        <v>1692</v>
      </c>
      <c r="K9" t="s">
        <v>21</v>
      </c>
      <c r="L9" t="s">
        <v>36</v>
      </c>
      <c r="M9" t="s">
        <v>1693</v>
      </c>
      <c r="N9" t="s">
        <v>38</v>
      </c>
      <c r="O9" t="s">
        <v>1693</v>
      </c>
      <c r="P9" t="s">
        <v>38</v>
      </c>
    </row>
    <row r="10" spans="1:16">
      <c r="A10" t="s">
        <v>1694</v>
      </c>
      <c r="B10" t="s">
        <v>1695</v>
      </c>
      <c r="C10" s="1">
        <v>44353</v>
      </c>
      <c r="D10">
        <v>87</v>
      </c>
      <c r="E10" t="s">
        <v>33</v>
      </c>
      <c r="F10" t="s">
        <v>227</v>
      </c>
      <c r="J10" t="s">
        <v>1696</v>
      </c>
      <c r="K10" t="s">
        <v>21</v>
      </c>
      <c r="L10" t="s">
        <v>36</v>
      </c>
      <c r="M10" t="s">
        <v>1697</v>
      </c>
      <c r="N10" t="s">
        <v>38</v>
      </c>
      <c r="O10" t="s">
        <v>1697</v>
      </c>
      <c r="P10" t="s">
        <v>38</v>
      </c>
    </row>
    <row r="11" spans="1:16">
      <c r="A11" t="s">
        <v>1698</v>
      </c>
      <c r="B11" t="s">
        <v>1699</v>
      </c>
      <c r="C11" s="1">
        <v>44353</v>
      </c>
      <c r="D11">
        <v>62</v>
      </c>
      <c r="E11" t="s">
        <v>27</v>
      </c>
      <c r="F11" t="s">
        <v>119</v>
      </c>
      <c r="J11" t="s">
        <v>1700</v>
      </c>
      <c r="K11" t="s">
        <v>21</v>
      </c>
      <c r="L11" t="s">
        <v>36</v>
      </c>
      <c r="M11" t="s">
        <v>1701</v>
      </c>
      <c r="N11" t="s">
        <v>38</v>
      </c>
      <c r="O11" t="s">
        <v>1701</v>
      </c>
      <c r="P11" t="s">
        <v>38</v>
      </c>
    </row>
    <row r="12" spans="1:16">
      <c r="A12" t="s">
        <v>1702</v>
      </c>
      <c r="B12" t="s">
        <v>1703</v>
      </c>
      <c r="C12" s="1">
        <v>44354</v>
      </c>
      <c r="D12">
        <v>50</v>
      </c>
      <c r="E12" t="s">
        <v>27</v>
      </c>
      <c r="F12" t="s">
        <v>1704</v>
      </c>
      <c r="J12" t="s">
        <v>97</v>
      </c>
      <c r="K12" t="s">
        <v>21</v>
      </c>
      <c r="M12" t="s">
        <v>250</v>
      </c>
      <c r="N12" t="s">
        <v>30</v>
      </c>
      <c r="O12" t="s">
        <v>99</v>
      </c>
      <c r="P12" t="s">
        <v>44</v>
      </c>
    </row>
    <row r="13" spans="1:16">
      <c r="A13" t="s">
        <v>1705</v>
      </c>
      <c r="B13" t="s">
        <v>1706</v>
      </c>
      <c r="C13" s="1">
        <v>44356</v>
      </c>
      <c r="D13">
        <v>66</v>
      </c>
      <c r="E13" t="s">
        <v>18</v>
      </c>
      <c r="F13" t="s">
        <v>54</v>
      </c>
      <c r="J13" t="s">
        <v>98</v>
      </c>
      <c r="K13" t="s">
        <v>21</v>
      </c>
      <c r="M13" t="s">
        <v>1707</v>
      </c>
      <c r="N13" t="s">
        <v>271</v>
      </c>
      <c r="O13" t="s">
        <v>1707</v>
      </c>
      <c r="P13" t="s">
        <v>271</v>
      </c>
    </row>
    <row r="14" spans="1:16">
      <c r="A14" t="s">
        <v>1708</v>
      </c>
      <c r="B14" t="s">
        <v>1709</v>
      </c>
      <c r="C14" s="1">
        <v>44359</v>
      </c>
      <c r="D14">
        <v>76</v>
      </c>
      <c r="E14" t="s">
        <v>33</v>
      </c>
      <c r="F14" t="s">
        <v>1710</v>
      </c>
      <c r="J14" t="s">
        <v>1441</v>
      </c>
      <c r="K14" t="s">
        <v>232</v>
      </c>
      <c r="L14" t="s">
        <v>36</v>
      </c>
      <c r="M14" t="s">
        <v>1711</v>
      </c>
      <c r="N14" t="s">
        <v>44</v>
      </c>
      <c r="O14" t="s">
        <v>1712</v>
      </c>
      <c r="P14" t="s">
        <v>109</v>
      </c>
    </row>
    <row r="15" spans="1:16">
      <c r="A15" t="s">
        <v>1713</v>
      </c>
      <c r="B15" t="s">
        <v>1714</v>
      </c>
      <c r="C15" s="1">
        <v>44362</v>
      </c>
      <c r="D15">
        <v>51</v>
      </c>
      <c r="E15" t="s">
        <v>27</v>
      </c>
      <c r="F15" t="s">
        <v>54</v>
      </c>
      <c r="J15" t="s">
        <v>1715</v>
      </c>
      <c r="K15" t="s">
        <v>21</v>
      </c>
      <c r="L15" t="s">
        <v>36</v>
      </c>
      <c r="M15" t="s">
        <v>1716</v>
      </c>
      <c r="N15" t="s">
        <v>65</v>
      </c>
      <c r="O15" t="s">
        <v>1716</v>
      </c>
      <c r="P15" t="s">
        <v>65</v>
      </c>
    </row>
    <row r="16" spans="1:16">
      <c r="A16" t="s">
        <v>1717</v>
      </c>
      <c r="B16" t="s">
        <v>1718</v>
      </c>
      <c r="C16" s="1">
        <v>44362</v>
      </c>
      <c r="D16">
        <v>34</v>
      </c>
      <c r="E16" t="s">
        <v>298</v>
      </c>
      <c r="F16" t="s">
        <v>1719</v>
      </c>
      <c r="J16" t="s">
        <v>54</v>
      </c>
      <c r="K16" t="s">
        <v>21</v>
      </c>
      <c r="L16" t="s">
        <v>36</v>
      </c>
      <c r="M16" t="s">
        <v>1720</v>
      </c>
      <c r="N16" t="s">
        <v>38</v>
      </c>
      <c r="O16" t="s">
        <v>1720</v>
      </c>
      <c r="P16" t="s">
        <v>38</v>
      </c>
    </row>
    <row r="17" spans="1:16">
      <c r="A17" t="s">
        <v>1721</v>
      </c>
      <c r="B17" t="s">
        <v>1722</v>
      </c>
      <c r="C17" s="1">
        <v>44362</v>
      </c>
      <c r="D17">
        <v>75</v>
      </c>
      <c r="E17" t="s">
        <v>33</v>
      </c>
      <c r="F17" t="s">
        <v>54</v>
      </c>
      <c r="J17" t="s">
        <v>1723</v>
      </c>
      <c r="K17" t="s">
        <v>21</v>
      </c>
      <c r="L17" t="s">
        <v>36</v>
      </c>
      <c r="M17" t="s">
        <v>1724</v>
      </c>
      <c r="N17" t="s">
        <v>38</v>
      </c>
      <c r="O17" t="s">
        <v>1724</v>
      </c>
      <c r="P17" t="s">
        <v>38</v>
      </c>
    </row>
    <row r="18" spans="1:16">
      <c r="A18" t="s">
        <v>1725</v>
      </c>
      <c r="B18" t="s">
        <v>1726</v>
      </c>
      <c r="C18" s="1">
        <v>44363</v>
      </c>
      <c r="D18">
        <v>79</v>
      </c>
      <c r="E18" t="s">
        <v>33</v>
      </c>
      <c r="F18" t="s">
        <v>63</v>
      </c>
      <c r="J18" t="s">
        <v>1020</v>
      </c>
      <c r="K18" t="s">
        <v>21</v>
      </c>
      <c r="M18" t="s">
        <v>1727</v>
      </c>
      <c r="N18" t="s">
        <v>30</v>
      </c>
      <c r="O18" t="s">
        <v>1727</v>
      </c>
      <c r="P18" t="s">
        <v>30</v>
      </c>
    </row>
    <row r="19" spans="1:16">
      <c r="A19" t="s">
        <v>1728</v>
      </c>
      <c r="B19" t="s">
        <v>1729</v>
      </c>
      <c r="C19" s="1">
        <v>44363</v>
      </c>
      <c r="D19">
        <v>65</v>
      </c>
      <c r="E19" t="s">
        <v>18</v>
      </c>
      <c r="F19" t="s">
        <v>1730</v>
      </c>
      <c r="J19" t="s">
        <v>1133</v>
      </c>
      <c r="K19" t="s">
        <v>21</v>
      </c>
      <c r="M19" t="s">
        <v>43</v>
      </c>
      <c r="N19" t="s">
        <v>44</v>
      </c>
      <c r="O19" t="s">
        <v>43</v>
      </c>
      <c r="P19" t="s">
        <v>44</v>
      </c>
    </row>
    <row r="20" spans="1:16">
      <c r="A20" t="s">
        <v>1731</v>
      </c>
      <c r="B20" t="s">
        <v>1732</v>
      </c>
      <c r="C20" s="1">
        <v>44363</v>
      </c>
      <c r="D20">
        <v>75</v>
      </c>
      <c r="E20" t="s">
        <v>33</v>
      </c>
      <c r="F20" t="s">
        <v>68</v>
      </c>
      <c r="J20" t="s">
        <v>54</v>
      </c>
      <c r="K20" t="s">
        <v>21</v>
      </c>
      <c r="N20" t="s">
        <v>30</v>
      </c>
      <c r="P20" t="s">
        <v>30</v>
      </c>
    </row>
    <row r="21" spans="1:16">
      <c r="A21" t="s">
        <v>1733</v>
      </c>
      <c r="B21" t="s">
        <v>1734</v>
      </c>
      <c r="C21" s="1">
        <v>44364</v>
      </c>
      <c r="D21">
        <v>63</v>
      </c>
      <c r="E21" t="s">
        <v>18</v>
      </c>
      <c r="F21" t="s">
        <v>97</v>
      </c>
      <c r="J21" t="s">
        <v>63</v>
      </c>
      <c r="K21" t="s">
        <v>21</v>
      </c>
      <c r="N21" t="s">
        <v>30</v>
      </c>
      <c r="O21" t="s">
        <v>369</v>
      </c>
      <c r="P21" t="s">
        <v>44</v>
      </c>
    </row>
    <row r="22" spans="1:16">
      <c r="A22" t="s">
        <v>1735</v>
      </c>
      <c r="B22" t="s">
        <v>1736</v>
      </c>
      <c r="C22" s="1">
        <v>44364</v>
      </c>
      <c r="D22">
        <v>68</v>
      </c>
      <c r="E22" t="s">
        <v>18</v>
      </c>
      <c r="F22" t="s">
        <v>54</v>
      </c>
      <c r="J22" t="s">
        <v>1737</v>
      </c>
      <c r="K22" t="s">
        <v>21</v>
      </c>
      <c r="M22" t="s">
        <v>250</v>
      </c>
      <c r="N22" t="s">
        <v>30</v>
      </c>
      <c r="O22" t="s">
        <v>127</v>
      </c>
      <c r="P22" t="s">
        <v>44</v>
      </c>
    </row>
    <row r="23" spans="1:16">
      <c r="A23" t="s">
        <v>1738</v>
      </c>
      <c r="B23" t="s">
        <v>1739</v>
      </c>
      <c r="C23" s="1">
        <v>44364</v>
      </c>
      <c r="D23">
        <v>50</v>
      </c>
      <c r="E23" t="s">
        <v>106</v>
      </c>
      <c r="F23" t="s">
        <v>97</v>
      </c>
      <c r="K23" t="s">
        <v>21</v>
      </c>
      <c r="M23" t="s">
        <v>1740</v>
      </c>
      <c r="N23" t="s">
        <v>30</v>
      </c>
      <c r="O23" t="s">
        <v>99</v>
      </c>
      <c r="P23" t="s">
        <v>44</v>
      </c>
    </row>
    <row r="24" spans="1:16">
      <c r="A24" t="s">
        <v>1741</v>
      </c>
      <c r="B24" t="s">
        <v>1742</v>
      </c>
      <c r="C24" s="1">
        <v>44365</v>
      </c>
      <c r="D24">
        <v>46</v>
      </c>
      <c r="E24" t="s">
        <v>18</v>
      </c>
      <c r="F24" t="s">
        <v>1743</v>
      </c>
      <c r="J24" t="s">
        <v>54</v>
      </c>
      <c r="K24" t="s">
        <v>21</v>
      </c>
      <c r="M24" t="s">
        <v>1744</v>
      </c>
      <c r="N24" t="s">
        <v>30</v>
      </c>
      <c r="O24" t="s">
        <v>1744</v>
      </c>
      <c r="P24" t="s">
        <v>30</v>
      </c>
    </row>
    <row r="25" spans="1:16">
      <c r="A25" t="s">
        <v>1745</v>
      </c>
      <c r="B25" t="s">
        <v>1746</v>
      </c>
      <c r="C25" s="1">
        <v>44365</v>
      </c>
      <c r="D25">
        <v>46</v>
      </c>
      <c r="E25" t="s">
        <v>18</v>
      </c>
      <c r="F25" t="s">
        <v>97</v>
      </c>
      <c r="J25" t="s">
        <v>1028</v>
      </c>
      <c r="K25" t="s">
        <v>21</v>
      </c>
      <c r="M25" t="s">
        <v>1747</v>
      </c>
      <c r="N25" t="s">
        <v>30</v>
      </c>
      <c r="O25" t="s">
        <v>1330</v>
      </c>
      <c r="P25" t="s">
        <v>44</v>
      </c>
    </row>
    <row r="26" spans="1:16">
      <c r="A26" t="s">
        <v>1748</v>
      </c>
      <c r="B26" t="s">
        <v>1749</v>
      </c>
      <c r="C26" s="1">
        <v>44365</v>
      </c>
      <c r="D26">
        <v>70</v>
      </c>
      <c r="E26" t="s">
        <v>33</v>
      </c>
      <c r="F26" t="s">
        <v>97</v>
      </c>
      <c r="K26" t="s">
        <v>21</v>
      </c>
      <c r="L26" t="s">
        <v>36</v>
      </c>
      <c r="M26" t="s">
        <v>1750</v>
      </c>
      <c r="N26" t="s">
        <v>70</v>
      </c>
      <c r="O26" t="s">
        <v>1750</v>
      </c>
      <c r="P26" t="s">
        <v>70</v>
      </c>
    </row>
    <row r="27" spans="1:16">
      <c r="A27" t="s">
        <v>1751</v>
      </c>
      <c r="B27" t="s">
        <v>1752</v>
      </c>
      <c r="C27" s="1">
        <v>44366</v>
      </c>
      <c r="D27">
        <v>81</v>
      </c>
      <c r="E27" t="s">
        <v>18</v>
      </c>
      <c r="F27" t="s">
        <v>303</v>
      </c>
      <c r="J27" t="s">
        <v>120</v>
      </c>
      <c r="K27" t="s">
        <v>21</v>
      </c>
      <c r="L27" t="s">
        <v>36</v>
      </c>
      <c r="M27" t="s">
        <v>1753</v>
      </c>
      <c r="N27" t="s">
        <v>38</v>
      </c>
      <c r="O27" t="s">
        <v>1753</v>
      </c>
      <c r="P27" t="s">
        <v>38</v>
      </c>
    </row>
    <row r="28" spans="1:16">
      <c r="A28" t="s">
        <v>1754</v>
      </c>
      <c r="B28" t="s">
        <v>1755</v>
      </c>
      <c r="C28" s="1">
        <v>44366</v>
      </c>
      <c r="D28">
        <v>58</v>
      </c>
      <c r="E28" t="s">
        <v>33</v>
      </c>
      <c r="F28" t="s">
        <v>97</v>
      </c>
      <c r="K28" t="s">
        <v>21</v>
      </c>
      <c r="M28" t="s">
        <v>1756</v>
      </c>
      <c r="N28" t="s">
        <v>30</v>
      </c>
      <c r="O28" t="s">
        <v>1756</v>
      </c>
      <c r="P28" t="s">
        <v>30</v>
      </c>
    </row>
    <row r="29" spans="1:16">
      <c r="A29" t="s">
        <v>1757</v>
      </c>
      <c r="B29" t="s">
        <v>1758</v>
      </c>
      <c r="C29" s="1">
        <v>44366</v>
      </c>
      <c r="D29">
        <v>38</v>
      </c>
      <c r="E29" t="s">
        <v>33</v>
      </c>
      <c r="F29" t="s">
        <v>54</v>
      </c>
      <c r="J29" t="s">
        <v>503</v>
      </c>
      <c r="K29" t="s">
        <v>21</v>
      </c>
      <c r="M29" t="s">
        <v>1759</v>
      </c>
      <c r="N29" t="s">
        <v>30</v>
      </c>
      <c r="O29" t="s">
        <v>1759</v>
      </c>
      <c r="P29" t="s">
        <v>30</v>
      </c>
    </row>
    <row r="30" spans="1:16">
      <c r="A30" t="s">
        <v>1760</v>
      </c>
      <c r="B30" t="s">
        <v>1761</v>
      </c>
      <c r="C30" s="1">
        <v>44366</v>
      </c>
      <c r="D30">
        <v>44</v>
      </c>
      <c r="E30" t="s">
        <v>33</v>
      </c>
      <c r="F30" t="s">
        <v>1762</v>
      </c>
      <c r="J30" t="s">
        <v>54</v>
      </c>
      <c r="K30" t="s">
        <v>21</v>
      </c>
      <c r="M30" t="s">
        <v>1763</v>
      </c>
      <c r="N30" t="s">
        <v>30</v>
      </c>
      <c r="O30" t="s">
        <v>1763</v>
      </c>
      <c r="P30" t="s">
        <v>30</v>
      </c>
    </row>
    <row r="31" spans="1:16">
      <c r="A31" t="s">
        <v>1764</v>
      </c>
      <c r="B31" t="s">
        <v>1765</v>
      </c>
      <c r="C31" s="1">
        <v>44366</v>
      </c>
      <c r="D31">
        <v>46</v>
      </c>
      <c r="E31" t="s">
        <v>18</v>
      </c>
      <c r="F31" t="s">
        <v>54</v>
      </c>
      <c r="J31" t="s">
        <v>503</v>
      </c>
      <c r="K31" t="s">
        <v>21</v>
      </c>
      <c r="M31" t="s">
        <v>1766</v>
      </c>
      <c r="N31" t="s">
        <v>30</v>
      </c>
      <c r="O31" t="s">
        <v>1766</v>
      </c>
      <c r="P31" t="s">
        <v>30</v>
      </c>
    </row>
    <row r="32" spans="1:16">
      <c r="A32" t="s">
        <v>1767</v>
      </c>
      <c r="B32" t="s">
        <v>1768</v>
      </c>
      <c r="C32" s="1">
        <v>44367</v>
      </c>
      <c r="D32">
        <v>59</v>
      </c>
      <c r="E32" t="s">
        <v>18</v>
      </c>
      <c r="F32" t="s">
        <v>54</v>
      </c>
      <c r="K32" t="s">
        <v>21</v>
      </c>
      <c r="M32" t="s">
        <v>1769</v>
      </c>
      <c r="N32" t="s">
        <v>30</v>
      </c>
      <c r="O32" t="s">
        <v>1769</v>
      </c>
      <c r="P32" t="s">
        <v>30</v>
      </c>
    </row>
    <row r="33" spans="1:16">
      <c r="A33" t="s">
        <v>1770</v>
      </c>
      <c r="B33" t="s">
        <v>1771</v>
      </c>
      <c r="C33" s="1">
        <v>44367</v>
      </c>
      <c r="D33">
        <v>61</v>
      </c>
      <c r="E33" t="s">
        <v>18</v>
      </c>
      <c r="F33" t="s">
        <v>1772</v>
      </c>
      <c r="J33" t="s">
        <v>54</v>
      </c>
      <c r="K33" t="s">
        <v>21</v>
      </c>
      <c r="M33" t="s">
        <v>1773</v>
      </c>
      <c r="N33" t="s">
        <v>30</v>
      </c>
      <c r="O33" t="s">
        <v>1773</v>
      </c>
      <c r="P33" t="s">
        <v>30</v>
      </c>
    </row>
    <row r="34" spans="1:16">
      <c r="A34" t="s">
        <v>1774</v>
      </c>
      <c r="B34" t="s">
        <v>1775</v>
      </c>
      <c r="C34" s="1">
        <v>44367</v>
      </c>
      <c r="D34">
        <v>72</v>
      </c>
      <c r="E34" t="s">
        <v>33</v>
      </c>
      <c r="F34" t="s">
        <v>54</v>
      </c>
      <c r="J34" t="s">
        <v>315</v>
      </c>
      <c r="K34" t="s">
        <v>21</v>
      </c>
      <c r="L34" t="s">
        <v>36</v>
      </c>
      <c r="M34" t="s">
        <v>1776</v>
      </c>
      <c r="N34" t="s">
        <v>38</v>
      </c>
      <c r="O34" t="s">
        <v>1776</v>
      </c>
      <c r="P34" t="s">
        <v>38</v>
      </c>
    </row>
    <row r="35" spans="1:16">
      <c r="A35" t="s">
        <v>1777</v>
      </c>
      <c r="B35" t="s">
        <v>1778</v>
      </c>
      <c r="C35" s="1">
        <v>44367</v>
      </c>
      <c r="D35">
        <v>98</v>
      </c>
      <c r="E35" t="s">
        <v>33</v>
      </c>
      <c r="F35" t="s">
        <v>54</v>
      </c>
      <c r="J35" t="s">
        <v>28</v>
      </c>
      <c r="K35" t="s">
        <v>21</v>
      </c>
      <c r="L35" t="s">
        <v>36</v>
      </c>
      <c r="M35" t="s">
        <v>1779</v>
      </c>
      <c r="N35" t="s">
        <v>38</v>
      </c>
      <c r="O35" t="s">
        <v>1779</v>
      </c>
      <c r="P35" t="s">
        <v>38</v>
      </c>
    </row>
    <row r="36" spans="1:16">
      <c r="A36" t="s">
        <v>1780</v>
      </c>
      <c r="B36" t="s">
        <v>1781</v>
      </c>
      <c r="C36" s="1">
        <v>44367</v>
      </c>
      <c r="D36">
        <v>50</v>
      </c>
      <c r="E36" t="s">
        <v>18</v>
      </c>
      <c r="F36" t="s">
        <v>54</v>
      </c>
      <c r="J36" t="s">
        <v>503</v>
      </c>
      <c r="K36" t="s">
        <v>21</v>
      </c>
      <c r="L36" t="s">
        <v>22</v>
      </c>
      <c r="M36" t="s">
        <v>1782</v>
      </c>
      <c r="N36" t="s">
        <v>30</v>
      </c>
      <c r="O36" t="s">
        <v>1783</v>
      </c>
      <c r="P36" t="s">
        <v>30</v>
      </c>
    </row>
    <row r="37" spans="1:16">
      <c r="A37" t="s">
        <v>1784</v>
      </c>
      <c r="B37" t="s">
        <v>1785</v>
      </c>
      <c r="C37" s="1">
        <v>44367</v>
      </c>
      <c r="D37">
        <v>46</v>
      </c>
      <c r="E37" t="s">
        <v>33</v>
      </c>
      <c r="F37" t="s">
        <v>461</v>
      </c>
      <c r="G37" t="s">
        <v>54</v>
      </c>
      <c r="K37" t="s">
        <v>21</v>
      </c>
      <c r="M37" t="s">
        <v>1786</v>
      </c>
      <c r="N37" t="s">
        <v>30</v>
      </c>
      <c r="O37" t="s">
        <v>1786</v>
      </c>
      <c r="P37" t="s">
        <v>30</v>
      </c>
    </row>
    <row r="38" spans="1:16">
      <c r="A38" t="s">
        <v>1787</v>
      </c>
      <c r="B38" t="s">
        <v>1788</v>
      </c>
      <c r="C38" s="1">
        <v>44367</v>
      </c>
      <c r="D38">
        <v>89</v>
      </c>
      <c r="E38" t="s">
        <v>27</v>
      </c>
      <c r="F38" t="s">
        <v>63</v>
      </c>
      <c r="J38" t="s">
        <v>1696</v>
      </c>
      <c r="K38" t="s">
        <v>21</v>
      </c>
      <c r="L38" t="s">
        <v>36</v>
      </c>
      <c r="M38" t="s">
        <v>1789</v>
      </c>
      <c r="N38" t="s">
        <v>38</v>
      </c>
      <c r="O38" t="s">
        <v>1789</v>
      </c>
      <c r="P38" t="s">
        <v>38</v>
      </c>
    </row>
    <row r="39" spans="1:16">
      <c r="A39" t="s">
        <v>1790</v>
      </c>
      <c r="B39" t="s">
        <v>1791</v>
      </c>
      <c r="C39" s="1">
        <v>44367</v>
      </c>
      <c r="D39">
        <v>71</v>
      </c>
      <c r="E39" t="s">
        <v>106</v>
      </c>
      <c r="F39" t="s">
        <v>54</v>
      </c>
      <c r="J39" t="s">
        <v>1792</v>
      </c>
      <c r="K39" t="s">
        <v>21</v>
      </c>
      <c r="L39" t="s">
        <v>36</v>
      </c>
      <c r="M39" t="s">
        <v>1793</v>
      </c>
      <c r="N39" t="s">
        <v>38</v>
      </c>
      <c r="O39" t="s">
        <v>1793</v>
      </c>
      <c r="P39" t="s">
        <v>38</v>
      </c>
    </row>
    <row r="40" spans="1:16">
      <c r="A40" t="s">
        <v>1794</v>
      </c>
      <c r="B40" t="s">
        <v>1795</v>
      </c>
      <c r="C40" s="1">
        <v>44367</v>
      </c>
      <c r="D40">
        <v>64</v>
      </c>
      <c r="E40" t="s">
        <v>33</v>
      </c>
      <c r="F40" t="s">
        <v>97</v>
      </c>
      <c r="J40" t="s">
        <v>1796</v>
      </c>
      <c r="K40" t="s">
        <v>21</v>
      </c>
      <c r="M40" t="s">
        <v>1797</v>
      </c>
      <c r="N40" t="s">
        <v>30</v>
      </c>
      <c r="O40" t="s">
        <v>99</v>
      </c>
      <c r="P40" t="s">
        <v>51</v>
      </c>
    </row>
    <row r="41" spans="1:16">
      <c r="A41" t="s">
        <v>1798</v>
      </c>
      <c r="B41" t="s">
        <v>1799</v>
      </c>
      <c r="C41" s="1">
        <v>44368</v>
      </c>
      <c r="D41">
        <v>65</v>
      </c>
      <c r="E41" t="s">
        <v>33</v>
      </c>
      <c r="F41" t="s">
        <v>1800</v>
      </c>
      <c r="J41" t="s">
        <v>1801</v>
      </c>
      <c r="K41" t="s">
        <v>21</v>
      </c>
      <c r="M41" t="s">
        <v>1802</v>
      </c>
      <c r="N41" t="s">
        <v>30</v>
      </c>
      <c r="O41" t="s">
        <v>1802</v>
      </c>
      <c r="P41" t="s">
        <v>30</v>
      </c>
    </row>
    <row r="42" spans="1:16">
      <c r="A42" t="s">
        <v>1803</v>
      </c>
      <c r="B42" t="s">
        <v>1804</v>
      </c>
      <c r="C42" s="1">
        <v>44368</v>
      </c>
      <c r="D42">
        <v>40</v>
      </c>
      <c r="E42" t="s">
        <v>18</v>
      </c>
      <c r="F42" t="s">
        <v>54</v>
      </c>
      <c r="J42" t="s">
        <v>503</v>
      </c>
      <c r="K42" t="s">
        <v>21</v>
      </c>
      <c r="M42" t="s">
        <v>1805</v>
      </c>
      <c r="N42" t="s">
        <v>70</v>
      </c>
      <c r="O42" t="s">
        <v>1805</v>
      </c>
      <c r="P42" t="s">
        <v>70</v>
      </c>
    </row>
    <row r="43" spans="1:16">
      <c r="A43" t="s">
        <v>1806</v>
      </c>
      <c r="B43" t="s">
        <v>1807</v>
      </c>
      <c r="C43" s="1">
        <v>44368</v>
      </c>
      <c r="D43">
        <v>43</v>
      </c>
      <c r="E43" t="s">
        <v>33</v>
      </c>
      <c r="F43" t="s">
        <v>1808</v>
      </c>
      <c r="J43" t="s">
        <v>54</v>
      </c>
      <c r="K43" t="s">
        <v>21</v>
      </c>
      <c r="M43" t="s">
        <v>1809</v>
      </c>
      <c r="N43" t="s">
        <v>30</v>
      </c>
      <c r="O43" t="s">
        <v>1809</v>
      </c>
      <c r="P43" t="s">
        <v>30</v>
      </c>
    </row>
    <row r="44" spans="1:16">
      <c r="A44" t="s">
        <v>1810</v>
      </c>
      <c r="B44" t="s">
        <v>1811</v>
      </c>
      <c r="C44" s="1">
        <v>44368</v>
      </c>
      <c r="D44">
        <v>70</v>
      </c>
      <c r="E44" t="s">
        <v>27</v>
      </c>
      <c r="F44" t="s">
        <v>97</v>
      </c>
      <c r="J44" t="s">
        <v>1812</v>
      </c>
      <c r="K44" t="s">
        <v>21</v>
      </c>
      <c r="L44" t="s">
        <v>36</v>
      </c>
      <c r="M44" t="s">
        <v>1813</v>
      </c>
      <c r="N44" t="s">
        <v>38</v>
      </c>
      <c r="O44" t="s">
        <v>43</v>
      </c>
      <c r="P44" t="s">
        <v>44</v>
      </c>
    </row>
    <row r="45" spans="1:16">
      <c r="A45" t="s">
        <v>1814</v>
      </c>
      <c r="B45" t="s">
        <v>1815</v>
      </c>
      <c r="C45" s="1">
        <v>44368</v>
      </c>
      <c r="D45">
        <v>64</v>
      </c>
      <c r="E45" t="s">
        <v>18</v>
      </c>
      <c r="F45" t="s">
        <v>54</v>
      </c>
      <c r="J45" t="s">
        <v>1816</v>
      </c>
      <c r="K45" t="s">
        <v>21</v>
      </c>
      <c r="L45" t="s">
        <v>36</v>
      </c>
      <c r="M45" t="s">
        <v>1817</v>
      </c>
      <c r="N45" t="s">
        <v>38</v>
      </c>
      <c r="O45" t="s">
        <v>1817</v>
      </c>
      <c r="P45" t="s">
        <v>38</v>
      </c>
    </row>
    <row r="46" spans="1:16">
      <c r="A46" t="s">
        <v>1818</v>
      </c>
      <c r="B46" t="s">
        <v>1819</v>
      </c>
      <c r="C46" s="1">
        <v>44369</v>
      </c>
      <c r="D46">
        <v>71</v>
      </c>
      <c r="E46" t="s">
        <v>33</v>
      </c>
      <c r="F46" t="s">
        <v>54</v>
      </c>
      <c r="J46" t="s">
        <v>1820</v>
      </c>
      <c r="K46" t="s">
        <v>21</v>
      </c>
      <c r="M46" t="s">
        <v>1821</v>
      </c>
      <c r="N46" t="s">
        <v>24</v>
      </c>
      <c r="O46" t="s">
        <v>1821</v>
      </c>
      <c r="P46" t="s">
        <v>24</v>
      </c>
    </row>
    <row r="47" spans="1:16">
      <c r="A47" t="s">
        <v>1822</v>
      </c>
      <c r="B47" t="s">
        <v>1823</v>
      </c>
      <c r="C47" s="1">
        <v>44366</v>
      </c>
      <c r="D47">
        <v>54</v>
      </c>
      <c r="E47" t="s">
        <v>33</v>
      </c>
      <c r="F47" t="s">
        <v>97</v>
      </c>
      <c r="J47" t="s">
        <v>1824</v>
      </c>
      <c r="K47" t="s">
        <v>21</v>
      </c>
      <c r="O47" t="s">
        <v>1159</v>
      </c>
      <c r="P47" t="s">
        <v>44</v>
      </c>
    </row>
    <row r="48" spans="1:16">
      <c r="A48" t="s">
        <v>1825</v>
      </c>
      <c r="B48" t="s">
        <v>1826</v>
      </c>
      <c r="C48" s="1">
        <v>44371</v>
      </c>
      <c r="D48">
        <v>35</v>
      </c>
      <c r="E48" t="s">
        <v>112</v>
      </c>
      <c r="F48" t="s">
        <v>54</v>
      </c>
      <c r="J48" t="s">
        <v>1827</v>
      </c>
      <c r="K48" t="s">
        <v>21</v>
      </c>
      <c r="M48" t="s">
        <v>1828</v>
      </c>
      <c r="N48" t="s">
        <v>30</v>
      </c>
      <c r="O48" t="s">
        <v>1828</v>
      </c>
      <c r="P48" t="s">
        <v>30</v>
      </c>
    </row>
    <row r="49" spans="1:16">
      <c r="A49" t="s">
        <v>1829</v>
      </c>
      <c r="B49" t="s">
        <v>1830</v>
      </c>
      <c r="C49" s="1">
        <v>44372</v>
      </c>
      <c r="D49">
        <v>53</v>
      </c>
      <c r="E49" t="s">
        <v>33</v>
      </c>
      <c r="F49" t="s">
        <v>339</v>
      </c>
      <c r="J49" t="s">
        <v>54</v>
      </c>
      <c r="K49" t="s">
        <v>21</v>
      </c>
      <c r="L49" t="s">
        <v>36</v>
      </c>
      <c r="M49" t="s">
        <v>1831</v>
      </c>
      <c r="N49" t="s">
        <v>70</v>
      </c>
      <c r="O49" t="s">
        <v>1831</v>
      </c>
      <c r="P49" t="s">
        <v>70</v>
      </c>
    </row>
    <row r="50" spans="1:16">
      <c r="A50" t="s">
        <v>1832</v>
      </c>
      <c r="B50" t="s">
        <v>1833</v>
      </c>
      <c r="C50" s="1">
        <v>44373</v>
      </c>
      <c r="D50">
        <v>78</v>
      </c>
      <c r="E50" t="s">
        <v>33</v>
      </c>
      <c r="F50" t="s">
        <v>120</v>
      </c>
      <c r="J50" t="s">
        <v>1834</v>
      </c>
      <c r="K50" t="s">
        <v>21</v>
      </c>
      <c r="L50" t="s">
        <v>36</v>
      </c>
      <c r="M50" t="s">
        <v>1835</v>
      </c>
      <c r="N50" t="s">
        <v>70</v>
      </c>
      <c r="O50" t="s">
        <v>1835</v>
      </c>
      <c r="P50" t="s">
        <v>70</v>
      </c>
    </row>
    <row r="51" spans="1:16">
      <c r="A51" t="s">
        <v>1836</v>
      </c>
      <c r="B51" t="s">
        <v>1837</v>
      </c>
      <c r="C51" s="1">
        <v>44373</v>
      </c>
      <c r="D51">
        <v>86</v>
      </c>
      <c r="E51" t="s">
        <v>33</v>
      </c>
      <c r="F51" t="s">
        <v>1441</v>
      </c>
      <c r="J51" t="s">
        <v>1838</v>
      </c>
      <c r="K51" t="s">
        <v>21</v>
      </c>
      <c r="L51" t="s">
        <v>36</v>
      </c>
      <c r="M51" t="s">
        <v>1839</v>
      </c>
      <c r="N51" t="s">
        <v>38</v>
      </c>
      <c r="O51" t="s">
        <v>1839</v>
      </c>
      <c r="P51" t="s">
        <v>38</v>
      </c>
    </row>
    <row r="52" spans="1:16">
      <c r="A52" t="s">
        <v>1840</v>
      </c>
      <c r="B52" t="s">
        <v>1841</v>
      </c>
      <c r="C52" s="1">
        <v>44373</v>
      </c>
      <c r="D52">
        <v>62</v>
      </c>
      <c r="E52" t="s">
        <v>33</v>
      </c>
      <c r="F52" t="s">
        <v>54</v>
      </c>
      <c r="J52" t="s">
        <v>98</v>
      </c>
      <c r="K52" t="s">
        <v>21</v>
      </c>
      <c r="M52" t="s">
        <v>1842</v>
      </c>
      <c r="N52" t="s">
        <v>30</v>
      </c>
      <c r="O52" t="s">
        <v>50</v>
      </c>
      <c r="P52" t="s">
        <v>44</v>
      </c>
    </row>
    <row r="53" spans="1:16">
      <c r="A53" t="s">
        <v>1843</v>
      </c>
      <c r="B53" t="s">
        <v>1844</v>
      </c>
      <c r="C53" s="1">
        <v>44373</v>
      </c>
      <c r="D53">
        <v>79</v>
      </c>
      <c r="E53" t="s">
        <v>18</v>
      </c>
      <c r="F53" t="s">
        <v>119</v>
      </c>
      <c r="J53" t="s">
        <v>120</v>
      </c>
      <c r="K53" t="s">
        <v>21</v>
      </c>
      <c r="L53" t="s">
        <v>36</v>
      </c>
      <c r="M53" t="s">
        <v>1845</v>
      </c>
      <c r="N53" t="s">
        <v>38</v>
      </c>
      <c r="O53" t="s">
        <v>1845</v>
      </c>
      <c r="P53" t="s">
        <v>38</v>
      </c>
    </row>
    <row r="54" spans="1:16">
      <c r="A54" t="s">
        <v>1846</v>
      </c>
      <c r="B54" t="s">
        <v>1847</v>
      </c>
      <c r="C54" s="1">
        <v>44375</v>
      </c>
      <c r="D54">
        <v>51</v>
      </c>
      <c r="E54" t="s">
        <v>33</v>
      </c>
      <c r="F54" t="s">
        <v>1848</v>
      </c>
      <c r="J54" t="s">
        <v>1849</v>
      </c>
      <c r="K54" t="s">
        <v>21</v>
      </c>
      <c r="L54" t="s">
        <v>36</v>
      </c>
      <c r="M54" t="s">
        <v>1850</v>
      </c>
      <c r="N54" t="s">
        <v>30</v>
      </c>
      <c r="O54" t="s">
        <v>43</v>
      </c>
      <c r="P54" t="s">
        <v>51</v>
      </c>
    </row>
    <row r="55" spans="1:16">
      <c r="A55" t="s">
        <v>1851</v>
      </c>
      <c r="B55" t="s">
        <v>1852</v>
      </c>
      <c r="C55" s="1">
        <v>44375</v>
      </c>
      <c r="D55">
        <v>35</v>
      </c>
      <c r="E55" t="s">
        <v>33</v>
      </c>
      <c r="F55" t="s">
        <v>172</v>
      </c>
      <c r="J55" t="s">
        <v>1853</v>
      </c>
      <c r="K55" t="s">
        <v>21</v>
      </c>
      <c r="L55" t="s">
        <v>36</v>
      </c>
      <c r="M55" t="s">
        <v>1854</v>
      </c>
      <c r="N55" t="s">
        <v>30</v>
      </c>
      <c r="O55" t="s">
        <v>1854</v>
      </c>
      <c r="P55" t="s">
        <v>30</v>
      </c>
    </row>
    <row r="56" spans="1:16">
      <c r="A56" t="s">
        <v>1855</v>
      </c>
      <c r="B56" t="s">
        <v>1856</v>
      </c>
      <c r="C56" s="1">
        <v>44374</v>
      </c>
      <c r="D56">
        <v>38</v>
      </c>
      <c r="E56" t="s">
        <v>27</v>
      </c>
      <c r="F56" t="s">
        <v>1857</v>
      </c>
      <c r="G56" t="s">
        <v>1858</v>
      </c>
      <c r="K56" t="s">
        <v>21</v>
      </c>
      <c r="L56" t="s">
        <v>36</v>
      </c>
      <c r="N56" t="s">
        <v>30</v>
      </c>
      <c r="O56" t="s">
        <v>478</v>
      </c>
      <c r="P56" t="s">
        <v>109</v>
      </c>
    </row>
    <row r="57" spans="1:16">
      <c r="A57" t="s">
        <v>1859</v>
      </c>
      <c r="B57" t="s">
        <v>1860</v>
      </c>
      <c r="C57" s="1">
        <v>44376</v>
      </c>
      <c r="D57">
        <v>48</v>
      </c>
      <c r="E57" t="s">
        <v>106</v>
      </c>
      <c r="F57" t="s">
        <v>97</v>
      </c>
      <c r="K57" t="s">
        <v>21</v>
      </c>
      <c r="N57" t="s">
        <v>30</v>
      </c>
      <c r="O57" t="s">
        <v>43</v>
      </c>
      <c r="P57" t="s">
        <v>51</v>
      </c>
    </row>
    <row r="58" spans="1:16">
      <c r="A58" t="s">
        <v>1861</v>
      </c>
      <c r="B58" t="s">
        <v>1862</v>
      </c>
      <c r="C58" s="1">
        <v>44376</v>
      </c>
      <c r="D58">
        <v>74</v>
      </c>
      <c r="E58" t="s">
        <v>33</v>
      </c>
      <c r="F58" t="s">
        <v>199</v>
      </c>
      <c r="J58" t="s">
        <v>1863</v>
      </c>
      <c r="K58" t="s">
        <v>21</v>
      </c>
      <c r="L58" t="s">
        <v>36</v>
      </c>
      <c r="M58" t="s">
        <v>1864</v>
      </c>
      <c r="N58" t="s">
        <v>38</v>
      </c>
      <c r="O58" t="s">
        <v>1864</v>
      </c>
      <c r="P58" t="s">
        <v>38</v>
      </c>
    </row>
    <row r="59" spans="1:16">
      <c r="A59" t="s">
        <v>1865</v>
      </c>
      <c r="B59" t="s">
        <v>1866</v>
      </c>
      <c r="C59" s="1">
        <v>44376</v>
      </c>
      <c r="D59">
        <v>68</v>
      </c>
      <c r="E59" t="s">
        <v>106</v>
      </c>
      <c r="F59" t="s">
        <v>172</v>
      </c>
      <c r="J59" t="s">
        <v>54</v>
      </c>
      <c r="K59" t="s">
        <v>21</v>
      </c>
      <c r="M59" t="s">
        <v>1867</v>
      </c>
      <c r="N59" t="s">
        <v>30</v>
      </c>
      <c r="O59" t="s">
        <v>99</v>
      </c>
      <c r="P59" t="s">
        <v>44</v>
      </c>
    </row>
    <row r="60" spans="1:16">
      <c r="A60" t="s">
        <v>1868</v>
      </c>
      <c r="B60" t="s">
        <v>1869</v>
      </c>
      <c r="C60" s="1">
        <v>44378</v>
      </c>
      <c r="D60">
        <v>84</v>
      </c>
      <c r="E60" t="s">
        <v>33</v>
      </c>
      <c r="F60" t="s">
        <v>97</v>
      </c>
      <c r="K60" t="s">
        <v>21</v>
      </c>
      <c r="L60" t="s">
        <v>36</v>
      </c>
      <c r="M60" t="s">
        <v>1870</v>
      </c>
      <c r="N60" t="s">
        <v>38</v>
      </c>
      <c r="O60" t="s">
        <v>1870</v>
      </c>
      <c r="P60" t="s">
        <v>38</v>
      </c>
    </row>
    <row r="61" spans="1:16">
      <c r="A61" t="s">
        <v>1871</v>
      </c>
      <c r="B61" t="s">
        <v>1872</v>
      </c>
      <c r="C61" s="1">
        <v>44380</v>
      </c>
      <c r="D61">
        <v>54</v>
      </c>
      <c r="E61" t="s">
        <v>33</v>
      </c>
      <c r="F61" t="s">
        <v>97</v>
      </c>
      <c r="K61" t="s">
        <v>21</v>
      </c>
      <c r="L61" t="s">
        <v>36</v>
      </c>
      <c r="N61" t="s">
        <v>30</v>
      </c>
      <c r="P61" t="s">
        <v>208</v>
      </c>
    </row>
    <row r="62" spans="1:16">
      <c r="A62" t="s">
        <v>1873</v>
      </c>
      <c r="B62" t="s">
        <v>1874</v>
      </c>
      <c r="C62" s="1">
        <v>44383</v>
      </c>
      <c r="D62">
        <v>84</v>
      </c>
      <c r="E62" t="s">
        <v>33</v>
      </c>
      <c r="F62" t="s">
        <v>54</v>
      </c>
      <c r="J62" t="s">
        <v>28</v>
      </c>
      <c r="K62" t="s">
        <v>21</v>
      </c>
      <c r="L62" t="s">
        <v>36</v>
      </c>
      <c r="M62" t="s">
        <v>1875</v>
      </c>
      <c r="N62" t="s">
        <v>38</v>
      </c>
      <c r="O62" t="s">
        <v>1875</v>
      </c>
      <c r="P62" t="s">
        <v>38</v>
      </c>
    </row>
    <row r="63" spans="1:16">
      <c r="A63" t="s">
        <v>1876</v>
      </c>
      <c r="B63" t="s">
        <v>1877</v>
      </c>
      <c r="C63" s="1">
        <v>44383</v>
      </c>
      <c r="D63">
        <v>90</v>
      </c>
      <c r="E63" t="s">
        <v>18</v>
      </c>
      <c r="F63" t="s">
        <v>1215</v>
      </c>
      <c r="J63" t="s">
        <v>1878</v>
      </c>
      <c r="K63" t="s">
        <v>21</v>
      </c>
      <c r="L63" t="s">
        <v>36</v>
      </c>
      <c r="M63" t="s">
        <v>1879</v>
      </c>
      <c r="N63" t="s">
        <v>38</v>
      </c>
      <c r="O63" t="s">
        <v>1879</v>
      </c>
      <c r="P63" t="s">
        <v>38</v>
      </c>
    </row>
    <row r="64" spans="1:16">
      <c r="A64" t="s">
        <v>1880</v>
      </c>
      <c r="B64" t="s">
        <v>1881</v>
      </c>
      <c r="C64" s="1">
        <v>44384</v>
      </c>
      <c r="D64">
        <v>74</v>
      </c>
      <c r="E64" t="s">
        <v>33</v>
      </c>
      <c r="F64" t="s">
        <v>1083</v>
      </c>
      <c r="G64" t="s">
        <v>1215</v>
      </c>
      <c r="J64" t="s">
        <v>1442</v>
      </c>
      <c r="K64" t="s">
        <v>21</v>
      </c>
      <c r="M64" t="s">
        <v>1882</v>
      </c>
      <c r="N64" t="s">
        <v>30</v>
      </c>
      <c r="O64" t="s">
        <v>1882</v>
      </c>
      <c r="P64" t="s">
        <v>30</v>
      </c>
    </row>
    <row r="65" spans="1:16">
      <c r="A65" t="s">
        <v>1883</v>
      </c>
      <c r="B65" t="s">
        <v>1884</v>
      </c>
      <c r="C65" s="1">
        <v>44384</v>
      </c>
      <c r="D65">
        <v>69</v>
      </c>
      <c r="E65" t="s">
        <v>33</v>
      </c>
      <c r="F65" t="s">
        <v>54</v>
      </c>
      <c r="J65" t="s">
        <v>1885</v>
      </c>
      <c r="K65" t="s">
        <v>21</v>
      </c>
      <c r="L65" t="s">
        <v>36</v>
      </c>
      <c r="M65" t="s">
        <v>1886</v>
      </c>
      <c r="N65" t="s">
        <v>38</v>
      </c>
      <c r="O65" t="s">
        <v>1886</v>
      </c>
      <c r="P65" t="s">
        <v>38</v>
      </c>
    </row>
    <row r="66" spans="1:16">
      <c r="A66" t="s">
        <v>1887</v>
      </c>
      <c r="B66" t="s">
        <v>1888</v>
      </c>
      <c r="C66" s="1">
        <v>44384</v>
      </c>
      <c r="D66">
        <v>68</v>
      </c>
      <c r="E66" t="s">
        <v>33</v>
      </c>
      <c r="F66" t="s">
        <v>54</v>
      </c>
      <c r="K66" t="s">
        <v>21</v>
      </c>
      <c r="L66" t="s">
        <v>36</v>
      </c>
      <c r="M66" t="s">
        <v>1889</v>
      </c>
      <c r="N66" t="s">
        <v>38</v>
      </c>
      <c r="O66" t="s">
        <v>1889</v>
      </c>
      <c r="P66" t="s">
        <v>38</v>
      </c>
    </row>
    <row r="67" spans="1:16">
      <c r="A67" t="s">
        <v>1890</v>
      </c>
      <c r="B67" t="s">
        <v>1891</v>
      </c>
      <c r="C67" s="1">
        <v>44384</v>
      </c>
      <c r="D67">
        <v>58</v>
      </c>
      <c r="E67" t="s">
        <v>33</v>
      </c>
      <c r="F67" t="s">
        <v>54</v>
      </c>
      <c r="J67" t="s">
        <v>1892</v>
      </c>
      <c r="K67" t="s">
        <v>21</v>
      </c>
      <c r="O67" t="s">
        <v>1893</v>
      </c>
      <c r="P67" t="s">
        <v>30</v>
      </c>
    </row>
    <row r="68" spans="1:16">
      <c r="A68" t="s">
        <v>1894</v>
      </c>
      <c r="B68" t="s">
        <v>1895</v>
      </c>
      <c r="C68" s="1">
        <v>44384</v>
      </c>
      <c r="D68">
        <v>59</v>
      </c>
      <c r="E68" t="s">
        <v>33</v>
      </c>
      <c r="F68" t="s">
        <v>54</v>
      </c>
      <c r="K68" t="s">
        <v>21</v>
      </c>
      <c r="M68" t="s">
        <v>1896</v>
      </c>
      <c r="N68" t="s">
        <v>30</v>
      </c>
      <c r="O68" t="s">
        <v>1896</v>
      </c>
      <c r="P68" t="s">
        <v>30</v>
      </c>
    </row>
    <row r="69" spans="1:16">
      <c r="A69" t="s">
        <v>1897</v>
      </c>
      <c r="B69" t="s">
        <v>1898</v>
      </c>
      <c r="C69" s="1">
        <v>44384</v>
      </c>
      <c r="D69">
        <v>56</v>
      </c>
      <c r="E69" t="s">
        <v>106</v>
      </c>
      <c r="F69" t="s">
        <v>54</v>
      </c>
      <c r="K69" t="s">
        <v>21</v>
      </c>
      <c r="M69" t="s">
        <v>1899</v>
      </c>
      <c r="N69" t="s">
        <v>38</v>
      </c>
      <c r="O69" t="s">
        <v>1899</v>
      </c>
      <c r="P69" t="s">
        <v>30</v>
      </c>
    </row>
    <row r="70" spans="1:16">
      <c r="A70" t="s">
        <v>1900</v>
      </c>
      <c r="B70" t="s">
        <v>1901</v>
      </c>
      <c r="C70" s="1">
        <v>44384</v>
      </c>
      <c r="D70">
        <v>57</v>
      </c>
      <c r="E70" t="s">
        <v>33</v>
      </c>
      <c r="F70" t="s">
        <v>54</v>
      </c>
      <c r="K70" t="s">
        <v>21</v>
      </c>
      <c r="M70" t="s">
        <v>1902</v>
      </c>
      <c r="N70" t="s">
        <v>726</v>
      </c>
      <c r="O70" t="s">
        <v>1903</v>
      </c>
      <c r="P70" t="s">
        <v>726</v>
      </c>
    </row>
    <row r="71" spans="1:16">
      <c r="A71" t="s">
        <v>1904</v>
      </c>
      <c r="B71" t="s">
        <v>1905</v>
      </c>
      <c r="C71" s="1">
        <v>44384</v>
      </c>
      <c r="D71">
        <v>52</v>
      </c>
      <c r="E71" t="s">
        <v>33</v>
      </c>
      <c r="F71" t="s">
        <v>1906</v>
      </c>
      <c r="J71" t="s">
        <v>54</v>
      </c>
      <c r="K71" t="s">
        <v>21</v>
      </c>
      <c r="L71" t="s">
        <v>36</v>
      </c>
      <c r="M71" t="s">
        <v>1907</v>
      </c>
      <c r="N71" t="s">
        <v>65</v>
      </c>
      <c r="O71" t="s">
        <v>1907</v>
      </c>
      <c r="P71" t="s">
        <v>65</v>
      </c>
    </row>
    <row r="72" spans="1:16">
      <c r="A72" t="s">
        <v>1908</v>
      </c>
      <c r="B72" t="s">
        <v>1909</v>
      </c>
      <c r="C72" s="1">
        <v>44384</v>
      </c>
      <c r="D72">
        <v>74</v>
      </c>
      <c r="E72" t="s">
        <v>33</v>
      </c>
      <c r="F72" t="s">
        <v>54</v>
      </c>
      <c r="J72" t="s">
        <v>1910</v>
      </c>
      <c r="K72" t="s">
        <v>21</v>
      </c>
      <c r="L72" t="s">
        <v>36</v>
      </c>
      <c r="M72" t="s">
        <v>1911</v>
      </c>
      <c r="N72" t="s">
        <v>38</v>
      </c>
      <c r="O72" t="s">
        <v>1911</v>
      </c>
      <c r="P72" t="s">
        <v>38</v>
      </c>
    </row>
    <row r="73" spans="1:16">
      <c r="A73" t="s">
        <v>1912</v>
      </c>
      <c r="B73" t="s">
        <v>1913</v>
      </c>
      <c r="C73" s="1">
        <v>44384</v>
      </c>
      <c r="D73">
        <v>64</v>
      </c>
      <c r="E73" t="s">
        <v>33</v>
      </c>
      <c r="F73" t="s">
        <v>54</v>
      </c>
      <c r="K73" t="s">
        <v>21</v>
      </c>
      <c r="N73" t="s">
        <v>30</v>
      </c>
      <c r="P73" t="s">
        <v>30</v>
      </c>
    </row>
    <row r="74" spans="1:16">
      <c r="A74" t="s">
        <v>1914</v>
      </c>
      <c r="B74" t="s">
        <v>1915</v>
      </c>
      <c r="C74" s="1">
        <v>44384</v>
      </c>
      <c r="D74">
        <v>62</v>
      </c>
      <c r="E74" t="s">
        <v>33</v>
      </c>
      <c r="F74" t="s">
        <v>54</v>
      </c>
      <c r="J74" t="s">
        <v>1916</v>
      </c>
      <c r="K74" t="s">
        <v>21</v>
      </c>
      <c r="L74" t="s">
        <v>36</v>
      </c>
      <c r="M74" t="s">
        <v>1917</v>
      </c>
      <c r="N74" t="s">
        <v>38</v>
      </c>
      <c r="O74" t="s">
        <v>1917</v>
      </c>
      <c r="P74" t="s">
        <v>38</v>
      </c>
    </row>
    <row r="75" spans="1:16">
      <c r="A75" t="s">
        <v>1918</v>
      </c>
      <c r="B75" t="s">
        <v>1919</v>
      </c>
      <c r="C75" s="1">
        <v>44385</v>
      </c>
      <c r="D75">
        <v>50</v>
      </c>
      <c r="E75" t="s">
        <v>18</v>
      </c>
      <c r="F75" t="s">
        <v>172</v>
      </c>
      <c r="J75" t="s">
        <v>54</v>
      </c>
      <c r="K75" t="s">
        <v>21</v>
      </c>
      <c r="N75" t="s">
        <v>30</v>
      </c>
      <c r="P75" t="s">
        <v>30</v>
      </c>
    </row>
    <row r="76" spans="1:16">
      <c r="A76" t="s">
        <v>1920</v>
      </c>
      <c r="B76" t="s">
        <v>1921</v>
      </c>
      <c r="C76" s="1">
        <v>44385</v>
      </c>
      <c r="D76">
        <v>64</v>
      </c>
      <c r="E76" t="s">
        <v>33</v>
      </c>
      <c r="F76" t="s">
        <v>54</v>
      </c>
      <c r="J76" t="s">
        <v>1922</v>
      </c>
      <c r="K76" t="s">
        <v>21</v>
      </c>
      <c r="L76" t="s">
        <v>36</v>
      </c>
      <c r="N76" t="s">
        <v>65</v>
      </c>
      <c r="P76" t="s">
        <v>65</v>
      </c>
    </row>
    <row r="77" spans="1:16">
      <c r="A77" t="s">
        <v>1923</v>
      </c>
      <c r="B77" t="s">
        <v>1924</v>
      </c>
      <c r="C77" s="1">
        <v>44385</v>
      </c>
      <c r="D77">
        <v>58</v>
      </c>
      <c r="E77" t="s">
        <v>33</v>
      </c>
      <c r="F77" t="s">
        <v>54</v>
      </c>
      <c r="K77" t="s">
        <v>21</v>
      </c>
      <c r="M77" t="s">
        <v>1925</v>
      </c>
      <c r="N77" t="s">
        <v>30</v>
      </c>
      <c r="O77" t="s">
        <v>1925</v>
      </c>
      <c r="P77" t="s">
        <v>30</v>
      </c>
    </row>
    <row r="78" spans="1:16">
      <c r="A78" t="s">
        <v>1926</v>
      </c>
      <c r="B78" t="s">
        <v>1927</v>
      </c>
      <c r="C78" s="1">
        <v>44385</v>
      </c>
      <c r="D78">
        <v>74</v>
      </c>
      <c r="E78" t="s">
        <v>18</v>
      </c>
      <c r="F78" t="s">
        <v>1928</v>
      </c>
      <c r="G78" t="s">
        <v>1215</v>
      </c>
      <c r="J78" t="s">
        <v>120</v>
      </c>
      <c r="K78" t="s">
        <v>21</v>
      </c>
      <c r="L78" t="s">
        <v>36</v>
      </c>
      <c r="M78" t="s">
        <v>1929</v>
      </c>
      <c r="N78" t="s">
        <v>38</v>
      </c>
      <c r="O78" t="s">
        <v>1929</v>
      </c>
      <c r="P78" t="s">
        <v>38</v>
      </c>
    </row>
    <row r="79" spans="1:16">
      <c r="A79" t="s">
        <v>1930</v>
      </c>
      <c r="B79" t="s">
        <v>1931</v>
      </c>
      <c r="C79" s="1">
        <v>44385</v>
      </c>
      <c r="D79">
        <v>66</v>
      </c>
      <c r="E79" t="s">
        <v>33</v>
      </c>
      <c r="F79" t="s">
        <v>54</v>
      </c>
      <c r="J79" t="s">
        <v>199</v>
      </c>
      <c r="K79" t="s">
        <v>21</v>
      </c>
      <c r="M79" t="s">
        <v>1932</v>
      </c>
      <c r="N79" t="s">
        <v>30</v>
      </c>
      <c r="O79" t="s">
        <v>1932</v>
      </c>
      <c r="P79" t="s">
        <v>30</v>
      </c>
    </row>
    <row r="80" spans="1:16">
      <c r="A80" t="s">
        <v>1933</v>
      </c>
      <c r="B80" t="s">
        <v>1934</v>
      </c>
      <c r="C80" s="1">
        <v>44385</v>
      </c>
      <c r="D80">
        <v>66</v>
      </c>
      <c r="E80" t="s">
        <v>18</v>
      </c>
      <c r="F80" t="s">
        <v>54</v>
      </c>
      <c r="J80" t="s">
        <v>98</v>
      </c>
      <c r="K80" t="s">
        <v>21</v>
      </c>
      <c r="M80" t="s">
        <v>1935</v>
      </c>
      <c r="N80" t="s">
        <v>30</v>
      </c>
      <c r="O80" t="s">
        <v>1935</v>
      </c>
      <c r="P80" t="s">
        <v>30</v>
      </c>
    </row>
    <row r="81" spans="1:16">
      <c r="A81" t="s">
        <v>1936</v>
      </c>
      <c r="B81" t="s">
        <v>1937</v>
      </c>
      <c r="C81" s="1">
        <v>44385</v>
      </c>
      <c r="D81">
        <v>78</v>
      </c>
      <c r="E81" t="s">
        <v>33</v>
      </c>
      <c r="F81" t="s">
        <v>97</v>
      </c>
      <c r="J81" t="s">
        <v>1792</v>
      </c>
      <c r="K81" t="s">
        <v>21</v>
      </c>
      <c r="M81" t="s">
        <v>1938</v>
      </c>
      <c r="N81" t="s">
        <v>65</v>
      </c>
      <c r="O81" t="s">
        <v>89</v>
      </c>
      <c r="P81" t="s">
        <v>44</v>
      </c>
    </row>
    <row r="82" spans="1:16">
      <c r="A82" t="s">
        <v>1939</v>
      </c>
      <c r="B82" t="s">
        <v>1940</v>
      </c>
      <c r="C82" s="1">
        <v>44386</v>
      </c>
      <c r="D82">
        <v>56</v>
      </c>
      <c r="E82" t="s">
        <v>18</v>
      </c>
      <c r="F82" t="s">
        <v>97</v>
      </c>
      <c r="J82" t="s">
        <v>503</v>
      </c>
      <c r="K82" t="s">
        <v>21</v>
      </c>
      <c r="O82" t="s">
        <v>99</v>
      </c>
      <c r="P82" t="s">
        <v>51</v>
      </c>
    </row>
    <row r="83" spans="1:16">
      <c r="A83" t="s">
        <v>1941</v>
      </c>
      <c r="B83" t="s">
        <v>1942</v>
      </c>
      <c r="C83" s="1">
        <v>44386</v>
      </c>
      <c r="D83">
        <v>80</v>
      </c>
      <c r="E83" t="s">
        <v>613</v>
      </c>
      <c r="F83" t="s">
        <v>1943</v>
      </c>
      <c r="J83" t="s">
        <v>120</v>
      </c>
      <c r="K83" t="s">
        <v>21</v>
      </c>
      <c r="L83" t="s">
        <v>36</v>
      </c>
      <c r="M83" t="s">
        <v>1944</v>
      </c>
      <c r="N83" t="s">
        <v>38</v>
      </c>
      <c r="O83" t="s">
        <v>1944</v>
      </c>
      <c r="P83" t="s">
        <v>38</v>
      </c>
    </row>
    <row r="84" spans="1:16">
      <c r="A84" t="s">
        <v>1945</v>
      </c>
      <c r="B84" t="s">
        <v>1946</v>
      </c>
      <c r="C84" s="1">
        <v>44386</v>
      </c>
      <c r="D84">
        <v>74</v>
      </c>
      <c r="E84" t="s">
        <v>33</v>
      </c>
      <c r="F84" t="s">
        <v>120</v>
      </c>
      <c r="K84" t="s">
        <v>21</v>
      </c>
      <c r="L84" t="s">
        <v>36</v>
      </c>
      <c r="M84" t="s">
        <v>1947</v>
      </c>
      <c r="N84" t="s">
        <v>38</v>
      </c>
      <c r="O84" t="s">
        <v>1947</v>
      </c>
      <c r="P84" t="s">
        <v>38</v>
      </c>
    </row>
    <row r="85" spans="1:16">
      <c r="A85" t="s">
        <v>1948</v>
      </c>
      <c r="B85" t="s">
        <v>1949</v>
      </c>
      <c r="C85" s="1">
        <v>44386</v>
      </c>
      <c r="D85">
        <v>56</v>
      </c>
      <c r="E85" t="s">
        <v>112</v>
      </c>
      <c r="F85" t="s">
        <v>54</v>
      </c>
      <c r="K85" t="s">
        <v>21</v>
      </c>
      <c r="M85" t="s">
        <v>1950</v>
      </c>
      <c r="N85" t="s">
        <v>30</v>
      </c>
      <c r="O85" t="s">
        <v>1950</v>
      </c>
      <c r="P85" t="s">
        <v>30</v>
      </c>
    </row>
    <row r="86" spans="1:16">
      <c r="A86" t="s">
        <v>1951</v>
      </c>
      <c r="B86" t="s">
        <v>1952</v>
      </c>
      <c r="C86" s="1">
        <v>44386</v>
      </c>
      <c r="D86">
        <v>37</v>
      </c>
      <c r="E86" t="s">
        <v>18</v>
      </c>
      <c r="F86" t="s">
        <v>1953</v>
      </c>
      <c r="J86" t="s">
        <v>503</v>
      </c>
      <c r="K86" t="s">
        <v>21</v>
      </c>
      <c r="M86" t="s">
        <v>1954</v>
      </c>
      <c r="N86" t="s">
        <v>30</v>
      </c>
      <c r="O86" t="s">
        <v>99</v>
      </c>
      <c r="P86" t="s">
        <v>44</v>
      </c>
    </row>
    <row r="87" spans="1:16">
      <c r="A87" t="s">
        <v>1955</v>
      </c>
      <c r="B87" t="s">
        <v>1956</v>
      </c>
      <c r="C87" s="1">
        <v>44386</v>
      </c>
      <c r="D87">
        <v>69</v>
      </c>
      <c r="E87" t="s">
        <v>33</v>
      </c>
      <c r="F87" t="s">
        <v>1957</v>
      </c>
      <c r="J87" t="s">
        <v>54</v>
      </c>
      <c r="K87" t="s">
        <v>21</v>
      </c>
      <c r="M87" t="s">
        <v>1958</v>
      </c>
      <c r="N87" t="s">
        <v>30</v>
      </c>
      <c r="O87" t="s">
        <v>99</v>
      </c>
      <c r="P87" t="s">
        <v>109</v>
      </c>
    </row>
    <row r="88" spans="1:16">
      <c r="A88" t="s">
        <v>1959</v>
      </c>
      <c r="B88" t="s">
        <v>1960</v>
      </c>
      <c r="C88" s="1">
        <v>44386</v>
      </c>
      <c r="D88">
        <v>39</v>
      </c>
      <c r="E88" t="s">
        <v>33</v>
      </c>
      <c r="F88" t="s">
        <v>1957</v>
      </c>
      <c r="J88" t="s">
        <v>54</v>
      </c>
      <c r="K88" t="s">
        <v>21</v>
      </c>
      <c r="M88" t="s">
        <v>1961</v>
      </c>
      <c r="N88" t="s">
        <v>30</v>
      </c>
      <c r="O88" t="s">
        <v>1961</v>
      </c>
      <c r="P88" t="s">
        <v>30</v>
      </c>
    </row>
    <row r="89" spans="1:16">
      <c r="A89" t="s">
        <v>1962</v>
      </c>
      <c r="B89" t="s">
        <v>1963</v>
      </c>
      <c r="C89" s="1">
        <v>44386</v>
      </c>
      <c r="D89">
        <v>47</v>
      </c>
      <c r="E89" t="s">
        <v>33</v>
      </c>
      <c r="F89" t="s">
        <v>1964</v>
      </c>
      <c r="G89" t="s">
        <v>80</v>
      </c>
      <c r="H89" t="s">
        <v>28</v>
      </c>
      <c r="J89" t="s">
        <v>1965</v>
      </c>
      <c r="K89" t="s">
        <v>21</v>
      </c>
      <c r="L89" t="s">
        <v>36</v>
      </c>
      <c r="N89" t="s">
        <v>1966</v>
      </c>
      <c r="P89" t="s">
        <v>1966</v>
      </c>
    </row>
    <row r="90" spans="1:16">
      <c r="A90" t="s">
        <v>1967</v>
      </c>
      <c r="B90" t="s">
        <v>1968</v>
      </c>
      <c r="C90" s="1">
        <v>44386</v>
      </c>
      <c r="D90">
        <v>63</v>
      </c>
      <c r="E90" t="s">
        <v>18</v>
      </c>
      <c r="F90" t="s">
        <v>97</v>
      </c>
      <c r="K90" t="s">
        <v>21</v>
      </c>
      <c r="N90" t="s">
        <v>208</v>
      </c>
      <c r="O90" t="s">
        <v>50</v>
      </c>
      <c r="P90" t="s">
        <v>44</v>
      </c>
    </row>
    <row r="91" spans="1:16">
      <c r="A91" t="s">
        <v>1969</v>
      </c>
      <c r="B91" t="s">
        <v>1970</v>
      </c>
      <c r="C91" s="1">
        <v>44386</v>
      </c>
      <c r="D91">
        <v>46</v>
      </c>
      <c r="E91" t="s">
        <v>18</v>
      </c>
      <c r="F91" t="s">
        <v>97</v>
      </c>
      <c r="J91" t="s">
        <v>1971</v>
      </c>
      <c r="K91" t="s">
        <v>21</v>
      </c>
      <c r="M91" t="s">
        <v>1972</v>
      </c>
      <c r="N91" t="s">
        <v>30</v>
      </c>
      <c r="O91" t="s">
        <v>43</v>
      </c>
      <c r="P91" t="s">
        <v>44</v>
      </c>
    </row>
    <row r="92" spans="1:16">
      <c r="A92" t="s">
        <v>1973</v>
      </c>
      <c r="B92" t="s">
        <v>1974</v>
      </c>
      <c r="C92" s="1">
        <v>44386</v>
      </c>
      <c r="D92">
        <v>59</v>
      </c>
      <c r="E92" t="s">
        <v>33</v>
      </c>
      <c r="F92" t="s">
        <v>54</v>
      </c>
      <c r="J92" t="s">
        <v>1975</v>
      </c>
      <c r="K92" t="s">
        <v>21</v>
      </c>
      <c r="N92" t="s">
        <v>30</v>
      </c>
      <c r="O92" t="s">
        <v>369</v>
      </c>
      <c r="P92" t="s">
        <v>44</v>
      </c>
    </row>
    <row r="93" spans="1:16">
      <c r="A93" t="s">
        <v>1976</v>
      </c>
      <c r="B93" t="s">
        <v>1977</v>
      </c>
      <c r="C93" s="1">
        <v>44386</v>
      </c>
      <c r="D93">
        <v>26</v>
      </c>
      <c r="E93" t="s">
        <v>33</v>
      </c>
      <c r="F93" t="s">
        <v>54</v>
      </c>
      <c r="J93" t="s">
        <v>503</v>
      </c>
      <c r="K93" t="s">
        <v>21</v>
      </c>
      <c r="M93" t="s">
        <v>1978</v>
      </c>
      <c r="N93" t="s">
        <v>30</v>
      </c>
      <c r="O93" t="s">
        <v>1978</v>
      </c>
      <c r="P93" t="s">
        <v>30</v>
      </c>
    </row>
    <row r="94" spans="1:16">
      <c r="A94" t="s">
        <v>1979</v>
      </c>
      <c r="B94" t="s">
        <v>1980</v>
      </c>
      <c r="C94" s="1">
        <v>44386</v>
      </c>
      <c r="D94">
        <v>71</v>
      </c>
      <c r="E94" t="s">
        <v>33</v>
      </c>
      <c r="F94" t="s">
        <v>1028</v>
      </c>
      <c r="J94" t="s">
        <v>1981</v>
      </c>
      <c r="K94" t="s">
        <v>21</v>
      </c>
      <c r="M94" t="s">
        <v>1982</v>
      </c>
      <c r="N94" t="s">
        <v>30</v>
      </c>
      <c r="O94" t="s">
        <v>1982</v>
      </c>
      <c r="P94" t="s">
        <v>30</v>
      </c>
    </row>
    <row r="95" spans="1:16">
      <c r="A95" t="s">
        <v>1983</v>
      </c>
      <c r="B95" t="s">
        <v>1984</v>
      </c>
      <c r="C95" s="1">
        <v>44386</v>
      </c>
      <c r="D95">
        <v>30</v>
      </c>
      <c r="E95" t="s">
        <v>33</v>
      </c>
      <c r="F95" t="s">
        <v>97</v>
      </c>
      <c r="J95" t="s">
        <v>503</v>
      </c>
      <c r="K95" t="s">
        <v>21</v>
      </c>
      <c r="L95" t="s">
        <v>36</v>
      </c>
      <c r="N95" t="s">
        <v>30</v>
      </c>
      <c r="O95" t="s">
        <v>50</v>
      </c>
      <c r="P95" t="s">
        <v>44</v>
      </c>
    </row>
    <row r="96" spans="1:16">
      <c r="A96" t="s">
        <v>1985</v>
      </c>
      <c r="B96" t="s">
        <v>1986</v>
      </c>
      <c r="C96" s="1">
        <v>44387</v>
      </c>
      <c r="D96">
        <v>46</v>
      </c>
      <c r="E96" t="s">
        <v>33</v>
      </c>
      <c r="F96" t="s">
        <v>54</v>
      </c>
      <c r="J96" t="s">
        <v>1987</v>
      </c>
      <c r="K96" t="s">
        <v>21</v>
      </c>
      <c r="M96" t="s">
        <v>1988</v>
      </c>
      <c r="N96" t="s">
        <v>30</v>
      </c>
      <c r="O96" t="s">
        <v>1988</v>
      </c>
      <c r="P96" t="s">
        <v>30</v>
      </c>
    </row>
    <row r="97" spans="1:16">
      <c r="A97" t="s">
        <v>1989</v>
      </c>
      <c r="B97" t="s">
        <v>1990</v>
      </c>
      <c r="C97" s="1">
        <v>44387</v>
      </c>
      <c r="D97">
        <v>42</v>
      </c>
      <c r="E97" t="s">
        <v>33</v>
      </c>
      <c r="F97" t="s">
        <v>1028</v>
      </c>
      <c r="J97" t="s">
        <v>54</v>
      </c>
      <c r="K97" t="s">
        <v>21</v>
      </c>
      <c r="M97" t="s">
        <v>1991</v>
      </c>
      <c r="N97" t="s">
        <v>30</v>
      </c>
      <c r="O97" t="s">
        <v>1991</v>
      </c>
      <c r="P97" t="s">
        <v>30</v>
      </c>
    </row>
    <row r="98" spans="1:16">
      <c r="A98" t="s">
        <v>1992</v>
      </c>
      <c r="B98" t="s">
        <v>1993</v>
      </c>
      <c r="C98" s="1">
        <v>44387</v>
      </c>
      <c r="D98">
        <v>61</v>
      </c>
      <c r="E98" t="s">
        <v>33</v>
      </c>
      <c r="F98" t="s">
        <v>1994</v>
      </c>
      <c r="J98" t="s">
        <v>1995</v>
      </c>
      <c r="K98" t="s">
        <v>21</v>
      </c>
      <c r="M98" t="s">
        <v>1996</v>
      </c>
      <c r="N98" t="s">
        <v>30</v>
      </c>
      <c r="O98" t="s">
        <v>1996</v>
      </c>
      <c r="P98" t="s">
        <v>70</v>
      </c>
    </row>
    <row r="99" spans="1:16">
      <c r="A99" t="s">
        <v>1997</v>
      </c>
      <c r="B99" t="s">
        <v>1998</v>
      </c>
      <c r="C99" s="1">
        <v>44387</v>
      </c>
      <c r="D99">
        <v>68</v>
      </c>
      <c r="E99" t="s">
        <v>33</v>
      </c>
      <c r="F99" t="s">
        <v>54</v>
      </c>
      <c r="J99" t="s">
        <v>1715</v>
      </c>
      <c r="K99" t="s">
        <v>21</v>
      </c>
      <c r="L99" t="s">
        <v>1999</v>
      </c>
      <c r="N99" t="s">
        <v>30</v>
      </c>
      <c r="P99" t="s">
        <v>30</v>
      </c>
    </row>
    <row r="100" spans="1:16">
      <c r="A100" t="s">
        <v>2000</v>
      </c>
      <c r="B100" t="s">
        <v>2001</v>
      </c>
      <c r="C100" s="1">
        <v>44387</v>
      </c>
      <c r="D100">
        <v>32</v>
      </c>
      <c r="E100" t="s">
        <v>2002</v>
      </c>
      <c r="F100" t="s">
        <v>339</v>
      </c>
      <c r="J100" t="s">
        <v>97</v>
      </c>
      <c r="K100" t="s">
        <v>21</v>
      </c>
      <c r="M100" t="s">
        <v>2003</v>
      </c>
      <c r="N100" t="s">
        <v>30</v>
      </c>
      <c r="O100" t="s">
        <v>369</v>
      </c>
      <c r="P100" t="s">
        <v>44</v>
      </c>
    </row>
    <row r="101" spans="1:16">
      <c r="A101" t="s">
        <v>2004</v>
      </c>
      <c r="B101" t="s">
        <v>2005</v>
      </c>
      <c r="C101" s="1">
        <v>44387</v>
      </c>
      <c r="D101">
        <v>74</v>
      </c>
      <c r="E101" t="s">
        <v>18</v>
      </c>
      <c r="F101" t="s">
        <v>172</v>
      </c>
      <c r="J101" t="s">
        <v>54</v>
      </c>
      <c r="K101" t="s">
        <v>21</v>
      </c>
      <c r="M101" t="s">
        <v>2006</v>
      </c>
      <c r="N101" t="s">
        <v>30</v>
      </c>
      <c r="O101" t="s">
        <v>2006</v>
      </c>
      <c r="P101" t="s">
        <v>30</v>
      </c>
    </row>
    <row r="102" spans="1:16">
      <c r="A102" t="s">
        <v>2007</v>
      </c>
      <c r="B102" t="s">
        <v>2008</v>
      </c>
      <c r="C102" s="1">
        <v>44387</v>
      </c>
      <c r="D102">
        <v>30</v>
      </c>
      <c r="E102" t="s">
        <v>18</v>
      </c>
      <c r="F102" t="s">
        <v>97</v>
      </c>
      <c r="K102" t="s">
        <v>21</v>
      </c>
      <c r="M102" t="s">
        <v>2009</v>
      </c>
      <c r="N102" t="s">
        <v>30</v>
      </c>
      <c r="O102" t="s">
        <v>43</v>
      </c>
      <c r="P102" t="s">
        <v>44</v>
      </c>
    </row>
    <row r="103" spans="1:16">
      <c r="A103" t="s">
        <v>2010</v>
      </c>
      <c r="B103" t="s">
        <v>2011</v>
      </c>
      <c r="C103" s="1">
        <v>44387</v>
      </c>
      <c r="D103">
        <v>61</v>
      </c>
      <c r="E103" t="s">
        <v>33</v>
      </c>
      <c r="F103" t="s">
        <v>172</v>
      </c>
      <c r="J103" t="s">
        <v>54</v>
      </c>
      <c r="K103" t="s">
        <v>21</v>
      </c>
      <c r="M103" t="s">
        <v>2012</v>
      </c>
      <c r="N103" t="s">
        <v>30</v>
      </c>
      <c r="O103" t="s">
        <v>2012</v>
      </c>
      <c r="P103" t="s">
        <v>30</v>
      </c>
    </row>
    <row r="104" spans="1:16">
      <c r="A104" t="s">
        <v>2013</v>
      </c>
      <c r="B104" t="s">
        <v>2014</v>
      </c>
      <c r="C104" s="1">
        <v>44387</v>
      </c>
      <c r="D104">
        <v>70</v>
      </c>
      <c r="E104" t="s">
        <v>33</v>
      </c>
      <c r="F104" t="s">
        <v>339</v>
      </c>
      <c r="J104" t="s">
        <v>54</v>
      </c>
      <c r="K104" t="s">
        <v>21</v>
      </c>
      <c r="M104" t="s">
        <v>2015</v>
      </c>
      <c r="N104" t="s">
        <v>30</v>
      </c>
      <c r="O104" t="s">
        <v>2015</v>
      </c>
      <c r="P104" t="s">
        <v>30</v>
      </c>
    </row>
    <row r="105" spans="1:16">
      <c r="A105" t="s">
        <v>2016</v>
      </c>
      <c r="B105" t="s">
        <v>2017</v>
      </c>
      <c r="C105" s="1">
        <v>44387</v>
      </c>
      <c r="D105">
        <v>68</v>
      </c>
      <c r="E105" t="s">
        <v>18</v>
      </c>
      <c r="F105" t="s">
        <v>1672</v>
      </c>
      <c r="G105" t="s">
        <v>54</v>
      </c>
      <c r="K105" t="s">
        <v>21</v>
      </c>
      <c r="M105" t="s">
        <v>2018</v>
      </c>
      <c r="N105" t="s">
        <v>30</v>
      </c>
      <c r="O105" t="s">
        <v>2018</v>
      </c>
      <c r="P105" t="s">
        <v>30</v>
      </c>
    </row>
    <row r="106" spans="1:16">
      <c r="A106" t="s">
        <v>2019</v>
      </c>
      <c r="B106" t="s">
        <v>2020</v>
      </c>
      <c r="C106" s="1">
        <v>44387</v>
      </c>
      <c r="D106">
        <v>58</v>
      </c>
      <c r="E106" t="s">
        <v>33</v>
      </c>
      <c r="F106" t="s">
        <v>54</v>
      </c>
      <c r="K106" t="s">
        <v>21</v>
      </c>
      <c r="M106" t="s">
        <v>2021</v>
      </c>
      <c r="N106" t="s">
        <v>24</v>
      </c>
      <c r="O106" t="s">
        <v>2021</v>
      </c>
      <c r="P106" t="s">
        <v>24</v>
      </c>
    </row>
    <row r="107" spans="1:16">
      <c r="A107" t="s">
        <v>2022</v>
      </c>
      <c r="B107" t="s">
        <v>2023</v>
      </c>
      <c r="C107" s="1">
        <v>44387</v>
      </c>
      <c r="D107">
        <v>55</v>
      </c>
      <c r="E107" t="s">
        <v>27</v>
      </c>
      <c r="F107" t="s">
        <v>1994</v>
      </c>
      <c r="J107" t="s">
        <v>97</v>
      </c>
      <c r="K107" t="s">
        <v>21</v>
      </c>
      <c r="M107" t="s">
        <v>2024</v>
      </c>
      <c r="N107" t="s">
        <v>24</v>
      </c>
      <c r="O107" t="s">
        <v>43</v>
      </c>
      <c r="P107" t="s">
        <v>44</v>
      </c>
    </row>
    <row r="108" spans="1:16">
      <c r="A108" t="s">
        <v>2025</v>
      </c>
      <c r="B108" t="s">
        <v>2026</v>
      </c>
      <c r="C108" s="1">
        <v>44388</v>
      </c>
      <c r="D108">
        <v>47</v>
      </c>
      <c r="E108" t="s">
        <v>33</v>
      </c>
      <c r="F108" t="s">
        <v>615</v>
      </c>
      <c r="K108" t="s">
        <v>21</v>
      </c>
      <c r="M108" t="s">
        <v>2027</v>
      </c>
      <c r="N108" t="s">
        <v>30</v>
      </c>
      <c r="O108" t="s">
        <v>2027</v>
      </c>
      <c r="P108" t="s">
        <v>30</v>
      </c>
    </row>
    <row r="109" spans="1:16">
      <c r="A109" t="s">
        <v>2028</v>
      </c>
      <c r="B109" t="s">
        <v>2029</v>
      </c>
      <c r="C109" s="1">
        <v>44388</v>
      </c>
      <c r="D109">
        <v>61</v>
      </c>
      <c r="E109" t="s">
        <v>33</v>
      </c>
      <c r="F109" t="s">
        <v>54</v>
      </c>
      <c r="J109" t="s">
        <v>63</v>
      </c>
      <c r="K109" t="s">
        <v>21</v>
      </c>
      <c r="N109" t="s">
        <v>30</v>
      </c>
      <c r="P109" t="s">
        <v>30</v>
      </c>
    </row>
    <row r="110" spans="1:16">
      <c r="A110" t="s">
        <v>2030</v>
      </c>
      <c r="B110" t="s">
        <v>2031</v>
      </c>
      <c r="C110" s="1">
        <v>44388</v>
      </c>
      <c r="D110">
        <v>49</v>
      </c>
      <c r="E110" t="s">
        <v>33</v>
      </c>
      <c r="F110" t="s">
        <v>172</v>
      </c>
      <c r="J110" t="s">
        <v>97</v>
      </c>
      <c r="K110" t="s">
        <v>21</v>
      </c>
      <c r="M110" t="s">
        <v>2032</v>
      </c>
      <c r="N110" t="s">
        <v>70</v>
      </c>
      <c r="O110" t="s">
        <v>50</v>
      </c>
      <c r="P110" t="s">
        <v>30</v>
      </c>
    </row>
    <row r="111" spans="1:16">
      <c r="A111" t="s">
        <v>2033</v>
      </c>
      <c r="B111" t="s">
        <v>2034</v>
      </c>
      <c r="C111" s="1">
        <v>44388</v>
      </c>
      <c r="D111">
        <v>81</v>
      </c>
      <c r="E111" t="s">
        <v>33</v>
      </c>
      <c r="F111" t="s">
        <v>54</v>
      </c>
      <c r="J111" t="s">
        <v>166</v>
      </c>
      <c r="K111" t="s">
        <v>21</v>
      </c>
      <c r="L111" t="s">
        <v>36</v>
      </c>
      <c r="M111" t="s">
        <v>2035</v>
      </c>
      <c r="N111" t="s">
        <v>38</v>
      </c>
      <c r="O111" t="s">
        <v>2035</v>
      </c>
      <c r="P111" t="s">
        <v>38</v>
      </c>
    </row>
    <row r="112" spans="1:16">
      <c r="A112" t="s">
        <v>2036</v>
      </c>
      <c r="B112" t="s">
        <v>2037</v>
      </c>
      <c r="C112" s="1">
        <v>44388</v>
      </c>
      <c r="D112">
        <v>40</v>
      </c>
      <c r="E112" t="s">
        <v>18</v>
      </c>
      <c r="F112" t="s">
        <v>339</v>
      </c>
      <c r="J112" t="s">
        <v>54</v>
      </c>
      <c r="K112" t="s">
        <v>21</v>
      </c>
      <c r="M112" t="s">
        <v>2038</v>
      </c>
      <c r="N112" t="s">
        <v>30</v>
      </c>
      <c r="O112" t="s">
        <v>2038</v>
      </c>
      <c r="P112" t="s">
        <v>30</v>
      </c>
    </row>
    <row r="113" spans="1:16">
      <c r="A113" t="s">
        <v>2039</v>
      </c>
      <c r="B113" t="s">
        <v>2040</v>
      </c>
      <c r="C113" s="1">
        <v>44388</v>
      </c>
      <c r="D113">
        <v>48</v>
      </c>
      <c r="E113" t="s">
        <v>33</v>
      </c>
      <c r="F113" t="s">
        <v>339</v>
      </c>
      <c r="J113" t="s">
        <v>2041</v>
      </c>
      <c r="K113" t="s">
        <v>21</v>
      </c>
      <c r="M113" t="s">
        <v>2042</v>
      </c>
      <c r="N113" t="s">
        <v>30</v>
      </c>
      <c r="O113" t="s">
        <v>1330</v>
      </c>
      <c r="P113" t="s">
        <v>44</v>
      </c>
    </row>
    <row r="114" spans="1:16">
      <c r="A114" t="s">
        <v>2043</v>
      </c>
      <c r="B114" t="s">
        <v>2044</v>
      </c>
      <c r="C114" s="1">
        <v>44388</v>
      </c>
      <c r="D114">
        <v>57</v>
      </c>
      <c r="E114" t="s">
        <v>112</v>
      </c>
      <c r="F114" t="s">
        <v>615</v>
      </c>
      <c r="K114" t="s">
        <v>21</v>
      </c>
      <c r="N114" t="s">
        <v>30</v>
      </c>
      <c r="P114" t="s">
        <v>30</v>
      </c>
    </row>
    <row r="115" spans="1:16">
      <c r="A115" t="s">
        <v>2045</v>
      </c>
      <c r="B115" t="s">
        <v>2046</v>
      </c>
      <c r="C115" s="1">
        <v>44388</v>
      </c>
      <c r="D115">
        <v>66</v>
      </c>
      <c r="E115" t="s">
        <v>33</v>
      </c>
      <c r="F115" t="s">
        <v>54</v>
      </c>
      <c r="J115" t="s">
        <v>2047</v>
      </c>
      <c r="K115" t="s">
        <v>21</v>
      </c>
      <c r="N115" t="s">
        <v>30</v>
      </c>
      <c r="P115" t="s">
        <v>30</v>
      </c>
    </row>
    <row r="116" spans="1:16">
      <c r="A116" t="s">
        <v>2048</v>
      </c>
      <c r="B116" t="s">
        <v>2049</v>
      </c>
      <c r="C116" s="1">
        <v>44388</v>
      </c>
      <c r="D116">
        <v>56</v>
      </c>
      <c r="E116" t="s">
        <v>33</v>
      </c>
      <c r="F116" t="s">
        <v>1994</v>
      </c>
      <c r="J116" t="s">
        <v>97</v>
      </c>
      <c r="K116" t="s">
        <v>21</v>
      </c>
      <c r="M116" t="s">
        <v>2050</v>
      </c>
      <c r="N116" t="s">
        <v>30</v>
      </c>
      <c r="O116" t="s">
        <v>89</v>
      </c>
      <c r="P116" t="s">
        <v>44</v>
      </c>
    </row>
    <row r="117" spans="1:16">
      <c r="A117" t="s">
        <v>2051</v>
      </c>
      <c r="B117" t="s">
        <v>2052</v>
      </c>
      <c r="C117" s="1">
        <v>44388</v>
      </c>
      <c r="D117">
        <v>51</v>
      </c>
      <c r="E117" t="s">
        <v>18</v>
      </c>
      <c r="F117" t="s">
        <v>1994</v>
      </c>
      <c r="J117" t="s">
        <v>97</v>
      </c>
      <c r="K117" t="s">
        <v>21</v>
      </c>
      <c r="N117" t="s">
        <v>30</v>
      </c>
      <c r="P117" t="s">
        <v>30</v>
      </c>
    </row>
    <row r="118" spans="1:16">
      <c r="A118" t="s">
        <v>2053</v>
      </c>
      <c r="B118" t="s">
        <v>2054</v>
      </c>
      <c r="C118" s="1">
        <v>44388</v>
      </c>
      <c r="D118">
        <v>58</v>
      </c>
      <c r="E118" t="s">
        <v>33</v>
      </c>
      <c r="F118" t="s">
        <v>2055</v>
      </c>
      <c r="J118" t="s">
        <v>181</v>
      </c>
      <c r="K118" t="s">
        <v>21</v>
      </c>
      <c r="L118" t="s">
        <v>22</v>
      </c>
      <c r="M118" t="s">
        <v>2056</v>
      </c>
      <c r="N118" t="s">
        <v>65</v>
      </c>
      <c r="O118" t="s">
        <v>2056</v>
      </c>
      <c r="P118" t="s">
        <v>65</v>
      </c>
    </row>
    <row r="119" spans="1:16">
      <c r="A119" t="s">
        <v>2057</v>
      </c>
      <c r="B119" t="s">
        <v>2058</v>
      </c>
      <c r="C119" s="1">
        <v>44389</v>
      </c>
      <c r="D119">
        <v>63</v>
      </c>
      <c r="E119" t="s">
        <v>33</v>
      </c>
      <c r="F119" t="s">
        <v>63</v>
      </c>
      <c r="J119" t="s">
        <v>2059</v>
      </c>
      <c r="K119" t="s">
        <v>21</v>
      </c>
      <c r="N119" t="s">
        <v>30</v>
      </c>
      <c r="P119" t="s">
        <v>30</v>
      </c>
    </row>
    <row r="120" spans="1:16">
      <c r="A120" t="s">
        <v>2060</v>
      </c>
      <c r="B120" t="s">
        <v>2061</v>
      </c>
      <c r="C120" s="1">
        <v>44388</v>
      </c>
      <c r="D120">
        <v>65</v>
      </c>
      <c r="E120" t="s">
        <v>18</v>
      </c>
      <c r="F120" t="s">
        <v>97</v>
      </c>
      <c r="G120" t="s">
        <v>620</v>
      </c>
      <c r="K120" t="s">
        <v>21</v>
      </c>
      <c r="O120" t="s">
        <v>43</v>
      </c>
      <c r="P120" t="s">
        <v>44</v>
      </c>
    </row>
    <row r="121" spans="1:16">
      <c r="A121" t="s">
        <v>2062</v>
      </c>
      <c r="B121" t="s">
        <v>2063</v>
      </c>
      <c r="C121" s="1">
        <v>44388</v>
      </c>
      <c r="D121">
        <v>59</v>
      </c>
      <c r="E121" t="s">
        <v>841</v>
      </c>
      <c r="F121" t="s">
        <v>97</v>
      </c>
      <c r="K121" t="s">
        <v>21</v>
      </c>
      <c r="O121" t="s">
        <v>43</v>
      </c>
      <c r="P121" t="s">
        <v>44</v>
      </c>
    </row>
    <row r="122" spans="1:16">
      <c r="A122" t="s">
        <v>2064</v>
      </c>
      <c r="B122" t="s">
        <v>2065</v>
      </c>
      <c r="C122" s="1">
        <v>44389</v>
      </c>
      <c r="D122">
        <v>62</v>
      </c>
      <c r="E122" t="s">
        <v>33</v>
      </c>
      <c r="F122" t="s">
        <v>2066</v>
      </c>
      <c r="K122" t="s">
        <v>21</v>
      </c>
      <c r="L122" t="s">
        <v>22</v>
      </c>
      <c r="M122" t="s">
        <v>369</v>
      </c>
      <c r="N122" t="s">
        <v>44</v>
      </c>
      <c r="O122" t="s">
        <v>369</v>
      </c>
      <c r="P122" t="s">
        <v>51</v>
      </c>
    </row>
    <row r="123" spans="1:16">
      <c r="A123" t="s">
        <v>2067</v>
      </c>
      <c r="B123" t="s">
        <v>2068</v>
      </c>
      <c r="C123" s="1">
        <v>44389</v>
      </c>
      <c r="D123">
        <v>43</v>
      </c>
      <c r="E123" t="s">
        <v>18</v>
      </c>
      <c r="F123" t="s">
        <v>97</v>
      </c>
      <c r="G123" t="s">
        <v>620</v>
      </c>
      <c r="J123" t="s">
        <v>1994</v>
      </c>
      <c r="K123" t="s">
        <v>21</v>
      </c>
      <c r="M123" t="s">
        <v>250</v>
      </c>
      <c r="N123" t="s">
        <v>30</v>
      </c>
      <c r="O123" t="s">
        <v>43</v>
      </c>
      <c r="P123" t="s">
        <v>44</v>
      </c>
    </row>
    <row r="124" spans="1:16">
      <c r="A124" t="s">
        <v>2069</v>
      </c>
      <c r="B124" t="s">
        <v>2070</v>
      </c>
      <c r="C124" s="1">
        <v>44389</v>
      </c>
      <c r="D124">
        <v>64</v>
      </c>
      <c r="E124" t="s">
        <v>33</v>
      </c>
      <c r="F124" t="s">
        <v>1672</v>
      </c>
      <c r="G124" t="s">
        <v>2071</v>
      </c>
      <c r="K124" t="s">
        <v>21</v>
      </c>
      <c r="N124" t="s">
        <v>30</v>
      </c>
      <c r="P124" t="s">
        <v>30</v>
      </c>
    </row>
    <row r="125" spans="1:16">
      <c r="A125" t="s">
        <v>2072</v>
      </c>
      <c r="B125" t="s">
        <v>2073</v>
      </c>
      <c r="C125" s="1">
        <v>44389</v>
      </c>
      <c r="D125">
        <v>74</v>
      </c>
      <c r="E125" t="s">
        <v>33</v>
      </c>
      <c r="F125" t="s">
        <v>54</v>
      </c>
      <c r="J125" t="s">
        <v>281</v>
      </c>
      <c r="K125" t="s">
        <v>21</v>
      </c>
      <c r="L125" t="s">
        <v>36</v>
      </c>
      <c r="M125" t="s">
        <v>905</v>
      </c>
      <c r="N125" t="s">
        <v>30</v>
      </c>
      <c r="O125" t="s">
        <v>905</v>
      </c>
      <c r="P125" t="s">
        <v>30</v>
      </c>
    </row>
    <row r="126" spans="1:16">
      <c r="A126" t="s">
        <v>2074</v>
      </c>
      <c r="B126" t="s">
        <v>2075</v>
      </c>
      <c r="C126" s="1">
        <v>44389</v>
      </c>
      <c r="D126">
        <v>33</v>
      </c>
      <c r="E126" t="s">
        <v>33</v>
      </c>
      <c r="F126" t="s">
        <v>2076</v>
      </c>
      <c r="J126" t="s">
        <v>97</v>
      </c>
      <c r="K126" t="s">
        <v>21</v>
      </c>
      <c r="M126" t="s">
        <v>2077</v>
      </c>
      <c r="N126" t="s">
        <v>30</v>
      </c>
      <c r="O126" t="s">
        <v>50</v>
      </c>
      <c r="P126" t="s">
        <v>855</v>
      </c>
    </row>
    <row r="127" spans="1:16">
      <c r="A127" t="s">
        <v>2078</v>
      </c>
      <c r="B127" t="s">
        <v>2079</v>
      </c>
      <c r="C127" s="1">
        <v>44389</v>
      </c>
      <c r="D127">
        <v>75</v>
      </c>
      <c r="E127" t="s">
        <v>33</v>
      </c>
      <c r="F127" t="s">
        <v>120</v>
      </c>
      <c r="J127" t="s">
        <v>1215</v>
      </c>
      <c r="K127" t="s">
        <v>21</v>
      </c>
      <c r="L127" t="s">
        <v>36</v>
      </c>
      <c r="M127" t="s">
        <v>2080</v>
      </c>
      <c r="N127" t="s">
        <v>38</v>
      </c>
      <c r="O127" t="s">
        <v>2080</v>
      </c>
      <c r="P127" t="s">
        <v>38</v>
      </c>
    </row>
    <row r="128" spans="1:16">
      <c r="A128" t="s">
        <v>2081</v>
      </c>
      <c r="B128" t="s">
        <v>2082</v>
      </c>
      <c r="C128" s="1">
        <v>44389</v>
      </c>
      <c r="D128">
        <v>63</v>
      </c>
      <c r="E128" t="s">
        <v>33</v>
      </c>
      <c r="F128" t="s">
        <v>339</v>
      </c>
      <c r="J128" t="s">
        <v>54</v>
      </c>
      <c r="K128" t="s">
        <v>21</v>
      </c>
      <c r="M128" t="s">
        <v>2083</v>
      </c>
      <c r="N128" t="s">
        <v>30</v>
      </c>
      <c r="O128" t="s">
        <v>2083</v>
      </c>
      <c r="P128" t="s">
        <v>30</v>
      </c>
    </row>
    <row r="129" spans="1:16">
      <c r="A129" t="s">
        <v>2084</v>
      </c>
      <c r="B129" t="s">
        <v>2085</v>
      </c>
      <c r="C129" s="1">
        <v>44389</v>
      </c>
      <c r="D129">
        <v>48</v>
      </c>
      <c r="E129" t="s">
        <v>33</v>
      </c>
      <c r="F129" t="s">
        <v>34</v>
      </c>
      <c r="J129" t="s">
        <v>54</v>
      </c>
      <c r="K129" t="s">
        <v>21</v>
      </c>
      <c r="M129" t="s">
        <v>2086</v>
      </c>
      <c r="N129" t="s">
        <v>30</v>
      </c>
      <c r="O129" t="s">
        <v>2086</v>
      </c>
      <c r="P129" t="s">
        <v>30</v>
      </c>
    </row>
    <row r="130" spans="1:16">
      <c r="A130" t="s">
        <v>2087</v>
      </c>
      <c r="B130" t="s">
        <v>2088</v>
      </c>
      <c r="C130" s="1">
        <v>44389</v>
      </c>
      <c r="D130">
        <v>47</v>
      </c>
      <c r="E130" t="s">
        <v>27</v>
      </c>
      <c r="F130" t="s">
        <v>339</v>
      </c>
      <c r="J130" t="s">
        <v>97</v>
      </c>
      <c r="K130" t="s">
        <v>21</v>
      </c>
      <c r="L130" t="s">
        <v>36</v>
      </c>
      <c r="M130" t="s">
        <v>442</v>
      </c>
      <c r="N130" t="s">
        <v>30</v>
      </c>
      <c r="O130" t="s">
        <v>50</v>
      </c>
      <c r="P130" t="s">
        <v>44</v>
      </c>
    </row>
    <row r="131" spans="1:16">
      <c r="A131" t="s">
        <v>2089</v>
      </c>
      <c r="B131" t="s">
        <v>2090</v>
      </c>
      <c r="C131" s="1">
        <v>44389</v>
      </c>
      <c r="D131">
        <v>56</v>
      </c>
      <c r="E131" t="s">
        <v>33</v>
      </c>
      <c r="F131" t="s">
        <v>339</v>
      </c>
      <c r="J131" t="s">
        <v>97</v>
      </c>
      <c r="K131" t="s">
        <v>21</v>
      </c>
      <c r="M131" t="s">
        <v>2091</v>
      </c>
      <c r="N131" t="s">
        <v>30</v>
      </c>
      <c r="O131" t="s">
        <v>1330</v>
      </c>
      <c r="P131" t="s">
        <v>44</v>
      </c>
    </row>
    <row r="132" spans="1:16">
      <c r="A132" t="s">
        <v>2092</v>
      </c>
      <c r="B132" t="s">
        <v>2093</v>
      </c>
      <c r="C132" s="1">
        <v>44389</v>
      </c>
      <c r="D132">
        <v>38</v>
      </c>
      <c r="E132" t="s">
        <v>27</v>
      </c>
      <c r="F132" t="s">
        <v>339</v>
      </c>
      <c r="J132" t="s">
        <v>97</v>
      </c>
      <c r="K132" t="s">
        <v>21</v>
      </c>
      <c r="M132" t="s">
        <v>2094</v>
      </c>
      <c r="N132" t="s">
        <v>30</v>
      </c>
      <c r="O132" t="s">
        <v>43</v>
      </c>
      <c r="P132" t="s">
        <v>44</v>
      </c>
    </row>
    <row r="133" spans="1:16">
      <c r="A133" t="s">
        <v>2095</v>
      </c>
      <c r="B133" t="s">
        <v>2096</v>
      </c>
      <c r="C133" s="1">
        <v>44388</v>
      </c>
      <c r="D133">
        <v>36</v>
      </c>
      <c r="E133" t="s">
        <v>33</v>
      </c>
      <c r="F133" t="s">
        <v>2097</v>
      </c>
      <c r="G133" t="s">
        <v>2098</v>
      </c>
      <c r="H133" t="s">
        <v>120</v>
      </c>
      <c r="K133" t="s">
        <v>21</v>
      </c>
      <c r="L133" t="s">
        <v>36</v>
      </c>
      <c r="O133" t="s">
        <v>1159</v>
      </c>
      <c r="P133" t="s">
        <v>51</v>
      </c>
    </row>
    <row r="134" spans="1:16">
      <c r="A134" t="s">
        <v>2099</v>
      </c>
      <c r="B134" t="s">
        <v>2100</v>
      </c>
      <c r="C134" s="1">
        <v>44389</v>
      </c>
      <c r="D134">
        <v>58</v>
      </c>
      <c r="E134" t="s">
        <v>33</v>
      </c>
      <c r="F134" t="s">
        <v>34</v>
      </c>
      <c r="J134" t="s">
        <v>54</v>
      </c>
      <c r="K134" t="s">
        <v>21</v>
      </c>
      <c r="N134" t="s">
        <v>30</v>
      </c>
      <c r="O134" t="s">
        <v>99</v>
      </c>
      <c r="P134" t="s">
        <v>44</v>
      </c>
    </row>
    <row r="135" spans="1:16">
      <c r="A135" t="s">
        <v>2101</v>
      </c>
      <c r="B135" t="s">
        <v>2102</v>
      </c>
      <c r="C135" s="1">
        <v>44389</v>
      </c>
      <c r="D135">
        <v>37</v>
      </c>
      <c r="E135" t="s">
        <v>33</v>
      </c>
      <c r="F135" t="s">
        <v>97</v>
      </c>
      <c r="G135" t="s">
        <v>620</v>
      </c>
      <c r="J135" t="s">
        <v>1257</v>
      </c>
      <c r="K135" t="s">
        <v>21</v>
      </c>
      <c r="M135" t="s">
        <v>2103</v>
      </c>
      <c r="N135" t="s">
        <v>30</v>
      </c>
      <c r="O135" t="s">
        <v>99</v>
      </c>
      <c r="P135" t="s">
        <v>44</v>
      </c>
    </row>
    <row r="136" spans="1:16">
      <c r="A136" t="s">
        <v>2104</v>
      </c>
      <c r="B136" t="s">
        <v>2105</v>
      </c>
      <c r="C136" s="1">
        <v>44390</v>
      </c>
      <c r="D136">
        <v>48</v>
      </c>
      <c r="E136" t="s">
        <v>33</v>
      </c>
      <c r="F136" t="s">
        <v>2106</v>
      </c>
      <c r="K136" t="s">
        <v>21</v>
      </c>
      <c r="M136" t="s">
        <v>250</v>
      </c>
      <c r="N136" t="s">
        <v>132</v>
      </c>
      <c r="O136" t="s">
        <v>116</v>
      </c>
      <c r="P136" t="s">
        <v>51</v>
      </c>
    </row>
    <row r="137" spans="1:16">
      <c r="A137" t="s">
        <v>2107</v>
      </c>
      <c r="B137" t="s">
        <v>2108</v>
      </c>
      <c r="C137" s="1">
        <v>44390</v>
      </c>
      <c r="D137">
        <v>59</v>
      </c>
      <c r="E137" t="s">
        <v>27</v>
      </c>
      <c r="F137" t="s">
        <v>172</v>
      </c>
      <c r="J137" t="s">
        <v>54</v>
      </c>
      <c r="K137" t="s">
        <v>21</v>
      </c>
      <c r="L137" t="s">
        <v>36</v>
      </c>
      <c r="M137" t="s">
        <v>2109</v>
      </c>
      <c r="N137" t="s">
        <v>38</v>
      </c>
      <c r="O137" t="s">
        <v>2109</v>
      </c>
      <c r="P137" t="s">
        <v>38</v>
      </c>
    </row>
    <row r="138" spans="1:16">
      <c r="A138" t="s">
        <v>2110</v>
      </c>
      <c r="B138" t="s">
        <v>2111</v>
      </c>
      <c r="C138" s="1">
        <v>44390</v>
      </c>
      <c r="D138">
        <v>50</v>
      </c>
      <c r="E138" t="s">
        <v>27</v>
      </c>
      <c r="F138" t="s">
        <v>172</v>
      </c>
      <c r="J138" t="s">
        <v>54</v>
      </c>
      <c r="K138" t="s">
        <v>21</v>
      </c>
      <c r="M138" t="s">
        <v>2112</v>
      </c>
      <c r="N138" t="s">
        <v>65</v>
      </c>
      <c r="O138" t="s">
        <v>2112</v>
      </c>
      <c r="P138" t="s">
        <v>65</v>
      </c>
    </row>
    <row r="139" spans="1:16">
      <c r="A139" t="s">
        <v>2113</v>
      </c>
      <c r="B139" t="s">
        <v>2114</v>
      </c>
      <c r="C139" s="1">
        <v>44390</v>
      </c>
      <c r="D139">
        <v>58</v>
      </c>
      <c r="E139" t="s">
        <v>33</v>
      </c>
      <c r="F139" t="s">
        <v>172</v>
      </c>
      <c r="J139" t="s">
        <v>54</v>
      </c>
      <c r="K139" t="s">
        <v>21</v>
      </c>
      <c r="L139" t="s">
        <v>36</v>
      </c>
      <c r="M139" t="s">
        <v>2115</v>
      </c>
      <c r="N139" t="s">
        <v>38</v>
      </c>
      <c r="O139" t="s">
        <v>2115</v>
      </c>
      <c r="P139" t="s">
        <v>38</v>
      </c>
    </row>
    <row r="140" spans="1:16">
      <c r="A140" t="s">
        <v>2116</v>
      </c>
      <c r="B140" t="s">
        <v>2117</v>
      </c>
      <c r="C140" s="1">
        <v>44390</v>
      </c>
      <c r="D140">
        <v>62</v>
      </c>
      <c r="E140" t="s">
        <v>33</v>
      </c>
      <c r="F140" t="s">
        <v>2055</v>
      </c>
      <c r="K140" t="s">
        <v>21</v>
      </c>
      <c r="L140" t="s">
        <v>36</v>
      </c>
      <c r="M140" t="s">
        <v>2118</v>
      </c>
      <c r="N140" t="s">
        <v>38</v>
      </c>
      <c r="O140" t="s">
        <v>2118</v>
      </c>
      <c r="P140" t="s">
        <v>38</v>
      </c>
    </row>
    <row r="141" spans="1:16">
      <c r="A141" t="s">
        <v>2119</v>
      </c>
      <c r="B141" t="s">
        <v>2120</v>
      </c>
      <c r="C141" s="1">
        <v>44390</v>
      </c>
      <c r="D141">
        <v>33</v>
      </c>
      <c r="E141" t="s">
        <v>18</v>
      </c>
      <c r="F141" t="s">
        <v>97</v>
      </c>
      <c r="J141" t="s">
        <v>2121</v>
      </c>
      <c r="K141" t="s">
        <v>21</v>
      </c>
      <c r="N141" t="s">
        <v>30</v>
      </c>
      <c r="O141" t="s">
        <v>50</v>
      </c>
      <c r="P141" t="s">
        <v>51</v>
      </c>
    </row>
    <row r="142" spans="1:16">
      <c r="A142" t="s">
        <v>2122</v>
      </c>
      <c r="B142" t="s">
        <v>2123</v>
      </c>
      <c r="C142" s="1">
        <v>44390</v>
      </c>
      <c r="D142">
        <v>68</v>
      </c>
      <c r="E142" t="s">
        <v>33</v>
      </c>
      <c r="F142" t="s">
        <v>54</v>
      </c>
      <c r="K142" t="s">
        <v>21</v>
      </c>
      <c r="N142" t="s">
        <v>30</v>
      </c>
      <c r="P142" t="s">
        <v>30</v>
      </c>
    </row>
    <row r="143" spans="1:16">
      <c r="A143" t="s">
        <v>2124</v>
      </c>
      <c r="B143" t="s">
        <v>2125</v>
      </c>
      <c r="C143" s="1">
        <v>44390</v>
      </c>
      <c r="D143">
        <v>72</v>
      </c>
      <c r="E143" t="s">
        <v>18</v>
      </c>
      <c r="F143" t="s">
        <v>54</v>
      </c>
      <c r="J143" t="s">
        <v>181</v>
      </c>
      <c r="K143" t="s">
        <v>21</v>
      </c>
      <c r="L143" t="s">
        <v>36</v>
      </c>
      <c r="M143" t="s">
        <v>2126</v>
      </c>
      <c r="N143" t="s">
        <v>38</v>
      </c>
      <c r="O143" t="s">
        <v>2126</v>
      </c>
      <c r="P143" t="s">
        <v>38</v>
      </c>
    </row>
    <row r="144" spans="1:16">
      <c r="A144" t="s">
        <v>2127</v>
      </c>
      <c r="B144" t="s">
        <v>2128</v>
      </c>
      <c r="C144" s="1">
        <v>44390</v>
      </c>
      <c r="D144">
        <v>50</v>
      </c>
      <c r="E144" t="s">
        <v>18</v>
      </c>
      <c r="F144" t="s">
        <v>1028</v>
      </c>
      <c r="J144" t="s">
        <v>54</v>
      </c>
      <c r="K144" t="s">
        <v>21</v>
      </c>
      <c r="M144" t="s">
        <v>2129</v>
      </c>
      <c r="N144" t="s">
        <v>30</v>
      </c>
      <c r="O144" t="s">
        <v>2129</v>
      </c>
      <c r="P144" t="s">
        <v>30</v>
      </c>
    </row>
    <row r="145" spans="1:16">
      <c r="A145" t="s">
        <v>2130</v>
      </c>
      <c r="B145" t="s">
        <v>2131</v>
      </c>
      <c r="C145" s="1">
        <v>44390</v>
      </c>
      <c r="D145">
        <v>63</v>
      </c>
      <c r="E145" t="s">
        <v>27</v>
      </c>
      <c r="F145" t="s">
        <v>172</v>
      </c>
      <c r="J145" t="s">
        <v>54</v>
      </c>
      <c r="K145" t="s">
        <v>21</v>
      </c>
      <c r="L145" t="s">
        <v>36</v>
      </c>
      <c r="M145" t="s">
        <v>2132</v>
      </c>
      <c r="N145" t="s">
        <v>38</v>
      </c>
      <c r="O145" t="s">
        <v>2132</v>
      </c>
      <c r="P145" t="s">
        <v>38</v>
      </c>
    </row>
    <row r="146" spans="1:16">
      <c r="A146" t="s">
        <v>2133</v>
      </c>
      <c r="B146" t="s">
        <v>2134</v>
      </c>
      <c r="C146" s="1">
        <v>44390</v>
      </c>
      <c r="D146">
        <v>60</v>
      </c>
      <c r="E146" t="s">
        <v>18</v>
      </c>
      <c r="F146" t="s">
        <v>54</v>
      </c>
      <c r="J146" t="s">
        <v>503</v>
      </c>
      <c r="K146" t="s">
        <v>21</v>
      </c>
      <c r="M146" t="s">
        <v>2135</v>
      </c>
      <c r="N146" t="s">
        <v>30</v>
      </c>
      <c r="O146" t="s">
        <v>2135</v>
      </c>
      <c r="P146" t="s">
        <v>30</v>
      </c>
    </row>
    <row r="147" spans="1:16">
      <c r="A147" t="s">
        <v>2136</v>
      </c>
      <c r="B147" t="s">
        <v>2137</v>
      </c>
      <c r="C147" s="1">
        <v>44390</v>
      </c>
      <c r="D147">
        <v>62</v>
      </c>
      <c r="E147" t="s">
        <v>33</v>
      </c>
      <c r="F147" t="s">
        <v>97</v>
      </c>
      <c r="J147" t="s">
        <v>2138</v>
      </c>
      <c r="K147" t="s">
        <v>21</v>
      </c>
      <c r="O147" t="s">
        <v>50</v>
      </c>
      <c r="P147" t="s">
        <v>228</v>
      </c>
    </row>
    <row r="148" spans="1:16">
      <c r="A148" t="s">
        <v>2139</v>
      </c>
      <c r="B148" t="s">
        <v>2140</v>
      </c>
      <c r="C148" s="1">
        <v>44390</v>
      </c>
      <c r="D148">
        <v>45</v>
      </c>
      <c r="E148" t="s">
        <v>33</v>
      </c>
      <c r="F148" t="s">
        <v>1028</v>
      </c>
      <c r="J148" t="s">
        <v>54</v>
      </c>
      <c r="K148" t="s">
        <v>21</v>
      </c>
      <c r="M148" t="s">
        <v>2141</v>
      </c>
      <c r="N148" t="s">
        <v>30</v>
      </c>
      <c r="O148" t="s">
        <v>127</v>
      </c>
      <c r="P148" t="s">
        <v>51</v>
      </c>
    </row>
    <row r="149" spans="1:16">
      <c r="A149" t="s">
        <v>2142</v>
      </c>
      <c r="B149" t="s">
        <v>2143</v>
      </c>
      <c r="C149" s="1">
        <v>44390</v>
      </c>
      <c r="D149">
        <v>29</v>
      </c>
      <c r="E149" t="s">
        <v>33</v>
      </c>
      <c r="F149" t="s">
        <v>97</v>
      </c>
      <c r="G149" t="s">
        <v>620</v>
      </c>
      <c r="J149" t="s">
        <v>1994</v>
      </c>
      <c r="K149" t="s">
        <v>21</v>
      </c>
      <c r="M149" t="s">
        <v>250</v>
      </c>
      <c r="N149" t="s">
        <v>132</v>
      </c>
      <c r="O149" t="s">
        <v>99</v>
      </c>
      <c r="P149" t="s">
        <v>51</v>
      </c>
    </row>
    <row r="150" spans="1:16">
      <c r="A150" t="s">
        <v>2144</v>
      </c>
      <c r="B150" t="s">
        <v>2145</v>
      </c>
      <c r="C150" s="1">
        <v>44391</v>
      </c>
      <c r="D150">
        <v>53</v>
      </c>
      <c r="E150" t="s">
        <v>18</v>
      </c>
      <c r="F150" t="s">
        <v>2106</v>
      </c>
      <c r="J150" t="s">
        <v>2146</v>
      </c>
      <c r="K150" t="s">
        <v>21</v>
      </c>
      <c r="M150" t="s">
        <v>2147</v>
      </c>
      <c r="N150" t="s">
        <v>65</v>
      </c>
      <c r="O150" t="s">
        <v>2147</v>
      </c>
      <c r="P150" t="s">
        <v>65</v>
      </c>
    </row>
    <row r="151" spans="1:16">
      <c r="A151" t="s">
        <v>2148</v>
      </c>
      <c r="B151" t="s">
        <v>2149</v>
      </c>
      <c r="C151" s="1">
        <v>44391</v>
      </c>
      <c r="D151">
        <v>64</v>
      </c>
      <c r="E151" t="s">
        <v>33</v>
      </c>
      <c r="F151" t="s">
        <v>54</v>
      </c>
      <c r="J151" t="s">
        <v>793</v>
      </c>
      <c r="K151" t="s">
        <v>21</v>
      </c>
      <c r="L151" t="s">
        <v>36</v>
      </c>
      <c r="M151" t="s">
        <v>2150</v>
      </c>
      <c r="N151" t="s">
        <v>38</v>
      </c>
      <c r="O151" t="s">
        <v>2150</v>
      </c>
      <c r="P151" t="s">
        <v>38</v>
      </c>
    </row>
    <row r="152" spans="1:16">
      <c r="A152" t="s">
        <v>2151</v>
      </c>
      <c r="B152" t="s">
        <v>2152</v>
      </c>
      <c r="C152" s="1">
        <v>44391</v>
      </c>
      <c r="D152">
        <v>60</v>
      </c>
      <c r="E152" t="s">
        <v>33</v>
      </c>
      <c r="F152" t="s">
        <v>2153</v>
      </c>
      <c r="J152" t="s">
        <v>54</v>
      </c>
      <c r="K152" t="s">
        <v>21</v>
      </c>
      <c r="M152" t="s">
        <v>2154</v>
      </c>
      <c r="N152" t="s">
        <v>30</v>
      </c>
      <c r="O152" t="s">
        <v>2154</v>
      </c>
      <c r="P152" t="s">
        <v>30</v>
      </c>
    </row>
    <row r="153" spans="1:16">
      <c r="A153" t="s">
        <v>2155</v>
      </c>
      <c r="B153" t="s">
        <v>2156</v>
      </c>
      <c r="C153" s="1">
        <v>44391</v>
      </c>
      <c r="D153">
        <v>61</v>
      </c>
      <c r="E153" t="s">
        <v>27</v>
      </c>
      <c r="F153" t="s">
        <v>54</v>
      </c>
      <c r="J153" t="s">
        <v>2157</v>
      </c>
      <c r="K153" t="s">
        <v>21</v>
      </c>
      <c r="M153" t="s">
        <v>2158</v>
      </c>
      <c r="N153" t="s">
        <v>30</v>
      </c>
      <c r="O153" t="s">
        <v>2158</v>
      </c>
      <c r="P153" t="s">
        <v>30</v>
      </c>
    </row>
    <row r="154" spans="1:16">
      <c r="A154" t="s">
        <v>2159</v>
      </c>
      <c r="B154" t="s">
        <v>2160</v>
      </c>
      <c r="C154" s="1">
        <v>44391</v>
      </c>
      <c r="D154">
        <v>41</v>
      </c>
      <c r="E154" t="s">
        <v>18</v>
      </c>
      <c r="F154" t="s">
        <v>97</v>
      </c>
      <c r="J154" t="s">
        <v>2161</v>
      </c>
      <c r="K154" t="s">
        <v>21</v>
      </c>
      <c r="L154" t="s">
        <v>36</v>
      </c>
      <c r="M154" t="s">
        <v>2162</v>
      </c>
      <c r="N154" t="s">
        <v>38</v>
      </c>
      <c r="O154" t="s">
        <v>127</v>
      </c>
      <c r="P154" t="s">
        <v>51</v>
      </c>
    </row>
    <row r="155" spans="1:16">
      <c r="A155" t="s">
        <v>2163</v>
      </c>
      <c r="B155" t="s">
        <v>2164</v>
      </c>
      <c r="C155" s="1">
        <v>44391</v>
      </c>
      <c r="D155">
        <v>64</v>
      </c>
      <c r="E155" t="s">
        <v>33</v>
      </c>
      <c r="F155" t="s">
        <v>63</v>
      </c>
      <c r="J155" t="s">
        <v>54</v>
      </c>
      <c r="K155" t="s">
        <v>21</v>
      </c>
      <c r="M155" t="s">
        <v>2165</v>
      </c>
      <c r="N155" t="s">
        <v>30</v>
      </c>
      <c r="O155" t="s">
        <v>2165</v>
      </c>
      <c r="P155" t="s">
        <v>30</v>
      </c>
    </row>
    <row r="156" spans="1:16">
      <c r="A156" t="s">
        <v>2166</v>
      </c>
      <c r="B156" t="s">
        <v>2167</v>
      </c>
      <c r="C156" s="1">
        <v>44389</v>
      </c>
      <c r="D156">
        <v>43</v>
      </c>
      <c r="E156" t="s">
        <v>33</v>
      </c>
      <c r="F156" t="s">
        <v>97</v>
      </c>
      <c r="J156" t="s">
        <v>2168</v>
      </c>
      <c r="K156" t="s">
        <v>21</v>
      </c>
      <c r="O156" t="s">
        <v>150</v>
      </c>
      <c r="P156" t="s">
        <v>51</v>
      </c>
    </row>
    <row r="157" spans="1:16">
      <c r="A157" t="s">
        <v>2169</v>
      </c>
      <c r="B157" t="s">
        <v>2170</v>
      </c>
      <c r="C157" s="1">
        <v>44392</v>
      </c>
      <c r="D157">
        <v>65</v>
      </c>
      <c r="E157" t="s">
        <v>18</v>
      </c>
      <c r="F157" t="s">
        <v>120</v>
      </c>
      <c r="J157" t="s">
        <v>1215</v>
      </c>
      <c r="K157" t="s">
        <v>21</v>
      </c>
      <c r="L157" t="s">
        <v>36</v>
      </c>
      <c r="M157" t="s">
        <v>2171</v>
      </c>
      <c r="N157" t="s">
        <v>38</v>
      </c>
      <c r="O157" t="s">
        <v>2171</v>
      </c>
      <c r="P157" t="s">
        <v>38</v>
      </c>
    </row>
    <row r="158" spans="1:16">
      <c r="A158" t="s">
        <v>2172</v>
      </c>
      <c r="B158" t="s">
        <v>2173</v>
      </c>
      <c r="C158" s="1">
        <v>44392</v>
      </c>
      <c r="D158">
        <v>50</v>
      </c>
      <c r="E158" t="s">
        <v>27</v>
      </c>
      <c r="F158" t="s">
        <v>172</v>
      </c>
      <c r="J158" t="s">
        <v>54</v>
      </c>
      <c r="K158" t="s">
        <v>21</v>
      </c>
      <c r="M158" t="s">
        <v>2174</v>
      </c>
      <c r="N158" t="s">
        <v>30</v>
      </c>
      <c r="O158" t="s">
        <v>2174</v>
      </c>
      <c r="P158" t="s">
        <v>30</v>
      </c>
    </row>
    <row r="159" spans="1:16">
      <c r="A159" t="s">
        <v>2175</v>
      </c>
      <c r="B159" t="s">
        <v>2176</v>
      </c>
      <c r="C159" s="1">
        <v>44393</v>
      </c>
      <c r="D159">
        <v>65</v>
      </c>
      <c r="E159" t="s">
        <v>33</v>
      </c>
      <c r="F159" t="s">
        <v>54</v>
      </c>
      <c r="J159" t="s">
        <v>2177</v>
      </c>
      <c r="K159" t="s">
        <v>21</v>
      </c>
      <c r="L159" t="s">
        <v>36</v>
      </c>
      <c r="M159" t="s">
        <v>2178</v>
      </c>
      <c r="N159" t="s">
        <v>38</v>
      </c>
      <c r="O159" t="s">
        <v>2178</v>
      </c>
      <c r="P159" t="s">
        <v>38</v>
      </c>
    </row>
    <row r="160" spans="1:16">
      <c r="A160" t="s">
        <v>2179</v>
      </c>
      <c r="B160" t="s">
        <v>2180</v>
      </c>
      <c r="C160" s="1">
        <v>44393</v>
      </c>
      <c r="D160">
        <v>64</v>
      </c>
      <c r="E160" t="s">
        <v>18</v>
      </c>
      <c r="F160" t="s">
        <v>34</v>
      </c>
      <c r="J160" t="s">
        <v>54</v>
      </c>
      <c r="K160" t="s">
        <v>21</v>
      </c>
      <c r="M160" t="s">
        <v>2181</v>
      </c>
      <c r="N160" t="s">
        <v>30</v>
      </c>
      <c r="O160" t="s">
        <v>2181</v>
      </c>
      <c r="P160" t="s">
        <v>30</v>
      </c>
    </row>
    <row r="161" spans="1:16">
      <c r="A161" t="s">
        <v>2182</v>
      </c>
      <c r="B161" t="s">
        <v>2183</v>
      </c>
      <c r="C161" s="1">
        <v>44393</v>
      </c>
      <c r="D161">
        <v>69</v>
      </c>
      <c r="E161" t="s">
        <v>33</v>
      </c>
      <c r="F161" t="s">
        <v>54</v>
      </c>
      <c r="J161" t="s">
        <v>1792</v>
      </c>
      <c r="K161" t="s">
        <v>21</v>
      </c>
      <c r="L161" t="s">
        <v>36</v>
      </c>
      <c r="M161" t="s">
        <v>2184</v>
      </c>
      <c r="N161" t="s">
        <v>38</v>
      </c>
      <c r="O161" t="s">
        <v>2184</v>
      </c>
      <c r="P161" t="s">
        <v>38</v>
      </c>
    </row>
    <row r="162" spans="1:16">
      <c r="A162" t="s">
        <v>2185</v>
      </c>
      <c r="B162" t="s">
        <v>2186</v>
      </c>
      <c r="C162" s="1">
        <v>44393</v>
      </c>
      <c r="D162">
        <v>67</v>
      </c>
      <c r="E162" t="s">
        <v>33</v>
      </c>
      <c r="F162" t="s">
        <v>54</v>
      </c>
      <c r="J162" t="s">
        <v>28</v>
      </c>
      <c r="K162" t="s">
        <v>21</v>
      </c>
      <c r="L162" t="s">
        <v>36</v>
      </c>
      <c r="M162" t="s">
        <v>2187</v>
      </c>
      <c r="N162" t="s">
        <v>38</v>
      </c>
      <c r="O162" t="s">
        <v>2187</v>
      </c>
      <c r="P162" t="s">
        <v>38</v>
      </c>
    </row>
    <row r="163" spans="1:16">
      <c r="A163" t="s">
        <v>2188</v>
      </c>
      <c r="B163" t="s">
        <v>2189</v>
      </c>
      <c r="C163" s="1">
        <v>44393</v>
      </c>
      <c r="D163">
        <v>33</v>
      </c>
      <c r="E163" t="s">
        <v>33</v>
      </c>
      <c r="F163" t="s">
        <v>97</v>
      </c>
      <c r="J163" t="s">
        <v>503</v>
      </c>
      <c r="K163" t="s">
        <v>21</v>
      </c>
      <c r="M163" t="s">
        <v>2190</v>
      </c>
      <c r="N163" t="s">
        <v>30</v>
      </c>
      <c r="O163" t="s">
        <v>127</v>
      </c>
      <c r="P163" t="s">
        <v>44</v>
      </c>
    </row>
    <row r="164" spans="1:16">
      <c r="A164" t="s">
        <v>2191</v>
      </c>
      <c r="B164" t="s">
        <v>2192</v>
      </c>
      <c r="C164" s="1">
        <v>44393</v>
      </c>
      <c r="D164">
        <v>43</v>
      </c>
      <c r="E164" t="s">
        <v>33</v>
      </c>
      <c r="F164" t="s">
        <v>172</v>
      </c>
      <c r="J164" t="s">
        <v>54</v>
      </c>
      <c r="K164" t="s">
        <v>21</v>
      </c>
      <c r="L164" t="s">
        <v>36</v>
      </c>
      <c r="M164" t="s">
        <v>2193</v>
      </c>
      <c r="N164" t="s">
        <v>38</v>
      </c>
      <c r="O164" t="s">
        <v>2193</v>
      </c>
      <c r="P164" t="s">
        <v>38</v>
      </c>
    </row>
    <row r="165" spans="1:16">
      <c r="A165" t="s">
        <v>2194</v>
      </c>
      <c r="B165" t="s">
        <v>2195</v>
      </c>
      <c r="C165" s="1">
        <v>44393</v>
      </c>
      <c r="D165">
        <v>31</v>
      </c>
      <c r="E165" t="s">
        <v>33</v>
      </c>
      <c r="F165" t="s">
        <v>2196</v>
      </c>
      <c r="J165" t="s">
        <v>2197</v>
      </c>
      <c r="K165" t="s">
        <v>21</v>
      </c>
      <c r="L165" t="s">
        <v>36</v>
      </c>
      <c r="M165" t="s">
        <v>2198</v>
      </c>
      <c r="N165" t="s">
        <v>38</v>
      </c>
      <c r="O165" t="s">
        <v>2198</v>
      </c>
      <c r="P165" t="s">
        <v>38</v>
      </c>
    </row>
    <row r="166" spans="1:16">
      <c r="A166" t="s">
        <v>2199</v>
      </c>
      <c r="B166" t="s">
        <v>2200</v>
      </c>
      <c r="C166" s="1">
        <v>44394</v>
      </c>
      <c r="D166">
        <v>48</v>
      </c>
      <c r="E166" t="s">
        <v>33</v>
      </c>
      <c r="F166" t="s">
        <v>172</v>
      </c>
      <c r="J166" t="s">
        <v>54</v>
      </c>
      <c r="K166" t="s">
        <v>21</v>
      </c>
      <c r="M166" t="s">
        <v>2201</v>
      </c>
      <c r="N166" t="s">
        <v>30</v>
      </c>
      <c r="O166" t="s">
        <v>2201</v>
      </c>
      <c r="P166" t="s">
        <v>30</v>
      </c>
    </row>
    <row r="167" spans="1:16">
      <c r="A167" t="s">
        <v>2202</v>
      </c>
      <c r="B167" t="s">
        <v>2203</v>
      </c>
      <c r="C167" s="1">
        <v>44397</v>
      </c>
      <c r="D167">
        <v>69</v>
      </c>
      <c r="E167" t="s">
        <v>112</v>
      </c>
      <c r="F167" t="s">
        <v>54</v>
      </c>
      <c r="J167" t="s">
        <v>1792</v>
      </c>
      <c r="K167" t="s">
        <v>21</v>
      </c>
      <c r="L167" t="s">
        <v>36</v>
      </c>
      <c r="M167" t="s">
        <v>2204</v>
      </c>
      <c r="N167" t="s">
        <v>38</v>
      </c>
      <c r="O167" t="s">
        <v>2204</v>
      </c>
      <c r="P167" t="s">
        <v>38</v>
      </c>
    </row>
    <row r="168" spans="1:16">
      <c r="A168" t="s">
        <v>2205</v>
      </c>
      <c r="B168" t="s">
        <v>2206</v>
      </c>
      <c r="C168" s="1">
        <v>44397</v>
      </c>
      <c r="D168">
        <v>82</v>
      </c>
      <c r="E168" t="s">
        <v>33</v>
      </c>
      <c r="F168" t="s">
        <v>54</v>
      </c>
      <c r="J168" t="s">
        <v>299</v>
      </c>
      <c r="K168" t="s">
        <v>21</v>
      </c>
      <c r="M168" t="s">
        <v>2207</v>
      </c>
      <c r="N168" t="s">
        <v>30</v>
      </c>
      <c r="O168" t="s">
        <v>2207</v>
      </c>
      <c r="P168" t="s">
        <v>30</v>
      </c>
    </row>
    <row r="169" spans="1:16">
      <c r="A169" t="s">
        <v>2208</v>
      </c>
      <c r="B169" t="s">
        <v>2209</v>
      </c>
      <c r="C169" s="1">
        <v>44388</v>
      </c>
      <c r="D169">
        <v>40</v>
      </c>
      <c r="E169" t="s">
        <v>18</v>
      </c>
      <c r="F169" t="s">
        <v>120</v>
      </c>
      <c r="K169" t="s">
        <v>21</v>
      </c>
      <c r="L169" t="s">
        <v>36</v>
      </c>
      <c r="O169" t="s">
        <v>127</v>
      </c>
      <c r="P169" t="s">
        <v>228</v>
      </c>
    </row>
    <row r="170" spans="1:16">
      <c r="A170" t="s">
        <v>2210</v>
      </c>
      <c r="B170" t="s">
        <v>2211</v>
      </c>
      <c r="C170" s="1">
        <v>44398</v>
      </c>
      <c r="D170">
        <v>81</v>
      </c>
      <c r="E170" t="s">
        <v>33</v>
      </c>
      <c r="F170" t="s">
        <v>54</v>
      </c>
      <c r="J170" t="s">
        <v>28</v>
      </c>
      <c r="K170" t="s">
        <v>21</v>
      </c>
      <c r="L170" t="s">
        <v>36</v>
      </c>
      <c r="M170" t="s">
        <v>2212</v>
      </c>
      <c r="N170" t="s">
        <v>38</v>
      </c>
      <c r="O170" t="s">
        <v>2212</v>
      </c>
      <c r="P170" t="s">
        <v>38</v>
      </c>
    </row>
    <row r="171" spans="1:16">
      <c r="A171" t="s">
        <v>2213</v>
      </c>
      <c r="B171" t="s">
        <v>2214</v>
      </c>
      <c r="C171" s="1">
        <v>44399</v>
      </c>
      <c r="D171">
        <v>66</v>
      </c>
      <c r="E171" t="s">
        <v>33</v>
      </c>
      <c r="F171" t="s">
        <v>54</v>
      </c>
      <c r="J171" t="s">
        <v>2215</v>
      </c>
      <c r="K171" t="s">
        <v>21</v>
      </c>
      <c r="M171" t="s">
        <v>2216</v>
      </c>
      <c r="N171" t="s">
        <v>30</v>
      </c>
      <c r="O171" t="s">
        <v>2216</v>
      </c>
      <c r="P171" t="s">
        <v>30</v>
      </c>
    </row>
    <row r="172" spans="1:16">
      <c r="A172" t="s">
        <v>2217</v>
      </c>
      <c r="B172" t="s">
        <v>2218</v>
      </c>
      <c r="C172" s="1">
        <v>44400</v>
      </c>
      <c r="D172">
        <v>63</v>
      </c>
      <c r="E172" t="s">
        <v>33</v>
      </c>
      <c r="F172" t="s">
        <v>54</v>
      </c>
      <c r="J172" t="s">
        <v>199</v>
      </c>
      <c r="K172" t="s">
        <v>21</v>
      </c>
      <c r="M172" t="s">
        <v>2219</v>
      </c>
      <c r="N172" t="s">
        <v>30</v>
      </c>
      <c r="O172" t="s">
        <v>2219</v>
      </c>
      <c r="P172" t="s">
        <v>30</v>
      </c>
    </row>
    <row r="173" spans="1:16">
      <c r="A173" t="s">
        <v>2220</v>
      </c>
      <c r="B173" t="s">
        <v>2221</v>
      </c>
      <c r="C173" s="1">
        <v>44400</v>
      </c>
      <c r="D173">
        <v>47</v>
      </c>
      <c r="E173" t="s">
        <v>18</v>
      </c>
      <c r="F173" t="s">
        <v>34</v>
      </c>
      <c r="J173" t="s">
        <v>282</v>
      </c>
      <c r="K173" t="s">
        <v>21</v>
      </c>
      <c r="L173" t="s">
        <v>36</v>
      </c>
      <c r="M173" t="s">
        <v>2222</v>
      </c>
      <c r="N173" t="s">
        <v>38</v>
      </c>
      <c r="O173" t="s">
        <v>2222</v>
      </c>
      <c r="P173" t="s">
        <v>38</v>
      </c>
    </row>
    <row r="174" spans="1:16">
      <c r="A174" t="s">
        <v>2223</v>
      </c>
      <c r="B174" t="s">
        <v>2224</v>
      </c>
      <c r="C174" s="1">
        <v>44400</v>
      </c>
      <c r="D174">
        <v>54</v>
      </c>
      <c r="E174" t="s">
        <v>18</v>
      </c>
      <c r="F174" t="s">
        <v>660</v>
      </c>
      <c r="K174" t="s">
        <v>21</v>
      </c>
      <c r="N174" t="s">
        <v>30</v>
      </c>
      <c r="O174" t="s">
        <v>43</v>
      </c>
      <c r="P174" t="s">
        <v>44</v>
      </c>
    </row>
    <row r="175" spans="1:16">
      <c r="A175" t="s">
        <v>2225</v>
      </c>
      <c r="B175" t="s">
        <v>2226</v>
      </c>
      <c r="C175" s="1">
        <v>44400</v>
      </c>
      <c r="D175">
        <v>68</v>
      </c>
      <c r="E175" t="s">
        <v>112</v>
      </c>
      <c r="F175" t="s">
        <v>54</v>
      </c>
      <c r="K175" t="s">
        <v>21</v>
      </c>
      <c r="L175" t="s">
        <v>36</v>
      </c>
      <c r="M175" t="s">
        <v>2227</v>
      </c>
      <c r="N175" t="s">
        <v>38</v>
      </c>
      <c r="O175" t="s">
        <v>2227</v>
      </c>
      <c r="P175" t="s">
        <v>38</v>
      </c>
    </row>
    <row r="176" spans="1:16">
      <c r="A176" t="s">
        <v>2228</v>
      </c>
      <c r="B176" t="s">
        <v>2229</v>
      </c>
      <c r="C176" s="1">
        <v>44401</v>
      </c>
      <c r="D176">
        <v>61</v>
      </c>
      <c r="E176" t="s">
        <v>33</v>
      </c>
      <c r="F176" t="s">
        <v>54</v>
      </c>
      <c r="K176" t="s">
        <v>21</v>
      </c>
      <c r="N176" t="s">
        <v>30</v>
      </c>
      <c r="P176" t="s">
        <v>30</v>
      </c>
    </row>
    <row r="177" spans="1:16">
      <c r="A177" t="s">
        <v>2230</v>
      </c>
      <c r="B177" t="s">
        <v>2231</v>
      </c>
      <c r="C177" s="1">
        <v>44402</v>
      </c>
      <c r="D177">
        <v>69</v>
      </c>
      <c r="E177" t="s">
        <v>33</v>
      </c>
      <c r="F177" t="s">
        <v>2232</v>
      </c>
      <c r="K177" t="s">
        <v>21</v>
      </c>
      <c r="O177" t="s">
        <v>50</v>
      </c>
      <c r="P177" t="s">
        <v>228</v>
      </c>
    </row>
    <row r="178" spans="1:16">
      <c r="A178" t="s">
        <v>2233</v>
      </c>
      <c r="B178" t="s">
        <v>2234</v>
      </c>
      <c r="C178" s="1">
        <v>44405</v>
      </c>
      <c r="D178">
        <v>28</v>
      </c>
      <c r="E178" t="s">
        <v>33</v>
      </c>
      <c r="F178" t="s">
        <v>1957</v>
      </c>
      <c r="J178" t="s">
        <v>2235</v>
      </c>
      <c r="K178" t="s">
        <v>21</v>
      </c>
      <c r="M178" t="s">
        <v>2236</v>
      </c>
      <c r="N178" t="s">
        <v>30</v>
      </c>
      <c r="O178" t="s">
        <v>2236</v>
      </c>
      <c r="P178" t="s">
        <v>30</v>
      </c>
    </row>
    <row r="179" spans="1:16">
      <c r="A179" t="s">
        <v>2237</v>
      </c>
      <c r="B179" t="s">
        <v>2238</v>
      </c>
      <c r="C179" s="1">
        <v>44406</v>
      </c>
      <c r="D179">
        <v>73</v>
      </c>
      <c r="E179" t="s">
        <v>33</v>
      </c>
      <c r="F179" t="s">
        <v>54</v>
      </c>
      <c r="J179" t="s">
        <v>793</v>
      </c>
      <c r="K179" t="s">
        <v>21</v>
      </c>
      <c r="L179" t="s">
        <v>36</v>
      </c>
      <c r="M179" t="s">
        <v>2239</v>
      </c>
      <c r="N179" t="s">
        <v>38</v>
      </c>
      <c r="O179" t="s">
        <v>2239</v>
      </c>
      <c r="P179" t="s">
        <v>38</v>
      </c>
    </row>
    <row r="180" spans="1:16">
      <c r="A180" t="s">
        <v>2240</v>
      </c>
      <c r="B180" t="s">
        <v>2241</v>
      </c>
      <c r="C180" s="1">
        <v>44406</v>
      </c>
      <c r="D180">
        <v>62</v>
      </c>
      <c r="E180" t="s">
        <v>33</v>
      </c>
      <c r="F180" t="s">
        <v>54</v>
      </c>
      <c r="J180" t="s">
        <v>793</v>
      </c>
      <c r="K180" t="s">
        <v>21</v>
      </c>
      <c r="L180" t="s">
        <v>36</v>
      </c>
      <c r="M180" t="s">
        <v>2239</v>
      </c>
      <c r="N180" t="s">
        <v>38</v>
      </c>
      <c r="O180" t="s">
        <v>2239</v>
      </c>
      <c r="P180" t="s">
        <v>38</v>
      </c>
    </row>
    <row r="181" spans="1:16">
      <c r="A181" t="s">
        <v>2242</v>
      </c>
      <c r="B181" t="s">
        <v>2243</v>
      </c>
      <c r="C181" s="1">
        <v>44406</v>
      </c>
      <c r="D181">
        <v>51</v>
      </c>
      <c r="E181" t="s">
        <v>33</v>
      </c>
      <c r="F181" t="s">
        <v>1028</v>
      </c>
      <c r="J181" t="s">
        <v>54</v>
      </c>
      <c r="K181" t="s">
        <v>21</v>
      </c>
      <c r="M181" t="s">
        <v>2244</v>
      </c>
      <c r="N181" t="s">
        <v>24</v>
      </c>
      <c r="O181" t="s">
        <v>2244</v>
      </c>
      <c r="P181" t="s">
        <v>24</v>
      </c>
    </row>
    <row r="182" spans="1:16">
      <c r="A182" t="s">
        <v>2245</v>
      </c>
      <c r="B182" t="s">
        <v>2246</v>
      </c>
      <c r="C182" s="1">
        <v>44406</v>
      </c>
      <c r="D182">
        <v>45</v>
      </c>
      <c r="E182" t="s">
        <v>18</v>
      </c>
      <c r="F182" t="s">
        <v>2247</v>
      </c>
      <c r="K182" t="s">
        <v>21</v>
      </c>
      <c r="M182" t="s">
        <v>250</v>
      </c>
      <c r="N182" t="s">
        <v>30</v>
      </c>
      <c r="O182" t="s">
        <v>50</v>
      </c>
      <c r="P182" t="s">
        <v>228</v>
      </c>
    </row>
    <row r="183" spans="1:16">
      <c r="A183" t="s">
        <v>2248</v>
      </c>
      <c r="B183" t="s">
        <v>2249</v>
      </c>
      <c r="C183" s="1">
        <v>44407</v>
      </c>
      <c r="D183">
        <v>70</v>
      </c>
      <c r="E183" t="s">
        <v>18</v>
      </c>
      <c r="F183" t="s">
        <v>63</v>
      </c>
      <c r="J183" t="s">
        <v>54</v>
      </c>
      <c r="K183" t="s">
        <v>21</v>
      </c>
      <c r="L183" t="s">
        <v>36</v>
      </c>
      <c r="M183" t="s">
        <v>2250</v>
      </c>
      <c r="N183" t="s">
        <v>38</v>
      </c>
      <c r="O183" t="s">
        <v>2250</v>
      </c>
      <c r="P183" t="s">
        <v>38</v>
      </c>
    </row>
    <row r="184" spans="1:16">
      <c r="A184" t="s">
        <v>2251</v>
      </c>
      <c r="B184" t="s">
        <v>2252</v>
      </c>
      <c r="C184" s="1">
        <v>44409</v>
      </c>
      <c r="D184">
        <v>25</v>
      </c>
      <c r="E184" t="s">
        <v>18</v>
      </c>
      <c r="F184" t="s">
        <v>54</v>
      </c>
      <c r="J184" t="s">
        <v>1827</v>
      </c>
      <c r="K184" t="s">
        <v>21</v>
      </c>
      <c r="M184" t="s">
        <v>2253</v>
      </c>
      <c r="N184" t="s">
        <v>24</v>
      </c>
      <c r="O184" t="s">
        <v>2253</v>
      </c>
      <c r="P184" t="s">
        <v>24</v>
      </c>
    </row>
    <row r="185" spans="1:16">
      <c r="A185" t="s">
        <v>2254</v>
      </c>
      <c r="B185" t="s">
        <v>2255</v>
      </c>
      <c r="C185" s="1">
        <v>44400</v>
      </c>
      <c r="D185">
        <v>60</v>
      </c>
      <c r="E185" t="s">
        <v>33</v>
      </c>
      <c r="F185" t="s">
        <v>120</v>
      </c>
      <c r="K185" t="s">
        <v>21</v>
      </c>
      <c r="L185" t="s">
        <v>1999</v>
      </c>
      <c r="N185" t="s">
        <v>30</v>
      </c>
      <c r="O185" t="s">
        <v>99</v>
      </c>
      <c r="P185" t="s">
        <v>228</v>
      </c>
    </row>
    <row r="186" spans="1:16">
      <c r="A186" t="s">
        <v>2256</v>
      </c>
      <c r="B186" t="s">
        <v>2257</v>
      </c>
      <c r="C186" s="1">
        <v>44410</v>
      </c>
      <c r="D186">
        <v>61</v>
      </c>
      <c r="E186" t="s">
        <v>298</v>
      </c>
      <c r="F186" t="s">
        <v>1994</v>
      </c>
      <c r="J186" t="s">
        <v>97</v>
      </c>
      <c r="K186" t="s">
        <v>21</v>
      </c>
      <c r="N186" t="s">
        <v>30</v>
      </c>
      <c r="O186" t="s">
        <v>43</v>
      </c>
      <c r="P186" t="s">
        <v>44</v>
      </c>
    </row>
    <row r="187" spans="1:16">
      <c r="A187" t="s">
        <v>2258</v>
      </c>
      <c r="B187" t="s">
        <v>2259</v>
      </c>
      <c r="C187" s="1">
        <v>44411</v>
      </c>
      <c r="D187">
        <v>18</v>
      </c>
      <c r="E187" t="s">
        <v>18</v>
      </c>
      <c r="F187" t="s">
        <v>2260</v>
      </c>
      <c r="J187" t="s">
        <v>2261</v>
      </c>
      <c r="K187" t="s">
        <v>2260</v>
      </c>
      <c r="L187" t="s">
        <v>36</v>
      </c>
      <c r="M187" t="s">
        <v>2262</v>
      </c>
      <c r="N187" t="s">
        <v>38</v>
      </c>
      <c r="O187" t="s">
        <v>2262</v>
      </c>
      <c r="P187" t="s">
        <v>38</v>
      </c>
    </row>
    <row r="188" spans="1:16">
      <c r="A188" t="s">
        <v>2263</v>
      </c>
      <c r="B188" t="s">
        <v>2264</v>
      </c>
      <c r="C188" s="1">
        <v>44412</v>
      </c>
      <c r="D188">
        <v>53</v>
      </c>
      <c r="E188" t="s">
        <v>27</v>
      </c>
      <c r="F188" t="s">
        <v>1186</v>
      </c>
      <c r="J188" t="s">
        <v>2265</v>
      </c>
      <c r="K188" t="s">
        <v>21</v>
      </c>
      <c r="M188" t="s">
        <v>2266</v>
      </c>
      <c r="N188" t="s">
        <v>30</v>
      </c>
      <c r="O188" t="s">
        <v>99</v>
      </c>
      <c r="P188" t="s">
        <v>44</v>
      </c>
    </row>
    <row r="189" spans="1:16">
      <c r="A189" t="s">
        <v>2267</v>
      </c>
      <c r="B189" t="s">
        <v>2268</v>
      </c>
      <c r="C189" s="1">
        <v>44412</v>
      </c>
      <c r="D189">
        <v>64</v>
      </c>
      <c r="E189" t="s">
        <v>33</v>
      </c>
      <c r="F189" t="s">
        <v>461</v>
      </c>
      <c r="G189" t="s">
        <v>54</v>
      </c>
      <c r="J189" t="s">
        <v>2269</v>
      </c>
      <c r="K189" t="s">
        <v>21</v>
      </c>
      <c r="L189" t="s">
        <v>36</v>
      </c>
      <c r="M189" t="s">
        <v>2270</v>
      </c>
      <c r="N189" t="s">
        <v>65</v>
      </c>
      <c r="O189" t="s">
        <v>2270</v>
      </c>
      <c r="P189" t="s">
        <v>65</v>
      </c>
    </row>
    <row r="190" spans="1:16">
      <c r="A190" t="s">
        <v>2271</v>
      </c>
      <c r="B190" t="s">
        <v>2272</v>
      </c>
      <c r="C190" s="1">
        <v>44413</v>
      </c>
      <c r="D190">
        <v>46</v>
      </c>
      <c r="E190" t="s">
        <v>18</v>
      </c>
      <c r="F190" t="s">
        <v>54</v>
      </c>
      <c r="J190" t="s">
        <v>98</v>
      </c>
      <c r="K190" t="s">
        <v>21</v>
      </c>
      <c r="M190" t="s">
        <v>2273</v>
      </c>
      <c r="N190" t="s">
        <v>30</v>
      </c>
      <c r="O190" t="s">
        <v>2273</v>
      </c>
      <c r="P190" t="s">
        <v>30</v>
      </c>
    </row>
    <row r="191" spans="1:16">
      <c r="A191" t="s">
        <v>2274</v>
      </c>
      <c r="B191" t="s">
        <v>2275</v>
      </c>
      <c r="C191" s="1">
        <v>44413</v>
      </c>
      <c r="D191">
        <v>80</v>
      </c>
      <c r="E191" t="s">
        <v>33</v>
      </c>
      <c r="F191" t="s">
        <v>54</v>
      </c>
      <c r="K191" t="s">
        <v>21</v>
      </c>
      <c r="M191" t="s">
        <v>2276</v>
      </c>
      <c r="N191" t="s">
        <v>30</v>
      </c>
      <c r="O191" t="s">
        <v>2276</v>
      </c>
      <c r="P191" t="s">
        <v>30</v>
      </c>
    </row>
    <row r="192" spans="1:16">
      <c r="A192" t="s">
        <v>2277</v>
      </c>
      <c r="B192" t="s">
        <v>2278</v>
      </c>
      <c r="C192" s="1">
        <v>44414</v>
      </c>
      <c r="D192">
        <v>45</v>
      </c>
      <c r="E192" t="s">
        <v>33</v>
      </c>
      <c r="F192" t="s">
        <v>1028</v>
      </c>
      <c r="J192" t="s">
        <v>54</v>
      </c>
      <c r="K192" t="s">
        <v>21</v>
      </c>
      <c r="M192" t="s">
        <v>2279</v>
      </c>
      <c r="N192" t="s">
        <v>132</v>
      </c>
      <c r="O192" t="s">
        <v>2279</v>
      </c>
      <c r="P192" t="s">
        <v>132</v>
      </c>
    </row>
    <row r="193" spans="1:16">
      <c r="A193" t="s">
        <v>2280</v>
      </c>
      <c r="B193" t="s">
        <v>2281</v>
      </c>
      <c r="C193" s="1">
        <v>44414</v>
      </c>
      <c r="D193">
        <v>52</v>
      </c>
      <c r="E193" t="s">
        <v>112</v>
      </c>
      <c r="F193" t="s">
        <v>119</v>
      </c>
      <c r="J193" t="s">
        <v>120</v>
      </c>
      <c r="K193" t="s">
        <v>21</v>
      </c>
      <c r="L193" t="s">
        <v>36</v>
      </c>
      <c r="M193" t="s">
        <v>2282</v>
      </c>
      <c r="N193" t="s">
        <v>38</v>
      </c>
      <c r="O193" t="s">
        <v>2282</v>
      </c>
      <c r="P193" t="s">
        <v>38</v>
      </c>
    </row>
    <row r="194" spans="1:16">
      <c r="A194" t="s">
        <v>2283</v>
      </c>
      <c r="B194" t="s">
        <v>2284</v>
      </c>
      <c r="C194" s="1">
        <v>44415</v>
      </c>
      <c r="D194">
        <v>59</v>
      </c>
      <c r="E194" t="s">
        <v>18</v>
      </c>
      <c r="F194" t="s">
        <v>54</v>
      </c>
      <c r="J194" t="s">
        <v>2285</v>
      </c>
      <c r="K194" t="s">
        <v>21</v>
      </c>
      <c r="M194" t="s">
        <v>2286</v>
      </c>
      <c r="N194" t="s">
        <v>30</v>
      </c>
      <c r="O194" t="s">
        <v>2286</v>
      </c>
      <c r="P194" t="s">
        <v>30</v>
      </c>
    </row>
    <row r="195" spans="1:16">
      <c r="A195" t="s">
        <v>2287</v>
      </c>
      <c r="B195" t="s">
        <v>2288</v>
      </c>
      <c r="C195" s="1">
        <v>44415</v>
      </c>
      <c r="D195">
        <v>51</v>
      </c>
      <c r="E195" t="s">
        <v>18</v>
      </c>
      <c r="F195" t="s">
        <v>299</v>
      </c>
      <c r="J195" t="s">
        <v>1450</v>
      </c>
      <c r="K195" t="s">
        <v>21</v>
      </c>
      <c r="N195" t="s">
        <v>726</v>
      </c>
      <c r="P195" t="s">
        <v>726</v>
      </c>
    </row>
    <row r="196" spans="1:16">
      <c r="A196" t="s">
        <v>2289</v>
      </c>
      <c r="B196" t="s">
        <v>2290</v>
      </c>
      <c r="C196" s="1">
        <v>44415</v>
      </c>
      <c r="D196">
        <v>57</v>
      </c>
      <c r="E196" t="s">
        <v>18</v>
      </c>
      <c r="F196" t="s">
        <v>2291</v>
      </c>
      <c r="G196" t="s">
        <v>54</v>
      </c>
      <c r="K196" t="s">
        <v>21</v>
      </c>
      <c r="O196" t="s">
        <v>50</v>
      </c>
      <c r="P196" t="s">
        <v>228</v>
      </c>
    </row>
    <row r="197" spans="1:16">
      <c r="A197" t="s">
        <v>2292</v>
      </c>
      <c r="B197" t="s">
        <v>2293</v>
      </c>
      <c r="C197" s="1">
        <v>44418</v>
      </c>
      <c r="D197">
        <v>66</v>
      </c>
      <c r="E197" t="s">
        <v>27</v>
      </c>
      <c r="F197" t="s">
        <v>54</v>
      </c>
      <c r="J197" t="s">
        <v>166</v>
      </c>
      <c r="K197" t="s">
        <v>21</v>
      </c>
      <c r="M197" t="s">
        <v>2294</v>
      </c>
      <c r="N197" t="s">
        <v>30</v>
      </c>
      <c r="O197" t="s">
        <v>2294</v>
      </c>
      <c r="P197" t="s">
        <v>30</v>
      </c>
    </row>
    <row r="198" spans="1:16">
      <c r="A198" t="s">
        <v>2295</v>
      </c>
      <c r="B198" t="s">
        <v>2296</v>
      </c>
      <c r="C198" s="1">
        <v>44418</v>
      </c>
      <c r="D198">
        <v>52</v>
      </c>
      <c r="E198" t="s">
        <v>33</v>
      </c>
      <c r="F198" t="s">
        <v>135</v>
      </c>
      <c r="J198" t="s">
        <v>54</v>
      </c>
      <c r="K198" t="s">
        <v>21</v>
      </c>
      <c r="M198" t="s">
        <v>2027</v>
      </c>
      <c r="N198" t="s">
        <v>30</v>
      </c>
      <c r="O198" t="s">
        <v>2027</v>
      </c>
      <c r="P198" t="s">
        <v>30</v>
      </c>
    </row>
    <row r="199" spans="1:16">
      <c r="A199" t="s">
        <v>2297</v>
      </c>
      <c r="B199" t="s">
        <v>2298</v>
      </c>
      <c r="C199" s="1">
        <v>44419</v>
      </c>
      <c r="D199">
        <v>49</v>
      </c>
      <c r="E199" t="s">
        <v>33</v>
      </c>
      <c r="F199" t="s">
        <v>34</v>
      </c>
      <c r="J199" t="s">
        <v>54</v>
      </c>
      <c r="K199" t="s">
        <v>21</v>
      </c>
      <c r="M199" t="s">
        <v>2299</v>
      </c>
      <c r="N199" t="s">
        <v>132</v>
      </c>
      <c r="O199" t="s">
        <v>43</v>
      </c>
      <c r="P199" t="s">
        <v>44</v>
      </c>
    </row>
    <row r="200" spans="1:16">
      <c r="A200" t="s">
        <v>2300</v>
      </c>
      <c r="B200" t="s">
        <v>2301</v>
      </c>
      <c r="C200" s="1">
        <v>44419</v>
      </c>
      <c r="D200">
        <v>30</v>
      </c>
      <c r="E200" t="s">
        <v>33</v>
      </c>
      <c r="F200" t="s">
        <v>172</v>
      </c>
      <c r="J200" t="s">
        <v>54</v>
      </c>
      <c r="K200" t="s">
        <v>21</v>
      </c>
      <c r="M200" t="s">
        <v>2302</v>
      </c>
      <c r="N200" t="s">
        <v>30</v>
      </c>
      <c r="O200" t="s">
        <v>2302</v>
      </c>
      <c r="P200" t="s">
        <v>30</v>
      </c>
    </row>
    <row r="201" spans="1:16">
      <c r="A201" t="s">
        <v>2303</v>
      </c>
      <c r="B201" t="s">
        <v>2304</v>
      </c>
      <c r="C201" s="1">
        <v>44421</v>
      </c>
      <c r="D201">
        <v>50</v>
      </c>
      <c r="E201" t="s">
        <v>18</v>
      </c>
      <c r="F201" t="s">
        <v>54</v>
      </c>
      <c r="J201" t="s">
        <v>172</v>
      </c>
      <c r="K201" t="s">
        <v>21</v>
      </c>
      <c r="M201" t="s">
        <v>2305</v>
      </c>
      <c r="N201" t="s">
        <v>30</v>
      </c>
      <c r="O201" t="s">
        <v>2305</v>
      </c>
      <c r="P201" t="s">
        <v>30</v>
      </c>
    </row>
    <row r="202" spans="1:16">
      <c r="A202" t="s">
        <v>2306</v>
      </c>
      <c r="B202" t="s">
        <v>2307</v>
      </c>
      <c r="C202" s="1">
        <v>44421</v>
      </c>
      <c r="D202">
        <v>70</v>
      </c>
      <c r="E202" t="s">
        <v>106</v>
      </c>
      <c r="F202" t="s">
        <v>54</v>
      </c>
      <c r="J202" t="s">
        <v>503</v>
      </c>
      <c r="K202" t="s">
        <v>21</v>
      </c>
      <c r="M202" t="s">
        <v>2308</v>
      </c>
      <c r="N202" t="s">
        <v>24</v>
      </c>
      <c r="O202" t="s">
        <v>2308</v>
      </c>
      <c r="P202" t="s">
        <v>24</v>
      </c>
    </row>
    <row r="203" spans="1:16">
      <c r="A203" t="s">
        <v>2309</v>
      </c>
      <c r="B203" t="s">
        <v>2310</v>
      </c>
      <c r="C203" s="1">
        <v>44422</v>
      </c>
      <c r="D203">
        <v>56</v>
      </c>
      <c r="E203" t="s">
        <v>18</v>
      </c>
      <c r="F203" t="s">
        <v>54</v>
      </c>
      <c r="J203" t="s">
        <v>503</v>
      </c>
      <c r="K203" t="s">
        <v>21</v>
      </c>
      <c r="M203" t="s">
        <v>2311</v>
      </c>
      <c r="N203" t="s">
        <v>30</v>
      </c>
      <c r="O203" t="s">
        <v>2311</v>
      </c>
      <c r="P203" t="s">
        <v>30</v>
      </c>
    </row>
    <row r="204" spans="1:16">
      <c r="A204" t="s">
        <v>2312</v>
      </c>
      <c r="B204" t="s">
        <v>2313</v>
      </c>
      <c r="C204" s="1">
        <v>44423</v>
      </c>
      <c r="D204">
        <v>47</v>
      </c>
      <c r="E204" t="s">
        <v>18</v>
      </c>
      <c r="F204" t="s">
        <v>135</v>
      </c>
      <c r="J204" t="s">
        <v>54</v>
      </c>
      <c r="K204" t="s">
        <v>21</v>
      </c>
      <c r="M204" t="s">
        <v>2314</v>
      </c>
      <c r="N204" t="s">
        <v>65</v>
      </c>
      <c r="O204" t="s">
        <v>2314</v>
      </c>
      <c r="P204" t="s">
        <v>65</v>
      </c>
    </row>
    <row r="205" spans="1:16">
      <c r="A205" t="s">
        <v>2315</v>
      </c>
      <c r="B205" t="s">
        <v>2316</v>
      </c>
      <c r="C205" s="1">
        <v>44425</v>
      </c>
      <c r="D205">
        <v>35</v>
      </c>
      <c r="E205" t="s">
        <v>106</v>
      </c>
      <c r="F205" t="s">
        <v>339</v>
      </c>
      <c r="J205" t="s">
        <v>2317</v>
      </c>
      <c r="K205" t="s">
        <v>21</v>
      </c>
      <c r="M205" t="s">
        <v>2318</v>
      </c>
      <c r="N205" t="s">
        <v>30</v>
      </c>
      <c r="O205" t="s">
        <v>2318</v>
      </c>
      <c r="P205" t="s">
        <v>30</v>
      </c>
    </row>
    <row r="206" spans="1:16">
      <c r="A206" t="s">
        <v>2319</v>
      </c>
      <c r="B206" t="s">
        <v>2320</v>
      </c>
      <c r="C206" s="1">
        <v>44426</v>
      </c>
      <c r="D206">
        <v>54</v>
      </c>
      <c r="E206" t="s">
        <v>33</v>
      </c>
      <c r="F206" t="s">
        <v>172</v>
      </c>
      <c r="J206" t="s">
        <v>54</v>
      </c>
      <c r="K206" t="s">
        <v>21</v>
      </c>
      <c r="M206" t="s">
        <v>2321</v>
      </c>
      <c r="N206" t="s">
        <v>30</v>
      </c>
      <c r="O206" t="s">
        <v>2321</v>
      </c>
      <c r="P206" t="s">
        <v>30</v>
      </c>
    </row>
    <row r="207" spans="1:16">
      <c r="A207" t="s">
        <v>2322</v>
      </c>
      <c r="B207" t="s">
        <v>2323</v>
      </c>
      <c r="C207" s="1">
        <v>44426</v>
      </c>
      <c r="D207">
        <v>61</v>
      </c>
      <c r="E207" t="s">
        <v>33</v>
      </c>
      <c r="F207" t="s">
        <v>2106</v>
      </c>
      <c r="J207" t="s">
        <v>503</v>
      </c>
      <c r="K207" t="s">
        <v>21</v>
      </c>
      <c r="N207" t="s">
        <v>30</v>
      </c>
      <c r="P207" t="s">
        <v>30</v>
      </c>
    </row>
    <row r="208" spans="1:16">
      <c r="A208" t="s">
        <v>2324</v>
      </c>
      <c r="B208" t="s">
        <v>2325</v>
      </c>
      <c r="C208" s="1">
        <v>44426</v>
      </c>
      <c r="D208">
        <v>61</v>
      </c>
      <c r="E208" t="s">
        <v>33</v>
      </c>
      <c r="F208" t="s">
        <v>54</v>
      </c>
      <c r="J208" t="s">
        <v>468</v>
      </c>
      <c r="K208" t="s">
        <v>21</v>
      </c>
      <c r="L208" t="s">
        <v>36</v>
      </c>
      <c r="M208" t="s">
        <v>2326</v>
      </c>
      <c r="N208" t="s">
        <v>38</v>
      </c>
      <c r="O208" t="s">
        <v>2326</v>
      </c>
      <c r="P208" t="s">
        <v>38</v>
      </c>
    </row>
    <row r="209" spans="1:16">
      <c r="A209" t="s">
        <v>2327</v>
      </c>
      <c r="B209" t="s">
        <v>2328</v>
      </c>
      <c r="C209" s="1">
        <v>44427</v>
      </c>
      <c r="D209">
        <v>71</v>
      </c>
      <c r="E209" t="s">
        <v>33</v>
      </c>
      <c r="F209" t="s">
        <v>54</v>
      </c>
      <c r="K209" t="s">
        <v>21</v>
      </c>
      <c r="L209" t="s">
        <v>36</v>
      </c>
      <c r="M209" t="s">
        <v>2329</v>
      </c>
      <c r="N209" t="s">
        <v>132</v>
      </c>
      <c r="O209" t="s">
        <v>2329</v>
      </c>
      <c r="P209" t="s">
        <v>132</v>
      </c>
    </row>
    <row r="210" spans="1:16">
      <c r="A210" t="s">
        <v>2330</v>
      </c>
      <c r="B210" t="s">
        <v>2331</v>
      </c>
      <c r="C210" s="1">
        <v>44428</v>
      </c>
      <c r="D210">
        <v>56</v>
      </c>
      <c r="E210" t="s">
        <v>112</v>
      </c>
      <c r="F210" t="s">
        <v>2106</v>
      </c>
      <c r="J210" t="s">
        <v>2332</v>
      </c>
      <c r="K210" t="s">
        <v>21</v>
      </c>
      <c r="N210" t="s">
        <v>30</v>
      </c>
      <c r="P210" t="s">
        <v>30</v>
      </c>
    </row>
    <row r="211" spans="1:16">
      <c r="A211" t="s">
        <v>2333</v>
      </c>
      <c r="B211" t="s">
        <v>2334</v>
      </c>
      <c r="C211" s="1">
        <v>44428</v>
      </c>
      <c r="D211">
        <v>75</v>
      </c>
      <c r="E211" t="s">
        <v>33</v>
      </c>
      <c r="F211" t="s">
        <v>2335</v>
      </c>
      <c r="J211" t="s">
        <v>2336</v>
      </c>
      <c r="K211" t="s">
        <v>232</v>
      </c>
      <c r="L211" t="s">
        <v>36</v>
      </c>
      <c r="M211" t="s">
        <v>2337</v>
      </c>
      <c r="N211" t="s">
        <v>38</v>
      </c>
      <c r="O211" t="s">
        <v>2337</v>
      </c>
      <c r="P211" t="s">
        <v>38</v>
      </c>
    </row>
    <row r="212" spans="1:16">
      <c r="A212" t="s">
        <v>2338</v>
      </c>
      <c r="B212" t="s">
        <v>2339</v>
      </c>
      <c r="C212" s="1">
        <v>44428</v>
      </c>
      <c r="D212">
        <v>44</v>
      </c>
      <c r="E212" t="s">
        <v>33</v>
      </c>
      <c r="F212" t="s">
        <v>1028</v>
      </c>
      <c r="J212" t="s">
        <v>2340</v>
      </c>
      <c r="K212" t="s">
        <v>21</v>
      </c>
      <c r="M212" t="s">
        <v>2341</v>
      </c>
      <c r="N212" t="s">
        <v>30</v>
      </c>
      <c r="O212" t="s">
        <v>2341</v>
      </c>
      <c r="P212" t="s">
        <v>30</v>
      </c>
    </row>
    <row r="213" spans="1:16">
      <c r="A213" t="s">
        <v>2342</v>
      </c>
      <c r="B213" t="s">
        <v>2343</v>
      </c>
      <c r="C213" s="1">
        <v>44431</v>
      </c>
      <c r="D213">
        <v>43</v>
      </c>
      <c r="E213" t="s">
        <v>18</v>
      </c>
      <c r="F213" t="s">
        <v>54</v>
      </c>
      <c r="J213" t="s">
        <v>28</v>
      </c>
      <c r="K213" t="s">
        <v>21</v>
      </c>
      <c r="M213" t="s">
        <v>2344</v>
      </c>
      <c r="N213" t="s">
        <v>132</v>
      </c>
      <c r="O213" t="s">
        <v>2344</v>
      </c>
      <c r="P213" t="s">
        <v>132</v>
      </c>
    </row>
    <row r="214" spans="1:16">
      <c r="A214" t="s">
        <v>2345</v>
      </c>
      <c r="B214" t="s">
        <v>2346</v>
      </c>
      <c r="C214" s="1">
        <v>44431</v>
      </c>
      <c r="D214">
        <v>67</v>
      </c>
      <c r="E214" t="s">
        <v>18</v>
      </c>
      <c r="F214" t="s">
        <v>54</v>
      </c>
      <c r="J214" t="s">
        <v>468</v>
      </c>
      <c r="K214" t="s">
        <v>21</v>
      </c>
      <c r="M214" t="s">
        <v>2347</v>
      </c>
      <c r="N214" t="s">
        <v>30</v>
      </c>
      <c r="O214" t="s">
        <v>2347</v>
      </c>
      <c r="P214" t="s">
        <v>30</v>
      </c>
    </row>
    <row r="215" spans="1:16">
      <c r="A215" t="s">
        <v>2348</v>
      </c>
      <c r="B215" t="s">
        <v>2349</v>
      </c>
      <c r="C215" s="1">
        <v>44433</v>
      </c>
      <c r="D215">
        <v>68</v>
      </c>
      <c r="E215" t="s">
        <v>33</v>
      </c>
      <c r="F215" t="s">
        <v>80</v>
      </c>
      <c r="J215" t="s">
        <v>2350</v>
      </c>
      <c r="K215" t="s">
        <v>21</v>
      </c>
      <c r="L215" t="s">
        <v>36</v>
      </c>
      <c r="M215" t="s">
        <v>2351</v>
      </c>
      <c r="N215" t="s">
        <v>38</v>
      </c>
      <c r="O215" t="s">
        <v>2351</v>
      </c>
      <c r="P215" t="s">
        <v>38</v>
      </c>
    </row>
    <row r="216" spans="1:16">
      <c r="A216" t="s">
        <v>2352</v>
      </c>
      <c r="B216" t="s">
        <v>2353</v>
      </c>
      <c r="C216" s="1">
        <v>44434</v>
      </c>
      <c r="D216">
        <v>42</v>
      </c>
      <c r="E216" t="s">
        <v>27</v>
      </c>
      <c r="F216" t="s">
        <v>1124</v>
      </c>
      <c r="G216" t="s">
        <v>28</v>
      </c>
      <c r="J216" t="s">
        <v>2354</v>
      </c>
      <c r="K216" t="s">
        <v>21</v>
      </c>
      <c r="L216" t="s">
        <v>36</v>
      </c>
      <c r="M216" t="s">
        <v>2355</v>
      </c>
      <c r="N216" t="s">
        <v>30</v>
      </c>
      <c r="O216" t="s">
        <v>2355</v>
      </c>
      <c r="P216" t="s">
        <v>30</v>
      </c>
    </row>
    <row r="217" spans="1:16">
      <c r="A217" t="s">
        <v>2356</v>
      </c>
      <c r="B217" t="s">
        <v>2357</v>
      </c>
      <c r="C217" s="1">
        <v>44435</v>
      </c>
      <c r="D217">
        <v>59</v>
      </c>
      <c r="E217" t="s">
        <v>33</v>
      </c>
      <c r="F217" t="s">
        <v>1186</v>
      </c>
      <c r="K217" t="s">
        <v>21</v>
      </c>
      <c r="M217" t="s">
        <v>2358</v>
      </c>
      <c r="N217" t="s">
        <v>30</v>
      </c>
      <c r="O217" t="s">
        <v>99</v>
      </c>
      <c r="P217" t="s">
        <v>51</v>
      </c>
    </row>
    <row r="218" spans="1:16">
      <c r="A218" t="s">
        <v>2359</v>
      </c>
      <c r="B218" t="s">
        <v>2360</v>
      </c>
      <c r="C218" s="1">
        <v>44436</v>
      </c>
      <c r="D218">
        <v>61</v>
      </c>
      <c r="E218" t="s">
        <v>33</v>
      </c>
      <c r="F218" t="s">
        <v>2361</v>
      </c>
      <c r="J218" t="s">
        <v>97</v>
      </c>
      <c r="K218" t="s">
        <v>21</v>
      </c>
      <c r="O218" t="s">
        <v>50</v>
      </c>
      <c r="P218" t="s">
        <v>855</v>
      </c>
    </row>
    <row r="219" spans="1:16">
      <c r="A219" t="s">
        <v>2362</v>
      </c>
      <c r="B219" t="s">
        <v>2363</v>
      </c>
      <c r="C219" s="1">
        <v>44436</v>
      </c>
      <c r="D219">
        <v>66</v>
      </c>
      <c r="E219" t="s">
        <v>18</v>
      </c>
      <c r="F219" t="s">
        <v>1186</v>
      </c>
      <c r="J219" t="s">
        <v>2364</v>
      </c>
      <c r="K219" t="s">
        <v>21</v>
      </c>
      <c r="L219" t="s">
        <v>36</v>
      </c>
      <c r="N219" t="s">
        <v>30</v>
      </c>
      <c r="O219" t="s">
        <v>50</v>
      </c>
      <c r="P219" t="s">
        <v>228</v>
      </c>
    </row>
    <row r="220" spans="1:16">
      <c r="A220" t="s">
        <v>2365</v>
      </c>
      <c r="B220" t="s">
        <v>2366</v>
      </c>
      <c r="C220" s="1">
        <v>44438</v>
      </c>
      <c r="D220">
        <v>73</v>
      </c>
      <c r="E220" t="s">
        <v>18</v>
      </c>
      <c r="F220" t="s">
        <v>2367</v>
      </c>
      <c r="J220" t="s">
        <v>54</v>
      </c>
      <c r="K220" t="s">
        <v>21</v>
      </c>
      <c r="M220" t="s">
        <v>1972</v>
      </c>
      <c r="N220" t="s">
        <v>70</v>
      </c>
      <c r="O220" t="s">
        <v>1972</v>
      </c>
      <c r="P220" t="s">
        <v>70</v>
      </c>
    </row>
    <row r="221" spans="1:16">
      <c r="A221" t="s">
        <v>2368</v>
      </c>
      <c r="B221" t="s">
        <v>2369</v>
      </c>
      <c r="C221" s="1">
        <v>44439</v>
      </c>
      <c r="D221">
        <v>51</v>
      </c>
      <c r="E221" t="s">
        <v>33</v>
      </c>
      <c r="F221" t="s">
        <v>2370</v>
      </c>
      <c r="J221" t="s">
        <v>97</v>
      </c>
      <c r="K221" t="s">
        <v>21</v>
      </c>
      <c r="O221" t="s">
        <v>50</v>
      </c>
      <c r="P221" t="s">
        <v>855</v>
      </c>
    </row>
    <row r="222" spans="1:16">
      <c r="A222" t="s">
        <v>2371</v>
      </c>
      <c r="B222" t="s">
        <v>2372</v>
      </c>
      <c r="C222" s="1">
        <v>44440</v>
      </c>
      <c r="D222">
        <v>68</v>
      </c>
      <c r="E222" t="s">
        <v>33</v>
      </c>
      <c r="F222" t="s">
        <v>54</v>
      </c>
      <c r="K222" t="s">
        <v>21</v>
      </c>
      <c r="N222" t="s">
        <v>30</v>
      </c>
      <c r="P222" t="s">
        <v>30</v>
      </c>
    </row>
    <row r="223" spans="1:16">
      <c r="A223" t="s">
        <v>2373</v>
      </c>
      <c r="B223" t="s">
        <v>2374</v>
      </c>
      <c r="C223" s="1">
        <v>44446</v>
      </c>
      <c r="D223">
        <v>53</v>
      </c>
      <c r="E223" t="s">
        <v>33</v>
      </c>
      <c r="F223" t="s">
        <v>34</v>
      </c>
      <c r="J223" t="s">
        <v>54</v>
      </c>
      <c r="K223" t="s">
        <v>21</v>
      </c>
      <c r="M223" t="s">
        <v>2190</v>
      </c>
      <c r="N223" t="s">
        <v>30</v>
      </c>
      <c r="O223" t="s">
        <v>127</v>
      </c>
      <c r="P223" t="s">
        <v>44</v>
      </c>
    </row>
    <row r="224" spans="1:16">
      <c r="A224" t="s">
        <v>2375</v>
      </c>
      <c r="B224" t="s">
        <v>2376</v>
      </c>
      <c r="C224" s="1">
        <v>44447</v>
      </c>
      <c r="D224">
        <v>43</v>
      </c>
      <c r="E224" t="s">
        <v>33</v>
      </c>
      <c r="F224" t="s">
        <v>34</v>
      </c>
      <c r="J224" t="s">
        <v>54</v>
      </c>
      <c r="K224" t="s">
        <v>21</v>
      </c>
      <c r="N224" t="s">
        <v>30</v>
      </c>
      <c r="P224" t="s">
        <v>30</v>
      </c>
    </row>
    <row r="225" spans="1:16">
      <c r="A225" t="s">
        <v>2377</v>
      </c>
      <c r="B225" t="s">
        <v>2378</v>
      </c>
      <c r="C225" s="1">
        <v>44447</v>
      </c>
      <c r="D225">
        <v>52</v>
      </c>
      <c r="E225" t="s">
        <v>33</v>
      </c>
      <c r="F225" t="s">
        <v>54</v>
      </c>
      <c r="J225" t="s">
        <v>98</v>
      </c>
      <c r="K225" t="s">
        <v>21</v>
      </c>
      <c r="N225" t="s">
        <v>30</v>
      </c>
      <c r="P225" t="s">
        <v>30</v>
      </c>
    </row>
    <row r="226" spans="1:16">
      <c r="A226" t="s">
        <v>2379</v>
      </c>
      <c r="B226" t="s">
        <v>2380</v>
      </c>
      <c r="C226" s="1">
        <v>44447</v>
      </c>
      <c r="D226">
        <v>79</v>
      </c>
      <c r="E226" t="s">
        <v>18</v>
      </c>
      <c r="F226" t="s">
        <v>63</v>
      </c>
      <c r="J226" t="s">
        <v>282</v>
      </c>
      <c r="K226" t="s">
        <v>21</v>
      </c>
      <c r="L226" t="s">
        <v>36</v>
      </c>
      <c r="M226" t="s">
        <v>2381</v>
      </c>
      <c r="N226" t="s">
        <v>38</v>
      </c>
      <c r="O226" t="s">
        <v>2381</v>
      </c>
      <c r="P226" t="s">
        <v>38</v>
      </c>
    </row>
    <row r="227" spans="1:16">
      <c r="A227" t="s">
        <v>2382</v>
      </c>
      <c r="B227" t="s">
        <v>2383</v>
      </c>
      <c r="C227" s="1">
        <v>44448</v>
      </c>
      <c r="D227">
        <v>57</v>
      </c>
      <c r="E227" t="s">
        <v>18</v>
      </c>
      <c r="F227" t="s">
        <v>54</v>
      </c>
      <c r="K227" t="s">
        <v>21</v>
      </c>
      <c r="M227" t="s">
        <v>2384</v>
      </c>
      <c r="N227" t="s">
        <v>30</v>
      </c>
      <c r="O227" t="s">
        <v>2384</v>
      </c>
      <c r="P227" t="s">
        <v>30</v>
      </c>
    </row>
    <row r="228" spans="1:16">
      <c r="A228" t="s">
        <v>2385</v>
      </c>
      <c r="B228" t="s">
        <v>2386</v>
      </c>
      <c r="C228" s="1">
        <v>44449</v>
      </c>
      <c r="D228">
        <v>67</v>
      </c>
      <c r="E228" t="s">
        <v>33</v>
      </c>
      <c r="F228" t="s">
        <v>120</v>
      </c>
      <c r="J228" t="s">
        <v>2387</v>
      </c>
      <c r="K228" t="s">
        <v>21</v>
      </c>
      <c r="L228" t="s">
        <v>36</v>
      </c>
      <c r="M228" t="s">
        <v>2388</v>
      </c>
      <c r="N228" t="s">
        <v>38</v>
      </c>
      <c r="O228" t="s">
        <v>2388</v>
      </c>
      <c r="P228" t="s">
        <v>38</v>
      </c>
    </row>
    <row r="229" spans="1:16">
      <c r="A229" t="s">
        <v>2389</v>
      </c>
      <c r="B229" t="s">
        <v>2390</v>
      </c>
      <c r="C229" s="1">
        <v>44453</v>
      </c>
      <c r="D229">
        <v>53</v>
      </c>
      <c r="E229" t="s">
        <v>33</v>
      </c>
      <c r="F229" t="s">
        <v>135</v>
      </c>
      <c r="J229" t="s">
        <v>1362</v>
      </c>
      <c r="K229" t="s">
        <v>21</v>
      </c>
      <c r="L229" t="s">
        <v>36</v>
      </c>
      <c r="M229" t="s">
        <v>2391</v>
      </c>
      <c r="N229" t="s">
        <v>38</v>
      </c>
      <c r="O229" t="s">
        <v>2391</v>
      </c>
      <c r="P229" t="s">
        <v>30</v>
      </c>
    </row>
    <row r="230" spans="1:16">
      <c r="A230" t="s">
        <v>2392</v>
      </c>
      <c r="B230" t="s">
        <v>2393</v>
      </c>
      <c r="C230" s="1">
        <v>44454</v>
      </c>
      <c r="D230">
        <v>30</v>
      </c>
      <c r="E230" t="s">
        <v>18</v>
      </c>
      <c r="F230" t="s">
        <v>1730</v>
      </c>
      <c r="J230" t="s">
        <v>2394</v>
      </c>
      <c r="K230" t="s">
        <v>21</v>
      </c>
      <c r="O230" t="s">
        <v>43</v>
      </c>
      <c r="P230" t="s">
        <v>51</v>
      </c>
    </row>
    <row r="231" spans="1:16">
      <c r="A231" t="s">
        <v>2395</v>
      </c>
      <c r="B231" t="s">
        <v>2396</v>
      </c>
      <c r="C231" s="1">
        <v>44451</v>
      </c>
      <c r="D231">
        <v>99</v>
      </c>
      <c r="E231" t="s">
        <v>33</v>
      </c>
      <c r="F231" t="s">
        <v>1857</v>
      </c>
      <c r="K231" t="s">
        <v>21</v>
      </c>
      <c r="L231" t="s">
        <v>36</v>
      </c>
      <c r="M231" t="s">
        <v>2397</v>
      </c>
      <c r="N231" t="s">
        <v>38</v>
      </c>
      <c r="O231" t="s">
        <v>478</v>
      </c>
      <c r="P231" t="s">
        <v>109</v>
      </c>
    </row>
    <row r="232" spans="1:16">
      <c r="A232" t="s">
        <v>2398</v>
      </c>
      <c r="B232" t="s">
        <v>2399</v>
      </c>
      <c r="C232" s="1">
        <v>44461</v>
      </c>
      <c r="D232">
        <v>77</v>
      </c>
      <c r="E232" t="s">
        <v>33</v>
      </c>
      <c r="F232" t="s">
        <v>63</v>
      </c>
      <c r="J232" t="s">
        <v>755</v>
      </c>
      <c r="K232" t="s">
        <v>21</v>
      </c>
      <c r="L232" t="s">
        <v>36</v>
      </c>
      <c r="M232" t="s">
        <v>2400</v>
      </c>
      <c r="N232" t="s">
        <v>70</v>
      </c>
      <c r="O232" t="s">
        <v>2400</v>
      </c>
      <c r="P23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2024</vt:lpstr>
      <vt:lpstr>2023</vt:lpstr>
      <vt:lpstr>2022</vt:lpstr>
      <vt:lpstr>2021</vt:lpstr>
    </vt:vector>
  </TitlesOfParts>
  <Manager/>
  <Company>Clark County, Nevada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Joshua Norris</dc:creator>
  <cp:keywords/>
  <dc:description/>
  <cp:lastModifiedBy>camac</cp:lastModifiedBy>
  <cp:revision/>
  <dcterms:created xsi:type="dcterms:W3CDTF">2024-07-03T17:43:13Z</dcterms:created>
  <dcterms:modified xsi:type="dcterms:W3CDTF">2025-06-19T20:57:15Z</dcterms:modified>
  <cp:category/>
  <cp:contentStatus/>
</cp:coreProperties>
</file>